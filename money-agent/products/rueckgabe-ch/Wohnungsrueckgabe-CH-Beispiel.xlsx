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ückgabe" sheetId="2" state="visible" r:id="rId2"/>
    <sheet xmlns:r="http://schemas.openxmlformats.org/officeDocument/2006/relationships" name="Abrechnung" sheetId="3" state="visible" r:id="rId3"/>
    <sheet xmlns:r="http://schemas.openxmlformats.org/officeDocument/2006/relationships" name="Freigabe Kaution" sheetId="4" state="visible" r:id="rId4"/>
    <sheet xmlns:r="http://schemas.openxmlformats.org/officeDocument/2006/relationships" name="Kontrolle" sheetId="5" state="visible" r:id="rId5"/>
  </sheets>
  <definedNames>
    <definedName name="_xlnm.Print_Area" localSheetId="2">'Abrechnung'!$A$1:$G$47</definedName>
    <definedName name="_xlnm.Print_Area" localSheetId="3">'Freigabe Kaution'!$A$1:$C$24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1"/>
    </font>
    <font>
      <name val="Arial"/>
      <color rgb="001A1A1A"/>
      <sz val="10"/>
    </font>
    <font>
      <name val="Arial"/>
      <i val="1"/>
      <color rgb="00555555"/>
      <sz val="9"/>
    </font>
    <font>
      <name val="Arial"/>
      <b val="1"/>
      <color rgb="001A1A1A"/>
      <sz val="10"/>
    </font>
    <font>
      <name val="Arial"/>
      <b val="1"/>
      <color rgb="00FFFFFF"/>
      <sz val="9"/>
    </font>
    <font>
      <name val="Arial"/>
      <b val="1"/>
      <color rgb="001F4E79"/>
      <sz val="15"/>
    </font>
    <font>
      <name val="Arial"/>
      <color rgb="001A1A1A"/>
      <sz val="9"/>
    </font>
    <font>
      <name val="Arial"/>
      <i val="1"/>
      <color rgb="001A1A1A"/>
      <sz val="8"/>
    </font>
    <font>
      <name val="Arial"/>
      <b val="1"/>
      <color rgb="001A1A1A"/>
      <sz val="11"/>
    </font>
    <font>
      <name val="Arial"/>
      <i val="1"/>
      <color rgb="001A1A1A"/>
      <sz val="9"/>
    </font>
    <font>
      <name val="Arial"/>
      <b val="1"/>
      <color rgb="001A1A1A"/>
      <sz val="9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C9D3"/>
      </left>
      <right style="thin">
        <color rgb="00BFC9D3"/>
      </right>
      <top style="thin">
        <color rgb="00BFC9D3"/>
      </top>
      <bottom style="thin">
        <color rgb="00BFC9D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/>
    </xf>
    <xf numFmtId="0" fontId="5" fillId="0" borderId="0" pivotButton="0" quotePrefix="0" xfId="0"/>
    <xf numFmtId="0" fontId="3" fillId="2" borderId="1" applyProtection="1" pivotButton="0" quotePrefix="0" xfId="0">
      <protection locked="0" hidden="0"/>
    </xf>
    <xf numFmtId="165" fontId="3" fillId="2" borderId="1" applyProtection="1" pivotButton="0" quotePrefix="0" xfId="0">
      <protection locked="0" hidden="0"/>
    </xf>
    <xf numFmtId="4" fontId="3" fillId="2" borderId="1" applyProtection="1" pivotButton="0" quotePrefix="0" xfId="0">
      <protection locked="0" hidden="0"/>
    </xf>
    <xf numFmtId="0" fontId="2" fillId="0" borderId="0" applyAlignment="1" pivotButton="0" quotePrefix="0" xfId="0">
      <alignment/>
    </xf>
    <xf numFmtId="0" fontId="6" fillId="3" borderId="1" applyAlignment="1" pivotButton="0" quotePrefix="0" xfId="0">
      <alignment vertical="center" wrapText="1"/>
    </xf>
    <xf numFmtId="1" fontId="3" fillId="2" borderId="1" applyProtection="1" pivotButton="0" quotePrefix="0" xfId="0">
      <protection locked="0" hidden="0"/>
    </xf>
    <xf numFmtId="166" fontId="3" fillId="4" borderId="1" pivotButton="0" quotePrefix="0" xfId="0"/>
    <xf numFmtId="9" fontId="3" fillId="4" borderId="1" pivotButton="0" quotePrefix="0" xfId="0"/>
    <xf numFmtId="4" fontId="3" fillId="4" borderId="1" pivotButton="0" quotePrefix="0" xfId="0"/>
    <xf numFmtId="0" fontId="3" fillId="4" borderId="1" pivotButton="0" quotePrefix="0" xfId="0"/>
    <xf numFmtId="4" fontId="5" fillId="4" borderId="1" pivotButton="0" quotePrefix="0" xfId="0"/>
    <xf numFmtId="0" fontId="7" fillId="0" borderId="0" applyAlignment="1" pivotButton="0" quotePrefix="0" xfId="0">
      <alignment/>
    </xf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8" fillId="0" borderId="0" pivotButton="0" quotePrefix="0" xfId="0"/>
    <xf numFmtId="4" fontId="8" fillId="0" borderId="0" pivotButton="0" quotePrefix="0" xfId="0"/>
    <xf numFmtId="9" fontId="8" fillId="0" borderId="0" pivotButton="0" quotePrefix="0" xfId="0"/>
    <xf numFmtId="4" fontId="3" fillId="0" borderId="0" pivotButton="0" quotePrefix="0" xfId="0"/>
    <xf numFmtId="4" fontId="5" fillId="0" borderId="0" pivotButton="0" quotePrefix="0" xfId="0"/>
    <xf numFmtId="0" fontId="9" fillId="0" borderId="0" pivotButton="0" quotePrefix="0" xfId="0"/>
    <xf numFmtId="4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" fontId="3" fillId="4" borderId="1" pivotButton="0" quotePrefix="0" xfId="0"/>
    <xf numFmtId="0" fontId="4" fillId="0" borderId="0" pivotButton="0" quotePrefix="0" xfId="0"/>
    <xf numFmtId="2" fontId="3" fillId="4" borderId="1" pivotButton="0" quotePrefix="0" xfId="0"/>
    <xf numFmtId="0" fontId="10" fillId="0" borderId="0" pivotButton="0" quotePrefix="0" xfId="0"/>
    <xf numFmtId="0" fontId="5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Wohnungsrückgabe: Schaden &amp; Kaution</t>
        </is>
      </c>
    </row>
    <row r="3">
      <c r="A3" s="2" t="inlineStr">
        <is>
          <t>START – was Sie eingeben</t>
        </is>
      </c>
    </row>
    <row r="4">
      <c r="A4" s="3" t="inlineStr">
        <is>
          <t>Blatt «Rückgabe»: Mietende, Kaution und offene Beträge. Dann jeden Mangel aus dem Abnahmeprotokoll: Kosten laut Offerte, Einbaudatum und Lebensdauer.</t>
        </is>
      </c>
    </row>
    <row r="5">
      <c r="A5" s="2" t="inlineStr">
        <is>
          <t>BERECHNUNG – was die Vorlage macht</t>
        </is>
      </c>
    </row>
    <row r="6">
      <c r="A6" s="3" t="inlineStr">
        <is>
          <t>Der Mieter zahlt nur den Restwert: Kosten × (1 − Alter ÷ Lebensdauer). Ist ein Bauteil älter als seine Lebensdauer, zahlt er nichts. Normale Abnutzung und vorbestehende Mängel gehen nie zu seinen Lasten.</t>
        </is>
      </c>
    </row>
    <row r="7">
      <c r="A7" s="2" t="inlineStr">
        <is>
          <t>ERGEBNIS – was Sie jetzt tun</t>
        </is>
      </c>
    </row>
    <row r="8">
      <c r="A8" s="3" t="inlineStr">
        <is>
          <t>«Abrechnung» zeigt, wie viel von der Kaution Ihnen zusteht und wie viel der Mieter zurückerhält. «Kontrolle» meldet fehlende oder unplausible Angaben.</t>
        </is>
      </c>
    </row>
    <row r="9">
      <c r="A9" s="2" t="inlineStr">
        <is>
          <t>AUSGABE – was Sie versenden</t>
        </is>
      </c>
    </row>
    <row r="10">
      <c r="A10" s="3" t="inlineStr">
        <is>
          <t>«Abrechnung» an den Mieter senden. «Freigabe Kaution» von beiden Parteien unterschreiben lassen und der Bank schicken.</t>
        </is>
      </c>
    </row>
    <row r="11">
      <c r="A11" s="3" t="inlineStr"/>
    </row>
    <row r="12">
      <c r="A12" s="2" t="inlineStr">
        <is>
          <t>Wo finde ich die Lebensdauer?</t>
        </is>
      </c>
    </row>
    <row r="13">
      <c r="A13" s="3" t="inlineStr">
        <is>
          <t>In der paritätischen Lebensdauertabelle von Hauseigentümerverband (HEV) und Mieterverband (MV). Ein Auszug ist online gratis, die vollständige Tabelle verkaufen beide Verbände.</t>
        </is>
      </c>
    </row>
    <row r="14">
      <c r="A14" s="3" t="inlineStr">
        <is>
          <t>Leere Lebensdauer = keine Altersentwertung (z.B. fehlender Schlüssel, Reinigung). Die Beispielwerte im Beispiel sind vor Gebrauch in der Tabelle zu prüfen.</t>
        </is>
      </c>
    </row>
    <row r="15">
      <c r="A15" s="3" t="inlineStr"/>
    </row>
    <row r="16">
      <c r="A16" s="2" t="inlineStr">
        <is>
          <t>Rechtliche Hinweise (ohne Gewähr, ersetzt keine Rechtsberatung)</t>
        </is>
      </c>
    </row>
    <row r="17">
      <c r="A17" s="3" t="inlineStr">
        <is>
          <t>• Der Mieter haftet nicht für Abnutzung durch vertragsgemässen Gebrauch (Art. 267 Abs. 1 OR).</t>
        </is>
      </c>
    </row>
    <row r="18">
      <c r="A18" s="3" t="inlineStr">
        <is>
          <t>• Mängel bei der Rückgabe sofort und konkret rügen, sonst sind die Ansprüche verwirkt – ausser bei versteckten Mängeln (Art. 267a OR).</t>
        </is>
      </c>
    </row>
    <row r="19">
      <c r="A19" s="3" t="inlineStr">
        <is>
          <t>• Die Lebensdauertabelle ist kein Gesetz, wird aber von Schlichtungsbehörden und Gerichten regelmässig angewendet.</t>
        </is>
      </c>
    </row>
    <row r="20">
      <c r="A20" s="3" t="inlineStr">
        <is>
          <t>• Kaution: Die Bank zahlt mit Zustimmung beider Parteien aus. Macht der Vermieter innert eines Jahres nach Mietende keinen Anspruch geltend, kann der Mieter die Kaution allein herausverlangen (Art. 257e Abs. 3 OR).</t>
        </is>
      </c>
    </row>
    <row r="21">
      <c r="A21" s="3" t="inlineStr">
        <is>
          <t>• Berechnen Sie Kosten nur mit Offerten oder Rechnungen. Pauschalen ohne Beleg werden häufig nicht anerkannt.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7" customWidth="1" min="4" max="4"/>
    <col width="13" customWidth="1" min="5" max="5"/>
    <col width="13" customWidth="1" min="6" max="6"/>
    <col width="10" customWidth="1" min="7" max="7"/>
    <col width="10" customWidth="1" min="8" max="8"/>
    <col width="9" customWidth="1" min="9" max="9"/>
    <col width="13" customWidth="1" min="10" max="10"/>
    <col width="20" customWidth="1" min="11" max="11"/>
  </cols>
  <sheetData>
    <row r="1">
      <c r="A1" s="1" t="inlineStr">
        <is>
          <t>Wohnungsrückgabe</t>
        </is>
      </c>
    </row>
    <row r="2">
      <c r="A2" s="4" t="inlineStr">
        <is>
          <t>Gelb = Eingabe · Blau = rechnet automatisch</t>
        </is>
      </c>
    </row>
    <row r="4">
      <c r="A4" s="5" t="inlineStr">
        <is>
          <t>Liegenschaft</t>
        </is>
      </c>
      <c r="B4" s="6" t="inlineStr">
        <is>
          <t>Musterstrasse 12, 8004 Zürich</t>
        </is>
      </c>
    </row>
    <row r="5">
      <c r="A5" s="5" t="inlineStr">
        <is>
          <t>Wohnung</t>
        </is>
      </c>
      <c r="B5" s="6" t="inlineStr">
        <is>
          <t>1. OG links, 3.5 Zimmer</t>
        </is>
      </c>
    </row>
    <row r="6">
      <c r="A6" s="5" t="inlineStr">
        <is>
          <t>Mieter</t>
        </is>
      </c>
      <c r="B6" s="6" t="inlineStr">
        <is>
          <t>Muster Anna</t>
        </is>
      </c>
    </row>
    <row r="7">
      <c r="A7" s="5" t="inlineStr">
        <is>
          <t>Neue Adresse Mieter</t>
        </is>
      </c>
      <c r="B7" s="6" t="inlineStr">
        <is>
          <t>Seeweg 3, 8800 Thalwil</t>
        </is>
      </c>
    </row>
    <row r="8">
      <c r="A8" s="5" t="inlineStr">
        <is>
          <t>Vermieter</t>
        </is>
      </c>
      <c r="B8" s="6" t="inlineStr">
        <is>
          <t>Hans Beispiel, Bergstrasse 1, 8004 Zürich</t>
        </is>
      </c>
    </row>
    <row r="9">
      <c r="A9" s="5" t="inlineStr">
        <is>
          <t>Mietende</t>
        </is>
      </c>
      <c r="B9" s="7" t="n">
        <v>46295</v>
      </c>
    </row>
    <row r="10">
      <c r="A10" s="5" t="inlineStr">
        <is>
          <t>Abnahme am</t>
        </is>
      </c>
      <c r="B10" s="7" t="n">
        <v>46295</v>
      </c>
    </row>
    <row r="11">
      <c r="A11" s="5" t="inlineStr">
        <is>
          <t>Mietkaution (Betrag)</t>
        </is>
      </c>
      <c r="B11" s="8" t="n">
        <v>4950</v>
      </c>
    </row>
    <row r="12">
      <c r="A12" s="5" t="inlineStr">
        <is>
          <t>Aufgelaufener Kautionszins</t>
        </is>
      </c>
      <c r="B12" s="8" t="n">
        <v>12.4</v>
      </c>
    </row>
    <row r="13">
      <c r="A13" s="5" t="inlineStr">
        <is>
          <t>Bank / Kautionskonto</t>
        </is>
      </c>
      <c r="B13" s="6" t="inlineStr">
        <is>
          <t>Musterbank, Konto 123.456.789</t>
        </is>
      </c>
    </row>
    <row r="15">
      <c r="A15" s="9" t="inlineStr">
        <is>
          <t>Weitere Forderungen an den Mieter</t>
        </is>
      </c>
    </row>
    <row r="16">
      <c r="A16" s="3" t="inlineStr">
        <is>
          <t>Ausstehende Mietzinse</t>
        </is>
      </c>
      <c r="B16" s="8" t="n">
        <v>0</v>
      </c>
    </row>
    <row r="17">
      <c r="A17" s="3" t="inlineStr">
        <is>
          <t>Nebenkosten-Saldo (+ Nachzahlung / − Guthaben)</t>
        </is>
      </c>
      <c r="B17" s="8" t="n">
        <v>168.35</v>
      </c>
      <c r="C17" s="4" t="inlineStr">
        <is>
          <t>← aus der Nebenkostenabrechnung übernehmen</t>
        </is>
      </c>
    </row>
    <row r="18">
      <c r="A18" s="3" t="inlineStr">
        <is>
          <t>Weitere Forderungen (z.B. Reinigung, Entsorgung)</t>
        </is>
      </c>
      <c r="B18" s="8" t="n">
        <v>0</v>
      </c>
    </row>
    <row r="21">
      <c r="A21" s="9" t="inlineStr">
        <is>
          <t>Mängel aus dem Abnahmeprotokoll</t>
        </is>
      </c>
    </row>
    <row r="22">
      <c r="A22" s="4" t="inlineStr">
        <is>
          <t>Ursache «Mieter» nur bei Schäden über die normale Abnutzung hinaus.</t>
        </is>
      </c>
    </row>
    <row r="23" ht="40" customHeight="1">
      <c r="A23" s="10" t="inlineStr">
        <is>
          <t>Raum</t>
        </is>
      </c>
      <c r="B23" s="10" t="inlineStr">
        <is>
          <t>Bauteil</t>
        </is>
      </c>
      <c r="C23" s="10" t="inlineStr">
        <is>
          <t>Mangel</t>
        </is>
      </c>
      <c r="D23" s="10" t="inlineStr">
        <is>
          <t>Ursache</t>
        </is>
      </c>
      <c r="E23" s="10" t="inlineStr">
        <is>
          <t>Kosten laut Offerte CHF</t>
        </is>
      </c>
      <c r="F23" s="10" t="inlineStr">
        <is>
          <t>Einbau / letzte Erneuerung</t>
        </is>
      </c>
      <c r="G23" s="10" t="inlineStr">
        <is>
          <t>Lebensdauer Jahre</t>
        </is>
      </c>
      <c r="H23" s="10" t="inlineStr">
        <is>
          <t>Alter bei Mietende</t>
        </is>
      </c>
      <c r="I23" s="10" t="inlineStr">
        <is>
          <t>Restwert</t>
        </is>
      </c>
      <c r="J23" s="10" t="inlineStr">
        <is>
          <t>Zulasten Mieter CHF</t>
        </is>
      </c>
      <c r="K23" s="10" t="inlineStr">
        <is>
          <t>Prüfen</t>
        </is>
      </c>
    </row>
    <row r="24">
      <c r="A24" s="6" t="inlineStr">
        <is>
          <t>Wohnzimmer</t>
        </is>
      </c>
      <c r="B24" s="6" t="inlineStr">
        <is>
          <t>Wandanstrich</t>
        </is>
      </c>
      <c r="C24" s="6" t="inlineStr">
        <is>
          <t>Starke Nikotinverfärbung</t>
        </is>
      </c>
      <c r="D24" s="6" t="inlineStr">
        <is>
          <t>Mieter</t>
        </is>
      </c>
      <c r="E24" s="8" t="n">
        <v>1800</v>
      </c>
      <c r="F24" s="7" t="n">
        <v>43556</v>
      </c>
      <c r="G24" s="11" t="n">
        <v>8</v>
      </c>
      <c r="H24" s="12">
        <f>IF(OR(F24="",$B$9=""),"",($B$9-F24)/365.25)</f>
        <v/>
      </c>
      <c r="I24" s="13">
        <f>IF(E24="","",IF(D24&lt;&gt;"Mieter",0,IF(G24="",1,IF(OR(F24="",$B$9=""),"",MAX(0,1-H24/G24)))))</f>
        <v/>
      </c>
      <c r="J24" s="14">
        <f>IF(OR(I24="",E24=""),0,ROUND(E24*I24*20,0)/20)</f>
        <v/>
      </c>
      <c r="K24" s="15">
        <f>IF(E24="","",IF(E24&lt;0,"Kosten negativ",IF(D24="","Ursache wählen",IF(AND(F24&lt;&gt;"",$B$9&lt;&gt;"",F24&gt;$B$9),"Einbau nach Mietende",IF(AND(D24="Mieter",G24&lt;&gt;"",F24=""),"Einbaudatum fehlt",IF(AND(D24="Mieter",G24&lt;&gt;"",G24&lt;=0),"Lebensdauer ungültig",""))))))</f>
        <v/>
      </c>
    </row>
    <row r="25">
      <c r="A25" s="6" t="inlineStr">
        <is>
          <t>Küche</t>
        </is>
      </c>
      <c r="B25" s="6" t="inlineStr">
        <is>
          <t>Backofen</t>
        </is>
      </c>
      <c r="C25" s="6" t="inlineStr">
        <is>
          <t>Türglas gesprungen</t>
        </is>
      </c>
      <c r="D25" s="6" t="inlineStr">
        <is>
          <t>Mieter</t>
        </is>
      </c>
      <c r="E25" s="8" t="n">
        <v>950</v>
      </c>
      <c r="F25" s="7" t="n">
        <v>41791</v>
      </c>
      <c r="G25" s="11" t="n">
        <v>15</v>
      </c>
      <c r="H25" s="12">
        <f>IF(OR(F25="",$B$9=""),"",($B$9-F25)/365.25)</f>
        <v/>
      </c>
      <c r="I25" s="13">
        <f>IF(E25="","",IF(D25&lt;&gt;"Mieter",0,IF(G25="",1,IF(OR(F25="",$B$9=""),"",MAX(0,1-H25/G25)))))</f>
        <v/>
      </c>
      <c r="J25" s="14">
        <f>IF(OR(I25="",E25=""),0,ROUND(E25*I25*20,0)/20)</f>
        <v/>
      </c>
      <c r="K25" s="15">
        <f>IF(E25="","",IF(E25&lt;0,"Kosten negativ",IF(D25="","Ursache wählen",IF(AND(F25&lt;&gt;"",$B$9&lt;&gt;"",F25&gt;$B$9),"Einbau nach Mietende",IF(AND(D25="Mieter",G25&lt;&gt;"",F25=""),"Einbaudatum fehlt",IF(AND(D25="Mieter",G25&lt;&gt;"",G25&lt;=0),"Lebensdauer ungültig",""))))))</f>
        <v/>
      </c>
    </row>
    <row r="26">
      <c r="A26" s="6" t="inlineStr">
        <is>
          <t>Wohnzimmer</t>
        </is>
      </c>
      <c r="B26" s="6" t="inlineStr">
        <is>
          <t>Parkett</t>
        </is>
      </c>
      <c r="C26" s="6" t="inlineStr">
        <is>
          <t>Wasserflecken vor Balkontür</t>
        </is>
      </c>
      <c r="D26" s="6" t="inlineStr">
        <is>
          <t>Mieter</t>
        </is>
      </c>
      <c r="E26" s="8" t="n">
        <v>2400</v>
      </c>
      <c r="F26" s="7" t="n">
        <v>38353</v>
      </c>
      <c r="G26" s="11" t="n">
        <v>40</v>
      </c>
      <c r="H26" s="12">
        <f>IF(OR(F26="",$B$9=""),"",($B$9-F26)/365.25)</f>
        <v/>
      </c>
      <c r="I26" s="13">
        <f>IF(E26="","",IF(D26&lt;&gt;"Mieter",0,IF(G26="",1,IF(OR(F26="",$B$9=""),"",MAX(0,1-H26/G26)))))</f>
        <v/>
      </c>
      <c r="J26" s="14">
        <f>IF(OR(I26="",E26=""),0,ROUND(E26*I26*20,0)/20)</f>
        <v/>
      </c>
      <c r="K26" s="15">
        <f>IF(E26="","",IF(E26&lt;0,"Kosten negativ",IF(D26="","Ursache wählen",IF(AND(F26&lt;&gt;"",$B$9&lt;&gt;"",F26&gt;$B$9),"Einbau nach Mietende",IF(AND(D26="Mieter",G26&lt;&gt;"",F26=""),"Einbaudatum fehlt",IF(AND(D26="Mieter",G26&lt;&gt;"",G26&lt;=0),"Lebensdauer ungültig",""))))))</f>
        <v/>
      </c>
    </row>
    <row r="27">
      <c r="A27" s="6" t="inlineStr">
        <is>
          <t>Schlafzimmer</t>
        </is>
      </c>
      <c r="B27" s="6" t="inlineStr">
        <is>
          <t>Teppich</t>
        </is>
      </c>
      <c r="C27" s="6" t="inlineStr">
        <is>
          <t>Laufspuren</t>
        </is>
      </c>
      <c r="D27" s="6" t="inlineStr">
        <is>
          <t>Normale Abnutzung</t>
        </is>
      </c>
      <c r="E27" s="8" t="n">
        <v>1200</v>
      </c>
      <c r="F27" s="7" t="n">
        <v>42430</v>
      </c>
      <c r="G27" s="11" t="n">
        <v>10</v>
      </c>
      <c r="H27" s="12">
        <f>IF(OR(F27="",$B$9=""),"",($B$9-F27)/365.25)</f>
        <v/>
      </c>
      <c r="I27" s="13">
        <f>IF(E27="","",IF(D27&lt;&gt;"Mieter",0,IF(G27="",1,IF(OR(F27="",$B$9=""),"",MAX(0,1-H27/G27)))))</f>
        <v/>
      </c>
      <c r="J27" s="14">
        <f>IF(OR(I27="",E27=""),0,ROUND(E27*I27*20,0)/20)</f>
        <v/>
      </c>
      <c r="K27" s="15">
        <f>IF(E27="","",IF(E27&lt;0,"Kosten negativ",IF(D27="","Ursache wählen",IF(AND(F27&lt;&gt;"",$B$9&lt;&gt;"",F27&gt;$B$9),"Einbau nach Mietende",IF(AND(D27="Mieter",G27&lt;&gt;"",F27=""),"Einbaudatum fehlt",IF(AND(D27="Mieter",G27&lt;&gt;"",G27&lt;=0),"Lebensdauer ungültig",""))))))</f>
        <v/>
      </c>
    </row>
    <row r="28">
      <c r="A28" s="6" t="inlineStr">
        <is>
          <t>Bad</t>
        </is>
      </c>
      <c r="B28" s="6" t="inlineStr">
        <is>
          <t>Spiegelschrank</t>
        </is>
      </c>
      <c r="C28" s="6" t="inlineStr">
        <is>
          <t>Kratzer (im Eintrittsprotokoll vermerkt)</t>
        </is>
      </c>
      <c r="D28" s="6" t="inlineStr">
        <is>
          <t>Vorbestehend</t>
        </is>
      </c>
      <c r="E28" s="8" t="n">
        <v>300</v>
      </c>
      <c r="F28" s="7" t="n"/>
      <c r="G28" s="11" t="n"/>
      <c r="H28" s="12">
        <f>IF(OR(F28="",$B$9=""),"",($B$9-F28)/365.25)</f>
        <v/>
      </c>
      <c r="I28" s="13">
        <f>IF(E28="","",IF(D28&lt;&gt;"Mieter",0,IF(G28="",1,IF(OR(F28="",$B$9=""),"",MAX(0,1-H28/G28)))))</f>
        <v/>
      </c>
      <c r="J28" s="14">
        <f>IF(OR(I28="",E28=""),0,ROUND(E28*I28*20,0)/20)</f>
        <v/>
      </c>
      <c r="K28" s="15">
        <f>IF(E28="","",IF(E28&lt;0,"Kosten negativ",IF(D28="","Ursache wählen",IF(AND(F28&lt;&gt;"",$B$9&lt;&gt;"",F28&gt;$B$9),"Einbau nach Mietende",IF(AND(D28="Mieter",G28&lt;&gt;"",F28=""),"Einbaudatum fehlt",IF(AND(D28="Mieter",G28&lt;&gt;"",G28&lt;=0),"Lebensdauer ungültig",""))))))</f>
        <v/>
      </c>
    </row>
    <row r="29">
      <c r="A29" s="6" t="inlineStr">
        <is>
          <t>Eingang</t>
        </is>
      </c>
      <c r="B29" s="6" t="inlineStr">
        <is>
          <t>Schlüssel</t>
        </is>
      </c>
      <c r="C29" s="6" t="inlineStr">
        <is>
          <t>1 Wohnungsschlüssel fehlt</t>
        </is>
      </c>
      <c r="D29" s="6" t="inlineStr">
        <is>
          <t>Mieter</t>
        </is>
      </c>
      <c r="E29" s="8" t="n">
        <v>180</v>
      </c>
      <c r="F29" s="7" t="n"/>
      <c r="G29" s="11" t="n"/>
      <c r="H29" s="12">
        <f>IF(OR(F29="",$B$9=""),"",($B$9-F29)/365.25)</f>
        <v/>
      </c>
      <c r="I29" s="13">
        <f>IF(E29="","",IF(D29&lt;&gt;"Mieter",0,IF(G29="",1,IF(OR(F29="",$B$9=""),"",MAX(0,1-H29/G29)))))</f>
        <v/>
      </c>
      <c r="J29" s="14">
        <f>IF(OR(I29="",E29=""),0,ROUND(E29*I29*20,0)/20)</f>
        <v/>
      </c>
      <c r="K29" s="15">
        <f>IF(E29="","",IF(E29&lt;0,"Kosten negativ",IF(D29="","Ursache wählen",IF(AND(F29&lt;&gt;"",$B$9&lt;&gt;"",F29&gt;$B$9),"Einbau nach Mietende",IF(AND(D29="Mieter",G29&lt;&gt;"",F29=""),"Einbaudatum fehlt",IF(AND(D29="Mieter",G29&lt;&gt;"",G29&lt;=0),"Lebensdauer ungültig",""))))))</f>
        <v/>
      </c>
    </row>
    <row r="30">
      <c r="A30" s="6" t="n"/>
      <c r="B30" s="6" t="n"/>
      <c r="C30" s="6" t="n"/>
      <c r="D30" s="6" t="n"/>
      <c r="E30" s="8" t="n"/>
      <c r="F30" s="7" t="n"/>
      <c r="G30" s="11" t="n"/>
      <c r="H30" s="12">
        <f>IF(OR(F30="",$B$9=""),"",($B$9-F30)/365.25)</f>
        <v/>
      </c>
      <c r="I30" s="13">
        <f>IF(E30="","",IF(D30&lt;&gt;"Mieter",0,IF(G30="",1,IF(OR(F30="",$B$9=""),"",MAX(0,1-H30/G30)))))</f>
        <v/>
      </c>
      <c r="J30" s="14">
        <f>IF(OR(I30="",E30=""),0,ROUND(E30*I30*20,0)/20)</f>
        <v/>
      </c>
      <c r="K30" s="15">
        <f>IF(E30="","",IF(E30&lt;0,"Kosten negativ",IF(D30="","Ursache wählen",IF(AND(F30&lt;&gt;"",$B$9&lt;&gt;"",F30&gt;$B$9),"Einbau nach Mietende",IF(AND(D30="Mieter",G30&lt;&gt;"",F30=""),"Einbaudatum fehlt",IF(AND(D30="Mieter",G30&lt;&gt;"",G30&lt;=0),"Lebensdauer ungültig",""))))))</f>
        <v/>
      </c>
    </row>
    <row r="31">
      <c r="A31" s="6" t="n"/>
      <c r="B31" s="6" t="n"/>
      <c r="C31" s="6" t="n"/>
      <c r="D31" s="6" t="n"/>
      <c r="E31" s="8" t="n"/>
      <c r="F31" s="7" t="n"/>
      <c r="G31" s="11" t="n"/>
      <c r="H31" s="12">
        <f>IF(OR(F31="",$B$9=""),"",($B$9-F31)/365.25)</f>
        <v/>
      </c>
      <c r="I31" s="13">
        <f>IF(E31="","",IF(D31&lt;&gt;"Mieter",0,IF(G31="",1,IF(OR(F31="",$B$9=""),"",MAX(0,1-H31/G31)))))</f>
        <v/>
      </c>
      <c r="J31" s="14">
        <f>IF(OR(I31="",E31=""),0,ROUND(E31*I31*20,0)/20)</f>
        <v/>
      </c>
      <c r="K31" s="15">
        <f>IF(E31="","",IF(E31&lt;0,"Kosten negativ",IF(D31="","Ursache wählen",IF(AND(F31&lt;&gt;"",$B$9&lt;&gt;"",F31&gt;$B$9),"Einbau nach Mietende",IF(AND(D31="Mieter",G31&lt;&gt;"",F31=""),"Einbaudatum fehlt",IF(AND(D31="Mieter",G31&lt;&gt;"",G31&lt;=0),"Lebensdauer ungültig",""))))))</f>
        <v/>
      </c>
    </row>
    <row r="32">
      <c r="A32" s="6" t="n"/>
      <c r="B32" s="6" t="n"/>
      <c r="C32" s="6" t="n"/>
      <c r="D32" s="6" t="n"/>
      <c r="E32" s="8" t="n"/>
      <c r="F32" s="7" t="n"/>
      <c r="G32" s="11" t="n"/>
      <c r="H32" s="12">
        <f>IF(OR(F32="",$B$9=""),"",($B$9-F32)/365.25)</f>
        <v/>
      </c>
      <c r="I32" s="13">
        <f>IF(E32="","",IF(D32&lt;&gt;"Mieter",0,IF(G32="",1,IF(OR(F32="",$B$9=""),"",MAX(0,1-H32/G32)))))</f>
        <v/>
      </c>
      <c r="J32" s="14">
        <f>IF(OR(I32="",E32=""),0,ROUND(E32*I32*20,0)/20)</f>
        <v/>
      </c>
      <c r="K32" s="15">
        <f>IF(E32="","",IF(E32&lt;0,"Kosten negativ",IF(D32="","Ursache wählen",IF(AND(F32&lt;&gt;"",$B$9&lt;&gt;"",F32&gt;$B$9),"Einbau nach Mietende",IF(AND(D32="Mieter",G32&lt;&gt;"",F32=""),"Einbaudatum fehlt",IF(AND(D32="Mieter",G32&lt;&gt;"",G32&lt;=0),"Lebensdauer ungültig",""))))))</f>
        <v/>
      </c>
    </row>
    <row r="33">
      <c r="A33" s="6" t="n"/>
      <c r="B33" s="6" t="n"/>
      <c r="C33" s="6" t="n"/>
      <c r="D33" s="6" t="n"/>
      <c r="E33" s="8" t="n"/>
      <c r="F33" s="7" t="n"/>
      <c r="G33" s="11" t="n"/>
      <c r="H33" s="12">
        <f>IF(OR(F33="",$B$9=""),"",($B$9-F33)/365.25)</f>
        <v/>
      </c>
      <c r="I33" s="13">
        <f>IF(E33="","",IF(D33&lt;&gt;"Mieter",0,IF(G33="",1,IF(OR(F33="",$B$9=""),"",MAX(0,1-H33/G33)))))</f>
        <v/>
      </c>
      <c r="J33" s="14">
        <f>IF(OR(I33="",E33=""),0,ROUND(E33*I33*20,0)/20)</f>
        <v/>
      </c>
      <c r="K33" s="15">
        <f>IF(E33="","",IF(E33&lt;0,"Kosten negativ",IF(D33="","Ursache wählen",IF(AND(F33&lt;&gt;"",$B$9&lt;&gt;"",F33&gt;$B$9),"Einbau nach Mietende",IF(AND(D33="Mieter",G33&lt;&gt;"",F33=""),"Einbaudatum fehlt",IF(AND(D33="Mieter",G33&lt;&gt;"",G33&lt;=0),"Lebensdauer ungültig",""))))))</f>
        <v/>
      </c>
    </row>
    <row r="34">
      <c r="A34" s="6" t="n"/>
      <c r="B34" s="6" t="n"/>
      <c r="C34" s="6" t="n"/>
      <c r="D34" s="6" t="n"/>
      <c r="E34" s="8" t="n"/>
      <c r="F34" s="7" t="n"/>
      <c r="G34" s="11" t="n"/>
      <c r="H34" s="12">
        <f>IF(OR(F34="",$B$9=""),"",($B$9-F34)/365.25)</f>
        <v/>
      </c>
      <c r="I34" s="13">
        <f>IF(E34="","",IF(D34&lt;&gt;"Mieter",0,IF(G34="",1,IF(OR(F34="",$B$9=""),"",MAX(0,1-H34/G34)))))</f>
        <v/>
      </c>
      <c r="J34" s="14">
        <f>IF(OR(I34="",E34=""),0,ROUND(E34*I34*20,0)/20)</f>
        <v/>
      </c>
      <c r="K34" s="15">
        <f>IF(E34="","",IF(E34&lt;0,"Kosten negativ",IF(D34="","Ursache wählen",IF(AND(F34&lt;&gt;"",$B$9&lt;&gt;"",F34&gt;$B$9),"Einbau nach Mietende",IF(AND(D34="Mieter",G34&lt;&gt;"",F34=""),"Einbaudatum fehlt",IF(AND(D34="Mieter",G34&lt;&gt;"",G34&lt;=0),"Lebensdauer ungültig",""))))))</f>
        <v/>
      </c>
    </row>
    <row r="35">
      <c r="A35" s="6" t="n"/>
      <c r="B35" s="6" t="n"/>
      <c r="C35" s="6" t="n"/>
      <c r="D35" s="6" t="n"/>
      <c r="E35" s="8" t="n"/>
      <c r="F35" s="7" t="n"/>
      <c r="G35" s="11" t="n"/>
      <c r="H35" s="12">
        <f>IF(OR(F35="",$B$9=""),"",($B$9-F35)/365.25)</f>
        <v/>
      </c>
      <c r="I35" s="13">
        <f>IF(E35="","",IF(D35&lt;&gt;"Mieter",0,IF(G35="",1,IF(OR(F35="",$B$9=""),"",MAX(0,1-H35/G35)))))</f>
        <v/>
      </c>
      <c r="J35" s="14">
        <f>IF(OR(I35="",E35=""),0,ROUND(E35*I35*20,0)/20)</f>
        <v/>
      </c>
      <c r="K35" s="15">
        <f>IF(E35="","",IF(E35&lt;0,"Kosten negativ",IF(D35="","Ursache wählen",IF(AND(F35&lt;&gt;"",$B$9&lt;&gt;"",F35&gt;$B$9),"Einbau nach Mietende",IF(AND(D35="Mieter",G35&lt;&gt;"",F35=""),"Einbaudatum fehlt",IF(AND(D35="Mieter",G35&lt;&gt;"",G35&lt;=0),"Lebensdauer ungültig",""))))))</f>
        <v/>
      </c>
    </row>
    <row r="36">
      <c r="A36" s="6" t="n"/>
      <c r="B36" s="6" t="n"/>
      <c r="C36" s="6" t="n"/>
      <c r="D36" s="6" t="n"/>
      <c r="E36" s="8" t="n"/>
      <c r="F36" s="7" t="n"/>
      <c r="G36" s="11" t="n"/>
      <c r="H36" s="12">
        <f>IF(OR(F36="",$B$9=""),"",($B$9-F36)/365.25)</f>
        <v/>
      </c>
      <c r="I36" s="13">
        <f>IF(E36="","",IF(D36&lt;&gt;"Mieter",0,IF(G36="",1,IF(OR(F36="",$B$9=""),"",MAX(0,1-H36/G36)))))</f>
        <v/>
      </c>
      <c r="J36" s="14">
        <f>IF(OR(I36="",E36=""),0,ROUND(E36*I36*20,0)/20)</f>
        <v/>
      </c>
      <c r="K36" s="15">
        <f>IF(E36="","",IF(E36&lt;0,"Kosten negativ",IF(D36="","Ursache wählen",IF(AND(F36&lt;&gt;"",$B$9&lt;&gt;"",F36&gt;$B$9),"Einbau nach Mietende",IF(AND(D36="Mieter",G36&lt;&gt;"",F36=""),"Einbaudatum fehlt",IF(AND(D36="Mieter",G36&lt;&gt;"",G36&lt;=0),"Lebensdauer ungültig",""))))))</f>
        <v/>
      </c>
    </row>
    <row r="37">
      <c r="A37" s="6" t="n"/>
      <c r="B37" s="6" t="n"/>
      <c r="C37" s="6" t="n"/>
      <c r="D37" s="6" t="n"/>
      <c r="E37" s="8" t="n"/>
      <c r="F37" s="7" t="n"/>
      <c r="G37" s="11" t="n"/>
      <c r="H37" s="12">
        <f>IF(OR(F37="",$B$9=""),"",($B$9-F37)/365.25)</f>
        <v/>
      </c>
      <c r="I37" s="13">
        <f>IF(E37="","",IF(D37&lt;&gt;"Mieter",0,IF(G37="",1,IF(OR(F37="",$B$9=""),"",MAX(0,1-H37/G37)))))</f>
        <v/>
      </c>
      <c r="J37" s="14">
        <f>IF(OR(I37="",E37=""),0,ROUND(E37*I37*20,0)/20)</f>
        <v/>
      </c>
      <c r="K37" s="15">
        <f>IF(E37="","",IF(E37&lt;0,"Kosten negativ",IF(D37="","Ursache wählen",IF(AND(F37&lt;&gt;"",$B$9&lt;&gt;"",F37&gt;$B$9),"Einbau nach Mietende",IF(AND(D37="Mieter",G37&lt;&gt;"",F37=""),"Einbaudatum fehlt",IF(AND(D37="Mieter",G37&lt;&gt;"",G37&lt;=0),"Lebensdauer ungültig",""))))))</f>
        <v/>
      </c>
    </row>
    <row r="38">
      <c r="A38" s="6" t="n"/>
      <c r="B38" s="6" t="n"/>
      <c r="C38" s="6" t="n"/>
      <c r="D38" s="6" t="n"/>
      <c r="E38" s="8" t="n"/>
      <c r="F38" s="7" t="n"/>
      <c r="G38" s="11" t="n"/>
      <c r="H38" s="12">
        <f>IF(OR(F38="",$B$9=""),"",($B$9-F38)/365.25)</f>
        <v/>
      </c>
      <c r="I38" s="13">
        <f>IF(E38="","",IF(D38&lt;&gt;"Mieter",0,IF(G38="",1,IF(OR(F38="",$B$9=""),"",MAX(0,1-H38/G38)))))</f>
        <v/>
      </c>
      <c r="J38" s="14">
        <f>IF(OR(I38="",E38=""),0,ROUND(E38*I38*20,0)/20)</f>
        <v/>
      </c>
      <c r="K38" s="15">
        <f>IF(E38="","",IF(E38&lt;0,"Kosten negativ",IF(D38="","Ursache wählen",IF(AND(F38&lt;&gt;"",$B$9&lt;&gt;"",F38&gt;$B$9),"Einbau nach Mietende",IF(AND(D38="Mieter",G38&lt;&gt;"",F38=""),"Einbaudatum fehlt",IF(AND(D38="Mieter",G38&lt;&gt;"",G38&lt;=0),"Lebensdauer ungültig",""))))))</f>
        <v/>
      </c>
    </row>
    <row r="39">
      <c r="A39" s="6" t="n"/>
      <c r="B39" s="6" t="n"/>
      <c r="C39" s="6" t="n"/>
      <c r="D39" s="6" t="n"/>
      <c r="E39" s="8" t="n"/>
      <c r="F39" s="7" t="n"/>
      <c r="G39" s="11" t="n"/>
      <c r="H39" s="12">
        <f>IF(OR(F39="",$B$9=""),"",($B$9-F39)/365.25)</f>
        <v/>
      </c>
      <c r="I39" s="13">
        <f>IF(E39="","",IF(D39&lt;&gt;"Mieter",0,IF(G39="",1,IF(OR(F39="",$B$9=""),"",MAX(0,1-H39/G39)))))</f>
        <v/>
      </c>
      <c r="J39" s="14">
        <f>IF(OR(I39="",E39=""),0,ROUND(E39*I39*20,0)/20)</f>
        <v/>
      </c>
      <c r="K39" s="15">
        <f>IF(E39="","",IF(E39&lt;0,"Kosten negativ",IF(D39="","Ursache wählen",IF(AND(F39&lt;&gt;"",$B$9&lt;&gt;"",F39&gt;$B$9),"Einbau nach Mietende",IF(AND(D39="Mieter",G39&lt;&gt;"",F39=""),"Einbaudatum fehlt",IF(AND(D39="Mieter",G39&lt;&gt;"",G39&lt;=0),"Lebensdauer ungültig",""))))))</f>
        <v/>
      </c>
    </row>
    <row r="40">
      <c r="A40" s="6" t="n"/>
      <c r="B40" s="6" t="n"/>
      <c r="C40" s="6" t="n"/>
      <c r="D40" s="6" t="n"/>
      <c r="E40" s="8" t="n"/>
      <c r="F40" s="7" t="n"/>
      <c r="G40" s="11" t="n"/>
      <c r="H40" s="12">
        <f>IF(OR(F40="",$B$9=""),"",($B$9-F40)/365.25)</f>
        <v/>
      </c>
      <c r="I40" s="13">
        <f>IF(E40="","",IF(D40&lt;&gt;"Mieter",0,IF(G40="",1,IF(OR(F40="",$B$9=""),"",MAX(0,1-H40/G40)))))</f>
        <v/>
      </c>
      <c r="J40" s="14">
        <f>IF(OR(I40="",E40=""),0,ROUND(E40*I40*20,0)/20)</f>
        <v/>
      </c>
      <c r="K40" s="15">
        <f>IF(E40="","",IF(E40&lt;0,"Kosten negativ",IF(D40="","Ursache wählen",IF(AND(F40&lt;&gt;"",$B$9&lt;&gt;"",F40&gt;$B$9),"Einbau nach Mietende",IF(AND(D40="Mieter",G40&lt;&gt;"",F40=""),"Einbaudatum fehlt",IF(AND(D40="Mieter",G40&lt;&gt;"",G40&lt;=0),"Lebensdauer ungültig",""))))))</f>
        <v/>
      </c>
    </row>
    <row r="41">
      <c r="A41" s="6" t="n"/>
      <c r="B41" s="6" t="n"/>
      <c r="C41" s="6" t="n"/>
      <c r="D41" s="6" t="n"/>
      <c r="E41" s="8" t="n"/>
      <c r="F41" s="7" t="n"/>
      <c r="G41" s="11" t="n"/>
      <c r="H41" s="12">
        <f>IF(OR(F41="",$B$9=""),"",($B$9-F41)/365.25)</f>
        <v/>
      </c>
      <c r="I41" s="13">
        <f>IF(E41="","",IF(D41&lt;&gt;"Mieter",0,IF(G41="",1,IF(OR(F41="",$B$9=""),"",MAX(0,1-H41/G41)))))</f>
        <v/>
      </c>
      <c r="J41" s="14">
        <f>IF(OR(I41="",E41=""),0,ROUND(E41*I41*20,0)/20)</f>
        <v/>
      </c>
      <c r="K41" s="15">
        <f>IF(E41="","",IF(E41&lt;0,"Kosten negativ",IF(D41="","Ursache wählen",IF(AND(F41&lt;&gt;"",$B$9&lt;&gt;"",F41&gt;$B$9),"Einbau nach Mietende",IF(AND(D41="Mieter",G41&lt;&gt;"",F41=""),"Einbaudatum fehlt",IF(AND(D41="Mieter",G41&lt;&gt;"",G41&lt;=0),"Lebensdauer ungültig",""))))))</f>
        <v/>
      </c>
    </row>
    <row r="42">
      <c r="A42" s="6" t="n"/>
      <c r="B42" s="6" t="n"/>
      <c r="C42" s="6" t="n"/>
      <c r="D42" s="6" t="n"/>
      <c r="E42" s="8" t="n"/>
      <c r="F42" s="7" t="n"/>
      <c r="G42" s="11" t="n"/>
      <c r="H42" s="12">
        <f>IF(OR(F42="",$B$9=""),"",($B$9-F42)/365.25)</f>
        <v/>
      </c>
      <c r="I42" s="13">
        <f>IF(E42="","",IF(D42&lt;&gt;"Mieter",0,IF(G42="",1,IF(OR(F42="",$B$9=""),"",MAX(0,1-H42/G42)))))</f>
        <v/>
      </c>
      <c r="J42" s="14">
        <f>IF(OR(I42="",E42=""),0,ROUND(E42*I42*20,0)/20)</f>
        <v/>
      </c>
      <c r="K42" s="15">
        <f>IF(E42="","",IF(E42&lt;0,"Kosten negativ",IF(D42="","Ursache wählen",IF(AND(F42&lt;&gt;"",$B$9&lt;&gt;"",F42&gt;$B$9),"Einbau nach Mietende",IF(AND(D42="Mieter",G42&lt;&gt;"",F42=""),"Einbaudatum fehlt",IF(AND(D42="Mieter",G42&lt;&gt;"",G42&lt;=0),"Lebensdauer ungültig",""))))))</f>
        <v/>
      </c>
    </row>
    <row r="43">
      <c r="A43" s="6" t="n"/>
      <c r="B43" s="6" t="n"/>
      <c r="C43" s="6" t="n"/>
      <c r="D43" s="6" t="n"/>
      <c r="E43" s="8" t="n"/>
      <c r="F43" s="7" t="n"/>
      <c r="G43" s="11" t="n"/>
      <c r="H43" s="12">
        <f>IF(OR(F43="",$B$9=""),"",($B$9-F43)/365.25)</f>
        <v/>
      </c>
      <c r="I43" s="13">
        <f>IF(E43="","",IF(D43&lt;&gt;"Mieter",0,IF(G43="",1,IF(OR(F43="",$B$9=""),"",MAX(0,1-H43/G43)))))</f>
        <v/>
      </c>
      <c r="J43" s="14">
        <f>IF(OR(I43="",E43=""),0,ROUND(E43*I43*20,0)/20)</f>
        <v/>
      </c>
      <c r="K43" s="15">
        <f>IF(E43="","",IF(E43&lt;0,"Kosten negativ",IF(D43="","Ursache wählen",IF(AND(F43&lt;&gt;"",$B$9&lt;&gt;"",F43&gt;$B$9),"Einbau nach Mietende",IF(AND(D43="Mieter",G43&lt;&gt;"",F43=""),"Einbaudatum fehlt",IF(AND(D43="Mieter",G43&lt;&gt;"",G43&lt;=0),"Lebensdauer ungültig",""))))))</f>
        <v/>
      </c>
    </row>
    <row r="44">
      <c r="A44" s="6" t="n"/>
      <c r="B44" s="6" t="n"/>
      <c r="C44" s="6" t="n"/>
      <c r="D44" s="6" t="n"/>
      <c r="E44" s="8" t="n"/>
      <c r="F44" s="7" t="n"/>
      <c r="G44" s="11" t="n"/>
      <c r="H44" s="12">
        <f>IF(OR(F44="",$B$9=""),"",($B$9-F44)/365.25)</f>
        <v/>
      </c>
      <c r="I44" s="13">
        <f>IF(E44="","",IF(D44&lt;&gt;"Mieter",0,IF(G44="",1,IF(OR(F44="",$B$9=""),"",MAX(0,1-H44/G44)))))</f>
        <v/>
      </c>
      <c r="J44" s="14">
        <f>IF(OR(I44="",E44=""),0,ROUND(E44*I44*20,0)/20)</f>
        <v/>
      </c>
      <c r="K44" s="15">
        <f>IF(E44="","",IF(E44&lt;0,"Kosten negativ",IF(D44="","Ursache wählen",IF(AND(F44&lt;&gt;"",$B$9&lt;&gt;"",F44&gt;$B$9),"Einbau nach Mietende",IF(AND(D44="Mieter",G44&lt;&gt;"",F44=""),"Einbaudatum fehlt",IF(AND(D44="Mieter",G44&lt;&gt;"",G44&lt;=0),"Lebensdauer ungültig",""))))))</f>
        <v/>
      </c>
    </row>
    <row r="45">
      <c r="A45" s="6" t="n"/>
      <c r="B45" s="6" t="n"/>
      <c r="C45" s="6" t="n"/>
      <c r="D45" s="6" t="n"/>
      <c r="E45" s="8" t="n"/>
      <c r="F45" s="7" t="n"/>
      <c r="G45" s="11" t="n"/>
      <c r="H45" s="12">
        <f>IF(OR(F45="",$B$9=""),"",($B$9-F45)/365.25)</f>
        <v/>
      </c>
      <c r="I45" s="13">
        <f>IF(E45="","",IF(D45&lt;&gt;"Mieter",0,IF(G45="",1,IF(OR(F45="",$B$9=""),"",MAX(0,1-H45/G45)))))</f>
        <v/>
      </c>
      <c r="J45" s="14">
        <f>IF(OR(I45="",E45=""),0,ROUND(E45*I45*20,0)/20)</f>
        <v/>
      </c>
      <c r="K45" s="15">
        <f>IF(E45="","",IF(E45&lt;0,"Kosten negativ",IF(D45="","Ursache wählen",IF(AND(F45&lt;&gt;"",$B$9&lt;&gt;"",F45&gt;$B$9),"Einbau nach Mietende",IF(AND(D45="Mieter",G45&lt;&gt;"",F45=""),"Einbaudatum fehlt",IF(AND(D45="Mieter",G45&lt;&gt;"",G45&lt;=0),"Lebensdauer ungültig",""))))))</f>
        <v/>
      </c>
    </row>
    <row r="46">
      <c r="A46" s="6" t="n"/>
      <c r="B46" s="6" t="n"/>
      <c r="C46" s="6" t="n"/>
      <c r="D46" s="6" t="n"/>
      <c r="E46" s="8" t="n"/>
      <c r="F46" s="7" t="n"/>
      <c r="G46" s="11" t="n"/>
      <c r="H46" s="12">
        <f>IF(OR(F46="",$B$9=""),"",($B$9-F46)/365.25)</f>
        <v/>
      </c>
      <c r="I46" s="13">
        <f>IF(E46="","",IF(D46&lt;&gt;"Mieter",0,IF(G46="",1,IF(OR(F46="",$B$9=""),"",MAX(0,1-H46/G46)))))</f>
        <v/>
      </c>
      <c r="J46" s="14">
        <f>IF(OR(I46="",E46=""),0,ROUND(E46*I46*20,0)/20)</f>
        <v/>
      </c>
      <c r="K46" s="15">
        <f>IF(E46="","",IF(E46&lt;0,"Kosten negativ",IF(D46="","Ursache wählen",IF(AND(F46&lt;&gt;"",$B$9&lt;&gt;"",F46&gt;$B$9),"Einbau nach Mietende",IF(AND(D46="Mieter",G46&lt;&gt;"",F46=""),"Einbaudatum fehlt",IF(AND(D46="Mieter",G46&lt;&gt;"",G46&lt;=0),"Lebensdauer ungültig",""))))))</f>
        <v/>
      </c>
    </row>
    <row r="47">
      <c r="A47" s="6" t="n"/>
      <c r="B47" s="6" t="n"/>
      <c r="C47" s="6" t="n"/>
      <c r="D47" s="6" t="n"/>
      <c r="E47" s="8" t="n"/>
      <c r="F47" s="7" t="n"/>
      <c r="G47" s="11" t="n"/>
      <c r="H47" s="12">
        <f>IF(OR(F47="",$B$9=""),"",($B$9-F47)/365.25)</f>
        <v/>
      </c>
      <c r="I47" s="13">
        <f>IF(E47="","",IF(D47&lt;&gt;"Mieter",0,IF(G47="",1,IF(OR(F47="",$B$9=""),"",MAX(0,1-H47/G47)))))</f>
        <v/>
      </c>
      <c r="J47" s="14">
        <f>IF(OR(I47="",E47=""),0,ROUND(E47*I47*20,0)/20)</f>
        <v/>
      </c>
      <c r="K47" s="15">
        <f>IF(E47="","",IF(E47&lt;0,"Kosten negativ",IF(D47="","Ursache wählen",IF(AND(F47&lt;&gt;"",$B$9&lt;&gt;"",F47&gt;$B$9),"Einbau nach Mietende",IF(AND(D47="Mieter",G47&lt;&gt;"",F47=""),"Einbaudatum fehlt",IF(AND(D47="Mieter",G47&lt;&gt;"",G47&lt;=0),"Lebensdauer ungültig",""))))))</f>
        <v/>
      </c>
    </row>
    <row r="48">
      <c r="A48" s="6" t="n"/>
      <c r="B48" s="6" t="n"/>
      <c r="C48" s="6" t="n"/>
      <c r="D48" s="6" t="n"/>
      <c r="E48" s="8" t="n"/>
      <c r="F48" s="7" t="n"/>
      <c r="G48" s="11" t="n"/>
      <c r="H48" s="12">
        <f>IF(OR(F48="",$B$9=""),"",($B$9-F48)/365.25)</f>
        <v/>
      </c>
      <c r="I48" s="13">
        <f>IF(E48="","",IF(D48&lt;&gt;"Mieter",0,IF(G48="",1,IF(OR(F48="",$B$9=""),"",MAX(0,1-H48/G48)))))</f>
        <v/>
      </c>
      <c r="J48" s="14">
        <f>IF(OR(I48="",E48=""),0,ROUND(E48*I48*20,0)/20)</f>
        <v/>
      </c>
      <c r="K48" s="15">
        <f>IF(E48="","",IF(E48&lt;0,"Kosten negativ",IF(D48="","Ursache wählen",IF(AND(F48&lt;&gt;"",$B$9&lt;&gt;"",F48&gt;$B$9),"Einbau nach Mietende",IF(AND(D48="Mieter",G48&lt;&gt;"",F48=""),"Einbaudatum fehlt",IF(AND(D48="Mieter",G48&lt;&gt;"",G48&lt;=0),"Lebensdauer ungültig",""))))))</f>
        <v/>
      </c>
    </row>
    <row r="49">
      <c r="I49" s="5" t="inlineStr">
        <is>
          <t>Total</t>
        </is>
      </c>
      <c r="J49" s="16">
        <f>SUM(J24:J48)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/>
  <conditionalFormatting sqref="K24:K48">
    <cfRule type="expression" priority="1" dxfId="0">
      <formula>K24&lt;&gt;""</formula>
    </cfRule>
  </conditionalFormatting>
  <dataValidations count="1">
    <dataValidation sqref="D24 D25 D26 D27 D28 D29 D30 D31 D32 D33 D34 D35 D36 D37 D38 D39 D40 D41 D42 D43 D44 D45 D46 D47 D48" showDropDown="0" showInputMessage="0" showErrorMessage="0" allowBlank="1" type="list">
      <formula1>"Mieter,Normale Abnutzung,Vorbestehend"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3" customWidth="1" min="4" max="4"/>
    <col width="15" customWidth="1" min="5" max="5"/>
    <col width="9" customWidth="1" min="6" max="6"/>
    <col width="15" customWidth="1" min="7" max="7"/>
  </cols>
  <sheetData>
    <row r="1">
      <c r="A1" s="17" t="inlineStr">
        <is>
          <t>Abrechnung Wohnungsrückgabe und Mietkaution</t>
        </is>
      </c>
    </row>
    <row r="3">
      <c r="A3" s="5" t="inlineStr">
        <is>
          <t>Liegenschaft / Wohnung</t>
        </is>
      </c>
      <c r="B3" s="18">
        <f>Rückgabe!B4&amp;", "&amp;Rückgabe!B5</f>
        <v/>
      </c>
    </row>
    <row r="4">
      <c r="A4" s="5" t="inlineStr">
        <is>
          <t>Mieter</t>
        </is>
      </c>
      <c r="B4" s="18">
        <f>Rückgabe!B6&amp;", "&amp;Rückgabe!B7</f>
        <v/>
      </c>
    </row>
    <row r="5">
      <c r="A5" s="5" t="inlineStr">
        <is>
          <t>Mietende</t>
        </is>
      </c>
      <c r="B5" s="19">
        <f>Rückgabe!B9</f>
        <v/>
      </c>
    </row>
    <row r="6">
      <c r="A6" s="5" t="inlineStr">
        <is>
          <t>Abnahme am</t>
        </is>
      </c>
      <c r="B6" s="19">
        <f>Rückgabe!B10</f>
        <v/>
      </c>
    </row>
    <row r="8">
      <c r="A8" s="10" t="inlineStr">
        <is>
          <t>Raum / Bauteil</t>
        </is>
      </c>
      <c r="B8" s="10" t="inlineStr">
        <is>
          <t>Mangel</t>
        </is>
      </c>
      <c r="C8" s="10" t="inlineStr">
        <is>
          <t>Ursache</t>
        </is>
      </c>
      <c r="D8" s="10" t="inlineStr">
        <is>
          <t>Kosten CHF</t>
        </is>
      </c>
      <c r="E8" s="10" t="inlineStr">
        <is>
          <t>Alter / Lebensdauer</t>
        </is>
      </c>
      <c r="F8" s="10" t="inlineStr">
        <is>
          <t>Restwert</t>
        </is>
      </c>
      <c r="G8" s="10" t="inlineStr">
        <is>
          <t>Zulasten Mieter CHF</t>
        </is>
      </c>
    </row>
    <row r="9">
      <c r="A9" s="20">
        <f>IF(Rückgabe!E24="","",Rückgabe!A24&amp;" · "&amp;Rückgabe!B24)</f>
        <v/>
      </c>
      <c r="B9" s="20">
        <f>IF(Rückgabe!E24="","",Rückgabe!C24)</f>
        <v/>
      </c>
      <c r="C9" s="20">
        <f>IF(Rückgabe!E24="","",Rückgabe!D24)</f>
        <v/>
      </c>
      <c r="D9" s="21">
        <f>IF(Rückgabe!E24="","",Rückgabe!E24)</f>
        <v/>
      </c>
      <c r="E9" s="20">
        <f>IF(OR(Rückgabe!E24="",Rückgabe!H24="",Rückgabe!G24=""),"",ROUND(Rückgabe!H24,1)&amp;" J. / "&amp;Rückgabe!G24&amp;" J.")</f>
        <v/>
      </c>
      <c r="F9" s="22">
        <f>IF(Rückgabe!E24="","",Rückgabe!I24)</f>
        <v/>
      </c>
      <c r="G9" s="21">
        <f>IF(Rückgabe!E24="","",Rückgabe!J24)</f>
        <v/>
      </c>
    </row>
    <row r="10">
      <c r="A10" s="20">
        <f>IF(Rückgabe!E25="","",Rückgabe!A25&amp;" · "&amp;Rückgabe!B25)</f>
        <v/>
      </c>
      <c r="B10" s="20">
        <f>IF(Rückgabe!E25="","",Rückgabe!C25)</f>
        <v/>
      </c>
      <c r="C10" s="20">
        <f>IF(Rückgabe!E25="","",Rückgabe!D25)</f>
        <v/>
      </c>
      <c r="D10" s="21">
        <f>IF(Rückgabe!E25="","",Rückgabe!E25)</f>
        <v/>
      </c>
      <c r="E10" s="20">
        <f>IF(OR(Rückgabe!E25="",Rückgabe!H25="",Rückgabe!G25=""),"",ROUND(Rückgabe!H25,1)&amp;" J. / "&amp;Rückgabe!G25&amp;" J.")</f>
        <v/>
      </c>
      <c r="F10" s="22">
        <f>IF(Rückgabe!E25="","",Rückgabe!I25)</f>
        <v/>
      </c>
      <c r="G10" s="21">
        <f>IF(Rückgabe!E25="","",Rückgabe!J25)</f>
        <v/>
      </c>
    </row>
    <row r="11">
      <c r="A11" s="20">
        <f>IF(Rückgabe!E26="","",Rückgabe!A26&amp;" · "&amp;Rückgabe!B26)</f>
        <v/>
      </c>
      <c r="B11" s="20">
        <f>IF(Rückgabe!E26="","",Rückgabe!C26)</f>
        <v/>
      </c>
      <c r="C11" s="20">
        <f>IF(Rückgabe!E26="","",Rückgabe!D26)</f>
        <v/>
      </c>
      <c r="D11" s="21">
        <f>IF(Rückgabe!E26="","",Rückgabe!E26)</f>
        <v/>
      </c>
      <c r="E11" s="20">
        <f>IF(OR(Rückgabe!E26="",Rückgabe!H26="",Rückgabe!G26=""),"",ROUND(Rückgabe!H26,1)&amp;" J. / "&amp;Rückgabe!G26&amp;" J.")</f>
        <v/>
      </c>
      <c r="F11" s="22">
        <f>IF(Rückgabe!E26="","",Rückgabe!I26)</f>
        <v/>
      </c>
      <c r="G11" s="21">
        <f>IF(Rückgabe!E26="","",Rückgabe!J26)</f>
        <v/>
      </c>
    </row>
    <row r="12">
      <c r="A12" s="20">
        <f>IF(Rückgabe!E27="","",Rückgabe!A27&amp;" · "&amp;Rückgabe!B27)</f>
        <v/>
      </c>
      <c r="B12" s="20">
        <f>IF(Rückgabe!E27="","",Rückgabe!C27)</f>
        <v/>
      </c>
      <c r="C12" s="20">
        <f>IF(Rückgabe!E27="","",Rückgabe!D27)</f>
        <v/>
      </c>
      <c r="D12" s="21">
        <f>IF(Rückgabe!E27="","",Rückgabe!E27)</f>
        <v/>
      </c>
      <c r="E12" s="20">
        <f>IF(OR(Rückgabe!E27="",Rückgabe!H27="",Rückgabe!G27=""),"",ROUND(Rückgabe!H27,1)&amp;" J. / "&amp;Rückgabe!G27&amp;" J.")</f>
        <v/>
      </c>
      <c r="F12" s="22">
        <f>IF(Rückgabe!E27="","",Rückgabe!I27)</f>
        <v/>
      </c>
      <c r="G12" s="21">
        <f>IF(Rückgabe!E27="","",Rückgabe!J27)</f>
        <v/>
      </c>
    </row>
    <row r="13">
      <c r="A13" s="20">
        <f>IF(Rückgabe!E28="","",Rückgabe!A28&amp;" · "&amp;Rückgabe!B28)</f>
        <v/>
      </c>
      <c r="B13" s="20">
        <f>IF(Rückgabe!E28="","",Rückgabe!C28)</f>
        <v/>
      </c>
      <c r="C13" s="20">
        <f>IF(Rückgabe!E28="","",Rückgabe!D28)</f>
        <v/>
      </c>
      <c r="D13" s="21">
        <f>IF(Rückgabe!E28="","",Rückgabe!E28)</f>
        <v/>
      </c>
      <c r="E13" s="20">
        <f>IF(OR(Rückgabe!E28="",Rückgabe!H28="",Rückgabe!G28=""),"",ROUND(Rückgabe!H28,1)&amp;" J. / "&amp;Rückgabe!G28&amp;" J.")</f>
        <v/>
      </c>
      <c r="F13" s="22">
        <f>IF(Rückgabe!E28="","",Rückgabe!I28)</f>
        <v/>
      </c>
      <c r="G13" s="21">
        <f>IF(Rückgabe!E28="","",Rückgabe!J28)</f>
        <v/>
      </c>
    </row>
    <row r="14">
      <c r="A14" s="20">
        <f>IF(Rückgabe!E29="","",Rückgabe!A29&amp;" · "&amp;Rückgabe!B29)</f>
        <v/>
      </c>
      <c r="B14" s="20">
        <f>IF(Rückgabe!E29="","",Rückgabe!C29)</f>
        <v/>
      </c>
      <c r="C14" s="20">
        <f>IF(Rückgabe!E29="","",Rückgabe!D29)</f>
        <v/>
      </c>
      <c r="D14" s="21">
        <f>IF(Rückgabe!E29="","",Rückgabe!E29)</f>
        <v/>
      </c>
      <c r="E14" s="20">
        <f>IF(OR(Rückgabe!E29="",Rückgabe!H29="",Rückgabe!G29=""),"",ROUND(Rückgabe!H29,1)&amp;" J. / "&amp;Rückgabe!G29&amp;" J.")</f>
        <v/>
      </c>
      <c r="F14" s="22">
        <f>IF(Rückgabe!E29="","",Rückgabe!I29)</f>
        <v/>
      </c>
      <c r="G14" s="21">
        <f>IF(Rückgabe!E29="","",Rückgabe!J29)</f>
        <v/>
      </c>
    </row>
    <row r="15">
      <c r="A15" s="20">
        <f>IF(Rückgabe!E30="","",Rückgabe!A30&amp;" · "&amp;Rückgabe!B30)</f>
        <v/>
      </c>
      <c r="B15" s="20">
        <f>IF(Rückgabe!E30="","",Rückgabe!C30)</f>
        <v/>
      </c>
      <c r="C15" s="20">
        <f>IF(Rückgabe!E30="","",Rückgabe!D30)</f>
        <v/>
      </c>
      <c r="D15" s="21">
        <f>IF(Rückgabe!E30="","",Rückgabe!E30)</f>
        <v/>
      </c>
      <c r="E15" s="20">
        <f>IF(OR(Rückgabe!E30="",Rückgabe!H30="",Rückgabe!G30=""),"",ROUND(Rückgabe!H30,1)&amp;" J. / "&amp;Rückgabe!G30&amp;" J.")</f>
        <v/>
      </c>
      <c r="F15" s="22">
        <f>IF(Rückgabe!E30="","",Rückgabe!I30)</f>
        <v/>
      </c>
      <c r="G15" s="21">
        <f>IF(Rückgabe!E30="","",Rückgabe!J30)</f>
        <v/>
      </c>
    </row>
    <row r="16">
      <c r="A16" s="20">
        <f>IF(Rückgabe!E31="","",Rückgabe!A31&amp;" · "&amp;Rückgabe!B31)</f>
        <v/>
      </c>
      <c r="B16" s="20">
        <f>IF(Rückgabe!E31="","",Rückgabe!C31)</f>
        <v/>
      </c>
      <c r="C16" s="20">
        <f>IF(Rückgabe!E31="","",Rückgabe!D31)</f>
        <v/>
      </c>
      <c r="D16" s="21">
        <f>IF(Rückgabe!E31="","",Rückgabe!E31)</f>
        <v/>
      </c>
      <c r="E16" s="20">
        <f>IF(OR(Rückgabe!E31="",Rückgabe!H31="",Rückgabe!G31=""),"",ROUND(Rückgabe!H31,1)&amp;" J. / "&amp;Rückgabe!G31&amp;" J.")</f>
        <v/>
      </c>
      <c r="F16" s="22">
        <f>IF(Rückgabe!E31="","",Rückgabe!I31)</f>
        <v/>
      </c>
      <c r="G16" s="21">
        <f>IF(Rückgabe!E31="","",Rückgabe!J31)</f>
        <v/>
      </c>
    </row>
    <row r="17">
      <c r="A17" s="20">
        <f>IF(Rückgabe!E32="","",Rückgabe!A32&amp;" · "&amp;Rückgabe!B32)</f>
        <v/>
      </c>
      <c r="B17" s="20">
        <f>IF(Rückgabe!E32="","",Rückgabe!C32)</f>
        <v/>
      </c>
      <c r="C17" s="20">
        <f>IF(Rückgabe!E32="","",Rückgabe!D32)</f>
        <v/>
      </c>
      <c r="D17" s="21">
        <f>IF(Rückgabe!E32="","",Rückgabe!E32)</f>
        <v/>
      </c>
      <c r="E17" s="20">
        <f>IF(OR(Rückgabe!E32="",Rückgabe!H32="",Rückgabe!G32=""),"",ROUND(Rückgabe!H32,1)&amp;" J. / "&amp;Rückgabe!G32&amp;" J.")</f>
        <v/>
      </c>
      <c r="F17" s="22">
        <f>IF(Rückgabe!E32="","",Rückgabe!I32)</f>
        <v/>
      </c>
      <c r="G17" s="21">
        <f>IF(Rückgabe!E32="","",Rückgabe!J32)</f>
        <v/>
      </c>
    </row>
    <row r="18">
      <c r="A18" s="20">
        <f>IF(Rückgabe!E33="","",Rückgabe!A33&amp;" · "&amp;Rückgabe!B33)</f>
        <v/>
      </c>
      <c r="B18" s="20">
        <f>IF(Rückgabe!E33="","",Rückgabe!C33)</f>
        <v/>
      </c>
      <c r="C18" s="20">
        <f>IF(Rückgabe!E33="","",Rückgabe!D33)</f>
        <v/>
      </c>
      <c r="D18" s="21">
        <f>IF(Rückgabe!E33="","",Rückgabe!E33)</f>
        <v/>
      </c>
      <c r="E18" s="20">
        <f>IF(OR(Rückgabe!E33="",Rückgabe!H33="",Rückgabe!G33=""),"",ROUND(Rückgabe!H33,1)&amp;" J. / "&amp;Rückgabe!G33&amp;" J.")</f>
        <v/>
      </c>
      <c r="F18" s="22">
        <f>IF(Rückgabe!E33="","",Rückgabe!I33)</f>
        <v/>
      </c>
      <c r="G18" s="21">
        <f>IF(Rückgabe!E33="","",Rückgabe!J33)</f>
        <v/>
      </c>
    </row>
    <row r="19">
      <c r="A19" s="20">
        <f>IF(Rückgabe!E34="","",Rückgabe!A34&amp;" · "&amp;Rückgabe!B34)</f>
        <v/>
      </c>
      <c r="B19" s="20">
        <f>IF(Rückgabe!E34="","",Rückgabe!C34)</f>
        <v/>
      </c>
      <c r="C19" s="20">
        <f>IF(Rückgabe!E34="","",Rückgabe!D34)</f>
        <v/>
      </c>
      <c r="D19" s="21">
        <f>IF(Rückgabe!E34="","",Rückgabe!E34)</f>
        <v/>
      </c>
      <c r="E19" s="20">
        <f>IF(OR(Rückgabe!E34="",Rückgabe!H34="",Rückgabe!G34=""),"",ROUND(Rückgabe!H34,1)&amp;" J. / "&amp;Rückgabe!G34&amp;" J.")</f>
        <v/>
      </c>
      <c r="F19" s="22">
        <f>IF(Rückgabe!E34="","",Rückgabe!I34)</f>
        <v/>
      </c>
      <c r="G19" s="21">
        <f>IF(Rückgabe!E34="","",Rückgabe!J34)</f>
        <v/>
      </c>
    </row>
    <row r="20">
      <c r="A20" s="20">
        <f>IF(Rückgabe!E35="","",Rückgabe!A35&amp;" · "&amp;Rückgabe!B35)</f>
        <v/>
      </c>
      <c r="B20" s="20">
        <f>IF(Rückgabe!E35="","",Rückgabe!C35)</f>
        <v/>
      </c>
      <c r="C20" s="20">
        <f>IF(Rückgabe!E35="","",Rückgabe!D35)</f>
        <v/>
      </c>
      <c r="D20" s="21">
        <f>IF(Rückgabe!E35="","",Rückgabe!E35)</f>
        <v/>
      </c>
      <c r="E20" s="20">
        <f>IF(OR(Rückgabe!E35="",Rückgabe!H35="",Rückgabe!G35=""),"",ROUND(Rückgabe!H35,1)&amp;" J. / "&amp;Rückgabe!G35&amp;" J.")</f>
        <v/>
      </c>
      <c r="F20" s="22">
        <f>IF(Rückgabe!E35="","",Rückgabe!I35)</f>
        <v/>
      </c>
      <c r="G20" s="21">
        <f>IF(Rückgabe!E35="","",Rückgabe!J35)</f>
        <v/>
      </c>
    </row>
    <row r="21">
      <c r="A21" s="20">
        <f>IF(Rückgabe!E36="","",Rückgabe!A36&amp;" · "&amp;Rückgabe!B36)</f>
        <v/>
      </c>
      <c r="B21" s="20">
        <f>IF(Rückgabe!E36="","",Rückgabe!C36)</f>
        <v/>
      </c>
      <c r="C21" s="20">
        <f>IF(Rückgabe!E36="","",Rückgabe!D36)</f>
        <v/>
      </c>
      <c r="D21" s="21">
        <f>IF(Rückgabe!E36="","",Rückgabe!E36)</f>
        <v/>
      </c>
      <c r="E21" s="20">
        <f>IF(OR(Rückgabe!E36="",Rückgabe!H36="",Rückgabe!G36=""),"",ROUND(Rückgabe!H36,1)&amp;" J. / "&amp;Rückgabe!G36&amp;" J.")</f>
        <v/>
      </c>
      <c r="F21" s="22">
        <f>IF(Rückgabe!E36="","",Rückgabe!I36)</f>
        <v/>
      </c>
      <c r="G21" s="21">
        <f>IF(Rückgabe!E36="","",Rückgabe!J36)</f>
        <v/>
      </c>
    </row>
    <row r="22">
      <c r="A22" s="20">
        <f>IF(Rückgabe!E37="","",Rückgabe!A37&amp;" · "&amp;Rückgabe!B37)</f>
        <v/>
      </c>
      <c r="B22" s="20">
        <f>IF(Rückgabe!E37="","",Rückgabe!C37)</f>
        <v/>
      </c>
      <c r="C22" s="20">
        <f>IF(Rückgabe!E37="","",Rückgabe!D37)</f>
        <v/>
      </c>
      <c r="D22" s="21">
        <f>IF(Rückgabe!E37="","",Rückgabe!E37)</f>
        <v/>
      </c>
      <c r="E22" s="20">
        <f>IF(OR(Rückgabe!E37="",Rückgabe!H37="",Rückgabe!G37=""),"",ROUND(Rückgabe!H37,1)&amp;" J. / "&amp;Rückgabe!G37&amp;" J.")</f>
        <v/>
      </c>
      <c r="F22" s="22">
        <f>IF(Rückgabe!E37="","",Rückgabe!I37)</f>
        <v/>
      </c>
      <c r="G22" s="21">
        <f>IF(Rückgabe!E37="","",Rückgabe!J37)</f>
        <v/>
      </c>
    </row>
    <row r="23">
      <c r="A23" s="20">
        <f>IF(Rückgabe!E38="","",Rückgabe!A38&amp;" · "&amp;Rückgabe!B38)</f>
        <v/>
      </c>
      <c r="B23" s="20">
        <f>IF(Rückgabe!E38="","",Rückgabe!C38)</f>
        <v/>
      </c>
      <c r="C23" s="20">
        <f>IF(Rückgabe!E38="","",Rückgabe!D38)</f>
        <v/>
      </c>
      <c r="D23" s="21">
        <f>IF(Rückgabe!E38="","",Rückgabe!E38)</f>
        <v/>
      </c>
      <c r="E23" s="20">
        <f>IF(OR(Rückgabe!E38="",Rückgabe!H38="",Rückgabe!G38=""),"",ROUND(Rückgabe!H38,1)&amp;" J. / "&amp;Rückgabe!G38&amp;" J.")</f>
        <v/>
      </c>
      <c r="F23" s="22">
        <f>IF(Rückgabe!E38="","",Rückgabe!I38)</f>
        <v/>
      </c>
      <c r="G23" s="21">
        <f>IF(Rückgabe!E38="","",Rückgabe!J38)</f>
        <v/>
      </c>
    </row>
    <row r="24">
      <c r="A24" s="20">
        <f>IF(Rückgabe!E39="","",Rückgabe!A39&amp;" · "&amp;Rückgabe!B39)</f>
        <v/>
      </c>
      <c r="B24" s="20">
        <f>IF(Rückgabe!E39="","",Rückgabe!C39)</f>
        <v/>
      </c>
      <c r="C24" s="20">
        <f>IF(Rückgabe!E39="","",Rückgabe!D39)</f>
        <v/>
      </c>
      <c r="D24" s="21">
        <f>IF(Rückgabe!E39="","",Rückgabe!E39)</f>
        <v/>
      </c>
      <c r="E24" s="20">
        <f>IF(OR(Rückgabe!E39="",Rückgabe!H39="",Rückgabe!G39=""),"",ROUND(Rückgabe!H39,1)&amp;" J. / "&amp;Rückgabe!G39&amp;" J.")</f>
        <v/>
      </c>
      <c r="F24" s="22">
        <f>IF(Rückgabe!E39="","",Rückgabe!I39)</f>
        <v/>
      </c>
      <c r="G24" s="21">
        <f>IF(Rückgabe!E39="","",Rückgabe!J39)</f>
        <v/>
      </c>
    </row>
    <row r="25">
      <c r="A25" s="20">
        <f>IF(Rückgabe!E40="","",Rückgabe!A40&amp;" · "&amp;Rückgabe!B40)</f>
        <v/>
      </c>
      <c r="B25" s="20">
        <f>IF(Rückgabe!E40="","",Rückgabe!C40)</f>
        <v/>
      </c>
      <c r="C25" s="20">
        <f>IF(Rückgabe!E40="","",Rückgabe!D40)</f>
        <v/>
      </c>
      <c r="D25" s="21">
        <f>IF(Rückgabe!E40="","",Rückgabe!E40)</f>
        <v/>
      </c>
      <c r="E25" s="20">
        <f>IF(OR(Rückgabe!E40="",Rückgabe!H40="",Rückgabe!G40=""),"",ROUND(Rückgabe!H40,1)&amp;" J. / "&amp;Rückgabe!G40&amp;" J.")</f>
        <v/>
      </c>
      <c r="F25" s="22">
        <f>IF(Rückgabe!E40="","",Rückgabe!I40)</f>
        <v/>
      </c>
      <c r="G25" s="21">
        <f>IF(Rückgabe!E40="","",Rückgabe!J40)</f>
        <v/>
      </c>
    </row>
    <row r="26">
      <c r="A26" s="20">
        <f>IF(Rückgabe!E41="","",Rückgabe!A41&amp;" · "&amp;Rückgabe!B41)</f>
        <v/>
      </c>
      <c r="B26" s="20">
        <f>IF(Rückgabe!E41="","",Rückgabe!C41)</f>
        <v/>
      </c>
      <c r="C26" s="20">
        <f>IF(Rückgabe!E41="","",Rückgabe!D41)</f>
        <v/>
      </c>
      <c r="D26" s="21">
        <f>IF(Rückgabe!E41="","",Rückgabe!E41)</f>
        <v/>
      </c>
      <c r="E26" s="20">
        <f>IF(OR(Rückgabe!E41="",Rückgabe!H41="",Rückgabe!G41=""),"",ROUND(Rückgabe!H41,1)&amp;" J. / "&amp;Rückgabe!G41&amp;" J.")</f>
        <v/>
      </c>
      <c r="F26" s="22">
        <f>IF(Rückgabe!E41="","",Rückgabe!I41)</f>
        <v/>
      </c>
      <c r="G26" s="21">
        <f>IF(Rückgabe!E41="","",Rückgabe!J41)</f>
        <v/>
      </c>
    </row>
    <row r="27">
      <c r="A27" s="20">
        <f>IF(Rückgabe!E42="","",Rückgabe!A42&amp;" · "&amp;Rückgabe!B42)</f>
        <v/>
      </c>
      <c r="B27" s="20">
        <f>IF(Rückgabe!E42="","",Rückgabe!C42)</f>
        <v/>
      </c>
      <c r="C27" s="20">
        <f>IF(Rückgabe!E42="","",Rückgabe!D42)</f>
        <v/>
      </c>
      <c r="D27" s="21">
        <f>IF(Rückgabe!E42="","",Rückgabe!E42)</f>
        <v/>
      </c>
      <c r="E27" s="20">
        <f>IF(OR(Rückgabe!E42="",Rückgabe!H42="",Rückgabe!G42=""),"",ROUND(Rückgabe!H42,1)&amp;" J. / "&amp;Rückgabe!G42&amp;" J.")</f>
        <v/>
      </c>
      <c r="F27" s="22">
        <f>IF(Rückgabe!E42="","",Rückgabe!I42)</f>
        <v/>
      </c>
      <c r="G27" s="21">
        <f>IF(Rückgabe!E42="","",Rückgabe!J42)</f>
        <v/>
      </c>
    </row>
    <row r="28">
      <c r="A28" s="20">
        <f>IF(Rückgabe!E43="","",Rückgabe!A43&amp;" · "&amp;Rückgabe!B43)</f>
        <v/>
      </c>
      <c r="B28" s="20">
        <f>IF(Rückgabe!E43="","",Rückgabe!C43)</f>
        <v/>
      </c>
      <c r="C28" s="20">
        <f>IF(Rückgabe!E43="","",Rückgabe!D43)</f>
        <v/>
      </c>
      <c r="D28" s="21">
        <f>IF(Rückgabe!E43="","",Rückgabe!E43)</f>
        <v/>
      </c>
      <c r="E28" s="20">
        <f>IF(OR(Rückgabe!E43="",Rückgabe!H43="",Rückgabe!G43=""),"",ROUND(Rückgabe!H43,1)&amp;" J. / "&amp;Rückgabe!G43&amp;" J.")</f>
        <v/>
      </c>
      <c r="F28" s="22">
        <f>IF(Rückgabe!E43="","",Rückgabe!I43)</f>
        <v/>
      </c>
      <c r="G28" s="21">
        <f>IF(Rückgabe!E43="","",Rückgabe!J43)</f>
        <v/>
      </c>
    </row>
    <row r="29">
      <c r="A29" s="20">
        <f>IF(Rückgabe!E44="","",Rückgabe!A44&amp;" · "&amp;Rückgabe!B44)</f>
        <v/>
      </c>
      <c r="B29" s="20">
        <f>IF(Rückgabe!E44="","",Rückgabe!C44)</f>
        <v/>
      </c>
      <c r="C29" s="20">
        <f>IF(Rückgabe!E44="","",Rückgabe!D44)</f>
        <v/>
      </c>
      <c r="D29" s="21">
        <f>IF(Rückgabe!E44="","",Rückgabe!E44)</f>
        <v/>
      </c>
      <c r="E29" s="20">
        <f>IF(OR(Rückgabe!E44="",Rückgabe!H44="",Rückgabe!G44=""),"",ROUND(Rückgabe!H44,1)&amp;" J. / "&amp;Rückgabe!G44&amp;" J.")</f>
        <v/>
      </c>
      <c r="F29" s="22">
        <f>IF(Rückgabe!E44="","",Rückgabe!I44)</f>
        <v/>
      </c>
      <c r="G29" s="21">
        <f>IF(Rückgabe!E44="","",Rückgabe!J44)</f>
        <v/>
      </c>
    </row>
    <row r="30">
      <c r="A30" s="20">
        <f>IF(Rückgabe!E45="","",Rückgabe!A45&amp;" · "&amp;Rückgabe!B45)</f>
        <v/>
      </c>
      <c r="B30" s="20">
        <f>IF(Rückgabe!E45="","",Rückgabe!C45)</f>
        <v/>
      </c>
      <c r="C30" s="20">
        <f>IF(Rückgabe!E45="","",Rückgabe!D45)</f>
        <v/>
      </c>
      <c r="D30" s="21">
        <f>IF(Rückgabe!E45="","",Rückgabe!E45)</f>
        <v/>
      </c>
      <c r="E30" s="20">
        <f>IF(OR(Rückgabe!E45="",Rückgabe!H45="",Rückgabe!G45=""),"",ROUND(Rückgabe!H45,1)&amp;" J. / "&amp;Rückgabe!G45&amp;" J.")</f>
        <v/>
      </c>
      <c r="F30" s="22">
        <f>IF(Rückgabe!E45="","",Rückgabe!I45)</f>
        <v/>
      </c>
      <c r="G30" s="21">
        <f>IF(Rückgabe!E45="","",Rückgabe!J45)</f>
        <v/>
      </c>
    </row>
    <row r="31">
      <c r="A31" s="20">
        <f>IF(Rückgabe!E46="","",Rückgabe!A46&amp;" · "&amp;Rückgabe!B46)</f>
        <v/>
      </c>
      <c r="B31" s="20">
        <f>IF(Rückgabe!E46="","",Rückgabe!C46)</f>
        <v/>
      </c>
      <c r="C31" s="20">
        <f>IF(Rückgabe!E46="","",Rückgabe!D46)</f>
        <v/>
      </c>
      <c r="D31" s="21">
        <f>IF(Rückgabe!E46="","",Rückgabe!E46)</f>
        <v/>
      </c>
      <c r="E31" s="20">
        <f>IF(OR(Rückgabe!E46="",Rückgabe!H46="",Rückgabe!G46=""),"",ROUND(Rückgabe!H46,1)&amp;" J. / "&amp;Rückgabe!G46&amp;" J.")</f>
        <v/>
      </c>
      <c r="F31" s="22">
        <f>IF(Rückgabe!E46="","",Rückgabe!I46)</f>
        <v/>
      </c>
      <c r="G31" s="21">
        <f>IF(Rückgabe!E46="","",Rückgabe!J46)</f>
        <v/>
      </c>
    </row>
    <row r="32">
      <c r="A32" s="20">
        <f>IF(Rückgabe!E47="","",Rückgabe!A47&amp;" · "&amp;Rückgabe!B47)</f>
        <v/>
      </c>
      <c r="B32" s="20">
        <f>IF(Rückgabe!E47="","",Rückgabe!C47)</f>
        <v/>
      </c>
      <c r="C32" s="20">
        <f>IF(Rückgabe!E47="","",Rückgabe!D47)</f>
        <v/>
      </c>
      <c r="D32" s="21">
        <f>IF(Rückgabe!E47="","",Rückgabe!E47)</f>
        <v/>
      </c>
      <c r="E32" s="20">
        <f>IF(OR(Rückgabe!E47="",Rückgabe!H47="",Rückgabe!G47=""),"",ROUND(Rückgabe!H47,1)&amp;" J. / "&amp;Rückgabe!G47&amp;" J.")</f>
        <v/>
      </c>
      <c r="F32" s="22">
        <f>IF(Rückgabe!E47="","",Rückgabe!I47)</f>
        <v/>
      </c>
      <c r="G32" s="21">
        <f>IF(Rückgabe!E47="","",Rückgabe!J47)</f>
        <v/>
      </c>
    </row>
    <row r="33">
      <c r="A33" s="20">
        <f>IF(Rückgabe!E48="","",Rückgabe!A48&amp;" · "&amp;Rückgabe!B48)</f>
        <v/>
      </c>
      <c r="B33" s="20">
        <f>IF(Rückgabe!E48="","",Rückgabe!C48)</f>
        <v/>
      </c>
      <c r="C33" s="20">
        <f>IF(Rückgabe!E48="","",Rückgabe!D48)</f>
        <v/>
      </c>
      <c r="D33" s="21">
        <f>IF(Rückgabe!E48="","",Rückgabe!E48)</f>
        <v/>
      </c>
      <c r="E33" s="20">
        <f>IF(OR(Rückgabe!E48="",Rückgabe!H48="",Rückgabe!G48=""),"",ROUND(Rückgabe!H48,1)&amp;" J. / "&amp;Rückgabe!G48&amp;" J.")</f>
        <v/>
      </c>
      <c r="F33" s="22">
        <f>IF(Rückgabe!E48="","",Rückgabe!I48)</f>
        <v/>
      </c>
      <c r="G33" s="21">
        <f>IF(Rückgabe!E48="","",Rückgabe!J48)</f>
        <v/>
      </c>
    </row>
    <row r="35">
      <c r="D35" s="3" t="inlineStr">
        <is>
          <t>Schäden zulasten Mieter</t>
        </is>
      </c>
      <c r="G35" s="23">
        <f>Rückgabe!J49</f>
        <v/>
      </c>
    </row>
    <row r="36">
      <c r="D36" s="3" t="inlineStr">
        <is>
          <t>Ausstehende Mietzinse</t>
        </is>
      </c>
      <c r="G36" s="23">
        <f>N(Rückgabe!B16)</f>
        <v/>
      </c>
    </row>
    <row r="37">
      <c r="D37" s="3" t="inlineStr">
        <is>
          <t>Nebenkosten-Saldo</t>
        </is>
      </c>
      <c r="G37" s="23">
        <f>N(Rückgabe!B17)</f>
        <v/>
      </c>
    </row>
    <row r="38">
      <c r="D38" s="3" t="inlineStr">
        <is>
          <t>Weitere Forderungen</t>
        </is>
      </c>
      <c r="G38" s="23">
        <f>N(Rückgabe!B18)</f>
        <v/>
      </c>
    </row>
    <row r="39">
      <c r="D39" s="5" t="inlineStr">
        <is>
          <t>Total Forderungen des Vermieters</t>
        </is>
      </c>
      <c r="G39" s="24">
        <f>SUM(G35:G38)</f>
        <v/>
      </c>
    </row>
    <row r="40">
      <c r="D40" s="3" t="inlineStr">
        <is>
          <t>Mietkaution inkl. Zins</t>
        </is>
      </c>
      <c r="G40" s="23">
        <f>N(Rückgabe!B11)+N(Rückgabe!B12)</f>
        <v/>
      </c>
    </row>
    <row r="41">
      <c r="D41" s="5" t="inlineStr">
        <is>
          <t>Aus der Kaution an den Vermieter</t>
        </is>
      </c>
      <c r="G41" s="24">
        <f>MAX(0,MIN(G39,G40))</f>
        <v/>
      </c>
    </row>
    <row r="42">
      <c r="D42" s="5" t="inlineStr">
        <is>
          <t>Aus der Kaution an den Mieter</t>
        </is>
      </c>
      <c r="G42" s="24">
        <f>G40-G41</f>
        <v/>
      </c>
    </row>
    <row r="43">
      <c r="D43" s="3" t="inlineStr">
        <is>
          <t>Restforderung über die Kaution hinaus</t>
        </is>
      </c>
      <c r="G43" s="23">
        <f>MAX(0,G39-G40)</f>
        <v/>
      </c>
    </row>
    <row r="44">
      <c r="D44" s="3" t="inlineStr">
        <is>
          <t>Zusätzlich vom Vermieter zu bezahlen</t>
        </is>
      </c>
      <c r="G44" s="23">
        <f>MAX(0,-G39)</f>
        <v/>
      </c>
    </row>
    <row r="46">
      <c r="A46" s="25" t="inlineStr">
        <is>
          <t>Berechnung: Kosten × (1 − Alter ÷ Lebensdauer) gemäss paritätischer Lebensdauertabelle HEV/MV. Normale Abnutzung geht nicht zulasten des Mieters (Art. 267 OR).</t>
        </is>
      </c>
    </row>
    <row r="47">
      <c r="A47" s="25" t="inlineStr">
        <is>
          <t>Belege und Offerten können eingesehen werden. Einwände bitte innert 30 Tagen schriftlich.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6" customWidth="1" min="3" max="3"/>
  </cols>
  <sheetData>
    <row r="1">
      <c r="A1" s="17" t="inlineStr">
        <is>
          <t>Freigabe der Mietkaution</t>
        </is>
      </c>
    </row>
    <row r="3">
      <c r="A3" s="5" t="inlineStr">
        <is>
          <t>An:</t>
        </is>
      </c>
      <c r="B3" s="3">
        <f>Rückgabe!B13</f>
        <v/>
      </c>
    </row>
    <row r="5">
      <c r="A5" s="5" t="inlineStr">
        <is>
          <t>Mietobjekt:</t>
        </is>
      </c>
      <c r="B5" s="3">
        <f>Rückgabe!B4&amp;", "&amp;Rückgabe!B5</f>
        <v/>
      </c>
    </row>
    <row r="6">
      <c r="A6" s="5" t="inlineStr">
        <is>
          <t>Mietende:</t>
        </is>
      </c>
      <c r="B6" s="19">
        <f>Rückgabe!B9</f>
        <v/>
      </c>
    </row>
    <row r="8">
      <c r="A8" s="3" t="inlineStr">
        <is>
          <t>Die Unterzeichnenden ersuchen Sie, das Mietkautionskonto zu saldieren und wie folgt auszuzahlen:</t>
        </is>
      </c>
    </row>
    <row r="10">
      <c r="A10" s="5" t="inlineStr">
        <is>
          <t>An den Mieter:</t>
        </is>
      </c>
      <c r="B10" s="3">
        <f>Rückgabe!B6</f>
        <v/>
      </c>
      <c r="C10" s="26">
        <f>Abrechnung!G42</f>
        <v/>
      </c>
    </row>
    <row r="11">
      <c r="A11" s="5" t="inlineStr">
        <is>
          <t>IBAN Mieter:</t>
        </is>
      </c>
      <c r="B11" s="6" t="n"/>
    </row>
    <row r="12">
      <c r="A12" s="5" t="inlineStr">
        <is>
          <t>An den Vermieter:</t>
        </is>
      </c>
      <c r="B12" s="3">
        <f>Rückgabe!B8</f>
        <v/>
      </c>
      <c r="C12" s="26">
        <f>Abrechnung!G41</f>
        <v/>
      </c>
    </row>
    <row r="13">
      <c r="A13" s="5" t="inlineStr">
        <is>
          <t>IBAN Vermieter:</t>
        </is>
      </c>
      <c r="B13" s="6" t="n"/>
    </row>
    <row r="14">
      <c r="A14" s="27" t="inlineStr">
        <is>
          <t>Allfälliger Zins bis zur Saldierung geht an den Mieter.</t>
        </is>
      </c>
    </row>
    <row r="17">
      <c r="A17" s="3" t="inlineStr">
        <is>
          <t>Ort, Datum: ______________________</t>
        </is>
      </c>
    </row>
    <row r="20">
      <c r="A20" s="3" t="inlineStr">
        <is>
          <t>Mieter:</t>
        </is>
      </c>
      <c r="B20" s="3" t="inlineStr">
        <is>
          <t>______________________________</t>
        </is>
      </c>
    </row>
    <row r="23">
      <c r="A23" s="3" t="inlineStr">
        <is>
          <t>Vermieter:</t>
        </is>
      </c>
      <c r="B23" s="3" t="inlineStr">
        <is>
          <t>______________________________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Kontrolle</t>
        </is>
      </c>
    </row>
    <row r="2">
      <c r="C2" s="28" t="inlineStr">
        <is>
          <t>Soll</t>
        </is>
      </c>
    </row>
    <row r="3">
      <c r="A3" s="5" t="inlineStr">
        <is>
          <t>Mietende erfasst (1 = ja)</t>
        </is>
      </c>
      <c r="B3" s="29">
        <f>IF(Rückgabe!B9="",0,1)</f>
        <v/>
      </c>
      <c r="C3" s="30" t="n">
        <v>1</v>
      </c>
    </row>
    <row r="4">
      <c r="A4" s="5" t="inlineStr">
        <is>
          <t>Kaution nicht negativ (1 = ja)</t>
        </is>
      </c>
      <c r="B4" s="29">
        <f>IF(N(Rückgabe!B11)+N(Rückgabe!B12)&gt;=0,1,0)</f>
        <v/>
      </c>
      <c r="C4" s="30" t="n">
        <v>1</v>
      </c>
    </row>
    <row r="5">
      <c r="A5" s="5" t="inlineStr">
        <is>
          <t>Mängelzeilen mit Hinweis «Prüfen»</t>
        </is>
      </c>
      <c r="B5" s="29">
        <f>COUNTIF(Rückgabe!K24:K48,"?*")</f>
        <v/>
      </c>
      <c r="C5" s="30" t="n">
        <v>0</v>
      </c>
    </row>
    <row r="6">
      <c r="A6" s="5" t="inlineStr">
        <is>
          <t>Aufteilung der Kaution geht auf (Differenz)</t>
        </is>
      </c>
      <c r="B6" s="31">
        <f>ROUND(Abrechnung!G41+Abrechnung!G42-Abrechnung!G40,2)</f>
        <v/>
      </c>
      <c r="C6" s="30" t="n">
        <v>0</v>
      </c>
    </row>
    <row r="7">
      <c r="A7" s="5" t="inlineStr">
        <is>
          <t>Abnahme mehr als 5 Tage nach Mietende (1 = ja, Rügefrist prüfen)</t>
        </is>
      </c>
      <c r="B7" s="29">
        <f>IF(OR(Rückgabe!B9="",Rückgabe!B10=""),0,IF(Rückgabe!B10-Rückgabe!B9&gt;5,1,0))</f>
        <v/>
      </c>
      <c r="C7" s="30" t="n">
        <v>0</v>
      </c>
    </row>
    <row r="9">
      <c r="A9" s="32" t="inlineStr">
        <is>
          <t>Status</t>
        </is>
      </c>
      <c r="B9" s="33">
        <f>IF(AND(B3=C3,B4=C4,B5=C5,B6=C6,B7=C7),"OK","Bitte prüfen")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9">
    <cfRule type="expression" priority="1" dxfId="1">
      <formula>B9="OK"</formula>
    </cfRule>
    <cfRule type="expression" priority="2" dxfId="0">
      <formula>B9&lt;&gt;"OK"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2026-10-07T06:28:25Z</dcterms:created>
  <dcterms:modified xmlns:dcterms="http://purl.org/dc/terms/" xmlns:xsi="http://www.w3.org/2001/XMLSchema-instance" xsi:type="dcterms:W3CDTF">2026-10-07T06:28:25Z</dcterms:modified>
</cp:coreProperties>
</file>