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Stammdaten" sheetId="2" state="visible" r:id="rId2"/>
    <sheet xmlns:r="http://schemas.openxmlformats.org/officeDocument/2006/relationships" name="Kosten" sheetId="3" state="visible" r:id="rId3"/>
    <sheet xmlns:r="http://schemas.openxmlformats.org/officeDocument/2006/relationships" name="Mieter" sheetId="4" state="visible" r:id="rId4"/>
    <sheet xmlns:r="http://schemas.openxmlformats.org/officeDocument/2006/relationships" name="Verteilung" sheetId="5" state="visible" r:id="rId5"/>
    <sheet xmlns:r="http://schemas.openxmlformats.org/officeDocument/2006/relationships" name="Abrechnung" sheetId="6" state="visible" r:id="rId6"/>
    <sheet xmlns:r="http://schemas.openxmlformats.org/officeDocument/2006/relationships" name="Kontrolle" sheetId="7" state="visible" r:id="rId7"/>
  </sheets>
  <definedNames>
    <definedName name="_xlnm.Print_Area" localSheetId="5">'Abrechnung'!$A$1:$G$42</definedName>
  </definedNames>
  <calcPr calcId="124519" fullCalcOnLoad="1"/>
</workbook>
</file>

<file path=xl/styles.xml><?xml version="1.0" encoding="utf-8"?>
<styleSheet xmlns="http://schemas.openxmlformats.org/spreadsheetml/2006/main">
  <numFmts count="3">
    <numFmt numFmtId="164" formatCode="DD.MM.YYYY"/>
    <numFmt numFmtId="165" formatCode="0.0000"/>
    <numFmt numFmtId="166" formatCode="0.0%"/>
  </numFmts>
  <fonts count="10">
    <font>
      <name val="Calibri"/>
      <family val="2"/>
      <color theme="1"/>
      <sz val="11"/>
      <scheme val="minor"/>
    </font>
    <font>
      <name val="Arial"/>
      <b val="1"/>
      <color rgb="001F4E79"/>
      <sz val="16"/>
    </font>
    <font>
      <name val="Arial"/>
      <i val="1"/>
      <color rgb="00555555"/>
      <sz val="9"/>
    </font>
    <font>
      <name val="Arial"/>
      <b val="1"/>
      <color rgb="001A1A1A"/>
      <sz val="11"/>
    </font>
    <font>
      <name val="Arial"/>
      <color rgb="001A1A1A"/>
      <sz val="10"/>
    </font>
    <font>
      <name val="Arial"/>
      <b val="1"/>
      <color rgb="001A1A1A"/>
      <sz val="10"/>
    </font>
    <font>
      <name val="Arial"/>
      <b val="1"/>
      <color rgb="001F4E79"/>
      <sz val="10"/>
    </font>
    <font>
      <name val="Arial"/>
      <b val="1"/>
      <color rgb="00FFFFFF"/>
      <sz val="10"/>
    </font>
    <font>
      <name val="Arial"/>
      <b val="1"/>
      <color rgb="001F4E79"/>
      <sz val="12"/>
    </font>
    <font>
      <name val="Arial"/>
      <i val="1"/>
      <color rgb="001A1A1A"/>
      <sz val="9"/>
    </font>
  </fonts>
  <fills count="5">
    <fill>
      <patternFill/>
    </fill>
    <fill>
      <patternFill patternType="gray125"/>
    </fill>
    <fill>
      <patternFill patternType="solid">
        <fgColor rgb="00FFF8DC"/>
      </patternFill>
    </fill>
    <fill>
      <patternFill patternType="solid">
        <fgColor rgb="00EAF1F8"/>
      </patternFill>
    </fill>
    <fill>
      <patternFill patternType="solid">
        <fgColor rgb="001F4E79"/>
      </patternFill>
    </fill>
  </fills>
  <borders count="2">
    <border>
      <left/>
      <right/>
      <top/>
      <bottom/>
      <diagonal/>
    </border>
    <border>
      <left style="thin">
        <color rgb="00BFC9D3"/>
      </left>
      <right style="thin">
        <color rgb="00BFC9D3"/>
      </right>
      <top style="thin">
        <color rgb="00BFC9D3"/>
      </top>
      <bottom style="thin">
        <color rgb="00BFC9D3"/>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5" fillId="0" borderId="0" pivotButton="0" quotePrefix="0" xfId="0"/>
    <xf numFmtId="0" fontId="4" fillId="2" borderId="1" applyProtection="1" pivotButton="0" quotePrefix="0" xfId="0">
      <protection locked="0" hidden="0"/>
    </xf>
    <xf numFmtId="0" fontId="7" fillId="4" borderId="1" applyAlignment="1" pivotButton="0" quotePrefix="0" xfId="0">
      <alignment vertical="center" wrapText="1"/>
    </xf>
    <xf numFmtId="0" fontId="4" fillId="0" borderId="1" pivotButton="0" quotePrefix="0" xfId="0"/>
    <xf numFmtId="1" fontId="4" fillId="2" borderId="1" applyProtection="1" pivotButton="0" quotePrefix="0" xfId="0">
      <protection locked="0" hidden="0"/>
    </xf>
    <xf numFmtId="164" fontId="4" fillId="2" borderId="1" applyProtection="1" pivotButton="0" quotePrefix="0" xfId="0">
      <protection locked="0" hidden="0"/>
    </xf>
    <xf numFmtId="164" fontId="4" fillId="3" borderId="1" pivotButton="0" quotePrefix="0" xfId="0"/>
    <xf numFmtId="1" fontId="4" fillId="3" borderId="1" pivotButton="0" quotePrefix="0" xfId="0"/>
    <xf numFmtId="0" fontId="8" fillId="0" borderId="0" pivotButton="0" quotePrefix="0" xfId="0"/>
    <xf numFmtId="2" fontId="4" fillId="2" borderId="1" applyProtection="1" pivotButton="0" quotePrefix="0" xfId="0">
      <protection locked="0" hidden="0"/>
    </xf>
    <xf numFmtId="2" fontId="4" fillId="3" borderId="1" pivotButton="0" quotePrefix="0" xfId="0"/>
    <xf numFmtId="4" fontId="4" fillId="2" borderId="1" applyProtection="1" pivotButton="0" quotePrefix="0" xfId="0">
      <protection locked="0" hidden="0"/>
    </xf>
    <xf numFmtId="4" fontId="4" fillId="3" borderId="1" pivotButton="0" quotePrefix="0" xfId="0"/>
    <xf numFmtId="0" fontId="9" fillId="0" borderId="0" pivotButton="0" quotePrefix="0" xfId="0"/>
    <xf numFmtId="165" fontId="4" fillId="3" borderId="1" pivotButton="0" quotePrefix="0" xfId="0"/>
    <xf numFmtId="0" fontId="4" fillId="3" borderId="1" applyAlignment="1" pivotButton="0" quotePrefix="0" xfId="0">
      <alignment vertical="bottom" wrapText="1"/>
    </xf>
    <xf numFmtId="0" fontId="4" fillId="3" borderId="1" pivotButton="0" quotePrefix="0" xfId="0"/>
    <xf numFmtId="4" fontId="4" fillId="0" borderId="0" pivotButton="0" quotePrefix="0" xfId="0"/>
    <xf numFmtId="166" fontId="4" fillId="0" borderId="0" pivotButton="0" quotePrefix="0" xfId="0"/>
    <xf numFmtId="4" fontId="0" fillId="0" borderId="0" pivotButton="0" quotePrefix="0" xfId="0"/>
    <xf numFmtId="4" fontId="3" fillId="0" borderId="0" pivotButton="0" quotePrefix="0" xfId="0"/>
  </cellXfs>
  <cellStyles count="1">
    <cellStyle name="Normal" xfId="0" builtinId="0" hidden="0"/>
  </cellStyles>
  <dxfs count="2">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Nebenkostenabrechnung Schweiz</t>
        </is>
      </c>
    </row>
    <row r="2">
      <c r="A2" s="2" t="inlineStr">
        <is>
          <t>Vorlage für private Vermieter · ohne Makros · Excel und LibreOffice</t>
        </is>
      </c>
    </row>
    <row r="4">
      <c r="A4" s="3" t="inlineStr">
        <is>
          <t>So gehen Sie vor</t>
        </is>
      </c>
    </row>
    <row r="5">
      <c r="A5" s="4" t="inlineStr">
        <is>
          <t>1. «Stammdaten»: Liegenschaft, Beginn der Abrechnungsperiode (immer der 1. eines Monats) und Ihre Einheiten mit Fläche und Anteil erfassen.</t>
        </is>
      </c>
    </row>
    <row r="6">
      <c r="A6" s="4" t="inlineStr">
        <is>
          <t>2. «Kosten»: je Kostenart Betrag, Verteilschlüssel und Verteilungsart wählen. «Heizung» verteilt nach Monatsgewichten (Heizgradtage), «Linear» taggenau.</t>
        </is>
      </c>
    </row>
    <row r="7">
      <c r="A7" s="4" t="inlineStr">
        <is>
          <t>3. «Mieter»: alle Mietverhältnisse der Periode erfassen, auch ausgezogene. Leeres Mietende = Mietverhältnis läuft weiter.</t>
        </is>
      </c>
    </row>
    <row r="8">
      <c r="A8" s="4" t="inlineStr">
        <is>
          <t>4. «Abrechnung»: rechts oben die Mieter-Nr. wählen und das Blatt drucken oder als PDF speichern. Eine Seite pro Mieter.</t>
        </is>
      </c>
    </row>
    <row r="9">
      <c r="A9" s="4" t="inlineStr">
        <is>
          <t>5. «Kontrolle»: zeigt, dass jeder Franken verteilt ist. Leerstand bleibt beim Eigentümer und wird separat ausgewiesen.</t>
        </is>
      </c>
    </row>
    <row r="10">
      <c r="A10" s="4" t="inlineStr"/>
    </row>
    <row r="11">
      <c r="A11" s="4" t="inlineStr">
        <is>
          <t>Gelbe Felder sind Eingaben. Blaue Felder rechnen automatisch und sind geschützt (Blattschutz ohne Passwort).</t>
        </is>
      </c>
    </row>
    <row r="12">
      <c r="A12" s="4" t="inlineStr"/>
    </row>
    <row r="13">
      <c r="A13" s="3" t="inlineStr">
        <is>
          <t>Rechtliche Hinweise (Stand der Vorlage, ohne Gewähr)</t>
        </is>
      </c>
    </row>
    <row r="14">
      <c r="A14" s="4" t="inlineStr">
        <is>
          <t>• Nebenkosten dürfen nur separat verrechnet werden, wenn sie im Mietvertrag einzeln vereinbart sind (Art. 257a OR).</t>
        </is>
      </c>
    </row>
    <row r="15">
      <c r="A15" s="4" t="inlineStr">
        <is>
          <t>• Der Mieter kann Einsicht in die Belege verlangen (Art. 257b Abs. 2 OR).</t>
        </is>
      </c>
    </row>
    <row r="16">
      <c r="A16" s="4" t="inlineStr">
        <is>
          <t>• Heiz- und Warmwasserkosten: anrechenbare Positionen siehe Art. 5 und 6 VMWG; Unterhalt und Reparaturen sind nicht anrechenbar.</t>
        </is>
      </c>
    </row>
    <row r="17">
      <c r="A17" s="4" t="inlineStr">
        <is>
          <t>• Die Monatsgewichte der Heizung sind Standardwerte. Wenn Ihr Vertrag eine andere Tabelle vorsieht, Werte in «Stammdaten» anpassen.</t>
        </is>
      </c>
    </row>
    <row r="18">
      <c r="A18" s="4" t="inlineStr">
        <is>
          <t>• Diese Vorlage ersetzt keine Rechtsberatung. Bei Streitfällen: Schlichtungsbehörde Ihres Kantons oder Verband (HEV / SVIT).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26" customWidth="1" min="1" max="1"/>
    <col width="34" customWidth="1" min="2" max="2"/>
    <col width="14" customWidth="1" min="3" max="3"/>
    <col width="22" customWidth="1" min="4" max="4"/>
    <col width="14" customWidth="1" min="5" max="5"/>
  </cols>
  <sheetData>
    <row r="1">
      <c r="A1" s="1" t="inlineStr">
        <is>
          <t>Stammdaten</t>
        </is>
      </c>
    </row>
    <row r="3">
      <c r="D3" s="5" t="inlineStr">
        <is>
          <t>Heizung: Monatsgewichte (Promille)</t>
        </is>
      </c>
    </row>
    <row r="4">
      <c r="A4" s="6" t="inlineStr">
        <is>
          <t>Liegenschaft</t>
        </is>
      </c>
      <c r="B4" s="7" t="n"/>
      <c r="D4" s="8" t="inlineStr">
        <is>
          <t>Monat</t>
        </is>
      </c>
      <c r="E4" s="8" t="inlineStr">
        <is>
          <t>Gewicht ‰</t>
        </is>
      </c>
    </row>
    <row r="5">
      <c r="A5" s="6" t="inlineStr">
        <is>
          <t>Vermieter / Verwaltung</t>
        </is>
      </c>
      <c r="B5" s="7" t="n"/>
      <c r="D5" s="9" t="inlineStr">
        <is>
          <t>Januar</t>
        </is>
      </c>
      <c r="E5" s="10" t="n">
        <v>170</v>
      </c>
    </row>
    <row r="6">
      <c r="A6" s="6" t="inlineStr">
        <is>
          <t>Beginn Abrechnungsperiode</t>
        </is>
      </c>
      <c r="B6" s="11" t="n"/>
      <c r="D6" s="9" t="inlineStr">
        <is>
          <t>Februar</t>
        </is>
      </c>
      <c r="E6" s="10" t="n">
        <v>150</v>
      </c>
    </row>
    <row r="7">
      <c r="A7" s="6" t="inlineStr">
        <is>
          <t>Ende Abrechnungsperiode</t>
        </is>
      </c>
      <c r="B7" s="12">
        <f>IF(B6="","",EDATE(B6,12)-1)</f>
        <v/>
      </c>
      <c r="D7" s="9" t="inlineStr">
        <is>
          <t>März</t>
        </is>
      </c>
      <c r="E7" s="10" t="n">
        <v>130</v>
      </c>
    </row>
    <row r="8">
      <c r="A8" s="6" t="inlineStr">
        <is>
          <t>Tage in der Periode</t>
        </is>
      </c>
      <c r="B8" s="13">
        <f>IF(B6="","",B7-B6+1)</f>
        <v/>
      </c>
      <c r="D8" s="9" t="inlineStr">
        <is>
          <t>April</t>
        </is>
      </c>
      <c r="E8" s="10" t="n">
        <v>90</v>
      </c>
    </row>
    <row r="9">
      <c r="D9" s="9" t="inlineStr">
        <is>
          <t>Mai</t>
        </is>
      </c>
      <c r="E9" s="10" t="n">
        <v>40</v>
      </c>
    </row>
    <row r="10">
      <c r="D10" s="9" t="inlineStr">
        <is>
          <t>Juni</t>
        </is>
      </c>
      <c r="E10" s="10" t="n">
        <v>10</v>
      </c>
    </row>
    <row r="11">
      <c r="D11" s="9" t="inlineStr">
        <is>
          <t>Juli</t>
        </is>
      </c>
      <c r="E11" s="10" t="n">
        <v>0</v>
      </c>
    </row>
    <row r="12">
      <c r="D12" s="9" t="inlineStr">
        <is>
          <t>August</t>
        </is>
      </c>
      <c r="E12" s="10" t="n">
        <v>0</v>
      </c>
    </row>
    <row r="13">
      <c r="D13" s="9" t="inlineStr">
        <is>
          <t>September</t>
        </is>
      </c>
      <c r="E13" s="10" t="n">
        <v>30</v>
      </c>
    </row>
    <row r="14">
      <c r="D14" s="9" t="inlineStr">
        <is>
          <t>Oktober</t>
        </is>
      </c>
      <c r="E14" s="10" t="n">
        <v>80</v>
      </c>
    </row>
    <row r="15">
      <c r="D15" s="9" t="inlineStr">
        <is>
          <t>November</t>
        </is>
      </c>
      <c r="E15" s="10" t="n">
        <v>140</v>
      </c>
    </row>
    <row r="16">
      <c r="D16" s="9" t="inlineStr">
        <is>
          <t>Dezember</t>
        </is>
      </c>
      <c r="E16" s="10" t="n">
        <v>160</v>
      </c>
    </row>
    <row r="17">
      <c r="D17" s="6" t="inlineStr">
        <is>
          <t>Summe</t>
        </is>
      </c>
      <c r="E17" s="13">
        <f>SUM(E5:E16)</f>
        <v/>
      </c>
    </row>
    <row r="20">
      <c r="A20" s="14" t="inlineStr">
        <is>
          <t>Einheiten</t>
        </is>
      </c>
    </row>
    <row r="21">
      <c r="A21" s="8" t="inlineStr">
        <is>
          <t>Nr.</t>
        </is>
      </c>
      <c r="B21" s="8" t="inlineStr">
        <is>
          <t>Bezeichnung</t>
        </is>
      </c>
      <c r="C21" s="8" t="inlineStr">
        <is>
          <t>Fläche m²</t>
        </is>
      </c>
      <c r="D21" s="8" t="inlineStr">
        <is>
          <t>Anteil (Wertquote, ‰ o.ä.)</t>
        </is>
      </c>
      <c r="E21" s="8" t="inlineStr">
        <is>
          <t>Zähler Einheiten</t>
        </is>
      </c>
    </row>
    <row r="22">
      <c r="A22" s="7" t="n"/>
      <c r="B22" s="7" t="n"/>
      <c r="C22" s="15" t="n"/>
      <c r="D22" s="15" t="n"/>
      <c r="E22" s="13">
        <f>IF(A22="","",1)</f>
        <v/>
      </c>
    </row>
    <row r="23">
      <c r="A23" s="7" t="n"/>
      <c r="B23" s="7" t="n"/>
      <c r="C23" s="15" t="n"/>
      <c r="D23" s="15" t="n"/>
      <c r="E23" s="13">
        <f>IF(A23="","",1)</f>
        <v/>
      </c>
    </row>
    <row r="24">
      <c r="A24" s="7" t="n"/>
      <c r="B24" s="7" t="n"/>
      <c r="C24" s="15" t="n"/>
      <c r="D24" s="15" t="n"/>
      <c r="E24" s="13">
        <f>IF(A24="","",1)</f>
        <v/>
      </c>
    </row>
    <row r="25">
      <c r="A25" s="7" t="n"/>
      <c r="B25" s="7" t="n"/>
      <c r="C25" s="15" t="n"/>
      <c r="D25" s="15" t="n"/>
      <c r="E25" s="13">
        <f>IF(A25="","",1)</f>
        <v/>
      </c>
    </row>
    <row r="26">
      <c r="A26" s="7" t="n"/>
      <c r="B26" s="7" t="n"/>
      <c r="C26" s="15" t="n"/>
      <c r="D26" s="15" t="n"/>
      <c r="E26" s="13">
        <f>IF(A26="","",1)</f>
        <v/>
      </c>
    </row>
    <row r="27">
      <c r="A27" s="7" t="n"/>
      <c r="B27" s="7" t="n"/>
      <c r="C27" s="15" t="n"/>
      <c r="D27" s="15" t="n"/>
      <c r="E27" s="13">
        <f>IF(A27="","",1)</f>
        <v/>
      </c>
    </row>
    <row r="28">
      <c r="A28" s="7" t="n"/>
      <c r="B28" s="7" t="n"/>
      <c r="C28" s="15" t="n"/>
      <c r="D28" s="15" t="n"/>
      <c r="E28" s="13">
        <f>IF(A28="","",1)</f>
        <v/>
      </c>
    </row>
    <row r="29">
      <c r="A29" s="7" t="n"/>
      <c r="B29" s="7" t="n"/>
      <c r="C29" s="15" t="n"/>
      <c r="D29" s="15" t="n"/>
      <c r="E29" s="13">
        <f>IF(A29="","",1)</f>
        <v/>
      </c>
    </row>
    <row r="30">
      <c r="A30" s="7" t="n"/>
      <c r="B30" s="7" t="n"/>
      <c r="C30" s="15" t="n"/>
      <c r="D30" s="15" t="n"/>
      <c r="E30" s="13">
        <f>IF(A30="","",1)</f>
        <v/>
      </c>
    </row>
    <row r="31">
      <c r="A31" s="7" t="n"/>
      <c r="B31" s="7" t="n"/>
      <c r="C31" s="15" t="n"/>
      <c r="D31" s="15" t="n"/>
      <c r="E31" s="13">
        <f>IF(A31="","",1)</f>
        <v/>
      </c>
    </row>
    <row r="32">
      <c r="A32" s="7" t="n"/>
      <c r="B32" s="7" t="n"/>
      <c r="C32" s="15" t="n"/>
      <c r="D32" s="15" t="n"/>
      <c r="E32" s="13">
        <f>IF(A32="","",1)</f>
        <v/>
      </c>
    </row>
    <row r="33">
      <c r="A33" s="7" t="n"/>
      <c r="B33" s="7" t="n"/>
      <c r="C33" s="15" t="n"/>
      <c r="D33" s="15" t="n"/>
      <c r="E33" s="13">
        <f>IF(A33="","",1)</f>
        <v/>
      </c>
    </row>
    <row r="34">
      <c r="A34" s="7" t="n"/>
      <c r="B34" s="7" t="n"/>
      <c r="C34" s="15" t="n"/>
      <c r="D34" s="15" t="n"/>
      <c r="E34" s="13">
        <f>IF(A34="","",1)</f>
        <v/>
      </c>
    </row>
    <row r="35">
      <c r="A35" s="7" t="n"/>
      <c r="B35" s="7" t="n"/>
      <c r="C35" s="15" t="n"/>
      <c r="D35" s="15" t="n"/>
      <c r="E35" s="13">
        <f>IF(A35="","",1)</f>
        <v/>
      </c>
    </row>
    <row r="36">
      <c r="A36" s="7" t="n"/>
      <c r="B36" s="7" t="n"/>
      <c r="C36" s="15" t="n"/>
      <c r="D36" s="15" t="n"/>
      <c r="E36" s="13">
        <f>IF(A36="","",1)</f>
        <v/>
      </c>
    </row>
    <row r="37">
      <c r="A37" s="7" t="n"/>
      <c r="B37" s="7" t="n"/>
      <c r="C37" s="15" t="n"/>
      <c r="D37" s="15" t="n"/>
      <c r="E37" s="13">
        <f>IF(A37="","",1)</f>
        <v/>
      </c>
    </row>
    <row r="38">
      <c r="A38" s="7" t="n"/>
      <c r="B38" s="7" t="n"/>
      <c r="C38" s="15" t="n"/>
      <c r="D38" s="15" t="n"/>
      <c r="E38" s="13">
        <f>IF(A38="","",1)</f>
        <v/>
      </c>
    </row>
    <row r="39">
      <c r="A39" s="7" t="n"/>
      <c r="B39" s="7" t="n"/>
      <c r="C39" s="15" t="n"/>
      <c r="D39" s="15" t="n"/>
      <c r="E39" s="13">
        <f>IF(A39="","",1)</f>
        <v/>
      </c>
    </row>
    <row r="40">
      <c r="A40" s="7" t="n"/>
      <c r="B40" s="7" t="n"/>
      <c r="C40" s="15" t="n"/>
      <c r="D40" s="15" t="n"/>
      <c r="E40" s="13">
        <f>IF(A40="","",1)</f>
        <v/>
      </c>
    </row>
    <row r="41">
      <c r="A41" s="7" t="n"/>
      <c r="B41" s="7" t="n"/>
      <c r="C41" s="15" t="n"/>
      <c r="D41" s="15" t="n"/>
      <c r="E41" s="13">
        <f>IF(A41="","",1)</f>
        <v/>
      </c>
    </row>
    <row r="42">
      <c r="A42" s="7" t="n"/>
      <c r="B42" s="7" t="n"/>
      <c r="C42" s="15" t="n"/>
      <c r="D42" s="15" t="n"/>
      <c r="E42" s="13">
        <f>IF(A42="","",1)</f>
        <v/>
      </c>
    </row>
    <row r="43">
      <c r="A43" s="7" t="n"/>
      <c r="B43" s="7" t="n"/>
      <c r="C43" s="15" t="n"/>
      <c r="D43" s="15" t="n"/>
      <c r="E43" s="13">
        <f>IF(A43="","",1)</f>
        <v/>
      </c>
    </row>
    <row r="44">
      <c r="A44" s="7" t="n"/>
      <c r="B44" s="7" t="n"/>
      <c r="C44" s="15" t="n"/>
      <c r="D44" s="15" t="n"/>
      <c r="E44" s="13">
        <f>IF(A44="","",1)</f>
        <v/>
      </c>
    </row>
    <row r="45">
      <c r="A45" s="7" t="n"/>
      <c r="B45" s="7" t="n"/>
      <c r="C45" s="15" t="n"/>
      <c r="D45" s="15" t="n"/>
      <c r="E45" s="13">
        <f>IF(A45="","",1)</f>
        <v/>
      </c>
    </row>
    <row r="46">
      <c r="A46" s="7" t="n"/>
      <c r="B46" s="7" t="n"/>
      <c r="C46" s="15" t="n"/>
      <c r="D46" s="15" t="n"/>
      <c r="E46" s="13">
        <f>IF(A46="","",1)</f>
        <v/>
      </c>
    </row>
    <row r="47">
      <c r="A47" s="7" t="n"/>
      <c r="B47" s="7" t="n"/>
      <c r="C47" s="15" t="n"/>
      <c r="D47" s="15" t="n"/>
      <c r="E47" s="13">
        <f>IF(A47="","",1)</f>
        <v/>
      </c>
    </row>
    <row r="48">
      <c r="A48" s="7" t="n"/>
      <c r="B48" s="7" t="n"/>
      <c r="C48" s="15" t="n"/>
      <c r="D48" s="15" t="n"/>
      <c r="E48" s="13">
        <f>IF(A48="","",1)</f>
        <v/>
      </c>
    </row>
    <row r="49">
      <c r="A49" s="7" t="n"/>
      <c r="B49" s="7" t="n"/>
      <c r="C49" s="15" t="n"/>
      <c r="D49" s="15" t="n"/>
      <c r="E49" s="13">
        <f>IF(A49="","",1)</f>
        <v/>
      </c>
    </row>
    <row r="50">
      <c r="A50" s="7" t="n"/>
      <c r="B50" s="7" t="n"/>
      <c r="C50" s="15" t="n"/>
      <c r="D50" s="15" t="n"/>
      <c r="E50" s="13">
        <f>IF(A50="","",1)</f>
        <v/>
      </c>
    </row>
    <row r="51">
      <c r="A51" s="7" t="n"/>
      <c r="B51" s="7" t="n"/>
      <c r="C51" s="15" t="n"/>
      <c r="D51" s="15" t="n"/>
      <c r="E51" s="13">
        <f>IF(A51="","",1)</f>
        <v/>
      </c>
    </row>
    <row r="52">
      <c r="B52" s="6" t="inlineStr">
        <is>
          <t>Total</t>
        </is>
      </c>
      <c r="C52" s="16">
        <f>SUM(C22:C51)</f>
        <v/>
      </c>
      <c r="D52" s="16">
        <f>SUM(D22:D51)</f>
        <v/>
      </c>
      <c r="E52" s="16">
        <f>SUM(E22:E51)</f>
        <v/>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6" showDropDown="0" showInputMessage="0" showErrorMessage="1" allowBlank="0" errorTitle="Periodenbeginn" error="Die Periode beginnt immer am 1. eines Monats." type="custom">
      <formula1>DAY(B6)=1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40" customWidth="1" min="1" max="1"/>
    <col width="16" customWidth="1" min="2" max="2"/>
    <col width="14" customWidth="1" min="3" max="3"/>
    <col width="14" customWidth="1" min="4" max="4"/>
    <col width="16" customWidth="1" min="5" max="5"/>
  </cols>
  <sheetData>
    <row r="1">
      <c r="A1" s="1" t="inlineStr">
        <is>
          <t>Kosten der Periode</t>
        </is>
      </c>
    </row>
    <row r="2">
      <c r="A2" s="2" t="inlineStr">
        <is>
          <t>Nur Kostenarten erfassen, die im Mietvertrag als Nebenkosten vereinbart sind.</t>
        </is>
      </c>
    </row>
    <row r="4">
      <c r="A4" s="8" t="inlineStr">
        <is>
          <t>Kostenart</t>
        </is>
      </c>
      <c r="B4" s="8" t="inlineStr">
        <is>
          <t>Betrag CHF</t>
        </is>
      </c>
      <c r="C4" s="8" t="inlineStr">
        <is>
          <t>Schlüssel</t>
        </is>
      </c>
      <c r="D4" s="8" t="inlineStr">
        <is>
          <t>Verteilung</t>
        </is>
      </c>
      <c r="E4" s="8" t="inlineStr">
        <is>
          <t>Total Schlüssel</t>
        </is>
      </c>
    </row>
    <row r="5">
      <c r="A5" s="7" t="n"/>
      <c r="B5" s="17" t="n"/>
      <c r="C5" s="7" t="n"/>
      <c r="D5" s="7" t="n"/>
      <c r="E5" s="16">
        <f>IF(C5="Fläche",Stammdaten!$C$52,IF(C5="Anteil",Stammdaten!$D$52,IF(C5="Einheiten",Stammdaten!$E$52,0)))</f>
        <v/>
      </c>
    </row>
    <row r="6">
      <c r="A6" s="7" t="n"/>
      <c r="B6" s="17" t="n"/>
      <c r="C6" s="7" t="n"/>
      <c r="D6" s="7" t="n"/>
      <c r="E6" s="16">
        <f>IF(C6="Fläche",Stammdaten!$C$52,IF(C6="Anteil",Stammdaten!$D$52,IF(C6="Einheiten",Stammdaten!$E$52,0)))</f>
        <v/>
      </c>
    </row>
    <row r="7">
      <c r="A7" s="7" t="n"/>
      <c r="B7" s="17" t="n"/>
      <c r="C7" s="7" t="n"/>
      <c r="D7" s="7" t="n"/>
      <c r="E7" s="16">
        <f>IF(C7="Fläche",Stammdaten!$C$52,IF(C7="Anteil",Stammdaten!$D$52,IF(C7="Einheiten",Stammdaten!$E$52,0)))</f>
        <v/>
      </c>
    </row>
    <row r="8">
      <c r="A8" s="7" t="n"/>
      <c r="B8" s="17" t="n"/>
      <c r="C8" s="7" t="n"/>
      <c r="D8" s="7" t="n"/>
      <c r="E8" s="16">
        <f>IF(C8="Fläche",Stammdaten!$C$52,IF(C8="Anteil",Stammdaten!$D$52,IF(C8="Einheiten",Stammdaten!$E$52,0)))</f>
        <v/>
      </c>
    </row>
    <row r="9">
      <c r="A9" s="7" t="n"/>
      <c r="B9" s="17" t="n"/>
      <c r="C9" s="7" t="n"/>
      <c r="D9" s="7" t="n"/>
      <c r="E9" s="16">
        <f>IF(C9="Fläche",Stammdaten!$C$52,IF(C9="Anteil",Stammdaten!$D$52,IF(C9="Einheiten",Stammdaten!$E$52,0)))</f>
        <v/>
      </c>
    </row>
    <row r="10">
      <c r="A10" s="7" t="n"/>
      <c r="B10" s="17" t="n"/>
      <c r="C10" s="7" t="n"/>
      <c r="D10" s="7" t="n"/>
      <c r="E10" s="16">
        <f>IF(C10="Fläche",Stammdaten!$C$52,IF(C10="Anteil",Stammdaten!$D$52,IF(C10="Einheiten",Stammdaten!$E$52,0)))</f>
        <v/>
      </c>
    </row>
    <row r="11">
      <c r="A11" s="7" t="n"/>
      <c r="B11" s="17" t="n"/>
      <c r="C11" s="7" t="n"/>
      <c r="D11" s="7" t="n"/>
      <c r="E11" s="16">
        <f>IF(C11="Fläche",Stammdaten!$C$52,IF(C11="Anteil",Stammdaten!$D$52,IF(C11="Einheiten",Stammdaten!$E$52,0)))</f>
        <v/>
      </c>
    </row>
    <row r="12">
      <c r="A12" s="7" t="n"/>
      <c r="B12" s="17" t="n"/>
      <c r="C12" s="7" t="n"/>
      <c r="D12" s="7" t="n"/>
      <c r="E12" s="16">
        <f>IF(C12="Fläche",Stammdaten!$C$52,IF(C12="Anteil",Stammdaten!$D$52,IF(C12="Einheiten",Stammdaten!$E$52,0)))</f>
        <v/>
      </c>
    </row>
    <row r="13">
      <c r="A13" s="7" t="n"/>
      <c r="B13" s="17" t="n"/>
      <c r="C13" s="7" t="n"/>
      <c r="D13" s="7" t="n"/>
      <c r="E13" s="16">
        <f>IF(C13="Fläche",Stammdaten!$C$52,IF(C13="Anteil",Stammdaten!$D$52,IF(C13="Einheiten",Stammdaten!$E$52,0)))</f>
        <v/>
      </c>
    </row>
    <row r="14">
      <c r="A14" s="7" t="n"/>
      <c r="B14" s="17" t="n"/>
      <c r="C14" s="7" t="n"/>
      <c r="D14" s="7" t="n"/>
      <c r="E14" s="16">
        <f>IF(C14="Fläche",Stammdaten!$C$52,IF(C14="Anteil",Stammdaten!$D$52,IF(C14="Einheiten",Stammdaten!$E$52,0)))</f>
        <v/>
      </c>
    </row>
    <row r="15">
      <c r="A15" s="7" t="n"/>
      <c r="B15" s="17" t="n"/>
      <c r="C15" s="7" t="n"/>
      <c r="D15" s="7" t="n"/>
      <c r="E15" s="16">
        <f>IF(C15="Fläche",Stammdaten!$C$52,IF(C15="Anteil",Stammdaten!$D$52,IF(C15="Einheiten",Stammdaten!$E$52,0)))</f>
        <v/>
      </c>
    </row>
    <row r="16">
      <c r="A16" s="7" t="n"/>
      <c r="B16" s="17" t="n"/>
      <c r="C16" s="7" t="n"/>
      <c r="D16" s="7" t="n"/>
      <c r="E16" s="16">
        <f>IF(C16="Fläche",Stammdaten!$C$52,IF(C16="Anteil",Stammdaten!$D$52,IF(C16="Einheiten",Stammdaten!$E$52,0)))</f>
        <v/>
      </c>
    </row>
    <row r="17">
      <c r="A17" s="7" t="n"/>
      <c r="B17" s="17" t="n"/>
      <c r="C17" s="7" t="n"/>
      <c r="D17" s="7" t="n"/>
      <c r="E17" s="16">
        <f>IF(C17="Fläche",Stammdaten!$C$52,IF(C17="Anteil",Stammdaten!$D$52,IF(C17="Einheiten",Stammdaten!$E$52,0)))</f>
        <v/>
      </c>
    </row>
    <row r="18">
      <c r="A18" s="7" t="n"/>
      <c r="B18" s="17" t="n"/>
      <c r="C18" s="7" t="n"/>
      <c r="D18" s="7" t="n"/>
      <c r="E18" s="16">
        <f>IF(C18="Fläche",Stammdaten!$C$52,IF(C18="Anteil",Stammdaten!$D$52,IF(C18="Einheiten",Stammdaten!$E$52,0)))</f>
        <v/>
      </c>
    </row>
    <row r="19">
      <c r="A19" s="7" t="n"/>
      <c r="B19" s="17" t="n"/>
      <c r="C19" s="7" t="n"/>
      <c r="D19" s="7" t="n"/>
      <c r="E19" s="16">
        <f>IF(C19="Fläche",Stammdaten!$C$52,IF(C19="Anteil",Stammdaten!$D$52,IF(C19="Einheiten",Stammdaten!$E$52,0)))</f>
        <v/>
      </c>
    </row>
    <row r="20">
      <c r="A20" s="7" t="n"/>
      <c r="B20" s="17" t="n"/>
      <c r="C20" s="7" t="n"/>
      <c r="D20" s="7" t="n"/>
      <c r="E20" s="16">
        <f>IF(C20="Fläche",Stammdaten!$C$52,IF(C20="Anteil",Stammdaten!$D$52,IF(C20="Einheiten",Stammdaten!$E$52,0)))</f>
        <v/>
      </c>
    </row>
    <row r="21">
      <c r="A21" s="7" t="n"/>
      <c r="B21" s="17" t="n"/>
      <c r="C21" s="7" t="n"/>
      <c r="D21" s="7" t="n"/>
      <c r="E21" s="16">
        <f>IF(C21="Fläche",Stammdaten!$C$52,IF(C21="Anteil",Stammdaten!$D$52,IF(C21="Einheiten",Stammdaten!$E$52,0)))</f>
        <v/>
      </c>
    </row>
    <row r="22">
      <c r="A22" s="7" t="n"/>
      <c r="B22" s="17" t="n"/>
      <c r="C22" s="7" t="n"/>
      <c r="D22" s="7" t="n"/>
      <c r="E22" s="16">
        <f>IF(C22="Fläche",Stammdaten!$C$52,IF(C22="Anteil",Stammdaten!$D$52,IF(C22="Einheiten",Stammdaten!$E$52,0)))</f>
        <v/>
      </c>
    </row>
    <row r="23">
      <c r="A23" s="7" t="n"/>
      <c r="B23" s="17" t="n"/>
      <c r="C23" s="7" t="n"/>
      <c r="D23" s="7" t="n"/>
      <c r="E23" s="16">
        <f>IF(C23="Fläche",Stammdaten!$C$52,IF(C23="Anteil",Stammdaten!$D$52,IF(C23="Einheiten",Stammdaten!$E$52,0)))</f>
        <v/>
      </c>
    </row>
    <row r="24">
      <c r="A24" s="7" t="n"/>
      <c r="B24" s="17" t="n"/>
      <c r="C24" s="7" t="n"/>
      <c r="D24" s="7" t="n"/>
      <c r="E24" s="16">
        <f>IF(C24="Fläche",Stammdaten!$C$52,IF(C24="Anteil",Stammdaten!$D$52,IF(C24="Einheiten",Stammdaten!$E$52,0)))</f>
        <v/>
      </c>
    </row>
    <row r="25">
      <c r="A25" s="7" t="n"/>
      <c r="B25" s="17" t="n"/>
      <c r="C25" s="7" t="n"/>
      <c r="D25" s="7" t="n"/>
      <c r="E25" s="16">
        <f>IF(C25="Fläche",Stammdaten!$C$52,IF(C25="Anteil",Stammdaten!$D$52,IF(C25="Einheiten",Stammdaten!$E$52,0)))</f>
        <v/>
      </c>
    </row>
    <row r="26">
      <c r="A26" s="7" t="n"/>
      <c r="B26" s="17" t="n"/>
      <c r="C26" s="7" t="n"/>
      <c r="D26" s="7" t="n"/>
      <c r="E26" s="16">
        <f>IF(C26="Fläche",Stammdaten!$C$52,IF(C26="Anteil",Stammdaten!$D$52,IF(C26="Einheiten",Stammdaten!$E$52,0)))</f>
        <v/>
      </c>
    </row>
    <row r="27">
      <c r="A27" s="7" t="n"/>
      <c r="B27" s="17" t="n"/>
      <c r="C27" s="7" t="n"/>
      <c r="D27" s="7" t="n"/>
      <c r="E27" s="16">
        <f>IF(C27="Fläche",Stammdaten!$C$52,IF(C27="Anteil",Stammdaten!$D$52,IF(C27="Einheiten",Stammdaten!$E$52,0)))</f>
        <v/>
      </c>
    </row>
    <row r="28">
      <c r="A28" s="7" t="n"/>
      <c r="B28" s="17" t="n"/>
      <c r="C28" s="7" t="n"/>
      <c r="D28" s="7" t="n"/>
      <c r="E28" s="16">
        <f>IF(C28="Fläche",Stammdaten!$C$52,IF(C28="Anteil",Stammdaten!$D$52,IF(C28="Einheiten",Stammdaten!$E$52,0)))</f>
        <v/>
      </c>
    </row>
    <row r="29">
      <c r="A29" s="7" t="n"/>
      <c r="B29" s="17" t="n"/>
      <c r="C29" s="7" t="n"/>
      <c r="D29" s="7" t="n"/>
      <c r="E29" s="16">
        <f>IF(C29="Fläche",Stammdaten!$C$52,IF(C29="Anteil",Stammdaten!$D$52,IF(C29="Einheiten",Stammdaten!$E$52,0)))</f>
        <v/>
      </c>
    </row>
    <row r="30">
      <c r="A30" s="6" t="inlineStr">
        <is>
          <t>Total</t>
        </is>
      </c>
      <c r="B30" s="18">
        <f>SUM(B5:B29)</f>
        <v/>
      </c>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C5 C6 C7 C8 C9 C10 C11 C12 C13 C14 C15 C16 C17 C18 C19 C20 C21 C22 C23 C24 C25 C26 C27 C28 C29" showDropDown="0" showInputMessage="0" showErrorMessage="0" allowBlank="1" type="list">
      <formula1>"Fläche,Anteil,Einheiten"</formula1>
    </dataValidation>
    <dataValidation sqref="D5 D6 D7 D8 D9 D10 D11 D12 D13 D14 D15 D16 D17 D18 D19 D20 D21 D22 D23 D24 D25 D26 D27 D28 D29" showDropDown="0" showInputMessage="0" showErrorMessage="0" allowBlank="1" type="list">
      <formula1>"Linear,Heizung"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Mietverhältnisse der Periode</t>
        </is>
      </c>
    </row>
    <row r="2">
      <c r="A2" s="2" t="inlineStr">
        <is>
          <t>Gelb erfassen. Hellblaue Spalten sind Hilfsrechnungen.</t>
        </is>
      </c>
    </row>
    <row r="3">
      <c r="N3" s="19" t="inlineStr">
        <is>
          <t>Gewicht ‰ →</t>
        </is>
      </c>
      <c r="O3" s="13">
        <f>INDEX(Stammdaten!$E$5:$E$16,MONTH(EDATE(Stammdaten!$B$6,0)))</f>
        <v/>
      </c>
      <c r="P3" s="13">
        <f>INDEX(Stammdaten!$E$5:$E$16,MONTH(EDATE(Stammdaten!$B$6,1)))</f>
        <v/>
      </c>
      <c r="Q3" s="13">
        <f>INDEX(Stammdaten!$E$5:$E$16,MONTH(EDATE(Stammdaten!$B$6,2)))</f>
        <v/>
      </c>
      <c r="R3" s="13">
        <f>INDEX(Stammdaten!$E$5:$E$16,MONTH(EDATE(Stammdaten!$B$6,3)))</f>
        <v/>
      </c>
      <c r="S3" s="13">
        <f>INDEX(Stammdaten!$E$5:$E$16,MONTH(EDATE(Stammdaten!$B$6,4)))</f>
        <v/>
      </c>
      <c r="T3" s="13">
        <f>INDEX(Stammdaten!$E$5:$E$16,MONTH(EDATE(Stammdaten!$B$6,5)))</f>
        <v/>
      </c>
      <c r="U3" s="13">
        <f>INDEX(Stammdaten!$E$5:$E$16,MONTH(EDATE(Stammdaten!$B$6,6)))</f>
        <v/>
      </c>
      <c r="V3" s="13">
        <f>INDEX(Stammdaten!$E$5:$E$16,MONTH(EDATE(Stammdaten!$B$6,7)))</f>
        <v/>
      </c>
      <c r="W3" s="13">
        <f>INDEX(Stammdaten!$E$5:$E$16,MONTH(EDATE(Stammdaten!$B$6,8)))</f>
        <v/>
      </c>
      <c r="X3" s="13">
        <f>INDEX(Stammdaten!$E$5:$E$16,MONTH(EDATE(Stammdaten!$B$6,9)))</f>
        <v/>
      </c>
      <c r="Y3" s="13">
        <f>INDEX(Stammdaten!$E$5:$E$16,MONTH(EDATE(Stammdaten!$B$6,10)))</f>
        <v/>
      </c>
      <c r="Z3" s="13">
        <f>INDEX(Stammdaten!$E$5:$E$16,MONTH(EDATE(Stammdaten!$B$6,11)))</f>
        <v/>
      </c>
    </row>
    <row r="4">
      <c r="A4" s="8" t="inlineStr">
        <is>
          <t>Nr.</t>
        </is>
      </c>
      <c r="B4" s="8" t="inlineStr">
        <is>
          <t>Mieter</t>
        </is>
      </c>
      <c r="C4" s="8" t="inlineStr">
        <is>
          <t>Einheit Nr.</t>
        </is>
      </c>
      <c r="D4" s="8" t="inlineStr">
        <is>
          <t>Mietbeginn</t>
        </is>
      </c>
      <c r="E4" s="8" t="inlineStr">
        <is>
          <t>Mietende</t>
        </is>
      </c>
      <c r="F4" s="8" t="inlineStr">
        <is>
          <t>Akonto bezahlt CHF</t>
        </is>
      </c>
      <c r="G4" s="8" t="inlineStr">
        <is>
          <t>Beginn in Periode</t>
        </is>
      </c>
      <c r="H4" s="8" t="inlineStr">
        <is>
          <t>Ende in Periode</t>
        </is>
      </c>
      <c r="I4" s="8" t="inlineStr">
        <is>
          <t>Tage</t>
        </is>
      </c>
      <c r="J4" s="8" t="inlineStr">
        <is>
          <t>Faktor linear</t>
        </is>
      </c>
      <c r="K4" s="8" t="inlineStr">
        <is>
          <t>Faktor Heizung</t>
        </is>
      </c>
      <c r="L4" s="8" t="inlineStr">
        <is>
          <t>Fläche</t>
        </is>
      </c>
      <c r="M4" s="8" t="inlineStr">
        <is>
          <t>Anteil</t>
        </is>
      </c>
      <c r="N4" s="8" t="inlineStr">
        <is>
          <t>Einheiten</t>
        </is>
      </c>
      <c r="O4" s="8" t="inlineStr">
        <is>
          <t>Belegung M1</t>
        </is>
      </c>
      <c r="P4" s="8" t="inlineStr">
        <is>
          <t>Belegung M2</t>
        </is>
      </c>
      <c r="Q4" s="8" t="inlineStr">
        <is>
          <t>Belegung M3</t>
        </is>
      </c>
      <c r="R4" s="8" t="inlineStr">
        <is>
          <t>Belegung M4</t>
        </is>
      </c>
      <c r="S4" s="8" t="inlineStr">
        <is>
          <t>Belegung M5</t>
        </is>
      </c>
      <c r="T4" s="8" t="inlineStr">
        <is>
          <t>Belegung M6</t>
        </is>
      </c>
      <c r="U4" s="8" t="inlineStr">
        <is>
          <t>Belegung M7</t>
        </is>
      </c>
      <c r="V4" s="8" t="inlineStr">
        <is>
          <t>Belegung M8</t>
        </is>
      </c>
      <c r="W4" s="8" t="inlineStr">
        <is>
          <t>Belegung M9</t>
        </is>
      </c>
      <c r="X4" s="8" t="inlineStr">
        <is>
          <t>Belegung M10</t>
        </is>
      </c>
      <c r="Y4" s="8" t="inlineStr">
        <is>
          <t>Belegung M11</t>
        </is>
      </c>
      <c r="Z4" s="8" t="inlineStr">
        <is>
          <t>Belegung M12</t>
        </is>
      </c>
    </row>
    <row r="5">
      <c r="A5" s="13" t="n">
        <v>1</v>
      </c>
      <c r="B5" s="7" t="n"/>
      <c r="C5" s="7" t="n"/>
      <c r="D5" s="11" t="n"/>
      <c r="E5" s="11" t="n"/>
      <c r="F5" s="17" t="n"/>
      <c r="G5" s="12">
        <f>IF(C5&lt;&gt;"",MAX(IF(D5="",Stammdaten!$B$6,D5),Stammdaten!$B$6),"")</f>
        <v/>
      </c>
      <c r="H5" s="12">
        <f>IF(C5&lt;&gt;"",MIN(IF(E5="",Stammdaten!$B$7,E5),Stammdaten!$B$7),"")</f>
        <v/>
      </c>
      <c r="I5" s="13">
        <f>IF(C5&lt;&gt;"",MAX(0,H5-G5+1),0)</f>
        <v/>
      </c>
      <c r="J5" s="20">
        <f>IF(C5&lt;&gt;"",I5/Stammdaten!$B$8,0)</f>
        <v/>
      </c>
      <c r="K5" s="20">
        <f>IF(C5&lt;&gt;"",SUMPRODUCT(O5:Z5,$O$3:$Z$3)/Stammdaten!$E$17,0)</f>
        <v/>
      </c>
      <c r="L5" s="16">
        <f>IF(C5&lt;&gt;"",IFERROR(INDEX(Stammdaten!$C$22:$C$51,MATCH(C5,Stammdaten!$A$22:$A$51,0)),0),0)</f>
        <v/>
      </c>
      <c r="M5" s="16">
        <f>IF(C5&lt;&gt;"",IFERROR(INDEX(Stammdaten!$D$22:$D$51,MATCH(C5,Stammdaten!$A$22:$A$51,0)),0),0)</f>
        <v/>
      </c>
      <c r="N5" s="16">
        <f>IF(C5&lt;&gt;"",IFERROR(INDEX(Stammdaten!$E$22:$E$51,MATCH(C5,Stammdaten!$A$22:$A$51,0)),0),0)</f>
        <v/>
      </c>
      <c r="O5" s="16">
        <f>IF(C5&lt;&gt;"",MAX(0,MIN(H5,EOMONTH(EDATE(Stammdaten!$B$6,0),0))-MAX(G5,EDATE(Stammdaten!$B$6,0))+1)/DAY(EOMONTH(EDATE(Stammdaten!$B$6,0),0)),0)</f>
        <v/>
      </c>
      <c r="P5" s="16">
        <f>IF(C5&lt;&gt;"",MAX(0,MIN(H5,EOMONTH(EDATE(Stammdaten!$B$6,1),0))-MAX(G5,EDATE(Stammdaten!$B$6,1))+1)/DAY(EOMONTH(EDATE(Stammdaten!$B$6,1),0)),0)</f>
        <v/>
      </c>
      <c r="Q5" s="16">
        <f>IF(C5&lt;&gt;"",MAX(0,MIN(H5,EOMONTH(EDATE(Stammdaten!$B$6,2),0))-MAX(G5,EDATE(Stammdaten!$B$6,2))+1)/DAY(EOMONTH(EDATE(Stammdaten!$B$6,2),0)),0)</f>
        <v/>
      </c>
      <c r="R5" s="16">
        <f>IF(C5&lt;&gt;"",MAX(0,MIN(H5,EOMONTH(EDATE(Stammdaten!$B$6,3),0))-MAX(G5,EDATE(Stammdaten!$B$6,3))+1)/DAY(EOMONTH(EDATE(Stammdaten!$B$6,3),0)),0)</f>
        <v/>
      </c>
      <c r="S5" s="16">
        <f>IF(C5&lt;&gt;"",MAX(0,MIN(H5,EOMONTH(EDATE(Stammdaten!$B$6,4),0))-MAX(G5,EDATE(Stammdaten!$B$6,4))+1)/DAY(EOMONTH(EDATE(Stammdaten!$B$6,4),0)),0)</f>
        <v/>
      </c>
      <c r="T5" s="16">
        <f>IF(C5&lt;&gt;"",MAX(0,MIN(H5,EOMONTH(EDATE(Stammdaten!$B$6,5),0))-MAX(G5,EDATE(Stammdaten!$B$6,5))+1)/DAY(EOMONTH(EDATE(Stammdaten!$B$6,5),0)),0)</f>
        <v/>
      </c>
      <c r="U5" s="16">
        <f>IF(C5&lt;&gt;"",MAX(0,MIN(H5,EOMONTH(EDATE(Stammdaten!$B$6,6),0))-MAX(G5,EDATE(Stammdaten!$B$6,6))+1)/DAY(EOMONTH(EDATE(Stammdaten!$B$6,6),0)),0)</f>
        <v/>
      </c>
      <c r="V5" s="16">
        <f>IF(C5&lt;&gt;"",MAX(0,MIN(H5,EOMONTH(EDATE(Stammdaten!$B$6,7),0))-MAX(G5,EDATE(Stammdaten!$B$6,7))+1)/DAY(EOMONTH(EDATE(Stammdaten!$B$6,7),0)),0)</f>
        <v/>
      </c>
      <c r="W5" s="16">
        <f>IF(C5&lt;&gt;"",MAX(0,MIN(H5,EOMONTH(EDATE(Stammdaten!$B$6,8),0))-MAX(G5,EDATE(Stammdaten!$B$6,8))+1)/DAY(EOMONTH(EDATE(Stammdaten!$B$6,8),0)),0)</f>
        <v/>
      </c>
      <c r="X5" s="16">
        <f>IF(C5&lt;&gt;"",MAX(0,MIN(H5,EOMONTH(EDATE(Stammdaten!$B$6,9),0))-MAX(G5,EDATE(Stammdaten!$B$6,9))+1)/DAY(EOMONTH(EDATE(Stammdaten!$B$6,9),0)),0)</f>
        <v/>
      </c>
      <c r="Y5" s="16">
        <f>IF(C5&lt;&gt;"",MAX(0,MIN(H5,EOMONTH(EDATE(Stammdaten!$B$6,10),0))-MAX(G5,EDATE(Stammdaten!$B$6,10))+1)/DAY(EOMONTH(EDATE(Stammdaten!$B$6,10),0)),0)</f>
        <v/>
      </c>
      <c r="Z5" s="16">
        <f>IF(C5&lt;&gt;"",MAX(0,MIN(H5,EOMONTH(EDATE(Stammdaten!$B$6,11),0))-MAX(G5,EDATE(Stammdaten!$B$6,11))+1)/DAY(EOMONTH(EDATE(Stammdaten!$B$6,11),0)),0)</f>
        <v/>
      </c>
    </row>
    <row r="6">
      <c r="A6" s="13" t="n">
        <v>2</v>
      </c>
      <c r="B6" s="7" t="n"/>
      <c r="C6" s="7" t="n"/>
      <c r="D6" s="11" t="n"/>
      <c r="E6" s="11" t="n"/>
      <c r="F6" s="17" t="n"/>
      <c r="G6" s="12">
        <f>IF(C6&lt;&gt;"",MAX(IF(D6="",Stammdaten!$B$6,D6),Stammdaten!$B$6),"")</f>
        <v/>
      </c>
      <c r="H6" s="12">
        <f>IF(C6&lt;&gt;"",MIN(IF(E6="",Stammdaten!$B$7,E6),Stammdaten!$B$7),"")</f>
        <v/>
      </c>
      <c r="I6" s="13">
        <f>IF(C6&lt;&gt;"",MAX(0,H6-G6+1),0)</f>
        <v/>
      </c>
      <c r="J6" s="20">
        <f>IF(C6&lt;&gt;"",I6/Stammdaten!$B$8,0)</f>
        <v/>
      </c>
      <c r="K6" s="20">
        <f>IF(C6&lt;&gt;"",SUMPRODUCT(O6:Z6,$O$3:$Z$3)/Stammdaten!$E$17,0)</f>
        <v/>
      </c>
      <c r="L6" s="16">
        <f>IF(C6&lt;&gt;"",IFERROR(INDEX(Stammdaten!$C$22:$C$51,MATCH(C6,Stammdaten!$A$22:$A$51,0)),0),0)</f>
        <v/>
      </c>
      <c r="M6" s="16">
        <f>IF(C6&lt;&gt;"",IFERROR(INDEX(Stammdaten!$D$22:$D$51,MATCH(C6,Stammdaten!$A$22:$A$51,0)),0),0)</f>
        <v/>
      </c>
      <c r="N6" s="16">
        <f>IF(C6&lt;&gt;"",IFERROR(INDEX(Stammdaten!$E$22:$E$51,MATCH(C6,Stammdaten!$A$22:$A$51,0)),0),0)</f>
        <v/>
      </c>
      <c r="O6" s="16">
        <f>IF(C6&lt;&gt;"",MAX(0,MIN(H6,EOMONTH(EDATE(Stammdaten!$B$6,0),0))-MAX(G6,EDATE(Stammdaten!$B$6,0))+1)/DAY(EOMONTH(EDATE(Stammdaten!$B$6,0),0)),0)</f>
        <v/>
      </c>
      <c r="P6" s="16">
        <f>IF(C6&lt;&gt;"",MAX(0,MIN(H6,EOMONTH(EDATE(Stammdaten!$B$6,1),0))-MAX(G6,EDATE(Stammdaten!$B$6,1))+1)/DAY(EOMONTH(EDATE(Stammdaten!$B$6,1),0)),0)</f>
        <v/>
      </c>
      <c r="Q6" s="16">
        <f>IF(C6&lt;&gt;"",MAX(0,MIN(H6,EOMONTH(EDATE(Stammdaten!$B$6,2),0))-MAX(G6,EDATE(Stammdaten!$B$6,2))+1)/DAY(EOMONTH(EDATE(Stammdaten!$B$6,2),0)),0)</f>
        <v/>
      </c>
      <c r="R6" s="16">
        <f>IF(C6&lt;&gt;"",MAX(0,MIN(H6,EOMONTH(EDATE(Stammdaten!$B$6,3),0))-MAX(G6,EDATE(Stammdaten!$B$6,3))+1)/DAY(EOMONTH(EDATE(Stammdaten!$B$6,3),0)),0)</f>
        <v/>
      </c>
      <c r="S6" s="16">
        <f>IF(C6&lt;&gt;"",MAX(0,MIN(H6,EOMONTH(EDATE(Stammdaten!$B$6,4),0))-MAX(G6,EDATE(Stammdaten!$B$6,4))+1)/DAY(EOMONTH(EDATE(Stammdaten!$B$6,4),0)),0)</f>
        <v/>
      </c>
      <c r="T6" s="16">
        <f>IF(C6&lt;&gt;"",MAX(0,MIN(H6,EOMONTH(EDATE(Stammdaten!$B$6,5),0))-MAX(G6,EDATE(Stammdaten!$B$6,5))+1)/DAY(EOMONTH(EDATE(Stammdaten!$B$6,5),0)),0)</f>
        <v/>
      </c>
      <c r="U6" s="16">
        <f>IF(C6&lt;&gt;"",MAX(0,MIN(H6,EOMONTH(EDATE(Stammdaten!$B$6,6),0))-MAX(G6,EDATE(Stammdaten!$B$6,6))+1)/DAY(EOMONTH(EDATE(Stammdaten!$B$6,6),0)),0)</f>
        <v/>
      </c>
      <c r="V6" s="16">
        <f>IF(C6&lt;&gt;"",MAX(0,MIN(H6,EOMONTH(EDATE(Stammdaten!$B$6,7),0))-MAX(G6,EDATE(Stammdaten!$B$6,7))+1)/DAY(EOMONTH(EDATE(Stammdaten!$B$6,7),0)),0)</f>
        <v/>
      </c>
      <c r="W6" s="16">
        <f>IF(C6&lt;&gt;"",MAX(0,MIN(H6,EOMONTH(EDATE(Stammdaten!$B$6,8),0))-MAX(G6,EDATE(Stammdaten!$B$6,8))+1)/DAY(EOMONTH(EDATE(Stammdaten!$B$6,8),0)),0)</f>
        <v/>
      </c>
      <c r="X6" s="16">
        <f>IF(C6&lt;&gt;"",MAX(0,MIN(H6,EOMONTH(EDATE(Stammdaten!$B$6,9),0))-MAX(G6,EDATE(Stammdaten!$B$6,9))+1)/DAY(EOMONTH(EDATE(Stammdaten!$B$6,9),0)),0)</f>
        <v/>
      </c>
      <c r="Y6" s="16">
        <f>IF(C6&lt;&gt;"",MAX(0,MIN(H6,EOMONTH(EDATE(Stammdaten!$B$6,10),0))-MAX(G6,EDATE(Stammdaten!$B$6,10))+1)/DAY(EOMONTH(EDATE(Stammdaten!$B$6,10),0)),0)</f>
        <v/>
      </c>
      <c r="Z6" s="16">
        <f>IF(C6&lt;&gt;"",MAX(0,MIN(H6,EOMONTH(EDATE(Stammdaten!$B$6,11),0))-MAX(G6,EDATE(Stammdaten!$B$6,11))+1)/DAY(EOMONTH(EDATE(Stammdaten!$B$6,11),0)),0)</f>
        <v/>
      </c>
    </row>
    <row r="7">
      <c r="A7" s="13" t="n">
        <v>3</v>
      </c>
      <c r="B7" s="7" t="n"/>
      <c r="C7" s="7" t="n"/>
      <c r="D7" s="11" t="n"/>
      <c r="E7" s="11" t="n"/>
      <c r="F7" s="17" t="n"/>
      <c r="G7" s="12">
        <f>IF(C7&lt;&gt;"",MAX(IF(D7="",Stammdaten!$B$6,D7),Stammdaten!$B$6),"")</f>
        <v/>
      </c>
      <c r="H7" s="12">
        <f>IF(C7&lt;&gt;"",MIN(IF(E7="",Stammdaten!$B$7,E7),Stammdaten!$B$7),"")</f>
        <v/>
      </c>
      <c r="I7" s="13">
        <f>IF(C7&lt;&gt;"",MAX(0,H7-G7+1),0)</f>
        <v/>
      </c>
      <c r="J7" s="20">
        <f>IF(C7&lt;&gt;"",I7/Stammdaten!$B$8,0)</f>
        <v/>
      </c>
      <c r="K7" s="20">
        <f>IF(C7&lt;&gt;"",SUMPRODUCT(O7:Z7,$O$3:$Z$3)/Stammdaten!$E$17,0)</f>
        <v/>
      </c>
      <c r="L7" s="16">
        <f>IF(C7&lt;&gt;"",IFERROR(INDEX(Stammdaten!$C$22:$C$51,MATCH(C7,Stammdaten!$A$22:$A$51,0)),0),0)</f>
        <v/>
      </c>
      <c r="M7" s="16">
        <f>IF(C7&lt;&gt;"",IFERROR(INDEX(Stammdaten!$D$22:$D$51,MATCH(C7,Stammdaten!$A$22:$A$51,0)),0),0)</f>
        <v/>
      </c>
      <c r="N7" s="16">
        <f>IF(C7&lt;&gt;"",IFERROR(INDEX(Stammdaten!$E$22:$E$51,MATCH(C7,Stammdaten!$A$22:$A$51,0)),0),0)</f>
        <v/>
      </c>
      <c r="O7" s="16">
        <f>IF(C7&lt;&gt;"",MAX(0,MIN(H7,EOMONTH(EDATE(Stammdaten!$B$6,0),0))-MAX(G7,EDATE(Stammdaten!$B$6,0))+1)/DAY(EOMONTH(EDATE(Stammdaten!$B$6,0),0)),0)</f>
        <v/>
      </c>
      <c r="P7" s="16">
        <f>IF(C7&lt;&gt;"",MAX(0,MIN(H7,EOMONTH(EDATE(Stammdaten!$B$6,1),0))-MAX(G7,EDATE(Stammdaten!$B$6,1))+1)/DAY(EOMONTH(EDATE(Stammdaten!$B$6,1),0)),0)</f>
        <v/>
      </c>
      <c r="Q7" s="16">
        <f>IF(C7&lt;&gt;"",MAX(0,MIN(H7,EOMONTH(EDATE(Stammdaten!$B$6,2),0))-MAX(G7,EDATE(Stammdaten!$B$6,2))+1)/DAY(EOMONTH(EDATE(Stammdaten!$B$6,2),0)),0)</f>
        <v/>
      </c>
      <c r="R7" s="16">
        <f>IF(C7&lt;&gt;"",MAX(0,MIN(H7,EOMONTH(EDATE(Stammdaten!$B$6,3),0))-MAX(G7,EDATE(Stammdaten!$B$6,3))+1)/DAY(EOMONTH(EDATE(Stammdaten!$B$6,3),0)),0)</f>
        <v/>
      </c>
      <c r="S7" s="16">
        <f>IF(C7&lt;&gt;"",MAX(0,MIN(H7,EOMONTH(EDATE(Stammdaten!$B$6,4),0))-MAX(G7,EDATE(Stammdaten!$B$6,4))+1)/DAY(EOMONTH(EDATE(Stammdaten!$B$6,4),0)),0)</f>
        <v/>
      </c>
      <c r="T7" s="16">
        <f>IF(C7&lt;&gt;"",MAX(0,MIN(H7,EOMONTH(EDATE(Stammdaten!$B$6,5),0))-MAX(G7,EDATE(Stammdaten!$B$6,5))+1)/DAY(EOMONTH(EDATE(Stammdaten!$B$6,5),0)),0)</f>
        <v/>
      </c>
      <c r="U7" s="16">
        <f>IF(C7&lt;&gt;"",MAX(0,MIN(H7,EOMONTH(EDATE(Stammdaten!$B$6,6),0))-MAX(G7,EDATE(Stammdaten!$B$6,6))+1)/DAY(EOMONTH(EDATE(Stammdaten!$B$6,6),0)),0)</f>
        <v/>
      </c>
      <c r="V7" s="16">
        <f>IF(C7&lt;&gt;"",MAX(0,MIN(H7,EOMONTH(EDATE(Stammdaten!$B$6,7),0))-MAX(G7,EDATE(Stammdaten!$B$6,7))+1)/DAY(EOMONTH(EDATE(Stammdaten!$B$6,7),0)),0)</f>
        <v/>
      </c>
      <c r="W7" s="16">
        <f>IF(C7&lt;&gt;"",MAX(0,MIN(H7,EOMONTH(EDATE(Stammdaten!$B$6,8),0))-MAX(G7,EDATE(Stammdaten!$B$6,8))+1)/DAY(EOMONTH(EDATE(Stammdaten!$B$6,8),0)),0)</f>
        <v/>
      </c>
      <c r="X7" s="16">
        <f>IF(C7&lt;&gt;"",MAX(0,MIN(H7,EOMONTH(EDATE(Stammdaten!$B$6,9),0))-MAX(G7,EDATE(Stammdaten!$B$6,9))+1)/DAY(EOMONTH(EDATE(Stammdaten!$B$6,9),0)),0)</f>
        <v/>
      </c>
      <c r="Y7" s="16">
        <f>IF(C7&lt;&gt;"",MAX(0,MIN(H7,EOMONTH(EDATE(Stammdaten!$B$6,10),0))-MAX(G7,EDATE(Stammdaten!$B$6,10))+1)/DAY(EOMONTH(EDATE(Stammdaten!$B$6,10),0)),0)</f>
        <v/>
      </c>
      <c r="Z7" s="16">
        <f>IF(C7&lt;&gt;"",MAX(0,MIN(H7,EOMONTH(EDATE(Stammdaten!$B$6,11),0))-MAX(G7,EDATE(Stammdaten!$B$6,11))+1)/DAY(EOMONTH(EDATE(Stammdaten!$B$6,11),0)),0)</f>
        <v/>
      </c>
    </row>
    <row r="8">
      <c r="A8" s="13" t="n">
        <v>4</v>
      </c>
      <c r="B8" s="7" t="n"/>
      <c r="C8" s="7" t="n"/>
      <c r="D8" s="11" t="n"/>
      <c r="E8" s="11" t="n"/>
      <c r="F8" s="17" t="n"/>
      <c r="G8" s="12">
        <f>IF(C8&lt;&gt;"",MAX(IF(D8="",Stammdaten!$B$6,D8),Stammdaten!$B$6),"")</f>
        <v/>
      </c>
      <c r="H8" s="12">
        <f>IF(C8&lt;&gt;"",MIN(IF(E8="",Stammdaten!$B$7,E8),Stammdaten!$B$7),"")</f>
        <v/>
      </c>
      <c r="I8" s="13">
        <f>IF(C8&lt;&gt;"",MAX(0,H8-G8+1),0)</f>
        <v/>
      </c>
      <c r="J8" s="20">
        <f>IF(C8&lt;&gt;"",I8/Stammdaten!$B$8,0)</f>
        <v/>
      </c>
      <c r="K8" s="20">
        <f>IF(C8&lt;&gt;"",SUMPRODUCT(O8:Z8,$O$3:$Z$3)/Stammdaten!$E$17,0)</f>
        <v/>
      </c>
      <c r="L8" s="16">
        <f>IF(C8&lt;&gt;"",IFERROR(INDEX(Stammdaten!$C$22:$C$51,MATCH(C8,Stammdaten!$A$22:$A$51,0)),0),0)</f>
        <v/>
      </c>
      <c r="M8" s="16">
        <f>IF(C8&lt;&gt;"",IFERROR(INDEX(Stammdaten!$D$22:$D$51,MATCH(C8,Stammdaten!$A$22:$A$51,0)),0),0)</f>
        <v/>
      </c>
      <c r="N8" s="16">
        <f>IF(C8&lt;&gt;"",IFERROR(INDEX(Stammdaten!$E$22:$E$51,MATCH(C8,Stammdaten!$A$22:$A$51,0)),0),0)</f>
        <v/>
      </c>
      <c r="O8" s="16">
        <f>IF(C8&lt;&gt;"",MAX(0,MIN(H8,EOMONTH(EDATE(Stammdaten!$B$6,0),0))-MAX(G8,EDATE(Stammdaten!$B$6,0))+1)/DAY(EOMONTH(EDATE(Stammdaten!$B$6,0),0)),0)</f>
        <v/>
      </c>
      <c r="P8" s="16">
        <f>IF(C8&lt;&gt;"",MAX(0,MIN(H8,EOMONTH(EDATE(Stammdaten!$B$6,1),0))-MAX(G8,EDATE(Stammdaten!$B$6,1))+1)/DAY(EOMONTH(EDATE(Stammdaten!$B$6,1),0)),0)</f>
        <v/>
      </c>
      <c r="Q8" s="16">
        <f>IF(C8&lt;&gt;"",MAX(0,MIN(H8,EOMONTH(EDATE(Stammdaten!$B$6,2),0))-MAX(G8,EDATE(Stammdaten!$B$6,2))+1)/DAY(EOMONTH(EDATE(Stammdaten!$B$6,2),0)),0)</f>
        <v/>
      </c>
      <c r="R8" s="16">
        <f>IF(C8&lt;&gt;"",MAX(0,MIN(H8,EOMONTH(EDATE(Stammdaten!$B$6,3),0))-MAX(G8,EDATE(Stammdaten!$B$6,3))+1)/DAY(EOMONTH(EDATE(Stammdaten!$B$6,3),0)),0)</f>
        <v/>
      </c>
      <c r="S8" s="16">
        <f>IF(C8&lt;&gt;"",MAX(0,MIN(H8,EOMONTH(EDATE(Stammdaten!$B$6,4),0))-MAX(G8,EDATE(Stammdaten!$B$6,4))+1)/DAY(EOMONTH(EDATE(Stammdaten!$B$6,4),0)),0)</f>
        <v/>
      </c>
      <c r="T8" s="16">
        <f>IF(C8&lt;&gt;"",MAX(0,MIN(H8,EOMONTH(EDATE(Stammdaten!$B$6,5),0))-MAX(G8,EDATE(Stammdaten!$B$6,5))+1)/DAY(EOMONTH(EDATE(Stammdaten!$B$6,5),0)),0)</f>
        <v/>
      </c>
      <c r="U8" s="16">
        <f>IF(C8&lt;&gt;"",MAX(0,MIN(H8,EOMONTH(EDATE(Stammdaten!$B$6,6),0))-MAX(G8,EDATE(Stammdaten!$B$6,6))+1)/DAY(EOMONTH(EDATE(Stammdaten!$B$6,6),0)),0)</f>
        <v/>
      </c>
      <c r="V8" s="16">
        <f>IF(C8&lt;&gt;"",MAX(0,MIN(H8,EOMONTH(EDATE(Stammdaten!$B$6,7),0))-MAX(G8,EDATE(Stammdaten!$B$6,7))+1)/DAY(EOMONTH(EDATE(Stammdaten!$B$6,7),0)),0)</f>
        <v/>
      </c>
      <c r="W8" s="16">
        <f>IF(C8&lt;&gt;"",MAX(0,MIN(H8,EOMONTH(EDATE(Stammdaten!$B$6,8),0))-MAX(G8,EDATE(Stammdaten!$B$6,8))+1)/DAY(EOMONTH(EDATE(Stammdaten!$B$6,8),0)),0)</f>
        <v/>
      </c>
      <c r="X8" s="16">
        <f>IF(C8&lt;&gt;"",MAX(0,MIN(H8,EOMONTH(EDATE(Stammdaten!$B$6,9),0))-MAX(G8,EDATE(Stammdaten!$B$6,9))+1)/DAY(EOMONTH(EDATE(Stammdaten!$B$6,9),0)),0)</f>
        <v/>
      </c>
      <c r="Y8" s="16">
        <f>IF(C8&lt;&gt;"",MAX(0,MIN(H8,EOMONTH(EDATE(Stammdaten!$B$6,10),0))-MAX(G8,EDATE(Stammdaten!$B$6,10))+1)/DAY(EOMONTH(EDATE(Stammdaten!$B$6,10),0)),0)</f>
        <v/>
      </c>
      <c r="Z8" s="16">
        <f>IF(C8&lt;&gt;"",MAX(0,MIN(H8,EOMONTH(EDATE(Stammdaten!$B$6,11),0))-MAX(G8,EDATE(Stammdaten!$B$6,11))+1)/DAY(EOMONTH(EDATE(Stammdaten!$B$6,11),0)),0)</f>
        <v/>
      </c>
    </row>
    <row r="9">
      <c r="A9" s="13" t="n">
        <v>5</v>
      </c>
      <c r="B9" s="7" t="n"/>
      <c r="C9" s="7" t="n"/>
      <c r="D9" s="11" t="n"/>
      <c r="E9" s="11" t="n"/>
      <c r="F9" s="17" t="n"/>
      <c r="G9" s="12">
        <f>IF(C9&lt;&gt;"",MAX(IF(D9="",Stammdaten!$B$6,D9),Stammdaten!$B$6),"")</f>
        <v/>
      </c>
      <c r="H9" s="12">
        <f>IF(C9&lt;&gt;"",MIN(IF(E9="",Stammdaten!$B$7,E9),Stammdaten!$B$7),"")</f>
        <v/>
      </c>
      <c r="I9" s="13">
        <f>IF(C9&lt;&gt;"",MAX(0,H9-G9+1),0)</f>
        <v/>
      </c>
      <c r="J9" s="20">
        <f>IF(C9&lt;&gt;"",I9/Stammdaten!$B$8,0)</f>
        <v/>
      </c>
      <c r="K9" s="20">
        <f>IF(C9&lt;&gt;"",SUMPRODUCT(O9:Z9,$O$3:$Z$3)/Stammdaten!$E$17,0)</f>
        <v/>
      </c>
      <c r="L9" s="16">
        <f>IF(C9&lt;&gt;"",IFERROR(INDEX(Stammdaten!$C$22:$C$51,MATCH(C9,Stammdaten!$A$22:$A$51,0)),0),0)</f>
        <v/>
      </c>
      <c r="M9" s="16">
        <f>IF(C9&lt;&gt;"",IFERROR(INDEX(Stammdaten!$D$22:$D$51,MATCH(C9,Stammdaten!$A$22:$A$51,0)),0),0)</f>
        <v/>
      </c>
      <c r="N9" s="16">
        <f>IF(C9&lt;&gt;"",IFERROR(INDEX(Stammdaten!$E$22:$E$51,MATCH(C9,Stammdaten!$A$22:$A$51,0)),0),0)</f>
        <v/>
      </c>
      <c r="O9" s="16">
        <f>IF(C9&lt;&gt;"",MAX(0,MIN(H9,EOMONTH(EDATE(Stammdaten!$B$6,0),0))-MAX(G9,EDATE(Stammdaten!$B$6,0))+1)/DAY(EOMONTH(EDATE(Stammdaten!$B$6,0),0)),0)</f>
        <v/>
      </c>
      <c r="P9" s="16">
        <f>IF(C9&lt;&gt;"",MAX(0,MIN(H9,EOMONTH(EDATE(Stammdaten!$B$6,1),0))-MAX(G9,EDATE(Stammdaten!$B$6,1))+1)/DAY(EOMONTH(EDATE(Stammdaten!$B$6,1),0)),0)</f>
        <v/>
      </c>
      <c r="Q9" s="16">
        <f>IF(C9&lt;&gt;"",MAX(0,MIN(H9,EOMONTH(EDATE(Stammdaten!$B$6,2),0))-MAX(G9,EDATE(Stammdaten!$B$6,2))+1)/DAY(EOMONTH(EDATE(Stammdaten!$B$6,2),0)),0)</f>
        <v/>
      </c>
      <c r="R9" s="16">
        <f>IF(C9&lt;&gt;"",MAX(0,MIN(H9,EOMONTH(EDATE(Stammdaten!$B$6,3),0))-MAX(G9,EDATE(Stammdaten!$B$6,3))+1)/DAY(EOMONTH(EDATE(Stammdaten!$B$6,3),0)),0)</f>
        <v/>
      </c>
      <c r="S9" s="16">
        <f>IF(C9&lt;&gt;"",MAX(0,MIN(H9,EOMONTH(EDATE(Stammdaten!$B$6,4),0))-MAX(G9,EDATE(Stammdaten!$B$6,4))+1)/DAY(EOMONTH(EDATE(Stammdaten!$B$6,4),0)),0)</f>
        <v/>
      </c>
      <c r="T9" s="16">
        <f>IF(C9&lt;&gt;"",MAX(0,MIN(H9,EOMONTH(EDATE(Stammdaten!$B$6,5),0))-MAX(G9,EDATE(Stammdaten!$B$6,5))+1)/DAY(EOMONTH(EDATE(Stammdaten!$B$6,5),0)),0)</f>
        <v/>
      </c>
      <c r="U9" s="16">
        <f>IF(C9&lt;&gt;"",MAX(0,MIN(H9,EOMONTH(EDATE(Stammdaten!$B$6,6),0))-MAX(G9,EDATE(Stammdaten!$B$6,6))+1)/DAY(EOMONTH(EDATE(Stammdaten!$B$6,6),0)),0)</f>
        <v/>
      </c>
      <c r="V9" s="16">
        <f>IF(C9&lt;&gt;"",MAX(0,MIN(H9,EOMONTH(EDATE(Stammdaten!$B$6,7),0))-MAX(G9,EDATE(Stammdaten!$B$6,7))+1)/DAY(EOMONTH(EDATE(Stammdaten!$B$6,7),0)),0)</f>
        <v/>
      </c>
      <c r="W9" s="16">
        <f>IF(C9&lt;&gt;"",MAX(0,MIN(H9,EOMONTH(EDATE(Stammdaten!$B$6,8),0))-MAX(G9,EDATE(Stammdaten!$B$6,8))+1)/DAY(EOMONTH(EDATE(Stammdaten!$B$6,8),0)),0)</f>
        <v/>
      </c>
      <c r="X9" s="16">
        <f>IF(C9&lt;&gt;"",MAX(0,MIN(H9,EOMONTH(EDATE(Stammdaten!$B$6,9),0))-MAX(G9,EDATE(Stammdaten!$B$6,9))+1)/DAY(EOMONTH(EDATE(Stammdaten!$B$6,9),0)),0)</f>
        <v/>
      </c>
      <c r="Y9" s="16">
        <f>IF(C9&lt;&gt;"",MAX(0,MIN(H9,EOMONTH(EDATE(Stammdaten!$B$6,10),0))-MAX(G9,EDATE(Stammdaten!$B$6,10))+1)/DAY(EOMONTH(EDATE(Stammdaten!$B$6,10),0)),0)</f>
        <v/>
      </c>
      <c r="Z9" s="16">
        <f>IF(C9&lt;&gt;"",MAX(0,MIN(H9,EOMONTH(EDATE(Stammdaten!$B$6,11),0))-MAX(G9,EDATE(Stammdaten!$B$6,11))+1)/DAY(EOMONTH(EDATE(Stammdaten!$B$6,11),0)),0)</f>
        <v/>
      </c>
    </row>
    <row r="10">
      <c r="A10" s="13" t="n">
        <v>6</v>
      </c>
      <c r="B10" s="7" t="n"/>
      <c r="C10" s="7" t="n"/>
      <c r="D10" s="11" t="n"/>
      <c r="E10" s="11" t="n"/>
      <c r="F10" s="17" t="n"/>
      <c r="G10" s="12">
        <f>IF(C10&lt;&gt;"",MAX(IF(D10="",Stammdaten!$B$6,D10),Stammdaten!$B$6),"")</f>
        <v/>
      </c>
      <c r="H10" s="12">
        <f>IF(C10&lt;&gt;"",MIN(IF(E10="",Stammdaten!$B$7,E10),Stammdaten!$B$7),"")</f>
        <v/>
      </c>
      <c r="I10" s="13">
        <f>IF(C10&lt;&gt;"",MAX(0,H10-G10+1),0)</f>
        <v/>
      </c>
      <c r="J10" s="20">
        <f>IF(C10&lt;&gt;"",I10/Stammdaten!$B$8,0)</f>
        <v/>
      </c>
      <c r="K10" s="20">
        <f>IF(C10&lt;&gt;"",SUMPRODUCT(O10:Z10,$O$3:$Z$3)/Stammdaten!$E$17,0)</f>
        <v/>
      </c>
      <c r="L10" s="16">
        <f>IF(C10&lt;&gt;"",IFERROR(INDEX(Stammdaten!$C$22:$C$51,MATCH(C10,Stammdaten!$A$22:$A$51,0)),0),0)</f>
        <v/>
      </c>
      <c r="M10" s="16">
        <f>IF(C10&lt;&gt;"",IFERROR(INDEX(Stammdaten!$D$22:$D$51,MATCH(C10,Stammdaten!$A$22:$A$51,0)),0),0)</f>
        <v/>
      </c>
      <c r="N10" s="16">
        <f>IF(C10&lt;&gt;"",IFERROR(INDEX(Stammdaten!$E$22:$E$51,MATCH(C10,Stammdaten!$A$22:$A$51,0)),0),0)</f>
        <v/>
      </c>
      <c r="O10" s="16">
        <f>IF(C10&lt;&gt;"",MAX(0,MIN(H10,EOMONTH(EDATE(Stammdaten!$B$6,0),0))-MAX(G10,EDATE(Stammdaten!$B$6,0))+1)/DAY(EOMONTH(EDATE(Stammdaten!$B$6,0),0)),0)</f>
        <v/>
      </c>
      <c r="P10" s="16">
        <f>IF(C10&lt;&gt;"",MAX(0,MIN(H10,EOMONTH(EDATE(Stammdaten!$B$6,1),0))-MAX(G10,EDATE(Stammdaten!$B$6,1))+1)/DAY(EOMONTH(EDATE(Stammdaten!$B$6,1),0)),0)</f>
        <v/>
      </c>
      <c r="Q10" s="16">
        <f>IF(C10&lt;&gt;"",MAX(0,MIN(H10,EOMONTH(EDATE(Stammdaten!$B$6,2),0))-MAX(G10,EDATE(Stammdaten!$B$6,2))+1)/DAY(EOMONTH(EDATE(Stammdaten!$B$6,2),0)),0)</f>
        <v/>
      </c>
      <c r="R10" s="16">
        <f>IF(C10&lt;&gt;"",MAX(0,MIN(H10,EOMONTH(EDATE(Stammdaten!$B$6,3),0))-MAX(G10,EDATE(Stammdaten!$B$6,3))+1)/DAY(EOMONTH(EDATE(Stammdaten!$B$6,3),0)),0)</f>
        <v/>
      </c>
      <c r="S10" s="16">
        <f>IF(C10&lt;&gt;"",MAX(0,MIN(H10,EOMONTH(EDATE(Stammdaten!$B$6,4),0))-MAX(G10,EDATE(Stammdaten!$B$6,4))+1)/DAY(EOMONTH(EDATE(Stammdaten!$B$6,4),0)),0)</f>
        <v/>
      </c>
      <c r="T10" s="16">
        <f>IF(C10&lt;&gt;"",MAX(0,MIN(H10,EOMONTH(EDATE(Stammdaten!$B$6,5),0))-MAX(G10,EDATE(Stammdaten!$B$6,5))+1)/DAY(EOMONTH(EDATE(Stammdaten!$B$6,5),0)),0)</f>
        <v/>
      </c>
      <c r="U10" s="16">
        <f>IF(C10&lt;&gt;"",MAX(0,MIN(H10,EOMONTH(EDATE(Stammdaten!$B$6,6),0))-MAX(G10,EDATE(Stammdaten!$B$6,6))+1)/DAY(EOMONTH(EDATE(Stammdaten!$B$6,6),0)),0)</f>
        <v/>
      </c>
      <c r="V10" s="16">
        <f>IF(C10&lt;&gt;"",MAX(0,MIN(H10,EOMONTH(EDATE(Stammdaten!$B$6,7),0))-MAX(G10,EDATE(Stammdaten!$B$6,7))+1)/DAY(EOMONTH(EDATE(Stammdaten!$B$6,7),0)),0)</f>
        <v/>
      </c>
      <c r="W10" s="16">
        <f>IF(C10&lt;&gt;"",MAX(0,MIN(H10,EOMONTH(EDATE(Stammdaten!$B$6,8),0))-MAX(G10,EDATE(Stammdaten!$B$6,8))+1)/DAY(EOMONTH(EDATE(Stammdaten!$B$6,8),0)),0)</f>
        <v/>
      </c>
      <c r="X10" s="16">
        <f>IF(C10&lt;&gt;"",MAX(0,MIN(H10,EOMONTH(EDATE(Stammdaten!$B$6,9),0))-MAX(G10,EDATE(Stammdaten!$B$6,9))+1)/DAY(EOMONTH(EDATE(Stammdaten!$B$6,9),0)),0)</f>
        <v/>
      </c>
      <c r="Y10" s="16">
        <f>IF(C10&lt;&gt;"",MAX(0,MIN(H10,EOMONTH(EDATE(Stammdaten!$B$6,10),0))-MAX(G10,EDATE(Stammdaten!$B$6,10))+1)/DAY(EOMONTH(EDATE(Stammdaten!$B$6,10),0)),0)</f>
        <v/>
      </c>
      <c r="Z10" s="16">
        <f>IF(C10&lt;&gt;"",MAX(0,MIN(H10,EOMONTH(EDATE(Stammdaten!$B$6,11),0))-MAX(G10,EDATE(Stammdaten!$B$6,11))+1)/DAY(EOMONTH(EDATE(Stammdaten!$B$6,11),0)),0)</f>
        <v/>
      </c>
    </row>
    <row r="11">
      <c r="A11" s="13" t="n">
        <v>7</v>
      </c>
      <c r="B11" s="7" t="n"/>
      <c r="C11" s="7" t="n"/>
      <c r="D11" s="11" t="n"/>
      <c r="E11" s="11" t="n"/>
      <c r="F11" s="17" t="n"/>
      <c r="G11" s="12">
        <f>IF(C11&lt;&gt;"",MAX(IF(D11="",Stammdaten!$B$6,D11),Stammdaten!$B$6),"")</f>
        <v/>
      </c>
      <c r="H11" s="12">
        <f>IF(C11&lt;&gt;"",MIN(IF(E11="",Stammdaten!$B$7,E11),Stammdaten!$B$7),"")</f>
        <v/>
      </c>
      <c r="I11" s="13">
        <f>IF(C11&lt;&gt;"",MAX(0,H11-G11+1),0)</f>
        <v/>
      </c>
      <c r="J11" s="20">
        <f>IF(C11&lt;&gt;"",I11/Stammdaten!$B$8,0)</f>
        <v/>
      </c>
      <c r="K11" s="20">
        <f>IF(C11&lt;&gt;"",SUMPRODUCT(O11:Z11,$O$3:$Z$3)/Stammdaten!$E$17,0)</f>
        <v/>
      </c>
      <c r="L11" s="16">
        <f>IF(C11&lt;&gt;"",IFERROR(INDEX(Stammdaten!$C$22:$C$51,MATCH(C11,Stammdaten!$A$22:$A$51,0)),0),0)</f>
        <v/>
      </c>
      <c r="M11" s="16">
        <f>IF(C11&lt;&gt;"",IFERROR(INDEX(Stammdaten!$D$22:$D$51,MATCH(C11,Stammdaten!$A$22:$A$51,0)),0),0)</f>
        <v/>
      </c>
      <c r="N11" s="16">
        <f>IF(C11&lt;&gt;"",IFERROR(INDEX(Stammdaten!$E$22:$E$51,MATCH(C11,Stammdaten!$A$22:$A$51,0)),0),0)</f>
        <v/>
      </c>
      <c r="O11" s="16">
        <f>IF(C11&lt;&gt;"",MAX(0,MIN(H11,EOMONTH(EDATE(Stammdaten!$B$6,0),0))-MAX(G11,EDATE(Stammdaten!$B$6,0))+1)/DAY(EOMONTH(EDATE(Stammdaten!$B$6,0),0)),0)</f>
        <v/>
      </c>
      <c r="P11" s="16">
        <f>IF(C11&lt;&gt;"",MAX(0,MIN(H11,EOMONTH(EDATE(Stammdaten!$B$6,1),0))-MAX(G11,EDATE(Stammdaten!$B$6,1))+1)/DAY(EOMONTH(EDATE(Stammdaten!$B$6,1),0)),0)</f>
        <v/>
      </c>
      <c r="Q11" s="16">
        <f>IF(C11&lt;&gt;"",MAX(0,MIN(H11,EOMONTH(EDATE(Stammdaten!$B$6,2),0))-MAX(G11,EDATE(Stammdaten!$B$6,2))+1)/DAY(EOMONTH(EDATE(Stammdaten!$B$6,2),0)),0)</f>
        <v/>
      </c>
      <c r="R11" s="16">
        <f>IF(C11&lt;&gt;"",MAX(0,MIN(H11,EOMONTH(EDATE(Stammdaten!$B$6,3),0))-MAX(G11,EDATE(Stammdaten!$B$6,3))+1)/DAY(EOMONTH(EDATE(Stammdaten!$B$6,3),0)),0)</f>
        <v/>
      </c>
      <c r="S11" s="16">
        <f>IF(C11&lt;&gt;"",MAX(0,MIN(H11,EOMONTH(EDATE(Stammdaten!$B$6,4),0))-MAX(G11,EDATE(Stammdaten!$B$6,4))+1)/DAY(EOMONTH(EDATE(Stammdaten!$B$6,4),0)),0)</f>
        <v/>
      </c>
      <c r="T11" s="16">
        <f>IF(C11&lt;&gt;"",MAX(0,MIN(H11,EOMONTH(EDATE(Stammdaten!$B$6,5),0))-MAX(G11,EDATE(Stammdaten!$B$6,5))+1)/DAY(EOMONTH(EDATE(Stammdaten!$B$6,5),0)),0)</f>
        <v/>
      </c>
      <c r="U11" s="16">
        <f>IF(C11&lt;&gt;"",MAX(0,MIN(H11,EOMONTH(EDATE(Stammdaten!$B$6,6),0))-MAX(G11,EDATE(Stammdaten!$B$6,6))+1)/DAY(EOMONTH(EDATE(Stammdaten!$B$6,6),0)),0)</f>
        <v/>
      </c>
      <c r="V11" s="16">
        <f>IF(C11&lt;&gt;"",MAX(0,MIN(H11,EOMONTH(EDATE(Stammdaten!$B$6,7),0))-MAX(G11,EDATE(Stammdaten!$B$6,7))+1)/DAY(EOMONTH(EDATE(Stammdaten!$B$6,7),0)),0)</f>
        <v/>
      </c>
      <c r="W11" s="16">
        <f>IF(C11&lt;&gt;"",MAX(0,MIN(H11,EOMONTH(EDATE(Stammdaten!$B$6,8),0))-MAX(G11,EDATE(Stammdaten!$B$6,8))+1)/DAY(EOMONTH(EDATE(Stammdaten!$B$6,8),0)),0)</f>
        <v/>
      </c>
      <c r="X11" s="16">
        <f>IF(C11&lt;&gt;"",MAX(0,MIN(H11,EOMONTH(EDATE(Stammdaten!$B$6,9),0))-MAX(G11,EDATE(Stammdaten!$B$6,9))+1)/DAY(EOMONTH(EDATE(Stammdaten!$B$6,9),0)),0)</f>
        <v/>
      </c>
      <c r="Y11" s="16">
        <f>IF(C11&lt;&gt;"",MAX(0,MIN(H11,EOMONTH(EDATE(Stammdaten!$B$6,10),0))-MAX(G11,EDATE(Stammdaten!$B$6,10))+1)/DAY(EOMONTH(EDATE(Stammdaten!$B$6,10),0)),0)</f>
        <v/>
      </c>
      <c r="Z11" s="16">
        <f>IF(C11&lt;&gt;"",MAX(0,MIN(H11,EOMONTH(EDATE(Stammdaten!$B$6,11),0))-MAX(G11,EDATE(Stammdaten!$B$6,11))+1)/DAY(EOMONTH(EDATE(Stammdaten!$B$6,11),0)),0)</f>
        <v/>
      </c>
    </row>
    <row r="12">
      <c r="A12" s="13" t="n">
        <v>8</v>
      </c>
      <c r="B12" s="7" t="n"/>
      <c r="C12" s="7" t="n"/>
      <c r="D12" s="11" t="n"/>
      <c r="E12" s="11" t="n"/>
      <c r="F12" s="17" t="n"/>
      <c r="G12" s="12">
        <f>IF(C12&lt;&gt;"",MAX(IF(D12="",Stammdaten!$B$6,D12),Stammdaten!$B$6),"")</f>
        <v/>
      </c>
      <c r="H12" s="12">
        <f>IF(C12&lt;&gt;"",MIN(IF(E12="",Stammdaten!$B$7,E12),Stammdaten!$B$7),"")</f>
        <v/>
      </c>
      <c r="I12" s="13">
        <f>IF(C12&lt;&gt;"",MAX(0,H12-G12+1),0)</f>
        <v/>
      </c>
      <c r="J12" s="20">
        <f>IF(C12&lt;&gt;"",I12/Stammdaten!$B$8,0)</f>
        <v/>
      </c>
      <c r="K12" s="20">
        <f>IF(C12&lt;&gt;"",SUMPRODUCT(O12:Z12,$O$3:$Z$3)/Stammdaten!$E$17,0)</f>
        <v/>
      </c>
      <c r="L12" s="16">
        <f>IF(C12&lt;&gt;"",IFERROR(INDEX(Stammdaten!$C$22:$C$51,MATCH(C12,Stammdaten!$A$22:$A$51,0)),0),0)</f>
        <v/>
      </c>
      <c r="M12" s="16">
        <f>IF(C12&lt;&gt;"",IFERROR(INDEX(Stammdaten!$D$22:$D$51,MATCH(C12,Stammdaten!$A$22:$A$51,0)),0),0)</f>
        <v/>
      </c>
      <c r="N12" s="16">
        <f>IF(C12&lt;&gt;"",IFERROR(INDEX(Stammdaten!$E$22:$E$51,MATCH(C12,Stammdaten!$A$22:$A$51,0)),0),0)</f>
        <v/>
      </c>
      <c r="O12" s="16">
        <f>IF(C12&lt;&gt;"",MAX(0,MIN(H12,EOMONTH(EDATE(Stammdaten!$B$6,0),0))-MAX(G12,EDATE(Stammdaten!$B$6,0))+1)/DAY(EOMONTH(EDATE(Stammdaten!$B$6,0),0)),0)</f>
        <v/>
      </c>
      <c r="P12" s="16">
        <f>IF(C12&lt;&gt;"",MAX(0,MIN(H12,EOMONTH(EDATE(Stammdaten!$B$6,1),0))-MAX(G12,EDATE(Stammdaten!$B$6,1))+1)/DAY(EOMONTH(EDATE(Stammdaten!$B$6,1),0)),0)</f>
        <v/>
      </c>
      <c r="Q12" s="16">
        <f>IF(C12&lt;&gt;"",MAX(0,MIN(H12,EOMONTH(EDATE(Stammdaten!$B$6,2),0))-MAX(G12,EDATE(Stammdaten!$B$6,2))+1)/DAY(EOMONTH(EDATE(Stammdaten!$B$6,2),0)),0)</f>
        <v/>
      </c>
      <c r="R12" s="16">
        <f>IF(C12&lt;&gt;"",MAX(0,MIN(H12,EOMONTH(EDATE(Stammdaten!$B$6,3),0))-MAX(G12,EDATE(Stammdaten!$B$6,3))+1)/DAY(EOMONTH(EDATE(Stammdaten!$B$6,3),0)),0)</f>
        <v/>
      </c>
      <c r="S12" s="16">
        <f>IF(C12&lt;&gt;"",MAX(0,MIN(H12,EOMONTH(EDATE(Stammdaten!$B$6,4),0))-MAX(G12,EDATE(Stammdaten!$B$6,4))+1)/DAY(EOMONTH(EDATE(Stammdaten!$B$6,4),0)),0)</f>
        <v/>
      </c>
      <c r="T12" s="16">
        <f>IF(C12&lt;&gt;"",MAX(0,MIN(H12,EOMONTH(EDATE(Stammdaten!$B$6,5),0))-MAX(G12,EDATE(Stammdaten!$B$6,5))+1)/DAY(EOMONTH(EDATE(Stammdaten!$B$6,5),0)),0)</f>
        <v/>
      </c>
      <c r="U12" s="16">
        <f>IF(C12&lt;&gt;"",MAX(0,MIN(H12,EOMONTH(EDATE(Stammdaten!$B$6,6),0))-MAX(G12,EDATE(Stammdaten!$B$6,6))+1)/DAY(EOMONTH(EDATE(Stammdaten!$B$6,6),0)),0)</f>
        <v/>
      </c>
      <c r="V12" s="16">
        <f>IF(C12&lt;&gt;"",MAX(0,MIN(H12,EOMONTH(EDATE(Stammdaten!$B$6,7),0))-MAX(G12,EDATE(Stammdaten!$B$6,7))+1)/DAY(EOMONTH(EDATE(Stammdaten!$B$6,7),0)),0)</f>
        <v/>
      </c>
      <c r="W12" s="16">
        <f>IF(C12&lt;&gt;"",MAX(0,MIN(H12,EOMONTH(EDATE(Stammdaten!$B$6,8),0))-MAX(G12,EDATE(Stammdaten!$B$6,8))+1)/DAY(EOMONTH(EDATE(Stammdaten!$B$6,8),0)),0)</f>
        <v/>
      </c>
      <c r="X12" s="16">
        <f>IF(C12&lt;&gt;"",MAX(0,MIN(H12,EOMONTH(EDATE(Stammdaten!$B$6,9),0))-MAX(G12,EDATE(Stammdaten!$B$6,9))+1)/DAY(EOMONTH(EDATE(Stammdaten!$B$6,9),0)),0)</f>
        <v/>
      </c>
      <c r="Y12" s="16">
        <f>IF(C12&lt;&gt;"",MAX(0,MIN(H12,EOMONTH(EDATE(Stammdaten!$B$6,10),0))-MAX(G12,EDATE(Stammdaten!$B$6,10))+1)/DAY(EOMONTH(EDATE(Stammdaten!$B$6,10),0)),0)</f>
        <v/>
      </c>
      <c r="Z12" s="16">
        <f>IF(C12&lt;&gt;"",MAX(0,MIN(H12,EOMONTH(EDATE(Stammdaten!$B$6,11),0))-MAX(G12,EDATE(Stammdaten!$B$6,11))+1)/DAY(EOMONTH(EDATE(Stammdaten!$B$6,11),0)),0)</f>
        <v/>
      </c>
    </row>
    <row r="13">
      <c r="A13" s="13" t="n">
        <v>9</v>
      </c>
      <c r="B13" s="7" t="n"/>
      <c r="C13" s="7" t="n"/>
      <c r="D13" s="11" t="n"/>
      <c r="E13" s="11" t="n"/>
      <c r="F13" s="17" t="n"/>
      <c r="G13" s="12">
        <f>IF(C13&lt;&gt;"",MAX(IF(D13="",Stammdaten!$B$6,D13),Stammdaten!$B$6),"")</f>
        <v/>
      </c>
      <c r="H13" s="12">
        <f>IF(C13&lt;&gt;"",MIN(IF(E13="",Stammdaten!$B$7,E13),Stammdaten!$B$7),"")</f>
        <v/>
      </c>
      <c r="I13" s="13">
        <f>IF(C13&lt;&gt;"",MAX(0,H13-G13+1),0)</f>
        <v/>
      </c>
      <c r="J13" s="20">
        <f>IF(C13&lt;&gt;"",I13/Stammdaten!$B$8,0)</f>
        <v/>
      </c>
      <c r="K13" s="20">
        <f>IF(C13&lt;&gt;"",SUMPRODUCT(O13:Z13,$O$3:$Z$3)/Stammdaten!$E$17,0)</f>
        <v/>
      </c>
      <c r="L13" s="16">
        <f>IF(C13&lt;&gt;"",IFERROR(INDEX(Stammdaten!$C$22:$C$51,MATCH(C13,Stammdaten!$A$22:$A$51,0)),0),0)</f>
        <v/>
      </c>
      <c r="M13" s="16">
        <f>IF(C13&lt;&gt;"",IFERROR(INDEX(Stammdaten!$D$22:$D$51,MATCH(C13,Stammdaten!$A$22:$A$51,0)),0),0)</f>
        <v/>
      </c>
      <c r="N13" s="16">
        <f>IF(C13&lt;&gt;"",IFERROR(INDEX(Stammdaten!$E$22:$E$51,MATCH(C13,Stammdaten!$A$22:$A$51,0)),0),0)</f>
        <v/>
      </c>
      <c r="O13" s="16">
        <f>IF(C13&lt;&gt;"",MAX(0,MIN(H13,EOMONTH(EDATE(Stammdaten!$B$6,0),0))-MAX(G13,EDATE(Stammdaten!$B$6,0))+1)/DAY(EOMONTH(EDATE(Stammdaten!$B$6,0),0)),0)</f>
        <v/>
      </c>
      <c r="P13" s="16">
        <f>IF(C13&lt;&gt;"",MAX(0,MIN(H13,EOMONTH(EDATE(Stammdaten!$B$6,1),0))-MAX(G13,EDATE(Stammdaten!$B$6,1))+1)/DAY(EOMONTH(EDATE(Stammdaten!$B$6,1),0)),0)</f>
        <v/>
      </c>
      <c r="Q13" s="16">
        <f>IF(C13&lt;&gt;"",MAX(0,MIN(H13,EOMONTH(EDATE(Stammdaten!$B$6,2),0))-MAX(G13,EDATE(Stammdaten!$B$6,2))+1)/DAY(EOMONTH(EDATE(Stammdaten!$B$6,2),0)),0)</f>
        <v/>
      </c>
      <c r="R13" s="16">
        <f>IF(C13&lt;&gt;"",MAX(0,MIN(H13,EOMONTH(EDATE(Stammdaten!$B$6,3),0))-MAX(G13,EDATE(Stammdaten!$B$6,3))+1)/DAY(EOMONTH(EDATE(Stammdaten!$B$6,3),0)),0)</f>
        <v/>
      </c>
      <c r="S13" s="16">
        <f>IF(C13&lt;&gt;"",MAX(0,MIN(H13,EOMONTH(EDATE(Stammdaten!$B$6,4),0))-MAX(G13,EDATE(Stammdaten!$B$6,4))+1)/DAY(EOMONTH(EDATE(Stammdaten!$B$6,4),0)),0)</f>
        <v/>
      </c>
      <c r="T13" s="16">
        <f>IF(C13&lt;&gt;"",MAX(0,MIN(H13,EOMONTH(EDATE(Stammdaten!$B$6,5),0))-MAX(G13,EDATE(Stammdaten!$B$6,5))+1)/DAY(EOMONTH(EDATE(Stammdaten!$B$6,5),0)),0)</f>
        <v/>
      </c>
      <c r="U13" s="16">
        <f>IF(C13&lt;&gt;"",MAX(0,MIN(H13,EOMONTH(EDATE(Stammdaten!$B$6,6),0))-MAX(G13,EDATE(Stammdaten!$B$6,6))+1)/DAY(EOMONTH(EDATE(Stammdaten!$B$6,6),0)),0)</f>
        <v/>
      </c>
      <c r="V13" s="16">
        <f>IF(C13&lt;&gt;"",MAX(0,MIN(H13,EOMONTH(EDATE(Stammdaten!$B$6,7),0))-MAX(G13,EDATE(Stammdaten!$B$6,7))+1)/DAY(EOMONTH(EDATE(Stammdaten!$B$6,7),0)),0)</f>
        <v/>
      </c>
      <c r="W13" s="16">
        <f>IF(C13&lt;&gt;"",MAX(0,MIN(H13,EOMONTH(EDATE(Stammdaten!$B$6,8),0))-MAX(G13,EDATE(Stammdaten!$B$6,8))+1)/DAY(EOMONTH(EDATE(Stammdaten!$B$6,8),0)),0)</f>
        <v/>
      </c>
      <c r="X13" s="16">
        <f>IF(C13&lt;&gt;"",MAX(0,MIN(H13,EOMONTH(EDATE(Stammdaten!$B$6,9),0))-MAX(G13,EDATE(Stammdaten!$B$6,9))+1)/DAY(EOMONTH(EDATE(Stammdaten!$B$6,9),0)),0)</f>
        <v/>
      </c>
      <c r="Y13" s="16">
        <f>IF(C13&lt;&gt;"",MAX(0,MIN(H13,EOMONTH(EDATE(Stammdaten!$B$6,10),0))-MAX(G13,EDATE(Stammdaten!$B$6,10))+1)/DAY(EOMONTH(EDATE(Stammdaten!$B$6,10),0)),0)</f>
        <v/>
      </c>
      <c r="Z13" s="16">
        <f>IF(C13&lt;&gt;"",MAX(0,MIN(H13,EOMONTH(EDATE(Stammdaten!$B$6,11),0))-MAX(G13,EDATE(Stammdaten!$B$6,11))+1)/DAY(EOMONTH(EDATE(Stammdaten!$B$6,11),0)),0)</f>
        <v/>
      </c>
    </row>
    <row r="14">
      <c r="A14" s="13" t="n">
        <v>10</v>
      </c>
      <c r="B14" s="7" t="n"/>
      <c r="C14" s="7" t="n"/>
      <c r="D14" s="11" t="n"/>
      <c r="E14" s="11" t="n"/>
      <c r="F14" s="17" t="n"/>
      <c r="G14" s="12">
        <f>IF(C14&lt;&gt;"",MAX(IF(D14="",Stammdaten!$B$6,D14),Stammdaten!$B$6),"")</f>
        <v/>
      </c>
      <c r="H14" s="12">
        <f>IF(C14&lt;&gt;"",MIN(IF(E14="",Stammdaten!$B$7,E14),Stammdaten!$B$7),"")</f>
        <v/>
      </c>
      <c r="I14" s="13">
        <f>IF(C14&lt;&gt;"",MAX(0,H14-G14+1),0)</f>
        <v/>
      </c>
      <c r="J14" s="20">
        <f>IF(C14&lt;&gt;"",I14/Stammdaten!$B$8,0)</f>
        <v/>
      </c>
      <c r="K14" s="20">
        <f>IF(C14&lt;&gt;"",SUMPRODUCT(O14:Z14,$O$3:$Z$3)/Stammdaten!$E$17,0)</f>
        <v/>
      </c>
      <c r="L14" s="16">
        <f>IF(C14&lt;&gt;"",IFERROR(INDEX(Stammdaten!$C$22:$C$51,MATCH(C14,Stammdaten!$A$22:$A$51,0)),0),0)</f>
        <v/>
      </c>
      <c r="M14" s="16">
        <f>IF(C14&lt;&gt;"",IFERROR(INDEX(Stammdaten!$D$22:$D$51,MATCH(C14,Stammdaten!$A$22:$A$51,0)),0),0)</f>
        <v/>
      </c>
      <c r="N14" s="16">
        <f>IF(C14&lt;&gt;"",IFERROR(INDEX(Stammdaten!$E$22:$E$51,MATCH(C14,Stammdaten!$A$22:$A$51,0)),0),0)</f>
        <v/>
      </c>
      <c r="O14" s="16">
        <f>IF(C14&lt;&gt;"",MAX(0,MIN(H14,EOMONTH(EDATE(Stammdaten!$B$6,0),0))-MAX(G14,EDATE(Stammdaten!$B$6,0))+1)/DAY(EOMONTH(EDATE(Stammdaten!$B$6,0),0)),0)</f>
        <v/>
      </c>
      <c r="P14" s="16">
        <f>IF(C14&lt;&gt;"",MAX(0,MIN(H14,EOMONTH(EDATE(Stammdaten!$B$6,1),0))-MAX(G14,EDATE(Stammdaten!$B$6,1))+1)/DAY(EOMONTH(EDATE(Stammdaten!$B$6,1),0)),0)</f>
        <v/>
      </c>
      <c r="Q14" s="16">
        <f>IF(C14&lt;&gt;"",MAX(0,MIN(H14,EOMONTH(EDATE(Stammdaten!$B$6,2),0))-MAX(G14,EDATE(Stammdaten!$B$6,2))+1)/DAY(EOMONTH(EDATE(Stammdaten!$B$6,2),0)),0)</f>
        <v/>
      </c>
      <c r="R14" s="16">
        <f>IF(C14&lt;&gt;"",MAX(0,MIN(H14,EOMONTH(EDATE(Stammdaten!$B$6,3),0))-MAX(G14,EDATE(Stammdaten!$B$6,3))+1)/DAY(EOMONTH(EDATE(Stammdaten!$B$6,3),0)),0)</f>
        <v/>
      </c>
      <c r="S14" s="16">
        <f>IF(C14&lt;&gt;"",MAX(0,MIN(H14,EOMONTH(EDATE(Stammdaten!$B$6,4),0))-MAX(G14,EDATE(Stammdaten!$B$6,4))+1)/DAY(EOMONTH(EDATE(Stammdaten!$B$6,4),0)),0)</f>
        <v/>
      </c>
      <c r="T14" s="16">
        <f>IF(C14&lt;&gt;"",MAX(0,MIN(H14,EOMONTH(EDATE(Stammdaten!$B$6,5),0))-MAX(G14,EDATE(Stammdaten!$B$6,5))+1)/DAY(EOMONTH(EDATE(Stammdaten!$B$6,5),0)),0)</f>
        <v/>
      </c>
      <c r="U14" s="16">
        <f>IF(C14&lt;&gt;"",MAX(0,MIN(H14,EOMONTH(EDATE(Stammdaten!$B$6,6),0))-MAX(G14,EDATE(Stammdaten!$B$6,6))+1)/DAY(EOMONTH(EDATE(Stammdaten!$B$6,6),0)),0)</f>
        <v/>
      </c>
      <c r="V14" s="16">
        <f>IF(C14&lt;&gt;"",MAX(0,MIN(H14,EOMONTH(EDATE(Stammdaten!$B$6,7),0))-MAX(G14,EDATE(Stammdaten!$B$6,7))+1)/DAY(EOMONTH(EDATE(Stammdaten!$B$6,7),0)),0)</f>
        <v/>
      </c>
      <c r="W14" s="16">
        <f>IF(C14&lt;&gt;"",MAX(0,MIN(H14,EOMONTH(EDATE(Stammdaten!$B$6,8),0))-MAX(G14,EDATE(Stammdaten!$B$6,8))+1)/DAY(EOMONTH(EDATE(Stammdaten!$B$6,8),0)),0)</f>
        <v/>
      </c>
      <c r="X14" s="16">
        <f>IF(C14&lt;&gt;"",MAX(0,MIN(H14,EOMONTH(EDATE(Stammdaten!$B$6,9),0))-MAX(G14,EDATE(Stammdaten!$B$6,9))+1)/DAY(EOMONTH(EDATE(Stammdaten!$B$6,9),0)),0)</f>
        <v/>
      </c>
      <c r="Y14" s="16">
        <f>IF(C14&lt;&gt;"",MAX(0,MIN(H14,EOMONTH(EDATE(Stammdaten!$B$6,10),0))-MAX(G14,EDATE(Stammdaten!$B$6,10))+1)/DAY(EOMONTH(EDATE(Stammdaten!$B$6,10),0)),0)</f>
        <v/>
      </c>
      <c r="Z14" s="16">
        <f>IF(C14&lt;&gt;"",MAX(0,MIN(H14,EOMONTH(EDATE(Stammdaten!$B$6,11),0))-MAX(G14,EDATE(Stammdaten!$B$6,11))+1)/DAY(EOMONTH(EDATE(Stammdaten!$B$6,11),0)),0)</f>
        <v/>
      </c>
    </row>
    <row r="15">
      <c r="A15" s="13" t="n">
        <v>11</v>
      </c>
      <c r="B15" s="7" t="n"/>
      <c r="C15" s="7" t="n"/>
      <c r="D15" s="11" t="n"/>
      <c r="E15" s="11" t="n"/>
      <c r="F15" s="17" t="n"/>
      <c r="G15" s="12">
        <f>IF(C15&lt;&gt;"",MAX(IF(D15="",Stammdaten!$B$6,D15),Stammdaten!$B$6),"")</f>
        <v/>
      </c>
      <c r="H15" s="12">
        <f>IF(C15&lt;&gt;"",MIN(IF(E15="",Stammdaten!$B$7,E15),Stammdaten!$B$7),"")</f>
        <v/>
      </c>
      <c r="I15" s="13">
        <f>IF(C15&lt;&gt;"",MAX(0,H15-G15+1),0)</f>
        <v/>
      </c>
      <c r="J15" s="20">
        <f>IF(C15&lt;&gt;"",I15/Stammdaten!$B$8,0)</f>
        <v/>
      </c>
      <c r="K15" s="20">
        <f>IF(C15&lt;&gt;"",SUMPRODUCT(O15:Z15,$O$3:$Z$3)/Stammdaten!$E$17,0)</f>
        <v/>
      </c>
      <c r="L15" s="16">
        <f>IF(C15&lt;&gt;"",IFERROR(INDEX(Stammdaten!$C$22:$C$51,MATCH(C15,Stammdaten!$A$22:$A$51,0)),0),0)</f>
        <v/>
      </c>
      <c r="M15" s="16">
        <f>IF(C15&lt;&gt;"",IFERROR(INDEX(Stammdaten!$D$22:$D$51,MATCH(C15,Stammdaten!$A$22:$A$51,0)),0),0)</f>
        <v/>
      </c>
      <c r="N15" s="16">
        <f>IF(C15&lt;&gt;"",IFERROR(INDEX(Stammdaten!$E$22:$E$51,MATCH(C15,Stammdaten!$A$22:$A$51,0)),0),0)</f>
        <v/>
      </c>
      <c r="O15" s="16">
        <f>IF(C15&lt;&gt;"",MAX(0,MIN(H15,EOMONTH(EDATE(Stammdaten!$B$6,0),0))-MAX(G15,EDATE(Stammdaten!$B$6,0))+1)/DAY(EOMONTH(EDATE(Stammdaten!$B$6,0),0)),0)</f>
        <v/>
      </c>
      <c r="P15" s="16">
        <f>IF(C15&lt;&gt;"",MAX(0,MIN(H15,EOMONTH(EDATE(Stammdaten!$B$6,1),0))-MAX(G15,EDATE(Stammdaten!$B$6,1))+1)/DAY(EOMONTH(EDATE(Stammdaten!$B$6,1),0)),0)</f>
        <v/>
      </c>
      <c r="Q15" s="16">
        <f>IF(C15&lt;&gt;"",MAX(0,MIN(H15,EOMONTH(EDATE(Stammdaten!$B$6,2),0))-MAX(G15,EDATE(Stammdaten!$B$6,2))+1)/DAY(EOMONTH(EDATE(Stammdaten!$B$6,2),0)),0)</f>
        <v/>
      </c>
      <c r="R15" s="16">
        <f>IF(C15&lt;&gt;"",MAX(0,MIN(H15,EOMONTH(EDATE(Stammdaten!$B$6,3),0))-MAX(G15,EDATE(Stammdaten!$B$6,3))+1)/DAY(EOMONTH(EDATE(Stammdaten!$B$6,3),0)),0)</f>
        <v/>
      </c>
      <c r="S15" s="16">
        <f>IF(C15&lt;&gt;"",MAX(0,MIN(H15,EOMONTH(EDATE(Stammdaten!$B$6,4),0))-MAX(G15,EDATE(Stammdaten!$B$6,4))+1)/DAY(EOMONTH(EDATE(Stammdaten!$B$6,4),0)),0)</f>
        <v/>
      </c>
      <c r="T15" s="16">
        <f>IF(C15&lt;&gt;"",MAX(0,MIN(H15,EOMONTH(EDATE(Stammdaten!$B$6,5),0))-MAX(G15,EDATE(Stammdaten!$B$6,5))+1)/DAY(EOMONTH(EDATE(Stammdaten!$B$6,5),0)),0)</f>
        <v/>
      </c>
      <c r="U15" s="16">
        <f>IF(C15&lt;&gt;"",MAX(0,MIN(H15,EOMONTH(EDATE(Stammdaten!$B$6,6),0))-MAX(G15,EDATE(Stammdaten!$B$6,6))+1)/DAY(EOMONTH(EDATE(Stammdaten!$B$6,6),0)),0)</f>
        <v/>
      </c>
      <c r="V15" s="16">
        <f>IF(C15&lt;&gt;"",MAX(0,MIN(H15,EOMONTH(EDATE(Stammdaten!$B$6,7),0))-MAX(G15,EDATE(Stammdaten!$B$6,7))+1)/DAY(EOMONTH(EDATE(Stammdaten!$B$6,7),0)),0)</f>
        <v/>
      </c>
      <c r="W15" s="16">
        <f>IF(C15&lt;&gt;"",MAX(0,MIN(H15,EOMONTH(EDATE(Stammdaten!$B$6,8),0))-MAX(G15,EDATE(Stammdaten!$B$6,8))+1)/DAY(EOMONTH(EDATE(Stammdaten!$B$6,8),0)),0)</f>
        <v/>
      </c>
      <c r="X15" s="16">
        <f>IF(C15&lt;&gt;"",MAX(0,MIN(H15,EOMONTH(EDATE(Stammdaten!$B$6,9),0))-MAX(G15,EDATE(Stammdaten!$B$6,9))+1)/DAY(EOMONTH(EDATE(Stammdaten!$B$6,9),0)),0)</f>
        <v/>
      </c>
      <c r="Y15" s="16">
        <f>IF(C15&lt;&gt;"",MAX(0,MIN(H15,EOMONTH(EDATE(Stammdaten!$B$6,10),0))-MAX(G15,EDATE(Stammdaten!$B$6,10))+1)/DAY(EOMONTH(EDATE(Stammdaten!$B$6,10),0)),0)</f>
        <v/>
      </c>
      <c r="Z15" s="16">
        <f>IF(C15&lt;&gt;"",MAX(0,MIN(H15,EOMONTH(EDATE(Stammdaten!$B$6,11),0))-MAX(G15,EDATE(Stammdaten!$B$6,11))+1)/DAY(EOMONTH(EDATE(Stammdaten!$B$6,11),0)),0)</f>
        <v/>
      </c>
    </row>
    <row r="16">
      <c r="A16" s="13" t="n">
        <v>12</v>
      </c>
      <c r="B16" s="7" t="n"/>
      <c r="C16" s="7" t="n"/>
      <c r="D16" s="11" t="n"/>
      <c r="E16" s="11" t="n"/>
      <c r="F16" s="17" t="n"/>
      <c r="G16" s="12">
        <f>IF(C16&lt;&gt;"",MAX(IF(D16="",Stammdaten!$B$6,D16),Stammdaten!$B$6),"")</f>
        <v/>
      </c>
      <c r="H16" s="12">
        <f>IF(C16&lt;&gt;"",MIN(IF(E16="",Stammdaten!$B$7,E16),Stammdaten!$B$7),"")</f>
        <v/>
      </c>
      <c r="I16" s="13">
        <f>IF(C16&lt;&gt;"",MAX(0,H16-G16+1),0)</f>
        <v/>
      </c>
      <c r="J16" s="20">
        <f>IF(C16&lt;&gt;"",I16/Stammdaten!$B$8,0)</f>
        <v/>
      </c>
      <c r="K16" s="20">
        <f>IF(C16&lt;&gt;"",SUMPRODUCT(O16:Z16,$O$3:$Z$3)/Stammdaten!$E$17,0)</f>
        <v/>
      </c>
      <c r="L16" s="16">
        <f>IF(C16&lt;&gt;"",IFERROR(INDEX(Stammdaten!$C$22:$C$51,MATCH(C16,Stammdaten!$A$22:$A$51,0)),0),0)</f>
        <v/>
      </c>
      <c r="M16" s="16">
        <f>IF(C16&lt;&gt;"",IFERROR(INDEX(Stammdaten!$D$22:$D$51,MATCH(C16,Stammdaten!$A$22:$A$51,0)),0),0)</f>
        <v/>
      </c>
      <c r="N16" s="16">
        <f>IF(C16&lt;&gt;"",IFERROR(INDEX(Stammdaten!$E$22:$E$51,MATCH(C16,Stammdaten!$A$22:$A$51,0)),0),0)</f>
        <v/>
      </c>
      <c r="O16" s="16">
        <f>IF(C16&lt;&gt;"",MAX(0,MIN(H16,EOMONTH(EDATE(Stammdaten!$B$6,0),0))-MAX(G16,EDATE(Stammdaten!$B$6,0))+1)/DAY(EOMONTH(EDATE(Stammdaten!$B$6,0),0)),0)</f>
        <v/>
      </c>
      <c r="P16" s="16">
        <f>IF(C16&lt;&gt;"",MAX(0,MIN(H16,EOMONTH(EDATE(Stammdaten!$B$6,1),0))-MAX(G16,EDATE(Stammdaten!$B$6,1))+1)/DAY(EOMONTH(EDATE(Stammdaten!$B$6,1),0)),0)</f>
        <v/>
      </c>
      <c r="Q16" s="16">
        <f>IF(C16&lt;&gt;"",MAX(0,MIN(H16,EOMONTH(EDATE(Stammdaten!$B$6,2),0))-MAX(G16,EDATE(Stammdaten!$B$6,2))+1)/DAY(EOMONTH(EDATE(Stammdaten!$B$6,2),0)),0)</f>
        <v/>
      </c>
      <c r="R16" s="16">
        <f>IF(C16&lt;&gt;"",MAX(0,MIN(H16,EOMONTH(EDATE(Stammdaten!$B$6,3),0))-MAX(G16,EDATE(Stammdaten!$B$6,3))+1)/DAY(EOMONTH(EDATE(Stammdaten!$B$6,3),0)),0)</f>
        <v/>
      </c>
      <c r="S16" s="16">
        <f>IF(C16&lt;&gt;"",MAX(0,MIN(H16,EOMONTH(EDATE(Stammdaten!$B$6,4),0))-MAX(G16,EDATE(Stammdaten!$B$6,4))+1)/DAY(EOMONTH(EDATE(Stammdaten!$B$6,4),0)),0)</f>
        <v/>
      </c>
      <c r="T16" s="16">
        <f>IF(C16&lt;&gt;"",MAX(0,MIN(H16,EOMONTH(EDATE(Stammdaten!$B$6,5),0))-MAX(G16,EDATE(Stammdaten!$B$6,5))+1)/DAY(EOMONTH(EDATE(Stammdaten!$B$6,5),0)),0)</f>
        <v/>
      </c>
      <c r="U16" s="16">
        <f>IF(C16&lt;&gt;"",MAX(0,MIN(H16,EOMONTH(EDATE(Stammdaten!$B$6,6),0))-MAX(G16,EDATE(Stammdaten!$B$6,6))+1)/DAY(EOMONTH(EDATE(Stammdaten!$B$6,6),0)),0)</f>
        <v/>
      </c>
      <c r="V16" s="16">
        <f>IF(C16&lt;&gt;"",MAX(0,MIN(H16,EOMONTH(EDATE(Stammdaten!$B$6,7),0))-MAX(G16,EDATE(Stammdaten!$B$6,7))+1)/DAY(EOMONTH(EDATE(Stammdaten!$B$6,7),0)),0)</f>
        <v/>
      </c>
      <c r="W16" s="16">
        <f>IF(C16&lt;&gt;"",MAX(0,MIN(H16,EOMONTH(EDATE(Stammdaten!$B$6,8),0))-MAX(G16,EDATE(Stammdaten!$B$6,8))+1)/DAY(EOMONTH(EDATE(Stammdaten!$B$6,8),0)),0)</f>
        <v/>
      </c>
      <c r="X16" s="16">
        <f>IF(C16&lt;&gt;"",MAX(0,MIN(H16,EOMONTH(EDATE(Stammdaten!$B$6,9),0))-MAX(G16,EDATE(Stammdaten!$B$6,9))+1)/DAY(EOMONTH(EDATE(Stammdaten!$B$6,9),0)),0)</f>
        <v/>
      </c>
      <c r="Y16" s="16">
        <f>IF(C16&lt;&gt;"",MAX(0,MIN(H16,EOMONTH(EDATE(Stammdaten!$B$6,10),0))-MAX(G16,EDATE(Stammdaten!$B$6,10))+1)/DAY(EOMONTH(EDATE(Stammdaten!$B$6,10),0)),0)</f>
        <v/>
      </c>
      <c r="Z16" s="16">
        <f>IF(C16&lt;&gt;"",MAX(0,MIN(H16,EOMONTH(EDATE(Stammdaten!$B$6,11),0))-MAX(G16,EDATE(Stammdaten!$B$6,11))+1)/DAY(EOMONTH(EDATE(Stammdaten!$B$6,11),0)),0)</f>
        <v/>
      </c>
    </row>
    <row r="17">
      <c r="A17" s="13" t="n">
        <v>13</v>
      </c>
      <c r="B17" s="7" t="n"/>
      <c r="C17" s="7" t="n"/>
      <c r="D17" s="11" t="n"/>
      <c r="E17" s="11" t="n"/>
      <c r="F17" s="17" t="n"/>
      <c r="G17" s="12">
        <f>IF(C17&lt;&gt;"",MAX(IF(D17="",Stammdaten!$B$6,D17),Stammdaten!$B$6),"")</f>
        <v/>
      </c>
      <c r="H17" s="12">
        <f>IF(C17&lt;&gt;"",MIN(IF(E17="",Stammdaten!$B$7,E17),Stammdaten!$B$7),"")</f>
        <v/>
      </c>
      <c r="I17" s="13">
        <f>IF(C17&lt;&gt;"",MAX(0,H17-G17+1),0)</f>
        <v/>
      </c>
      <c r="J17" s="20">
        <f>IF(C17&lt;&gt;"",I17/Stammdaten!$B$8,0)</f>
        <v/>
      </c>
      <c r="K17" s="20">
        <f>IF(C17&lt;&gt;"",SUMPRODUCT(O17:Z17,$O$3:$Z$3)/Stammdaten!$E$17,0)</f>
        <v/>
      </c>
      <c r="L17" s="16">
        <f>IF(C17&lt;&gt;"",IFERROR(INDEX(Stammdaten!$C$22:$C$51,MATCH(C17,Stammdaten!$A$22:$A$51,0)),0),0)</f>
        <v/>
      </c>
      <c r="M17" s="16">
        <f>IF(C17&lt;&gt;"",IFERROR(INDEX(Stammdaten!$D$22:$D$51,MATCH(C17,Stammdaten!$A$22:$A$51,0)),0),0)</f>
        <v/>
      </c>
      <c r="N17" s="16">
        <f>IF(C17&lt;&gt;"",IFERROR(INDEX(Stammdaten!$E$22:$E$51,MATCH(C17,Stammdaten!$A$22:$A$51,0)),0),0)</f>
        <v/>
      </c>
      <c r="O17" s="16">
        <f>IF(C17&lt;&gt;"",MAX(0,MIN(H17,EOMONTH(EDATE(Stammdaten!$B$6,0),0))-MAX(G17,EDATE(Stammdaten!$B$6,0))+1)/DAY(EOMONTH(EDATE(Stammdaten!$B$6,0),0)),0)</f>
        <v/>
      </c>
      <c r="P17" s="16">
        <f>IF(C17&lt;&gt;"",MAX(0,MIN(H17,EOMONTH(EDATE(Stammdaten!$B$6,1),0))-MAX(G17,EDATE(Stammdaten!$B$6,1))+1)/DAY(EOMONTH(EDATE(Stammdaten!$B$6,1),0)),0)</f>
        <v/>
      </c>
      <c r="Q17" s="16">
        <f>IF(C17&lt;&gt;"",MAX(0,MIN(H17,EOMONTH(EDATE(Stammdaten!$B$6,2),0))-MAX(G17,EDATE(Stammdaten!$B$6,2))+1)/DAY(EOMONTH(EDATE(Stammdaten!$B$6,2),0)),0)</f>
        <v/>
      </c>
      <c r="R17" s="16">
        <f>IF(C17&lt;&gt;"",MAX(0,MIN(H17,EOMONTH(EDATE(Stammdaten!$B$6,3),0))-MAX(G17,EDATE(Stammdaten!$B$6,3))+1)/DAY(EOMONTH(EDATE(Stammdaten!$B$6,3),0)),0)</f>
        <v/>
      </c>
      <c r="S17" s="16">
        <f>IF(C17&lt;&gt;"",MAX(0,MIN(H17,EOMONTH(EDATE(Stammdaten!$B$6,4),0))-MAX(G17,EDATE(Stammdaten!$B$6,4))+1)/DAY(EOMONTH(EDATE(Stammdaten!$B$6,4),0)),0)</f>
        <v/>
      </c>
      <c r="T17" s="16">
        <f>IF(C17&lt;&gt;"",MAX(0,MIN(H17,EOMONTH(EDATE(Stammdaten!$B$6,5),0))-MAX(G17,EDATE(Stammdaten!$B$6,5))+1)/DAY(EOMONTH(EDATE(Stammdaten!$B$6,5),0)),0)</f>
        <v/>
      </c>
      <c r="U17" s="16">
        <f>IF(C17&lt;&gt;"",MAX(0,MIN(H17,EOMONTH(EDATE(Stammdaten!$B$6,6),0))-MAX(G17,EDATE(Stammdaten!$B$6,6))+1)/DAY(EOMONTH(EDATE(Stammdaten!$B$6,6),0)),0)</f>
        <v/>
      </c>
      <c r="V17" s="16">
        <f>IF(C17&lt;&gt;"",MAX(0,MIN(H17,EOMONTH(EDATE(Stammdaten!$B$6,7),0))-MAX(G17,EDATE(Stammdaten!$B$6,7))+1)/DAY(EOMONTH(EDATE(Stammdaten!$B$6,7),0)),0)</f>
        <v/>
      </c>
      <c r="W17" s="16">
        <f>IF(C17&lt;&gt;"",MAX(0,MIN(H17,EOMONTH(EDATE(Stammdaten!$B$6,8),0))-MAX(G17,EDATE(Stammdaten!$B$6,8))+1)/DAY(EOMONTH(EDATE(Stammdaten!$B$6,8),0)),0)</f>
        <v/>
      </c>
      <c r="X17" s="16">
        <f>IF(C17&lt;&gt;"",MAX(0,MIN(H17,EOMONTH(EDATE(Stammdaten!$B$6,9),0))-MAX(G17,EDATE(Stammdaten!$B$6,9))+1)/DAY(EOMONTH(EDATE(Stammdaten!$B$6,9),0)),0)</f>
        <v/>
      </c>
      <c r="Y17" s="16">
        <f>IF(C17&lt;&gt;"",MAX(0,MIN(H17,EOMONTH(EDATE(Stammdaten!$B$6,10),0))-MAX(G17,EDATE(Stammdaten!$B$6,10))+1)/DAY(EOMONTH(EDATE(Stammdaten!$B$6,10),0)),0)</f>
        <v/>
      </c>
      <c r="Z17" s="16">
        <f>IF(C17&lt;&gt;"",MAX(0,MIN(H17,EOMONTH(EDATE(Stammdaten!$B$6,11),0))-MAX(G17,EDATE(Stammdaten!$B$6,11))+1)/DAY(EOMONTH(EDATE(Stammdaten!$B$6,11),0)),0)</f>
        <v/>
      </c>
    </row>
    <row r="18">
      <c r="A18" s="13" t="n">
        <v>14</v>
      </c>
      <c r="B18" s="7" t="n"/>
      <c r="C18" s="7" t="n"/>
      <c r="D18" s="11" t="n"/>
      <c r="E18" s="11" t="n"/>
      <c r="F18" s="17" t="n"/>
      <c r="G18" s="12">
        <f>IF(C18&lt;&gt;"",MAX(IF(D18="",Stammdaten!$B$6,D18),Stammdaten!$B$6),"")</f>
        <v/>
      </c>
      <c r="H18" s="12">
        <f>IF(C18&lt;&gt;"",MIN(IF(E18="",Stammdaten!$B$7,E18),Stammdaten!$B$7),"")</f>
        <v/>
      </c>
      <c r="I18" s="13">
        <f>IF(C18&lt;&gt;"",MAX(0,H18-G18+1),0)</f>
        <v/>
      </c>
      <c r="J18" s="20">
        <f>IF(C18&lt;&gt;"",I18/Stammdaten!$B$8,0)</f>
        <v/>
      </c>
      <c r="K18" s="20">
        <f>IF(C18&lt;&gt;"",SUMPRODUCT(O18:Z18,$O$3:$Z$3)/Stammdaten!$E$17,0)</f>
        <v/>
      </c>
      <c r="L18" s="16">
        <f>IF(C18&lt;&gt;"",IFERROR(INDEX(Stammdaten!$C$22:$C$51,MATCH(C18,Stammdaten!$A$22:$A$51,0)),0),0)</f>
        <v/>
      </c>
      <c r="M18" s="16">
        <f>IF(C18&lt;&gt;"",IFERROR(INDEX(Stammdaten!$D$22:$D$51,MATCH(C18,Stammdaten!$A$22:$A$51,0)),0),0)</f>
        <v/>
      </c>
      <c r="N18" s="16">
        <f>IF(C18&lt;&gt;"",IFERROR(INDEX(Stammdaten!$E$22:$E$51,MATCH(C18,Stammdaten!$A$22:$A$51,0)),0),0)</f>
        <v/>
      </c>
      <c r="O18" s="16">
        <f>IF(C18&lt;&gt;"",MAX(0,MIN(H18,EOMONTH(EDATE(Stammdaten!$B$6,0),0))-MAX(G18,EDATE(Stammdaten!$B$6,0))+1)/DAY(EOMONTH(EDATE(Stammdaten!$B$6,0),0)),0)</f>
        <v/>
      </c>
      <c r="P18" s="16">
        <f>IF(C18&lt;&gt;"",MAX(0,MIN(H18,EOMONTH(EDATE(Stammdaten!$B$6,1),0))-MAX(G18,EDATE(Stammdaten!$B$6,1))+1)/DAY(EOMONTH(EDATE(Stammdaten!$B$6,1),0)),0)</f>
        <v/>
      </c>
      <c r="Q18" s="16">
        <f>IF(C18&lt;&gt;"",MAX(0,MIN(H18,EOMONTH(EDATE(Stammdaten!$B$6,2),0))-MAX(G18,EDATE(Stammdaten!$B$6,2))+1)/DAY(EOMONTH(EDATE(Stammdaten!$B$6,2),0)),0)</f>
        <v/>
      </c>
      <c r="R18" s="16">
        <f>IF(C18&lt;&gt;"",MAX(0,MIN(H18,EOMONTH(EDATE(Stammdaten!$B$6,3),0))-MAX(G18,EDATE(Stammdaten!$B$6,3))+1)/DAY(EOMONTH(EDATE(Stammdaten!$B$6,3),0)),0)</f>
        <v/>
      </c>
      <c r="S18" s="16">
        <f>IF(C18&lt;&gt;"",MAX(0,MIN(H18,EOMONTH(EDATE(Stammdaten!$B$6,4),0))-MAX(G18,EDATE(Stammdaten!$B$6,4))+1)/DAY(EOMONTH(EDATE(Stammdaten!$B$6,4),0)),0)</f>
        <v/>
      </c>
      <c r="T18" s="16">
        <f>IF(C18&lt;&gt;"",MAX(0,MIN(H18,EOMONTH(EDATE(Stammdaten!$B$6,5),0))-MAX(G18,EDATE(Stammdaten!$B$6,5))+1)/DAY(EOMONTH(EDATE(Stammdaten!$B$6,5),0)),0)</f>
        <v/>
      </c>
      <c r="U18" s="16">
        <f>IF(C18&lt;&gt;"",MAX(0,MIN(H18,EOMONTH(EDATE(Stammdaten!$B$6,6),0))-MAX(G18,EDATE(Stammdaten!$B$6,6))+1)/DAY(EOMONTH(EDATE(Stammdaten!$B$6,6),0)),0)</f>
        <v/>
      </c>
      <c r="V18" s="16">
        <f>IF(C18&lt;&gt;"",MAX(0,MIN(H18,EOMONTH(EDATE(Stammdaten!$B$6,7),0))-MAX(G18,EDATE(Stammdaten!$B$6,7))+1)/DAY(EOMONTH(EDATE(Stammdaten!$B$6,7),0)),0)</f>
        <v/>
      </c>
      <c r="W18" s="16">
        <f>IF(C18&lt;&gt;"",MAX(0,MIN(H18,EOMONTH(EDATE(Stammdaten!$B$6,8),0))-MAX(G18,EDATE(Stammdaten!$B$6,8))+1)/DAY(EOMONTH(EDATE(Stammdaten!$B$6,8),0)),0)</f>
        <v/>
      </c>
      <c r="X18" s="16">
        <f>IF(C18&lt;&gt;"",MAX(0,MIN(H18,EOMONTH(EDATE(Stammdaten!$B$6,9),0))-MAX(G18,EDATE(Stammdaten!$B$6,9))+1)/DAY(EOMONTH(EDATE(Stammdaten!$B$6,9),0)),0)</f>
        <v/>
      </c>
      <c r="Y18" s="16">
        <f>IF(C18&lt;&gt;"",MAX(0,MIN(H18,EOMONTH(EDATE(Stammdaten!$B$6,10),0))-MAX(G18,EDATE(Stammdaten!$B$6,10))+1)/DAY(EOMONTH(EDATE(Stammdaten!$B$6,10),0)),0)</f>
        <v/>
      </c>
      <c r="Z18" s="16">
        <f>IF(C18&lt;&gt;"",MAX(0,MIN(H18,EOMONTH(EDATE(Stammdaten!$B$6,11),0))-MAX(G18,EDATE(Stammdaten!$B$6,11))+1)/DAY(EOMONTH(EDATE(Stammdaten!$B$6,11),0)),0)</f>
        <v/>
      </c>
    </row>
    <row r="19">
      <c r="A19" s="13" t="n">
        <v>15</v>
      </c>
      <c r="B19" s="7" t="n"/>
      <c r="C19" s="7" t="n"/>
      <c r="D19" s="11" t="n"/>
      <c r="E19" s="11" t="n"/>
      <c r="F19" s="17" t="n"/>
      <c r="G19" s="12">
        <f>IF(C19&lt;&gt;"",MAX(IF(D19="",Stammdaten!$B$6,D19),Stammdaten!$B$6),"")</f>
        <v/>
      </c>
      <c r="H19" s="12">
        <f>IF(C19&lt;&gt;"",MIN(IF(E19="",Stammdaten!$B$7,E19),Stammdaten!$B$7),"")</f>
        <v/>
      </c>
      <c r="I19" s="13">
        <f>IF(C19&lt;&gt;"",MAX(0,H19-G19+1),0)</f>
        <v/>
      </c>
      <c r="J19" s="20">
        <f>IF(C19&lt;&gt;"",I19/Stammdaten!$B$8,0)</f>
        <v/>
      </c>
      <c r="K19" s="20">
        <f>IF(C19&lt;&gt;"",SUMPRODUCT(O19:Z19,$O$3:$Z$3)/Stammdaten!$E$17,0)</f>
        <v/>
      </c>
      <c r="L19" s="16">
        <f>IF(C19&lt;&gt;"",IFERROR(INDEX(Stammdaten!$C$22:$C$51,MATCH(C19,Stammdaten!$A$22:$A$51,0)),0),0)</f>
        <v/>
      </c>
      <c r="M19" s="16">
        <f>IF(C19&lt;&gt;"",IFERROR(INDEX(Stammdaten!$D$22:$D$51,MATCH(C19,Stammdaten!$A$22:$A$51,0)),0),0)</f>
        <v/>
      </c>
      <c r="N19" s="16">
        <f>IF(C19&lt;&gt;"",IFERROR(INDEX(Stammdaten!$E$22:$E$51,MATCH(C19,Stammdaten!$A$22:$A$51,0)),0),0)</f>
        <v/>
      </c>
      <c r="O19" s="16">
        <f>IF(C19&lt;&gt;"",MAX(0,MIN(H19,EOMONTH(EDATE(Stammdaten!$B$6,0),0))-MAX(G19,EDATE(Stammdaten!$B$6,0))+1)/DAY(EOMONTH(EDATE(Stammdaten!$B$6,0),0)),0)</f>
        <v/>
      </c>
      <c r="P19" s="16">
        <f>IF(C19&lt;&gt;"",MAX(0,MIN(H19,EOMONTH(EDATE(Stammdaten!$B$6,1),0))-MAX(G19,EDATE(Stammdaten!$B$6,1))+1)/DAY(EOMONTH(EDATE(Stammdaten!$B$6,1),0)),0)</f>
        <v/>
      </c>
      <c r="Q19" s="16">
        <f>IF(C19&lt;&gt;"",MAX(0,MIN(H19,EOMONTH(EDATE(Stammdaten!$B$6,2),0))-MAX(G19,EDATE(Stammdaten!$B$6,2))+1)/DAY(EOMONTH(EDATE(Stammdaten!$B$6,2),0)),0)</f>
        <v/>
      </c>
      <c r="R19" s="16">
        <f>IF(C19&lt;&gt;"",MAX(0,MIN(H19,EOMONTH(EDATE(Stammdaten!$B$6,3),0))-MAX(G19,EDATE(Stammdaten!$B$6,3))+1)/DAY(EOMONTH(EDATE(Stammdaten!$B$6,3),0)),0)</f>
        <v/>
      </c>
      <c r="S19" s="16">
        <f>IF(C19&lt;&gt;"",MAX(0,MIN(H19,EOMONTH(EDATE(Stammdaten!$B$6,4),0))-MAX(G19,EDATE(Stammdaten!$B$6,4))+1)/DAY(EOMONTH(EDATE(Stammdaten!$B$6,4),0)),0)</f>
        <v/>
      </c>
      <c r="T19" s="16">
        <f>IF(C19&lt;&gt;"",MAX(0,MIN(H19,EOMONTH(EDATE(Stammdaten!$B$6,5),0))-MAX(G19,EDATE(Stammdaten!$B$6,5))+1)/DAY(EOMONTH(EDATE(Stammdaten!$B$6,5),0)),0)</f>
        <v/>
      </c>
      <c r="U19" s="16">
        <f>IF(C19&lt;&gt;"",MAX(0,MIN(H19,EOMONTH(EDATE(Stammdaten!$B$6,6),0))-MAX(G19,EDATE(Stammdaten!$B$6,6))+1)/DAY(EOMONTH(EDATE(Stammdaten!$B$6,6),0)),0)</f>
        <v/>
      </c>
      <c r="V19" s="16">
        <f>IF(C19&lt;&gt;"",MAX(0,MIN(H19,EOMONTH(EDATE(Stammdaten!$B$6,7),0))-MAX(G19,EDATE(Stammdaten!$B$6,7))+1)/DAY(EOMONTH(EDATE(Stammdaten!$B$6,7),0)),0)</f>
        <v/>
      </c>
      <c r="W19" s="16">
        <f>IF(C19&lt;&gt;"",MAX(0,MIN(H19,EOMONTH(EDATE(Stammdaten!$B$6,8),0))-MAX(G19,EDATE(Stammdaten!$B$6,8))+1)/DAY(EOMONTH(EDATE(Stammdaten!$B$6,8),0)),0)</f>
        <v/>
      </c>
      <c r="X19" s="16">
        <f>IF(C19&lt;&gt;"",MAX(0,MIN(H19,EOMONTH(EDATE(Stammdaten!$B$6,9),0))-MAX(G19,EDATE(Stammdaten!$B$6,9))+1)/DAY(EOMONTH(EDATE(Stammdaten!$B$6,9),0)),0)</f>
        <v/>
      </c>
      <c r="Y19" s="16">
        <f>IF(C19&lt;&gt;"",MAX(0,MIN(H19,EOMONTH(EDATE(Stammdaten!$B$6,10),0))-MAX(G19,EDATE(Stammdaten!$B$6,10))+1)/DAY(EOMONTH(EDATE(Stammdaten!$B$6,10),0)),0)</f>
        <v/>
      </c>
      <c r="Z19" s="16">
        <f>IF(C19&lt;&gt;"",MAX(0,MIN(H19,EOMONTH(EDATE(Stammdaten!$B$6,11),0))-MAX(G19,EDATE(Stammdaten!$B$6,11))+1)/DAY(EOMONTH(EDATE(Stammdaten!$B$6,11),0)),0)</f>
        <v/>
      </c>
    </row>
    <row r="20">
      <c r="A20" s="13" t="n">
        <v>16</v>
      </c>
      <c r="B20" s="7" t="n"/>
      <c r="C20" s="7" t="n"/>
      <c r="D20" s="11" t="n"/>
      <c r="E20" s="11" t="n"/>
      <c r="F20" s="17" t="n"/>
      <c r="G20" s="12">
        <f>IF(C20&lt;&gt;"",MAX(IF(D20="",Stammdaten!$B$6,D20),Stammdaten!$B$6),"")</f>
        <v/>
      </c>
      <c r="H20" s="12">
        <f>IF(C20&lt;&gt;"",MIN(IF(E20="",Stammdaten!$B$7,E20),Stammdaten!$B$7),"")</f>
        <v/>
      </c>
      <c r="I20" s="13">
        <f>IF(C20&lt;&gt;"",MAX(0,H20-G20+1),0)</f>
        <v/>
      </c>
      <c r="J20" s="20">
        <f>IF(C20&lt;&gt;"",I20/Stammdaten!$B$8,0)</f>
        <v/>
      </c>
      <c r="K20" s="20">
        <f>IF(C20&lt;&gt;"",SUMPRODUCT(O20:Z20,$O$3:$Z$3)/Stammdaten!$E$17,0)</f>
        <v/>
      </c>
      <c r="L20" s="16">
        <f>IF(C20&lt;&gt;"",IFERROR(INDEX(Stammdaten!$C$22:$C$51,MATCH(C20,Stammdaten!$A$22:$A$51,0)),0),0)</f>
        <v/>
      </c>
      <c r="M20" s="16">
        <f>IF(C20&lt;&gt;"",IFERROR(INDEX(Stammdaten!$D$22:$D$51,MATCH(C20,Stammdaten!$A$22:$A$51,0)),0),0)</f>
        <v/>
      </c>
      <c r="N20" s="16">
        <f>IF(C20&lt;&gt;"",IFERROR(INDEX(Stammdaten!$E$22:$E$51,MATCH(C20,Stammdaten!$A$22:$A$51,0)),0),0)</f>
        <v/>
      </c>
      <c r="O20" s="16">
        <f>IF(C20&lt;&gt;"",MAX(0,MIN(H20,EOMONTH(EDATE(Stammdaten!$B$6,0),0))-MAX(G20,EDATE(Stammdaten!$B$6,0))+1)/DAY(EOMONTH(EDATE(Stammdaten!$B$6,0),0)),0)</f>
        <v/>
      </c>
      <c r="P20" s="16">
        <f>IF(C20&lt;&gt;"",MAX(0,MIN(H20,EOMONTH(EDATE(Stammdaten!$B$6,1),0))-MAX(G20,EDATE(Stammdaten!$B$6,1))+1)/DAY(EOMONTH(EDATE(Stammdaten!$B$6,1),0)),0)</f>
        <v/>
      </c>
      <c r="Q20" s="16">
        <f>IF(C20&lt;&gt;"",MAX(0,MIN(H20,EOMONTH(EDATE(Stammdaten!$B$6,2),0))-MAX(G20,EDATE(Stammdaten!$B$6,2))+1)/DAY(EOMONTH(EDATE(Stammdaten!$B$6,2),0)),0)</f>
        <v/>
      </c>
      <c r="R20" s="16">
        <f>IF(C20&lt;&gt;"",MAX(0,MIN(H20,EOMONTH(EDATE(Stammdaten!$B$6,3),0))-MAX(G20,EDATE(Stammdaten!$B$6,3))+1)/DAY(EOMONTH(EDATE(Stammdaten!$B$6,3),0)),0)</f>
        <v/>
      </c>
      <c r="S20" s="16">
        <f>IF(C20&lt;&gt;"",MAX(0,MIN(H20,EOMONTH(EDATE(Stammdaten!$B$6,4),0))-MAX(G20,EDATE(Stammdaten!$B$6,4))+1)/DAY(EOMONTH(EDATE(Stammdaten!$B$6,4),0)),0)</f>
        <v/>
      </c>
      <c r="T20" s="16">
        <f>IF(C20&lt;&gt;"",MAX(0,MIN(H20,EOMONTH(EDATE(Stammdaten!$B$6,5),0))-MAX(G20,EDATE(Stammdaten!$B$6,5))+1)/DAY(EOMONTH(EDATE(Stammdaten!$B$6,5),0)),0)</f>
        <v/>
      </c>
      <c r="U20" s="16">
        <f>IF(C20&lt;&gt;"",MAX(0,MIN(H20,EOMONTH(EDATE(Stammdaten!$B$6,6),0))-MAX(G20,EDATE(Stammdaten!$B$6,6))+1)/DAY(EOMONTH(EDATE(Stammdaten!$B$6,6),0)),0)</f>
        <v/>
      </c>
      <c r="V20" s="16">
        <f>IF(C20&lt;&gt;"",MAX(0,MIN(H20,EOMONTH(EDATE(Stammdaten!$B$6,7),0))-MAX(G20,EDATE(Stammdaten!$B$6,7))+1)/DAY(EOMONTH(EDATE(Stammdaten!$B$6,7),0)),0)</f>
        <v/>
      </c>
      <c r="W20" s="16">
        <f>IF(C20&lt;&gt;"",MAX(0,MIN(H20,EOMONTH(EDATE(Stammdaten!$B$6,8),0))-MAX(G20,EDATE(Stammdaten!$B$6,8))+1)/DAY(EOMONTH(EDATE(Stammdaten!$B$6,8),0)),0)</f>
        <v/>
      </c>
      <c r="X20" s="16">
        <f>IF(C20&lt;&gt;"",MAX(0,MIN(H20,EOMONTH(EDATE(Stammdaten!$B$6,9),0))-MAX(G20,EDATE(Stammdaten!$B$6,9))+1)/DAY(EOMONTH(EDATE(Stammdaten!$B$6,9),0)),0)</f>
        <v/>
      </c>
      <c r="Y20" s="16">
        <f>IF(C20&lt;&gt;"",MAX(0,MIN(H20,EOMONTH(EDATE(Stammdaten!$B$6,10),0))-MAX(G20,EDATE(Stammdaten!$B$6,10))+1)/DAY(EOMONTH(EDATE(Stammdaten!$B$6,10),0)),0)</f>
        <v/>
      </c>
      <c r="Z20" s="16">
        <f>IF(C20&lt;&gt;"",MAX(0,MIN(H20,EOMONTH(EDATE(Stammdaten!$B$6,11),0))-MAX(G20,EDATE(Stammdaten!$B$6,11))+1)/DAY(EOMONTH(EDATE(Stammdaten!$B$6,11),0)),0)</f>
        <v/>
      </c>
    </row>
    <row r="21">
      <c r="A21" s="13" t="n">
        <v>17</v>
      </c>
      <c r="B21" s="7" t="n"/>
      <c r="C21" s="7" t="n"/>
      <c r="D21" s="11" t="n"/>
      <c r="E21" s="11" t="n"/>
      <c r="F21" s="17" t="n"/>
      <c r="G21" s="12">
        <f>IF(C21&lt;&gt;"",MAX(IF(D21="",Stammdaten!$B$6,D21),Stammdaten!$B$6),"")</f>
        <v/>
      </c>
      <c r="H21" s="12">
        <f>IF(C21&lt;&gt;"",MIN(IF(E21="",Stammdaten!$B$7,E21),Stammdaten!$B$7),"")</f>
        <v/>
      </c>
      <c r="I21" s="13">
        <f>IF(C21&lt;&gt;"",MAX(0,H21-G21+1),0)</f>
        <v/>
      </c>
      <c r="J21" s="20">
        <f>IF(C21&lt;&gt;"",I21/Stammdaten!$B$8,0)</f>
        <v/>
      </c>
      <c r="K21" s="20">
        <f>IF(C21&lt;&gt;"",SUMPRODUCT(O21:Z21,$O$3:$Z$3)/Stammdaten!$E$17,0)</f>
        <v/>
      </c>
      <c r="L21" s="16">
        <f>IF(C21&lt;&gt;"",IFERROR(INDEX(Stammdaten!$C$22:$C$51,MATCH(C21,Stammdaten!$A$22:$A$51,0)),0),0)</f>
        <v/>
      </c>
      <c r="M21" s="16">
        <f>IF(C21&lt;&gt;"",IFERROR(INDEX(Stammdaten!$D$22:$D$51,MATCH(C21,Stammdaten!$A$22:$A$51,0)),0),0)</f>
        <v/>
      </c>
      <c r="N21" s="16">
        <f>IF(C21&lt;&gt;"",IFERROR(INDEX(Stammdaten!$E$22:$E$51,MATCH(C21,Stammdaten!$A$22:$A$51,0)),0),0)</f>
        <v/>
      </c>
      <c r="O21" s="16">
        <f>IF(C21&lt;&gt;"",MAX(0,MIN(H21,EOMONTH(EDATE(Stammdaten!$B$6,0),0))-MAX(G21,EDATE(Stammdaten!$B$6,0))+1)/DAY(EOMONTH(EDATE(Stammdaten!$B$6,0),0)),0)</f>
        <v/>
      </c>
      <c r="P21" s="16">
        <f>IF(C21&lt;&gt;"",MAX(0,MIN(H21,EOMONTH(EDATE(Stammdaten!$B$6,1),0))-MAX(G21,EDATE(Stammdaten!$B$6,1))+1)/DAY(EOMONTH(EDATE(Stammdaten!$B$6,1),0)),0)</f>
        <v/>
      </c>
      <c r="Q21" s="16">
        <f>IF(C21&lt;&gt;"",MAX(0,MIN(H21,EOMONTH(EDATE(Stammdaten!$B$6,2),0))-MAX(G21,EDATE(Stammdaten!$B$6,2))+1)/DAY(EOMONTH(EDATE(Stammdaten!$B$6,2),0)),0)</f>
        <v/>
      </c>
      <c r="R21" s="16">
        <f>IF(C21&lt;&gt;"",MAX(0,MIN(H21,EOMONTH(EDATE(Stammdaten!$B$6,3),0))-MAX(G21,EDATE(Stammdaten!$B$6,3))+1)/DAY(EOMONTH(EDATE(Stammdaten!$B$6,3),0)),0)</f>
        <v/>
      </c>
      <c r="S21" s="16">
        <f>IF(C21&lt;&gt;"",MAX(0,MIN(H21,EOMONTH(EDATE(Stammdaten!$B$6,4),0))-MAX(G21,EDATE(Stammdaten!$B$6,4))+1)/DAY(EOMONTH(EDATE(Stammdaten!$B$6,4),0)),0)</f>
        <v/>
      </c>
      <c r="T21" s="16">
        <f>IF(C21&lt;&gt;"",MAX(0,MIN(H21,EOMONTH(EDATE(Stammdaten!$B$6,5),0))-MAX(G21,EDATE(Stammdaten!$B$6,5))+1)/DAY(EOMONTH(EDATE(Stammdaten!$B$6,5),0)),0)</f>
        <v/>
      </c>
      <c r="U21" s="16">
        <f>IF(C21&lt;&gt;"",MAX(0,MIN(H21,EOMONTH(EDATE(Stammdaten!$B$6,6),0))-MAX(G21,EDATE(Stammdaten!$B$6,6))+1)/DAY(EOMONTH(EDATE(Stammdaten!$B$6,6),0)),0)</f>
        <v/>
      </c>
      <c r="V21" s="16">
        <f>IF(C21&lt;&gt;"",MAX(0,MIN(H21,EOMONTH(EDATE(Stammdaten!$B$6,7),0))-MAX(G21,EDATE(Stammdaten!$B$6,7))+1)/DAY(EOMONTH(EDATE(Stammdaten!$B$6,7),0)),0)</f>
        <v/>
      </c>
      <c r="W21" s="16">
        <f>IF(C21&lt;&gt;"",MAX(0,MIN(H21,EOMONTH(EDATE(Stammdaten!$B$6,8),0))-MAX(G21,EDATE(Stammdaten!$B$6,8))+1)/DAY(EOMONTH(EDATE(Stammdaten!$B$6,8),0)),0)</f>
        <v/>
      </c>
      <c r="X21" s="16">
        <f>IF(C21&lt;&gt;"",MAX(0,MIN(H21,EOMONTH(EDATE(Stammdaten!$B$6,9),0))-MAX(G21,EDATE(Stammdaten!$B$6,9))+1)/DAY(EOMONTH(EDATE(Stammdaten!$B$6,9),0)),0)</f>
        <v/>
      </c>
      <c r="Y21" s="16">
        <f>IF(C21&lt;&gt;"",MAX(0,MIN(H21,EOMONTH(EDATE(Stammdaten!$B$6,10),0))-MAX(G21,EDATE(Stammdaten!$B$6,10))+1)/DAY(EOMONTH(EDATE(Stammdaten!$B$6,10),0)),0)</f>
        <v/>
      </c>
      <c r="Z21" s="16">
        <f>IF(C21&lt;&gt;"",MAX(0,MIN(H21,EOMONTH(EDATE(Stammdaten!$B$6,11),0))-MAX(G21,EDATE(Stammdaten!$B$6,11))+1)/DAY(EOMONTH(EDATE(Stammdaten!$B$6,11),0)),0)</f>
        <v/>
      </c>
    </row>
    <row r="22">
      <c r="A22" s="13" t="n">
        <v>18</v>
      </c>
      <c r="B22" s="7" t="n"/>
      <c r="C22" s="7" t="n"/>
      <c r="D22" s="11" t="n"/>
      <c r="E22" s="11" t="n"/>
      <c r="F22" s="17" t="n"/>
      <c r="G22" s="12">
        <f>IF(C22&lt;&gt;"",MAX(IF(D22="",Stammdaten!$B$6,D22),Stammdaten!$B$6),"")</f>
        <v/>
      </c>
      <c r="H22" s="12">
        <f>IF(C22&lt;&gt;"",MIN(IF(E22="",Stammdaten!$B$7,E22),Stammdaten!$B$7),"")</f>
        <v/>
      </c>
      <c r="I22" s="13">
        <f>IF(C22&lt;&gt;"",MAX(0,H22-G22+1),0)</f>
        <v/>
      </c>
      <c r="J22" s="20">
        <f>IF(C22&lt;&gt;"",I22/Stammdaten!$B$8,0)</f>
        <v/>
      </c>
      <c r="K22" s="20">
        <f>IF(C22&lt;&gt;"",SUMPRODUCT(O22:Z22,$O$3:$Z$3)/Stammdaten!$E$17,0)</f>
        <v/>
      </c>
      <c r="L22" s="16">
        <f>IF(C22&lt;&gt;"",IFERROR(INDEX(Stammdaten!$C$22:$C$51,MATCH(C22,Stammdaten!$A$22:$A$51,0)),0),0)</f>
        <v/>
      </c>
      <c r="M22" s="16">
        <f>IF(C22&lt;&gt;"",IFERROR(INDEX(Stammdaten!$D$22:$D$51,MATCH(C22,Stammdaten!$A$22:$A$51,0)),0),0)</f>
        <v/>
      </c>
      <c r="N22" s="16">
        <f>IF(C22&lt;&gt;"",IFERROR(INDEX(Stammdaten!$E$22:$E$51,MATCH(C22,Stammdaten!$A$22:$A$51,0)),0),0)</f>
        <v/>
      </c>
      <c r="O22" s="16">
        <f>IF(C22&lt;&gt;"",MAX(0,MIN(H22,EOMONTH(EDATE(Stammdaten!$B$6,0),0))-MAX(G22,EDATE(Stammdaten!$B$6,0))+1)/DAY(EOMONTH(EDATE(Stammdaten!$B$6,0),0)),0)</f>
        <v/>
      </c>
      <c r="P22" s="16">
        <f>IF(C22&lt;&gt;"",MAX(0,MIN(H22,EOMONTH(EDATE(Stammdaten!$B$6,1),0))-MAX(G22,EDATE(Stammdaten!$B$6,1))+1)/DAY(EOMONTH(EDATE(Stammdaten!$B$6,1),0)),0)</f>
        <v/>
      </c>
      <c r="Q22" s="16">
        <f>IF(C22&lt;&gt;"",MAX(0,MIN(H22,EOMONTH(EDATE(Stammdaten!$B$6,2),0))-MAX(G22,EDATE(Stammdaten!$B$6,2))+1)/DAY(EOMONTH(EDATE(Stammdaten!$B$6,2),0)),0)</f>
        <v/>
      </c>
      <c r="R22" s="16">
        <f>IF(C22&lt;&gt;"",MAX(0,MIN(H22,EOMONTH(EDATE(Stammdaten!$B$6,3),0))-MAX(G22,EDATE(Stammdaten!$B$6,3))+1)/DAY(EOMONTH(EDATE(Stammdaten!$B$6,3),0)),0)</f>
        <v/>
      </c>
      <c r="S22" s="16">
        <f>IF(C22&lt;&gt;"",MAX(0,MIN(H22,EOMONTH(EDATE(Stammdaten!$B$6,4),0))-MAX(G22,EDATE(Stammdaten!$B$6,4))+1)/DAY(EOMONTH(EDATE(Stammdaten!$B$6,4),0)),0)</f>
        <v/>
      </c>
      <c r="T22" s="16">
        <f>IF(C22&lt;&gt;"",MAX(0,MIN(H22,EOMONTH(EDATE(Stammdaten!$B$6,5),0))-MAX(G22,EDATE(Stammdaten!$B$6,5))+1)/DAY(EOMONTH(EDATE(Stammdaten!$B$6,5),0)),0)</f>
        <v/>
      </c>
      <c r="U22" s="16">
        <f>IF(C22&lt;&gt;"",MAX(0,MIN(H22,EOMONTH(EDATE(Stammdaten!$B$6,6),0))-MAX(G22,EDATE(Stammdaten!$B$6,6))+1)/DAY(EOMONTH(EDATE(Stammdaten!$B$6,6),0)),0)</f>
        <v/>
      </c>
      <c r="V22" s="16">
        <f>IF(C22&lt;&gt;"",MAX(0,MIN(H22,EOMONTH(EDATE(Stammdaten!$B$6,7),0))-MAX(G22,EDATE(Stammdaten!$B$6,7))+1)/DAY(EOMONTH(EDATE(Stammdaten!$B$6,7),0)),0)</f>
        <v/>
      </c>
      <c r="W22" s="16">
        <f>IF(C22&lt;&gt;"",MAX(0,MIN(H22,EOMONTH(EDATE(Stammdaten!$B$6,8),0))-MAX(G22,EDATE(Stammdaten!$B$6,8))+1)/DAY(EOMONTH(EDATE(Stammdaten!$B$6,8),0)),0)</f>
        <v/>
      </c>
      <c r="X22" s="16">
        <f>IF(C22&lt;&gt;"",MAX(0,MIN(H22,EOMONTH(EDATE(Stammdaten!$B$6,9),0))-MAX(G22,EDATE(Stammdaten!$B$6,9))+1)/DAY(EOMONTH(EDATE(Stammdaten!$B$6,9),0)),0)</f>
        <v/>
      </c>
      <c r="Y22" s="16">
        <f>IF(C22&lt;&gt;"",MAX(0,MIN(H22,EOMONTH(EDATE(Stammdaten!$B$6,10),0))-MAX(G22,EDATE(Stammdaten!$B$6,10))+1)/DAY(EOMONTH(EDATE(Stammdaten!$B$6,10),0)),0)</f>
        <v/>
      </c>
      <c r="Z22" s="16">
        <f>IF(C22&lt;&gt;"",MAX(0,MIN(H22,EOMONTH(EDATE(Stammdaten!$B$6,11),0))-MAX(G22,EDATE(Stammdaten!$B$6,11))+1)/DAY(EOMONTH(EDATE(Stammdaten!$B$6,11),0)),0)</f>
        <v/>
      </c>
    </row>
    <row r="23">
      <c r="A23" s="13" t="n">
        <v>19</v>
      </c>
      <c r="B23" s="7" t="n"/>
      <c r="C23" s="7" t="n"/>
      <c r="D23" s="11" t="n"/>
      <c r="E23" s="11" t="n"/>
      <c r="F23" s="17" t="n"/>
      <c r="G23" s="12">
        <f>IF(C23&lt;&gt;"",MAX(IF(D23="",Stammdaten!$B$6,D23),Stammdaten!$B$6),"")</f>
        <v/>
      </c>
      <c r="H23" s="12">
        <f>IF(C23&lt;&gt;"",MIN(IF(E23="",Stammdaten!$B$7,E23),Stammdaten!$B$7),"")</f>
        <v/>
      </c>
      <c r="I23" s="13">
        <f>IF(C23&lt;&gt;"",MAX(0,H23-G23+1),0)</f>
        <v/>
      </c>
      <c r="J23" s="20">
        <f>IF(C23&lt;&gt;"",I23/Stammdaten!$B$8,0)</f>
        <v/>
      </c>
      <c r="K23" s="20">
        <f>IF(C23&lt;&gt;"",SUMPRODUCT(O23:Z23,$O$3:$Z$3)/Stammdaten!$E$17,0)</f>
        <v/>
      </c>
      <c r="L23" s="16">
        <f>IF(C23&lt;&gt;"",IFERROR(INDEX(Stammdaten!$C$22:$C$51,MATCH(C23,Stammdaten!$A$22:$A$51,0)),0),0)</f>
        <v/>
      </c>
      <c r="M23" s="16">
        <f>IF(C23&lt;&gt;"",IFERROR(INDEX(Stammdaten!$D$22:$D$51,MATCH(C23,Stammdaten!$A$22:$A$51,0)),0),0)</f>
        <v/>
      </c>
      <c r="N23" s="16">
        <f>IF(C23&lt;&gt;"",IFERROR(INDEX(Stammdaten!$E$22:$E$51,MATCH(C23,Stammdaten!$A$22:$A$51,0)),0),0)</f>
        <v/>
      </c>
      <c r="O23" s="16">
        <f>IF(C23&lt;&gt;"",MAX(0,MIN(H23,EOMONTH(EDATE(Stammdaten!$B$6,0),0))-MAX(G23,EDATE(Stammdaten!$B$6,0))+1)/DAY(EOMONTH(EDATE(Stammdaten!$B$6,0),0)),0)</f>
        <v/>
      </c>
      <c r="P23" s="16">
        <f>IF(C23&lt;&gt;"",MAX(0,MIN(H23,EOMONTH(EDATE(Stammdaten!$B$6,1),0))-MAX(G23,EDATE(Stammdaten!$B$6,1))+1)/DAY(EOMONTH(EDATE(Stammdaten!$B$6,1),0)),0)</f>
        <v/>
      </c>
      <c r="Q23" s="16">
        <f>IF(C23&lt;&gt;"",MAX(0,MIN(H23,EOMONTH(EDATE(Stammdaten!$B$6,2),0))-MAX(G23,EDATE(Stammdaten!$B$6,2))+1)/DAY(EOMONTH(EDATE(Stammdaten!$B$6,2),0)),0)</f>
        <v/>
      </c>
      <c r="R23" s="16">
        <f>IF(C23&lt;&gt;"",MAX(0,MIN(H23,EOMONTH(EDATE(Stammdaten!$B$6,3),0))-MAX(G23,EDATE(Stammdaten!$B$6,3))+1)/DAY(EOMONTH(EDATE(Stammdaten!$B$6,3),0)),0)</f>
        <v/>
      </c>
      <c r="S23" s="16">
        <f>IF(C23&lt;&gt;"",MAX(0,MIN(H23,EOMONTH(EDATE(Stammdaten!$B$6,4),0))-MAX(G23,EDATE(Stammdaten!$B$6,4))+1)/DAY(EOMONTH(EDATE(Stammdaten!$B$6,4),0)),0)</f>
        <v/>
      </c>
      <c r="T23" s="16">
        <f>IF(C23&lt;&gt;"",MAX(0,MIN(H23,EOMONTH(EDATE(Stammdaten!$B$6,5),0))-MAX(G23,EDATE(Stammdaten!$B$6,5))+1)/DAY(EOMONTH(EDATE(Stammdaten!$B$6,5),0)),0)</f>
        <v/>
      </c>
      <c r="U23" s="16">
        <f>IF(C23&lt;&gt;"",MAX(0,MIN(H23,EOMONTH(EDATE(Stammdaten!$B$6,6),0))-MAX(G23,EDATE(Stammdaten!$B$6,6))+1)/DAY(EOMONTH(EDATE(Stammdaten!$B$6,6),0)),0)</f>
        <v/>
      </c>
      <c r="V23" s="16">
        <f>IF(C23&lt;&gt;"",MAX(0,MIN(H23,EOMONTH(EDATE(Stammdaten!$B$6,7),0))-MAX(G23,EDATE(Stammdaten!$B$6,7))+1)/DAY(EOMONTH(EDATE(Stammdaten!$B$6,7),0)),0)</f>
        <v/>
      </c>
      <c r="W23" s="16">
        <f>IF(C23&lt;&gt;"",MAX(0,MIN(H23,EOMONTH(EDATE(Stammdaten!$B$6,8),0))-MAX(G23,EDATE(Stammdaten!$B$6,8))+1)/DAY(EOMONTH(EDATE(Stammdaten!$B$6,8),0)),0)</f>
        <v/>
      </c>
      <c r="X23" s="16">
        <f>IF(C23&lt;&gt;"",MAX(0,MIN(H23,EOMONTH(EDATE(Stammdaten!$B$6,9),0))-MAX(G23,EDATE(Stammdaten!$B$6,9))+1)/DAY(EOMONTH(EDATE(Stammdaten!$B$6,9),0)),0)</f>
        <v/>
      </c>
      <c r="Y23" s="16">
        <f>IF(C23&lt;&gt;"",MAX(0,MIN(H23,EOMONTH(EDATE(Stammdaten!$B$6,10),0))-MAX(G23,EDATE(Stammdaten!$B$6,10))+1)/DAY(EOMONTH(EDATE(Stammdaten!$B$6,10),0)),0)</f>
        <v/>
      </c>
      <c r="Z23" s="16">
        <f>IF(C23&lt;&gt;"",MAX(0,MIN(H23,EOMONTH(EDATE(Stammdaten!$B$6,11),0))-MAX(G23,EDATE(Stammdaten!$B$6,11))+1)/DAY(EOMONTH(EDATE(Stammdaten!$B$6,11),0)),0)</f>
        <v/>
      </c>
    </row>
    <row r="24">
      <c r="A24" s="13" t="n">
        <v>20</v>
      </c>
      <c r="B24" s="7" t="n"/>
      <c r="C24" s="7" t="n"/>
      <c r="D24" s="11" t="n"/>
      <c r="E24" s="11" t="n"/>
      <c r="F24" s="17" t="n"/>
      <c r="G24" s="12">
        <f>IF(C24&lt;&gt;"",MAX(IF(D24="",Stammdaten!$B$6,D24),Stammdaten!$B$6),"")</f>
        <v/>
      </c>
      <c r="H24" s="12">
        <f>IF(C24&lt;&gt;"",MIN(IF(E24="",Stammdaten!$B$7,E24),Stammdaten!$B$7),"")</f>
        <v/>
      </c>
      <c r="I24" s="13">
        <f>IF(C24&lt;&gt;"",MAX(0,H24-G24+1),0)</f>
        <v/>
      </c>
      <c r="J24" s="20">
        <f>IF(C24&lt;&gt;"",I24/Stammdaten!$B$8,0)</f>
        <v/>
      </c>
      <c r="K24" s="20">
        <f>IF(C24&lt;&gt;"",SUMPRODUCT(O24:Z24,$O$3:$Z$3)/Stammdaten!$E$17,0)</f>
        <v/>
      </c>
      <c r="L24" s="16">
        <f>IF(C24&lt;&gt;"",IFERROR(INDEX(Stammdaten!$C$22:$C$51,MATCH(C24,Stammdaten!$A$22:$A$51,0)),0),0)</f>
        <v/>
      </c>
      <c r="M24" s="16">
        <f>IF(C24&lt;&gt;"",IFERROR(INDEX(Stammdaten!$D$22:$D$51,MATCH(C24,Stammdaten!$A$22:$A$51,0)),0),0)</f>
        <v/>
      </c>
      <c r="N24" s="16">
        <f>IF(C24&lt;&gt;"",IFERROR(INDEX(Stammdaten!$E$22:$E$51,MATCH(C24,Stammdaten!$A$22:$A$51,0)),0),0)</f>
        <v/>
      </c>
      <c r="O24" s="16">
        <f>IF(C24&lt;&gt;"",MAX(0,MIN(H24,EOMONTH(EDATE(Stammdaten!$B$6,0),0))-MAX(G24,EDATE(Stammdaten!$B$6,0))+1)/DAY(EOMONTH(EDATE(Stammdaten!$B$6,0),0)),0)</f>
        <v/>
      </c>
      <c r="P24" s="16">
        <f>IF(C24&lt;&gt;"",MAX(0,MIN(H24,EOMONTH(EDATE(Stammdaten!$B$6,1),0))-MAX(G24,EDATE(Stammdaten!$B$6,1))+1)/DAY(EOMONTH(EDATE(Stammdaten!$B$6,1),0)),0)</f>
        <v/>
      </c>
      <c r="Q24" s="16">
        <f>IF(C24&lt;&gt;"",MAX(0,MIN(H24,EOMONTH(EDATE(Stammdaten!$B$6,2),0))-MAX(G24,EDATE(Stammdaten!$B$6,2))+1)/DAY(EOMONTH(EDATE(Stammdaten!$B$6,2),0)),0)</f>
        <v/>
      </c>
      <c r="R24" s="16">
        <f>IF(C24&lt;&gt;"",MAX(0,MIN(H24,EOMONTH(EDATE(Stammdaten!$B$6,3),0))-MAX(G24,EDATE(Stammdaten!$B$6,3))+1)/DAY(EOMONTH(EDATE(Stammdaten!$B$6,3),0)),0)</f>
        <v/>
      </c>
      <c r="S24" s="16">
        <f>IF(C24&lt;&gt;"",MAX(0,MIN(H24,EOMONTH(EDATE(Stammdaten!$B$6,4),0))-MAX(G24,EDATE(Stammdaten!$B$6,4))+1)/DAY(EOMONTH(EDATE(Stammdaten!$B$6,4),0)),0)</f>
        <v/>
      </c>
      <c r="T24" s="16">
        <f>IF(C24&lt;&gt;"",MAX(0,MIN(H24,EOMONTH(EDATE(Stammdaten!$B$6,5),0))-MAX(G24,EDATE(Stammdaten!$B$6,5))+1)/DAY(EOMONTH(EDATE(Stammdaten!$B$6,5),0)),0)</f>
        <v/>
      </c>
      <c r="U24" s="16">
        <f>IF(C24&lt;&gt;"",MAX(0,MIN(H24,EOMONTH(EDATE(Stammdaten!$B$6,6),0))-MAX(G24,EDATE(Stammdaten!$B$6,6))+1)/DAY(EOMONTH(EDATE(Stammdaten!$B$6,6),0)),0)</f>
        <v/>
      </c>
      <c r="V24" s="16">
        <f>IF(C24&lt;&gt;"",MAX(0,MIN(H24,EOMONTH(EDATE(Stammdaten!$B$6,7),0))-MAX(G24,EDATE(Stammdaten!$B$6,7))+1)/DAY(EOMONTH(EDATE(Stammdaten!$B$6,7),0)),0)</f>
        <v/>
      </c>
      <c r="W24" s="16">
        <f>IF(C24&lt;&gt;"",MAX(0,MIN(H24,EOMONTH(EDATE(Stammdaten!$B$6,8),0))-MAX(G24,EDATE(Stammdaten!$B$6,8))+1)/DAY(EOMONTH(EDATE(Stammdaten!$B$6,8),0)),0)</f>
        <v/>
      </c>
      <c r="X24" s="16">
        <f>IF(C24&lt;&gt;"",MAX(0,MIN(H24,EOMONTH(EDATE(Stammdaten!$B$6,9),0))-MAX(G24,EDATE(Stammdaten!$B$6,9))+1)/DAY(EOMONTH(EDATE(Stammdaten!$B$6,9),0)),0)</f>
        <v/>
      </c>
      <c r="Y24" s="16">
        <f>IF(C24&lt;&gt;"",MAX(0,MIN(H24,EOMONTH(EDATE(Stammdaten!$B$6,10),0))-MAX(G24,EDATE(Stammdaten!$B$6,10))+1)/DAY(EOMONTH(EDATE(Stammdaten!$B$6,10),0)),0)</f>
        <v/>
      </c>
      <c r="Z24" s="16">
        <f>IF(C24&lt;&gt;"",MAX(0,MIN(H24,EOMONTH(EDATE(Stammdaten!$B$6,11),0))-MAX(G24,EDATE(Stammdaten!$B$6,11))+1)/DAY(EOMONTH(EDATE(Stammdaten!$B$6,11),0)),0)</f>
        <v/>
      </c>
    </row>
    <row r="25">
      <c r="A25" s="13" t="n">
        <v>21</v>
      </c>
      <c r="B25" s="7" t="n"/>
      <c r="C25" s="7" t="n"/>
      <c r="D25" s="11" t="n"/>
      <c r="E25" s="11" t="n"/>
      <c r="F25" s="17" t="n"/>
      <c r="G25" s="12">
        <f>IF(C25&lt;&gt;"",MAX(IF(D25="",Stammdaten!$B$6,D25),Stammdaten!$B$6),"")</f>
        <v/>
      </c>
      <c r="H25" s="12">
        <f>IF(C25&lt;&gt;"",MIN(IF(E25="",Stammdaten!$B$7,E25),Stammdaten!$B$7),"")</f>
        <v/>
      </c>
      <c r="I25" s="13">
        <f>IF(C25&lt;&gt;"",MAX(0,H25-G25+1),0)</f>
        <v/>
      </c>
      <c r="J25" s="20">
        <f>IF(C25&lt;&gt;"",I25/Stammdaten!$B$8,0)</f>
        <v/>
      </c>
      <c r="K25" s="20">
        <f>IF(C25&lt;&gt;"",SUMPRODUCT(O25:Z25,$O$3:$Z$3)/Stammdaten!$E$17,0)</f>
        <v/>
      </c>
      <c r="L25" s="16">
        <f>IF(C25&lt;&gt;"",IFERROR(INDEX(Stammdaten!$C$22:$C$51,MATCH(C25,Stammdaten!$A$22:$A$51,0)),0),0)</f>
        <v/>
      </c>
      <c r="M25" s="16">
        <f>IF(C25&lt;&gt;"",IFERROR(INDEX(Stammdaten!$D$22:$D$51,MATCH(C25,Stammdaten!$A$22:$A$51,0)),0),0)</f>
        <v/>
      </c>
      <c r="N25" s="16">
        <f>IF(C25&lt;&gt;"",IFERROR(INDEX(Stammdaten!$E$22:$E$51,MATCH(C25,Stammdaten!$A$22:$A$51,0)),0),0)</f>
        <v/>
      </c>
      <c r="O25" s="16">
        <f>IF(C25&lt;&gt;"",MAX(0,MIN(H25,EOMONTH(EDATE(Stammdaten!$B$6,0),0))-MAX(G25,EDATE(Stammdaten!$B$6,0))+1)/DAY(EOMONTH(EDATE(Stammdaten!$B$6,0),0)),0)</f>
        <v/>
      </c>
      <c r="P25" s="16">
        <f>IF(C25&lt;&gt;"",MAX(0,MIN(H25,EOMONTH(EDATE(Stammdaten!$B$6,1),0))-MAX(G25,EDATE(Stammdaten!$B$6,1))+1)/DAY(EOMONTH(EDATE(Stammdaten!$B$6,1),0)),0)</f>
        <v/>
      </c>
      <c r="Q25" s="16">
        <f>IF(C25&lt;&gt;"",MAX(0,MIN(H25,EOMONTH(EDATE(Stammdaten!$B$6,2),0))-MAX(G25,EDATE(Stammdaten!$B$6,2))+1)/DAY(EOMONTH(EDATE(Stammdaten!$B$6,2),0)),0)</f>
        <v/>
      </c>
      <c r="R25" s="16">
        <f>IF(C25&lt;&gt;"",MAX(0,MIN(H25,EOMONTH(EDATE(Stammdaten!$B$6,3),0))-MAX(G25,EDATE(Stammdaten!$B$6,3))+1)/DAY(EOMONTH(EDATE(Stammdaten!$B$6,3),0)),0)</f>
        <v/>
      </c>
      <c r="S25" s="16">
        <f>IF(C25&lt;&gt;"",MAX(0,MIN(H25,EOMONTH(EDATE(Stammdaten!$B$6,4),0))-MAX(G25,EDATE(Stammdaten!$B$6,4))+1)/DAY(EOMONTH(EDATE(Stammdaten!$B$6,4),0)),0)</f>
        <v/>
      </c>
      <c r="T25" s="16">
        <f>IF(C25&lt;&gt;"",MAX(0,MIN(H25,EOMONTH(EDATE(Stammdaten!$B$6,5),0))-MAX(G25,EDATE(Stammdaten!$B$6,5))+1)/DAY(EOMONTH(EDATE(Stammdaten!$B$6,5),0)),0)</f>
        <v/>
      </c>
      <c r="U25" s="16">
        <f>IF(C25&lt;&gt;"",MAX(0,MIN(H25,EOMONTH(EDATE(Stammdaten!$B$6,6),0))-MAX(G25,EDATE(Stammdaten!$B$6,6))+1)/DAY(EOMONTH(EDATE(Stammdaten!$B$6,6),0)),0)</f>
        <v/>
      </c>
      <c r="V25" s="16">
        <f>IF(C25&lt;&gt;"",MAX(0,MIN(H25,EOMONTH(EDATE(Stammdaten!$B$6,7),0))-MAX(G25,EDATE(Stammdaten!$B$6,7))+1)/DAY(EOMONTH(EDATE(Stammdaten!$B$6,7),0)),0)</f>
        <v/>
      </c>
      <c r="W25" s="16">
        <f>IF(C25&lt;&gt;"",MAX(0,MIN(H25,EOMONTH(EDATE(Stammdaten!$B$6,8),0))-MAX(G25,EDATE(Stammdaten!$B$6,8))+1)/DAY(EOMONTH(EDATE(Stammdaten!$B$6,8),0)),0)</f>
        <v/>
      </c>
      <c r="X25" s="16">
        <f>IF(C25&lt;&gt;"",MAX(0,MIN(H25,EOMONTH(EDATE(Stammdaten!$B$6,9),0))-MAX(G25,EDATE(Stammdaten!$B$6,9))+1)/DAY(EOMONTH(EDATE(Stammdaten!$B$6,9),0)),0)</f>
        <v/>
      </c>
      <c r="Y25" s="16">
        <f>IF(C25&lt;&gt;"",MAX(0,MIN(H25,EOMONTH(EDATE(Stammdaten!$B$6,10),0))-MAX(G25,EDATE(Stammdaten!$B$6,10))+1)/DAY(EOMONTH(EDATE(Stammdaten!$B$6,10),0)),0)</f>
        <v/>
      </c>
      <c r="Z25" s="16">
        <f>IF(C25&lt;&gt;"",MAX(0,MIN(H25,EOMONTH(EDATE(Stammdaten!$B$6,11),0))-MAX(G25,EDATE(Stammdaten!$B$6,11))+1)/DAY(EOMONTH(EDATE(Stammdaten!$B$6,11),0)),0)</f>
        <v/>
      </c>
    </row>
    <row r="26">
      <c r="A26" s="13" t="n">
        <v>22</v>
      </c>
      <c r="B26" s="7" t="n"/>
      <c r="C26" s="7" t="n"/>
      <c r="D26" s="11" t="n"/>
      <c r="E26" s="11" t="n"/>
      <c r="F26" s="17" t="n"/>
      <c r="G26" s="12">
        <f>IF(C26&lt;&gt;"",MAX(IF(D26="",Stammdaten!$B$6,D26),Stammdaten!$B$6),"")</f>
        <v/>
      </c>
      <c r="H26" s="12">
        <f>IF(C26&lt;&gt;"",MIN(IF(E26="",Stammdaten!$B$7,E26),Stammdaten!$B$7),"")</f>
        <v/>
      </c>
      <c r="I26" s="13">
        <f>IF(C26&lt;&gt;"",MAX(0,H26-G26+1),0)</f>
        <v/>
      </c>
      <c r="J26" s="20">
        <f>IF(C26&lt;&gt;"",I26/Stammdaten!$B$8,0)</f>
        <v/>
      </c>
      <c r="K26" s="20">
        <f>IF(C26&lt;&gt;"",SUMPRODUCT(O26:Z26,$O$3:$Z$3)/Stammdaten!$E$17,0)</f>
        <v/>
      </c>
      <c r="L26" s="16">
        <f>IF(C26&lt;&gt;"",IFERROR(INDEX(Stammdaten!$C$22:$C$51,MATCH(C26,Stammdaten!$A$22:$A$51,0)),0),0)</f>
        <v/>
      </c>
      <c r="M26" s="16">
        <f>IF(C26&lt;&gt;"",IFERROR(INDEX(Stammdaten!$D$22:$D$51,MATCH(C26,Stammdaten!$A$22:$A$51,0)),0),0)</f>
        <v/>
      </c>
      <c r="N26" s="16">
        <f>IF(C26&lt;&gt;"",IFERROR(INDEX(Stammdaten!$E$22:$E$51,MATCH(C26,Stammdaten!$A$22:$A$51,0)),0),0)</f>
        <v/>
      </c>
      <c r="O26" s="16">
        <f>IF(C26&lt;&gt;"",MAX(0,MIN(H26,EOMONTH(EDATE(Stammdaten!$B$6,0),0))-MAX(G26,EDATE(Stammdaten!$B$6,0))+1)/DAY(EOMONTH(EDATE(Stammdaten!$B$6,0),0)),0)</f>
        <v/>
      </c>
      <c r="P26" s="16">
        <f>IF(C26&lt;&gt;"",MAX(0,MIN(H26,EOMONTH(EDATE(Stammdaten!$B$6,1),0))-MAX(G26,EDATE(Stammdaten!$B$6,1))+1)/DAY(EOMONTH(EDATE(Stammdaten!$B$6,1),0)),0)</f>
        <v/>
      </c>
      <c r="Q26" s="16">
        <f>IF(C26&lt;&gt;"",MAX(0,MIN(H26,EOMONTH(EDATE(Stammdaten!$B$6,2),0))-MAX(G26,EDATE(Stammdaten!$B$6,2))+1)/DAY(EOMONTH(EDATE(Stammdaten!$B$6,2),0)),0)</f>
        <v/>
      </c>
      <c r="R26" s="16">
        <f>IF(C26&lt;&gt;"",MAX(0,MIN(H26,EOMONTH(EDATE(Stammdaten!$B$6,3),0))-MAX(G26,EDATE(Stammdaten!$B$6,3))+1)/DAY(EOMONTH(EDATE(Stammdaten!$B$6,3),0)),0)</f>
        <v/>
      </c>
      <c r="S26" s="16">
        <f>IF(C26&lt;&gt;"",MAX(0,MIN(H26,EOMONTH(EDATE(Stammdaten!$B$6,4),0))-MAX(G26,EDATE(Stammdaten!$B$6,4))+1)/DAY(EOMONTH(EDATE(Stammdaten!$B$6,4),0)),0)</f>
        <v/>
      </c>
      <c r="T26" s="16">
        <f>IF(C26&lt;&gt;"",MAX(0,MIN(H26,EOMONTH(EDATE(Stammdaten!$B$6,5),0))-MAX(G26,EDATE(Stammdaten!$B$6,5))+1)/DAY(EOMONTH(EDATE(Stammdaten!$B$6,5),0)),0)</f>
        <v/>
      </c>
      <c r="U26" s="16">
        <f>IF(C26&lt;&gt;"",MAX(0,MIN(H26,EOMONTH(EDATE(Stammdaten!$B$6,6),0))-MAX(G26,EDATE(Stammdaten!$B$6,6))+1)/DAY(EOMONTH(EDATE(Stammdaten!$B$6,6),0)),0)</f>
        <v/>
      </c>
      <c r="V26" s="16">
        <f>IF(C26&lt;&gt;"",MAX(0,MIN(H26,EOMONTH(EDATE(Stammdaten!$B$6,7),0))-MAX(G26,EDATE(Stammdaten!$B$6,7))+1)/DAY(EOMONTH(EDATE(Stammdaten!$B$6,7),0)),0)</f>
        <v/>
      </c>
      <c r="W26" s="16">
        <f>IF(C26&lt;&gt;"",MAX(0,MIN(H26,EOMONTH(EDATE(Stammdaten!$B$6,8),0))-MAX(G26,EDATE(Stammdaten!$B$6,8))+1)/DAY(EOMONTH(EDATE(Stammdaten!$B$6,8),0)),0)</f>
        <v/>
      </c>
      <c r="X26" s="16">
        <f>IF(C26&lt;&gt;"",MAX(0,MIN(H26,EOMONTH(EDATE(Stammdaten!$B$6,9),0))-MAX(G26,EDATE(Stammdaten!$B$6,9))+1)/DAY(EOMONTH(EDATE(Stammdaten!$B$6,9),0)),0)</f>
        <v/>
      </c>
      <c r="Y26" s="16">
        <f>IF(C26&lt;&gt;"",MAX(0,MIN(H26,EOMONTH(EDATE(Stammdaten!$B$6,10),0))-MAX(G26,EDATE(Stammdaten!$B$6,10))+1)/DAY(EOMONTH(EDATE(Stammdaten!$B$6,10),0)),0)</f>
        <v/>
      </c>
      <c r="Z26" s="16">
        <f>IF(C26&lt;&gt;"",MAX(0,MIN(H26,EOMONTH(EDATE(Stammdaten!$B$6,11),0))-MAX(G26,EDATE(Stammdaten!$B$6,11))+1)/DAY(EOMONTH(EDATE(Stammdaten!$B$6,11),0)),0)</f>
        <v/>
      </c>
    </row>
    <row r="27">
      <c r="A27" s="13" t="n">
        <v>23</v>
      </c>
      <c r="B27" s="7" t="n"/>
      <c r="C27" s="7" t="n"/>
      <c r="D27" s="11" t="n"/>
      <c r="E27" s="11" t="n"/>
      <c r="F27" s="17" t="n"/>
      <c r="G27" s="12">
        <f>IF(C27&lt;&gt;"",MAX(IF(D27="",Stammdaten!$B$6,D27),Stammdaten!$B$6),"")</f>
        <v/>
      </c>
      <c r="H27" s="12">
        <f>IF(C27&lt;&gt;"",MIN(IF(E27="",Stammdaten!$B$7,E27),Stammdaten!$B$7),"")</f>
        <v/>
      </c>
      <c r="I27" s="13">
        <f>IF(C27&lt;&gt;"",MAX(0,H27-G27+1),0)</f>
        <v/>
      </c>
      <c r="J27" s="20">
        <f>IF(C27&lt;&gt;"",I27/Stammdaten!$B$8,0)</f>
        <v/>
      </c>
      <c r="K27" s="20">
        <f>IF(C27&lt;&gt;"",SUMPRODUCT(O27:Z27,$O$3:$Z$3)/Stammdaten!$E$17,0)</f>
        <v/>
      </c>
      <c r="L27" s="16">
        <f>IF(C27&lt;&gt;"",IFERROR(INDEX(Stammdaten!$C$22:$C$51,MATCH(C27,Stammdaten!$A$22:$A$51,0)),0),0)</f>
        <v/>
      </c>
      <c r="M27" s="16">
        <f>IF(C27&lt;&gt;"",IFERROR(INDEX(Stammdaten!$D$22:$D$51,MATCH(C27,Stammdaten!$A$22:$A$51,0)),0),0)</f>
        <v/>
      </c>
      <c r="N27" s="16">
        <f>IF(C27&lt;&gt;"",IFERROR(INDEX(Stammdaten!$E$22:$E$51,MATCH(C27,Stammdaten!$A$22:$A$51,0)),0),0)</f>
        <v/>
      </c>
      <c r="O27" s="16">
        <f>IF(C27&lt;&gt;"",MAX(0,MIN(H27,EOMONTH(EDATE(Stammdaten!$B$6,0),0))-MAX(G27,EDATE(Stammdaten!$B$6,0))+1)/DAY(EOMONTH(EDATE(Stammdaten!$B$6,0),0)),0)</f>
        <v/>
      </c>
      <c r="P27" s="16">
        <f>IF(C27&lt;&gt;"",MAX(0,MIN(H27,EOMONTH(EDATE(Stammdaten!$B$6,1),0))-MAX(G27,EDATE(Stammdaten!$B$6,1))+1)/DAY(EOMONTH(EDATE(Stammdaten!$B$6,1),0)),0)</f>
        <v/>
      </c>
      <c r="Q27" s="16">
        <f>IF(C27&lt;&gt;"",MAX(0,MIN(H27,EOMONTH(EDATE(Stammdaten!$B$6,2),0))-MAX(G27,EDATE(Stammdaten!$B$6,2))+1)/DAY(EOMONTH(EDATE(Stammdaten!$B$6,2),0)),0)</f>
        <v/>
      </c>
      <c r="R27" s="16">
        <f>IF(C27&lt;&gt;"",MAX(0,MIN(H27,EOMONTH(EDATE(Stammdaten!$B$6,3),0))-MAX(G27,EDATE(Stammdaten!$B$6,3))+1)/DAY(EOMONTH(EDATE(Stammdaten!$B$6,3),0)),0)</f>
        <v/>
      </c>
      <c r="S27" s="16">
        <f>IF(C27&lt;&gt;"",MAX(0,MIN(H27,EOMONTH(EDATE(Stammdaten!$B$6,4),0))-MAX(G27,EDATE(Stammdaten!$B$6,4))+1)/DAY(EOMONTH(EDATE(Stammdaten!$B$6,4),0)),0)</f>
        <v/>
      </c>
      <c r="T27" s="16">
        <f>IF(C27&lt;&gt;"",MAX(0,MIN(H27,EOMONTH(EDATE(Stammdaten!$B$6,5),0))-MAX(G27,EDATE(Stammdaten!$B$6,5))+1)/DAY(EOMONTH(EDATE(Stammdaten!$B$6,5),0)),0)</f>
        <v/>
      </c>
      <c r="U27" s="16">
        <f>IF(C27&lt;&gt;"",MAX(0,MIN(H27,EOMONTH(EDATE(Stammdaten!$B$6,6),0))-MAX(G27,EDATE(Stammdaten!$B$6,6))+1)/DAY(EOMONTH(EDATE(Stammdaten!$B$6,6),0)),0)</f>
        <v/>
      </c>
      <c r="V27" s="16">
        <f>IF(C27&lt;&gt;"",MAX(0,MIN(H27,EOMONTH(EDATE(Stammdaten!$B$6,7),0))-MAX(G27,EDATE(Stammdaten!$B$6,7))+1)/DAY(EOMONTH(EDATE(Stammdaten!$B$6,7),0)),0)</f>
        <v/>
      </c>
      <c r="W27" s="16">
        <f>IF(C27&lt;&gt;"",MAX(0,MIN(H27,EOMONTH(EDATE(Stammdaten!$B$6,8),0))-MAX(G27,EDATE(Stammdaten!$B$6,8))+1)/DAY(EOMONTH(EDATE(Stammdaten!$B$6,8),0)),0)</f>
        <v/>
      </c>
      <c r="X27" s="16">
        <f>IF(C27&lt;&gt;"",MAX(0,MIN(H27,EOMONTH(EDATE(Stammdaten!$B$6,9),0))-MAX(G27,EDATE(Stammdaten!$B$6,9))+1)/DAY(EOMONTH(EDATE(Stammdaten!$B$6,9),0)),0)</f>
        <v/>
      </c>
      <c r="Y27" s="16">
        <f>IF(C27&lt;&gt;"",MAX(0,MIN(H27,EOMONTH(EDATE(Stammdaten!$B$6,10),0))-MAX(G27,EDATE(Stammdaten!$B$6,10))+1)/DAY(EOMONTH(EDATE(Stammdaten!$B$6,10),0)),0)</f>
        <v/>
      </c>
      <c r="Z27" s="16">
        <f>IF(C27&lt;&gt;"",MAX(0,MIN(H27,EOMONTH(EDATE(Stammdaten!$B$6,11),0))-MAX(G27,EDATE(Stammdaten!$B$6,11))+1)/DAY(EOMONTH(EDATE(Stammdaten!$B$6,11),0)),0)</f>
        <v/>
      </c>
    </row>
    <row r="28">
      <c r="A28" s="13" t="n">
        <v>24</v>
      </c>
      <c r="B28" s="7" t="n"/>
      <c r="C28" s="7" t="n"/>
      <c r="D28" s="11" t="n"/>
      <c r="E28" s="11" t="n"/>
      <c r="F28" s="17" t="n"/>
      <c r="G28" s="12">
        <f>IF(C28&lt;&gt;"",MAX(IF(D28="",Stammdaten!$B$6,D28),Stammdaten!$B$6),"")</f>
        <v/>
      </c>
      <c r="H28" s="12">
        <f>IF(C28&lt;&gt;"",MIN(IF(E28="",Stammdaten!$B$7,E28),Stammdaten!$B$7),"")</f>
        <v/>
      </c>
      <c r="I28" s="13">
        <f>IF(C28&lt;&gt;"",MAX(0,H28-G28+1),0)</f>
        <v/>
      </c>
      <c r="J28" s="20">
        <f>IF(C28&lt;&gt;"",I28/Stammdaten!$B$8,0)</f>
        <v/>
      </c>
      <c r="K28" s="20">
        <f>IF(C28&lt;&gt;"",SUMPRODUCT(O28:Z28,$O$3:$Z$3)/Stammdaten!$E$17,0)</f>
        <v/>
      </c>
      <c r="L28" s="16">
        <f>IF(C28&lt;&gt;"",IFERROR(INDEX(Stammdaten!$C$22:$C$51,MATCH(C28,Stammdaten!$A$22:$A$51,0)),0),0)</f>
        <v/>
      </c>
      <c r="M28" s="16">
        <f>IF(C28&lt;&gt;"",IFERROR(INDEX(Stammdaten!$D$22:$D$51,MATCH(C28,Stammdaten!$A$22:$A$51,0)),0),0)</f>
        <v/>
      </c>
      <c r="N28" s="16">
        <f>IF(C28&lt;&gt;"",IFERROR(INDEX(Stammdaten!$E$22:$E$51,MATCH(C28,Stammdaten!$A$22:$A$51,0)),0),0)</f>
        <v/>
      </c>
      <c r="O28" s="16">
        <f>IF(C28&lt;&gt;"",MAX(0,MIN(H28,EOMONTH(EDATE(Stammdaten!$B$6,0),0))-MAX(G28,EDATE(Stammdaten!$B$6,0))+1)/DAY(EOMONTH(EDATE(Stammdaten!$B$6,0),0)),0)</f>
        <v/>
      </c>
      <c r="P28" s="16">
        <f>IF(C28&lt;&gt;"",MAX(0,MIN(H28,EOMONTH(EDATE(Stammdaten!$B$6,1),0))-MAX(G28,EDATE(Stammdaten!$B$6,1))+1)/DAY(EOMONTH(EDATE(Stammdaten!$B$6,1),0)),0)</f>
        <v/>
      </c>
      <c r="Q28" s="16">
        <f>IF(C28&lt;&gt;"",MAX(0,MIN(H28,EOMONTH(EDATE(Stammdaten!$B$6,2),0))-MAX(G28,EDATE(Stammdaten!$B$6,2))+1)/DAY(EOMONTH(EDATE(Stammdaten!$B$6,2),0)),0)</f>
        <v/>
      </c>
      <c r="R28" s="16">
        <f>IF(C28&lt;&gt;"",MAX(0,MIN(H28,EOMONTH(EDATE(Stammdaten!$B$6,3),0))-MAX(G28,EDATE(Stammdaten!$B$6,3))+1)/DAY(EOMONTH(EDATE(Stammdaten!$B$6,3),0)),0)</f>
        <v/>
      </c>
      <c r="S28" s="16">
        <f>IF(C28&lt;&gt;"",MAX(0,MIN(H28,EOMONTH(EDATE(Stammdaten!$B$6,4),0))-MAX(G28,EDATE(Stammdaten!$B$6,4))+1)/DAY(EOMONTH(EDATE(Stammdaten!$B$6,4),0)),0)</f>
        <v/>
      </c>
      <c r="T28" s="16">
        <f>IF(C28&lt;&gt;"",MAX(0,MIN(H28,EOMONTH(EDATE(Stammdaten!$B$6,5),0))-MAX(G28,EDATE(Stammdaten!$B$6,5))+1)/DAY(EOMONTH(EDATE(Stammdaten!$B$6,5),0)),0)</f>
        <v/>
      </c>
      <c r="U28" s="16">
        <f>IF(C28&lt;&gt;"",MAX(0,MIN(H28,EOMONTH(EDATE(Stammdaten!$B$6,6),0))-MAX(G28,EDATE(Stammdaten!$B$6,6))+1)/DAY(EOMONTH(EDATE(Stammdaten!$B$6,6),0)),0)</f>
        <v/>
      </c>
      <c r="V28" s="16">
        <f>IF(C28&lt;&gt;"",MAX(0,MIN(H28,EOMONTH(EDATE(Stammdaten!$B$6,7),0))-MAX(G28,EDATE(Stammdaten!$B$6,7))+1)/DAY(EOMONTH(EDATE(Stammdaten!$B$6,7),0)),0)</f>
        <v/>
      </c>
      <c r="W28" s="16">
        <f>IF(C28&lt;&gt;"",MAX(0,MIN(H28,EOMONTH(EDATE(Stammdaten!$B$6,8),0))-MAX(G28,EDATE(Stammdaten!$B$6,8))+1)/DAY(EOMONTH(EDATE(Stammdaten!$B$6,8),0)),0)</f>
        <v/>
      </c>
      <c r="X28" s="16">
        <f>IF(C28&lt;&gt;"",MAX(0,MIN(H28,EOMONTH(EDATE(Stammdaten!$B$6,9),0))-MAX(G28,EDATE(Stammdaten!$B$6,9))+1)/DAY(EOMONTH(EDATE(Stammdaten!$B$6,9),0)),0)</f>
        <v/>
      </c>
      <c r="Y28" s="16">
        <f>IF(C28&lt;&gt;"",MAX(0,MIN(H28,EOMONTH(EDATE(Stammdaten!$B$6,10),0))-MAX(G28,EDATE(Stammdaten!$B$6,10))+1)/DAY(EOMONTH(EDATE(Stammdaten!$B$6,10),0)),0)</f>
        <v/>
      </c>
      <c r="Z28" s="16">
        <f>IF(C28&lt;&gt;"",MAX(0,MIN(H28,EOMONTH(EDATE(Stammdaten!$B$6,11),0))-MAX(G28,EDATE(Stammdaten!$B$6,11))+1)/DAY(EOMONTH(EDATE(Stammdaten!$B$6,11),0)),0)</f>
        <v/>
      </c>
    </row>
    <row r="29">
      <c r="A29" s="13" t="n">
        <v>25</v>
      </c>
      <c r="B29" s="7" t="n"/>
      <c r="C29" s="7" t="n"/>
      <c r="D29" s="11" t="n"/>
      <c r="E29" s="11" t="n"/>
      <c r="F29" s="17" t="n"/>
      <c r="G29" s="12">
        <f>IF(C29&lt;&gt;"",MAX(IF(D29="",Stammdaten!$B$6,D29),Stammdaten!$B$6),"")</f>
        <v/>
      </c>
      <c r="H29" s="12">
        <f>IF(C29&lt;&gt;"",MIN(IF(E29="",Stammdaten!$B$7,E29),Stammdaten!$B$7),"")</f>
        <v/>
      </c>
      <c r="I29" s="13">
        <f>IF(C29&lt;&gt;"",MAX(0,H29-G29+1),0)</f>
        <v/>
      </c>
      <c r="J29" s="20">
        <f>IF(C29&lt;&gt;"",I29/Stammdaten!$B$8,0)</f>
        <v/>
      </c>
      <c r="K29" s="20">
        <f>IF(C29&lt;&gt;"",SUMPRODUCT(O29:Z29,$O$3:$Z$3)/Stammdaten!$E$17,0)</f>
        <v/>
      </c>
      <c r="L29" s="16">
        <f>IF(C29&lt;&gt;"",IFERROR(INDEX(Stammdaten!$C$22:$C$51,MATCH(C29,Stammdaten!$A$22:$A$51,0)),0),0)</f>
        <v/>
      </c>
      <c r="M29" s="16">
        <f>IF(C29&lt;&gt;"",IFERROR(INDEX(Stammdaten!$D$22:$D$51,MATCH(C29,Stammdaten!$A$22:$A$51,0)),0),0)</f>
        <v/>
      </c>
      <c r="N29" s="16">
        <f>IF(C29&lt;&gt;"",IFERROR(INDEX(Stammdaten!$E$22:$E$51,MATCH(C29,Stammdaten!$A$22:$A$51,0)),0),0)</f>
        <v/>
      </c>
      <c r="O29" s="16">
        <f>IF(C29&lt;&gt;"",MAX(0,MIN(H29,EOMONTH(EDATE(Stammdaten!$B$6,0),0))-MAX(G29,EDATE(Stammdaten!$B$6,0))+1)/DAY(EOMONTH(EDATE(Stammdaten!$B$6,0),0)),0)</f>
        <v/>
      </c>
      <c r="P29" s="16">
        <f>IF(C29&lt;&gt;"",MAX(0,MIN(H29,EOMONTH(EDATE(Stammdaten!$B$6,1),0))-MAX(G29,EDATE(Stammdaten!$B$6,1))+1)/DAY(EOMONTH(EDATE(Stammdaten!$B$6,1),0)),0)</f>
        <v/>
      </c>
      <c r="Q29" s="16">
        <f>IF(C29&lt;&gt;"",MAX(0,MIN(H29,EOMONTH(EDATE(Stammdaten!$B$6,2),0))-MAX(G29,EDATE(Stammdaten!$B$6,2))+1)/DAY(EOMONTH(EDATE(Stammdaten!$B$6,2),0)),0)</f>
        <v/>
      </c>
      <c r="R29" s="16">
        <f>IF(C29&lt;&gt;"",MAX(0,MIN(H29,EOMONTH(EDATE(Stammdaten!$B$6,3),0))-MAX(G29,EDATE(Stammdaten!$B$6,3))+1)/DAY(EOMONTH(EDATE(Stammdaten!$B$6,3),0)),0)</f>
        <v/>
      </c>
      <c r="S29" s="16">
        <f>IF(C29&lt;&gt;"",MAX(0,MIN(H29,EOMONTH(EDATE(Stammdaten!$B$6,4),0))-MAX(G29,EDATE(Stammdaten!$B$6,4))+1)/DAY(EOMONTH(EDATE(Stammdaten!$B$6,4),0)),0)</f>
        <v/>
      </c>
      <c r="T29" s="16">
        <f>IF(C29&lt;&gt;"",MAX(0,MIN(H29,EOMONTH(EDATE(Stammdaten!$B$6,5),0))-MAX(G29,EDATE(Stammdaten!$B$6,5))+1)/DAY(EOMONTH(EDATE(Stammdaten!$B$6,5),0)),0)</f>
        <v/>
      </c>
      <c r="U29" s="16">
        <f>IF(C29&lt;&gt;"",MAX(0,MIN(H29,EOMONTH(EDATE(Stammdaten!$B$6,6),0))-MAX(G29,EDATE(Stammdaten!$B$6,6))+1)/DAY(EOMONTH(EDATE(Stammdaten!$B$6,6),0)),0)</f>
        <v/>
      </c>
      <c r="V29" s="16">
        <f>IF(C29&lt;&gt;"",MAX(0,MIN(H29,EOMONTH(EDATE(Stammdaten!$B$6,7),0))-MAX(G29,EDATE(Stammdaten!$B$6,7))+1)/DAY(EOMONTH(EDATE(Stammdaten!$B$6,7),0)),0)</f>
        <v/>
      </c>
      <c r="W29" s="16">
        <f>IF(C29&lt;&gt;"",MAX(0,MIN(H29,EOMONTH(EDATE(Stammdaten!$B$6,8),0))-MAX(G29,EDATE(Stammdaten!$B$6,8))+1)/DAY(EOMONTH(EDATE(Stammdaten!$B$6,8),0)),0)</f>
        <v/>
      </c>
      <c r="X29" s="16">
        <f>IF(C29&lt;&gt;"",MAX(0,MIN(H29,EOMONTH(EDATE(Stammdaten!$B$6,9),0))-MAX(G29,EDATE(Stammdaten!$B$6,9))+1)/DAY(EOMONTH(EDATE(Stammdaten!$B$6,9),0)),0)</f>
        <v/>
      </c>
      <c r="Y29" s="16">
        <f>IF(C29&lt;&gt;"",MAX(0,MIN(H29,EOMONTH(EDATE(Stammdaten!$B$6,10),0))-MAX(G29,EDATE(Stammdaten!$B$6,10))+1)/DAY(EOMONTH(EDATE(Stammdaten!$B$6,10),0)),0)</f>
        <v/>
      </c>
      <c r="Z29" s="16">
        <f>IF(C29&lt;&gt;"",MAX(0,MIN(H29,EOMONTH(EDATE(Stammdaten!$B$6,11),0))-MAX(G29,EDATE(Stammdaten!$B$6,11))+1)/DAY(EOMONTH(EDATE(Stammdaten!$B$6,11),0)),0)</f>
        <v/>
      </c>
    </row>
    <row r="30">
      <c r="A30" s="13" t="n">
        <v>26</v>
      </c>
      <c r="B30" s="7" t="n"/>
      <c r="C30" s="7" t="n"/>
      <c r="D30" s="11" t="n"/>
      <c r="E30" s="11" t="n"/>
      <c r="F30" s="17" t="n"/>
      <c r="G30" s="12">
        <f>IF(C30&lt;&gt;"",MAX(IF(D30="",Stammdaten!$B$6,D30),Stammdaten!$B$6),"")</f>
        <v/>
      </c>
      <c r="H30" s="12">
        <f>IF(C30&lt;&gt;"",MIN(IF(E30="",Stammdaten!$B$7,E30),Stammdaten!$B$7),"")</f>
        <v/>
      </c>
      <c r="I30" s="13">
        <f>IF(C30&lt;&gt;"",MAX(0,H30-G30+1),0)</f>
        <v/>
      </c>
      <c r="J30" s="20">
        <f>IF(C30&lt;&gt;"",I30/Stammdaten!$B$8,0)</f>
        <v/>
      </c>
      <c r="K30" s="20">
        <f>IF(C30&lt;&gt;"",SUMPRODUCT(O30:Z30,$O$3:$Z$3)/Stammdaten!$E$17,0)</f>
        <v/>
      </c>
      <c r="L30" s="16">
        <f>IF(C30&lt;&gt;"",IFERROR(INDEX(Stammdaten!$C$22:$C$51,MATCH(C30,Stammdaten!$A$22:$A$51,0)),0),0)</f>
        <v/>
      </c>
      <c r="M30" s="16">
        <f>IF(C30&lt;&gt;"",IFERROR(INDEX(Stammdaten!$D$22:$D$51,MATCH(C30,Stammdaten!$A$22:$A$51,0)),0),0)</f>
        <v/>
      </c>
      <c r="N30" s="16">
        <f>IF(C30&lt;&gt;"",IFERROR(INDEX(Stammdaten!$E$22:$E$51,MATCH(C30,Stammdaten!$A$22:$A$51,0)),0),0)</f>
        <v/>
      </c>
      <c r="O30" s="16">
        <f>IF(C30&lt;&gt;"",MAX(0,MIN(H30,EOMONTH(EDATE(Stammdaten!$B$6,0),0))-MAX(G30,EDATE(Stammdaten!$B$6,0))+1)/DAY(EOMONTH(EDATE(Stammdaten!$B$6,0),0)),0)</f>
        <v/>
      </c>
      <c r="P30" s="16">
        <f>IF(C30&lt;&gt;"",MAX(0,MIN(H30,EOMONTH(EDATE(Stammdaten!$B$6,1),0))-MAX(G30,EDATE(Stammdaten!$B$6,1))+1)/DAY(EOMONTH(EDATE(Stammdaten!$B$6,1),0)),0)</f>
        <v/>
      </c>
      <c r="Q30" s="16">
        <f>IF(C30&lt;&gt;"",MAX(0,MIN(H30,EOMONTH(EDATE(Stammdaten!$B$6,2),0))-MAX(G30,EDATE(Stammdaten!$B$6,2))+1)/DAY(EOMONTH(EDATE(Stammdaten!$B$6,2),0)),0)</f>
        <v/>
      </c>
      <c r="R30" s="16">
        <f>IF(C30&lt;&gt;"",MAX(0,MIN(H30,EOMONTH(EDATE(Stammdaten!$B$6,3),0))-MAX(G30,EDATE(Stammdaten!$B$6,3))+1)/DAY(EOMONTH(EDATE(Stammdaten!$B$6,3),0)),0)</f>
        <v/>
      </c>
      <c r="S30" s="16">
        <f>IF(C30&lt;&gt;"",MAX(0,MIN(H30,EOMONTH(EDATE(Stammdaten!$B$6,4),0))-MAX(G30,EDATE(Stammdaten!$B$6,4))+1)/DAY(EOMONTH(EDATE(Stammdaten!$B$6,4),0)),0)</f>
        <v/>
      </c>
      <c r="T30" s="16">
        <f>IF(C30&lt;&gt;"",MAX(0,MIN(H30,EOMONTH(EDATE(Stammdaten!$B$6,5),0))-MAX(G30,EDATE(Stammdaten!$B$6,5))+1)/DAY(EOMONTH(EDATE(Stammdaten!$B$6,5),0)),0)</f>
        <v/>
      </c>
      <c r="U30" s="16">
        <f>IF(C30&lt;&gt;"",MAX(0,MIN(H30,EOMONTH(EDATE(Stammdaten!$B$6,6),0))-MAX(G30,EDATE(Stammdaten!$B$6,6))+1)/DAY(EOMONTH(EDATE(Stammdaten!$B$6,6),0)),0)</f>
        <v/>
      </c>
      <c r="V30" s="16">
        <f>IF(C30&lt;&gt;"",MAX(0,MIN(H30,EOMONTH(EDATE(Stammdaten!$B$6,7),0))-MAX(G30,EDATE(Stammdaten!$B$6,7))+1)/DAY(EOMONTH(EDATE(Stammdaten!$B$6,7),0)),0)</f>
        <v/>
      </c>
      <c r="W30" s="16">
        <f>IF(C30&lt;&gt;"",MAX(0,MIN(H30,EOMONTH(EDATE(Stammdaten!$B$6,8),0))-MAX(G30,EDATE(Stammdaten!$B$6,8))+1)/DAY(EOMONTH(EDATE(Stammdaten!$B$6,8),0)),0)</f>
        <v/>
      </c>
      <c r="X30" s="16">
        <f>IF(C30&lt;&gt;"",MAX(0,MIN(H30,EOMONTH(EDATE(Stammdaten!$B$6,9),0))-MAX(G30,EDATE(Stammdaten!$B$6,9))+1)/DAY(EOMONTH(EDATE(Stammdaten!$B$6,9),0)),0)</f>
        <v/>
      </c>
      <c r="Y30" s="16">
        <f>IF(C30&lt;&gt;"",MAX(0,MIN(H30,EOMONTH(EDATE(Stammdaten!$B$6,10),0))-MAX(G30,EDATE(Stammdaten!$B$6,10))+1)/DAY(EOMONTH(EDATE(Stammdaten!$B$6,10),0)),0)</f>
        <v/>
      </c>
      <c r="Z30" s="16">
        <f>IF(C30&lt;&gt;"",MAX(0,MIN(H30,EOMONTH(EDATE(Stammdaten!$B$6,11),0))-MAX(G30,EDATE(Stammdaten!$B$6,11))+1)/DAY(EOMONTH(EDATE(Stammdaten!$B$6,11),0)),0)</f>
        <v/>
      </c>
    </row>
    <row r="31">
      <c r="A31" s="13" t="n">
        <v>27</v>
      </c>
      <c r="B31" s="7" t="n"/>
      <c r="C31" s="7" t="n"/>
      <c r="D31" s="11" t="n"/>
      <c r="E31" s="11" t="n"/>
      <c r="F31" s="17" t="n"/>
      <c r="G31" s="12">
        <f>IF(C31&lt;&gt;"",MAX(IF(D31="",Stammdaten!$B$6,D31),Stammdaten!$B$6),"")</f>
        <v/>
      </c>
      <c r="H31" s="12">
        <f>IF(C31&lt;&gt;"",MIN(IF(E31="",Stammdaten!$B$7,E31),Stammdaten!$B$7),"")</f>
        <v/>
      </c>
      <c r="I31" s="13">
        <f>IF(C31&lt;&gt;"",MAX(0,H31-G31+1),0)</f>
        <v/>
      </c>
      <c r="J31" s="20">
        <f>IF(C31&lt;&gt;"",I31/Stammdaten!$B$8,0)</f>
        <v/>
      </c>
      <c r="K31" s="20">
        <f>IF(C31&lt;&gt;"",SUMPRODUCT(O31:Z31,$O$3:$Z$3)/Stammdaten!$E$17,0)</f>
        <v/>
      </c>
      <c r="L31" s="16">
        <f>IF(C31&lt;&gt;"",IFERROR(INDEX(Stammdaten!$C$22:$C$51,MATCH(C31,Stammdaten!$A$22:$A$51,0)),0),0)</f>
        <v/>
      </c>
      <c r="M31" s="16">
        <f>IF(C31&lt;&gt;"",IFERROR(INDEX(Stammdaten!$D$22:$D$51,MATCH(C31,Stammdaten!$A$22:$A$51,0)),0),0)</f>
        <v/>
      </c>
      <c r="N31" s="16">
        <f>IF(C31&lt;&gt;"",IFERROR(INDEX(Stammdaten!$E$22:$E$51,MATCH(C31,Stammdaten!$A$22:$A$51,0)),0),0)</f>
        <v/>
      </c>
      <c r="O31" s="16">
        <f>IF(C31&lt;&gt;"",MAX(0,MIN(H31,EOMONTH(EDATE(Stammdaten!$B$6,0),0))-MAX(G31,EDATE(Stammdaten!$B$6,0))+1)/DAY(EOMONTH(EDATE(Stammdaten!$B$6,0),0)),0)</f>
        <v/>
      </c>
      <c r="P31" s="16">
        <f>IF(C31&lt;&gt;"",MAX(0,MIN(H31,EOMONTH(EDATE(Stammdaten!$B$6,1),0))-MAX(G31,EDATE(Stammdaten!$B$6,1))+1)/DAY(EOMONTH(EDATE(Stammdaten!$B$6,1),0)),0)</f>
        <v/>
      </c>
      <c r="Q31" s="16">
        <f>IF(C31&lt;&gt;"",MAX(0,MIN(H31,EOMONTH(EDATE(Stammdaten!$B$6,2),0))-MAX(G31,EDATE(Stammdaten!$B$6,2))+1)/DAY(EOMONTH(EDATE(Stammdaten!$B$6,2),0)),0)</f>
        <v/>
      </c>
      <c r="R31" s="16">
        <f>IF(C31&lt;&gt;"",MAX(0,MIN(H31,EOMONTH(EDATE(Stammdaten!$B$6,3),0))-MAX(G31,EDATE(Stammdaten!$B$6,3))+1)/DAY(EOMONTH(EDATE(Stammdaten!$B$6,3),0)),0)</f>
        <v/>
      </c>
      <c r="S31" s="16">
        <f>IF(C31&lt;&gt;"",MAX(0,MIN(H31,EOMONTH(EDATE(Stammdaten!$B$6,4),0))-MAX(G31,EDATE(Stammdaten!$B$6,4))+1)/DAY(EOMONTH(EDATE(Stammdaten!$B$6,4),0)),0)</f>
        <v/>
      </c>
      <c r="T31" s="16">
        <f>IF(C31&lt;&gt;"",MAX(0,MIN(H31,EOMONTH(EDATE(Stammdaten!$B$6,5),0))-MAX(G31,EDATE(Stammdaten!$B$6,5))+1)/DAY(EOMONTH(EDATE(Stammdaten!$B$6,5),0)),0)</f>
        <v/>
      </c>
      <c r="U31" s="16">
        <f>IF(C31&lt;&gt;"",MAX(0,MIN(H31,EOMONTH(EDATE(Stammdaten!$B$6,6),0))-MAX(G31,EDATE(Stammdaten!$B$6,6))+1)/DAY(EOMONTH(EDATE(Stammdaten!$B$6,6),0)),0)</f>
        <v/>
      </c>
      <c r="V31" s="16">
        <f>IF(C31&lt;&gt;"",MAX(0,MIN(H31,EOMONTH(EDATE(Stammdaten!$B$6,7),0))-MAX(G31,EDATE(Stammdaten!$B$6,7))+1)/DAY(EOMONTH(EDATE(Stammdaten!$B$6,7),0)),0)</f>
        <v/>
      </c>
      <c r="W31" s="16">
        <f>IF(C31&lt;&gt;"",MAX(0,MIN(H31,EOMONTH(EDATE(Stammdaten!$B$6,8),0))-MAX(G31,EDATE(Stammdaten!$B$6,8))+1)/DAY(EOMONTH(EDATE(Stammdaten!$B$6,8),0)),0)</f>
        <v/>
      </c>
      <c r="X31" s="16">
        <f>IF(C31&lt;&gt;"",MAX(0,MIN(H31,EOMONTH(EDATE(Stammdaten!$B$6,9),0))-MAX(G31,EDATE(Stammdaten!$B$6,9))+1)/DAY(EOMONTH(EDATE(Stammdaten!$B$6,9),0)),0)</f>
        <v/>
      </c>
      <c r="Y31" s="16">
        <f>IF(C31&lt;&gt;"",MAX(0,MIN(H31,EOMONTH(EDATE(Stammdaten!$B$6,10),0))-MAX(G31,EDATE(Stammdaten!$B$6,10))+1)/DAY(EOMONTH(EDATE(Stammdaten!$B$6,10),0)),0)</f>
        <v/>
      </c>
      <c r="Z31" s="16">
        <f>IF(C31&lt;&gt;"",MAX(0,MIN(H31,EOMONTH(EDATE(Stammdaten!$B$6,11),0))-MAX(G31,EDATE(Stammdaten!$B$6,11))+1)/DAY(EOMONTH(EDATE(Stammdaten!$B$6,11),0)),0)</f>
        <v/>
      </c>
    </row>
    <row r="32">
      <c r="A32" s="13" t="n">
        <v>28</v>
      </c>
      <c r="B32" s="7" t="n"/>
      <c r="C32" s="7" t="n"/>
      <c r="D32" s="11" t="n"/>
      <c r="E32" s="11" t="n"/>
      <c r="F32" s="17" t="n"/>
      <c r="G32" s="12">
        <f>IF(C32&lt;&gt;"",MAX(IF(D32="",Stammdaten!$B$6,D32),Stammdaten!$B$6),"")</f>
        <v/>
      </c>
      <c r="H32" s="12">
        <f>IF(C32&lt;&gt;"",MIN(IF(E32="",Stammdaten!$B$7,E32),Stammdaten!$B$7),"")</f>
        <v/>
      </c>
      <c r="I32" s="13">
        <f>IF(C32&lt;&gt;"",MAX(0,H32-G32+1),0)</f>
        <v/>
      </c>
      <c r="J32" s="20">
        <f>IF(C32&lt;&gt;"",I32/Stammdaten!$B$8,0)</f>
        <v/>
      </c>
      <c r="K32" s="20">
        <f>IF(C32&lt;&gt;"",SUMPRODUCT(O32:Z32,$O$3:$Z$3)/Stammdaten!$E$17,0)</f>
        <v/>
      </c>
      <c r="L32" s="16">
        <f>IF(C32&lt;&gt;"",IFERROR(INDEX(Stammdaten!$C$22:$C$51,MATCH(C32,Stammdaten!$A$22:$A$51,0)),0),0)</f>
        <v/>
      </c>
      <c r="M32" s="16">
        <f>IF(C32&lt;&gt;"",IFERROR(INDEX(Stammdaten!$D$22:$D$51,MATCH(C32,Stammdaten!$A$22:$A$51,0)),0),0)</f>
        <v/>
      </c>
      <c r="N32" s="16">
        <f>IF(C32&lt;&gt;"",IFERROR(INDEX(Stammdaten!$E$22:$E$51,MATCH(C32,Stammdaten!$A$22:$A$51,0)),0),0)</f>
        <v/>
      </c>
      <c r="O32" s="16">
        <f>IF(C32&lt;&gt;"",MAX(0,MIN(H32,EOMONTH(EDATE(Stammdaten!$B$6,0),0))-MAX(G32,EDATE(Stammdaten!$B$6,0))+1)/DAY(EOMONTH(EDATE(Stammdaten!$B$6,0),0)),0)</f>
        <v/>
      </c>
      <c r="P32" s="16">
        <f>IF(C32&lt;&gt;"",MAX(0,MIN(H32,EOMONTH(EDATE(Stammdaten!$B$6,1),0))-MAX(G32,EDATE(Stammdaten!$B$6,1))+1)/DAY(EOMONTH(EDATE(Stammdaten!$B$6,1),0)),0)</f>
        <v/>
      </c>
      <c r="Q32" s="16">
        <f>IF(C32&lt;&gt;"",MAX(0,MIN(H32,EOMONTH(EDATE(Stammdaten!$B$6,2),0))-MAX(G32,EDATE(Stammdaten!$B$6,2))+1)/DAY(EOMONTH(EDATE(Stammdaten!$B$6,2),0)),0)</f>
        <v/>
      </c>
      <c r="R32" s="16">
        <f>IF(C32&lt;&gt;"",MAX(0,MIN(H32,EOMONTH(EDATE(Stammdaten!$B$6,3),0))-MAX(G32,EDATE(Stammdaten!$B$6,3))+1)/DAY(EOMONTH(EDATE(Stammdaten!$B$6,3),0)),0)</f>
        <v/>
      </c>
      <c r="S32" s="16">
        <f>IF(C32&lt;&gt;"",MAX(0,MIN(H32,EOMONTH(EDATE(Stammdaten!$B$6,4),0))-MAX(G32,EDATE(Stammdaten!$B$6,4))+1)/DAY(EOMONTH(EDATE(Stammdaten!$B$6,4),0)),0)</f>
        <v/>
      </c>
      <c r="T32" s="16">
        <f>IF(C32&lt;&gt;"",MAX(0,MIN(H32,EOMONTH(EDATE(Stammdaten!$B$6,5),0))-MAX(G32,EDATE(Stammdaten!$B$6,5))+1)/DAY(EOMONTH(EDATE(Stammdaten!$B$6,5),0)),0)</f>
        <v/>
      </c>
      <c r="U32" s="16">
        <f>IF(C32&lt;&gt;"",MAX(0,MIN(H32,EOMONTH(EDATE(Stammdaten!$B$6,6),0))-MAX(G32,EDATE(Stammdaten!$B$6,6))+1)/DAY(EOMONTH(EDATE(Stammdaten!$B$6,6),0)),0)</f>
        <v/>
      </c>
      <c r="V32" s="16">
        <f>IF(C32&lt;&gt;"",MAX(0,MIN(H32,EOMONTH(EDATE(Stammdaten!$B$6,7),0))-MAX(G32,EDATE(Stammdaten!$B$6,7))+1)/DAY(EOMONTH(EDATE(Stammdaten!$B$6,7),0)),0)</f>
        <v/>
      </c>
      <c r="W32" s="16">
        <f>IF(C32&lt;&gt;"",MAX(0,MIN(H32,EOMONTH(EDATE(Stammdaten!$B$6,8),0))-MAX(G32,EDATE(Stammdaten!$B$6,8))+1)/DAY(EOMONTH(EDATE(Stammdaten!$B$6,8),0)),0)</f>
        <v/>
      </c>
      <c r="X32" s="16">
        <f>IF(C32&lt;&gt;"",MAX(0,MIN(H32,EOMONTH(EDATE(Stammdaten!$B$6,9),0))-MAX(G32,EDATE(Stammdaten!$B$6,9))+1)/DAY(EOMONTH(EDATE(Stammdaten!$B$6,9),0)),0)</f>
        <v/>
      </c>
      <c r="Y32" s="16">
        <f>IF(C32&lt;&gt;"",MAX(0,MIN(H32,EOMONTH(EDATE(Stammdaten!$B$6,10),0))-MAX(G32,EDATE(Stammdaten!$B$6,10))+1)/DAY(EOMONTH(EDATE(Stammdaten!$B$6,10),0)),0)</f>
        <v/>
      </c>
      <c r="Z32" s="16">
        <f>IF(C32&lt;&gt;"",MAX(0,MIN(H32,EOMONTH(EDATE(Stammdaten!$B$6,11),0))-MAX(G32,EDATE(Stammdaten!$B$6,11))+1)/DAY(EOMONTH(EDATE(Stammdaten!$B$6,11),0)),0)</f>
        <v/>
      </c>
    </row>
    <row r="33">
      <c r="A33" s="13" t="n">
        <v>29</v>
      </c>
      <c r="B33" s="7" t="n"/>
      <c r="C33" s="7" t="n"/>
      <c r="D33" s="11" t="n"/>
      <c r="E33" s="11" t="n"/>
      <c r="F33" s="17" t="n"/>
      <c r="G33" s="12">
        <f>IF(C33&lt;&gt;"",MAX(IF(D33="",Stammdaten!$B$6,D33),Stammdaten!$B$6),"")</f>
        <v/>
      </c>
      <c r="H33" s="12">
        <f>IF(C33&lt;&gt;"",MIN(IF(E33="",Stammdaten!$B$7,E33),Stammdaten!$B$7),"")</f>
        <v/>
      </c>
      <c r="I33" s="13">
        <f>IF(C33&lt;&gt;"",MAX(0,H33-G33+1),0)</f>
        <v/>
      </c>
      <c r="J33" s="20">
        <f>IF(C33&lt;&gt;"",I33/Stammdaten!$B$8,0)</f>
        <v/>
      </c>
      <c r="K33" s="20">
        <f>IF(C33&lt;&gt;"",SUMPRODUCT(O33:Z33,$O$3:$Z$3)/Stammdaten!$E$17,0)</f>
        <v/>
      </c>
      <c r="L33" s="16">
        <f>IF(C33&lt;&gt;"",IFERROR(INDEX(Stammdaten!$C$22:$C$51,MATCH(C33,Stammdaten!$A$22:$A$51,0)),0),0)</f>
        <v/>
      </c>
      <c r="M33" s="16">
        <f>IF(C33&lt;&gt;"",IFERROR(INDEX(Stammdaten!$D$22:$D$51,MATCH(C33,Stammdaten!$A$22:$A$51,0)),0),0)</f>
        <v/>
      </c>
      <c r="N33" s="16">
        <f>IF(C33&lt;&gt;"",IFERROR(INDEX(Stammdaten!$E$22:$E$51,MATCH(C33,Stammdaten!$A$22:$A$51,0)),0),0)</f>
        <v/>
      </c>
      <c r="O33" s="16">
        <f>IF(C33&lt;&gt;"",MAX(0,MIN(H33,EOMONTH(EDATE(Stammdaten!$B$6,0),0))-MAX(G33,EDATE(Stammdaten!$B$6,0))+1)/DAY(EOMONTH(EDATE(Stammdaten!$B$6,0),0)),0)</f>
        <v/>
      </c>
      <c r="P33" s="16">
        <f>IF(C33&lt;&gt;"",MAX(0,MIN(H33,EOMONTH(EDATE(Stammdaten!$B$6,1),0))-MAX(G33,EDATE(Stammdaten!$B$6,1))+1)/DAY(EOMONTH(EDATE(Stammdaten!$B$6,1),0)),0)</f>
        <v/>
      </c>
      <c r="Q33" s="16">
        <f>IF(C33&lt;&gt;"",MAX(0,MIN(H33,EOMONTH(EDATE(Stammdaten!$B$6,2),0))-MAX(G33,EDATE(Stammdaten!$B$6,2))+1)/DAY(EOMONTH(EDATE(Stammdaten!$B$6,2),0)),0)</f>
        <v/>
      </c>
      <c r="R33" s="16">
        <f>IF(C33&lt;&gt;"",MAX(0,MIN(H33,EOMONTH(EDATE(Stammdaten!$B$6,3),0))-MAX(G33,EDATE(Stammdaten!$B$6,3))+1)/DAY(EOMONTH(EDATE(Stammdaten!$B$6,3),0)),0)</f>
        <v/>
      </c>
      <c r="S33" s="16">
        <f>IF(C33&lt;&gt;"",MAX(0,MIN(H33,EOMONTH(EDATE(Stammdaten!$B$6,4),0))-MAX(G33,EDATE(Stammdaten!$B$6,4))+1)/DAY(EOMONTH(EDATE(Stammdaten!$B$6,4),0)),0)</f>
        <v/>
      </c>
      <c r="T33" s="16">
        <f>IF(C33&lt;&gt;"",MAX(0,MIN(H33,EOMONTH(EDATE(Stammdaten!$B$6,5),0))-MAX(G33,EDATE(Stammdaten!$B$6,5))+1)/DAY(EOMONTH(EDATE(Stammdaten!$B$6,5),0)),0)</f>
        <v/>
      </c>
      <c r="U33" s="16">
        <f>IF(C33&lt;&gt;"",MAX(0,MIN(H33,EOMONTH(EDATE(Stammdaten!$B$6,6),0))-MAX(G33,EDATE(Stammdaten!$B$6,6))+1)/DAY(EOMONTH(EDATE(Stammdaten!$B$6,6),0)),0)</f>
        <v/>
      </c>
      <c r="V33" s="16">
        <f>IF(C33&lt;&gt;"",MAX(0,MIN(H33,EOMONTH(EDATE(Stammdaten!$B$6,7),0))-MAX(G33,EDATE(Stammdaten!$B$6,7))+1)/DAY(EOMONTH(EDATE(Stammdaten!$B$6,7),0)),0)</f>
        <v/>
      </c>
      <c r="W33" s="16">
        <f>IF(C33&lt;&gt;"",MAX(0,MIN(H33,EOMONTH(EDATE(Stammdaten!$B$6,8),0))-MAX(G33,EDATE(Stammdaten!$B$6,8))+1)/DAY(EOMONTH(EDATE(Stammdaten!$B$6,8),0)),0)</f>
        <v/>
      </c>
      <c r="X33" s="16">
        <f>IF(C33&lt;&gt;"",MAX(0,MIN(H33,EOMONTH(EDATE(Stammdaten!$B$6,9),0))-MAX(G33,EDATE(Stammdaten!$B$6,9))+1)/DAY(EOMONTH(EDATE(Stammdaten!$B$6,9),0)),0)</f>
        <v/>
      </c>
      <c r="Y33" s="16">
        <f>IF(C33&lt;&gt;"",MAX(0,MIN(H33,EOMONTH(EDATE(Stammdaten!$B$6,10),0))-MAX(G33,EDATE(Stammdaten!$B$6,10))+1)/DAY(EOMONTH(EDATE(Stammdaten!$B$6,10),0)),0)</f>
        <v/>
      </c>
      <c r="Z33" s="16">
        <f>IF(C33&lt;&gt;"",MAX(0,MIN(H33,EOMONTH(EDATE(Stammdaten!$B$6,11),0))-MAX(G33,EDATE(Stammdaten!$B$6,11))+1)/DAY(EOMONTH(EDATE(Stammdaten!$B$6,11),0)),0)</f>
        <v/>
      </c>
    </row>
    <row r="34">
      <c r="A34" s="13" t="n">
        <v>30</v>
      </c>
      <c r="B34" s="7" t="n"/>
      <c r="C34" s="7" t="n"/>
      <c r="D34" s="11" t="n"/>
      <c r="E34" s="11" t="n"/>
      <c r="F34" s="17" t="n"/>
      <c r="G34" s="12">
        <f>IF(C34&lt;&gt;"",MAX(IF(D34="",Stammdaten!$B$6,D34),Stammdaten!$B$6),"")</f>
        <v/>
      </c>
      <c r="H34" s="12">
        <f>IF(C34&lt;&gt;"",MIN(IF(E34="",Stammdaten!$B$7,E34),Stammdaten!$B$7),"")</f>
        <v/>
      </c>
      <c r="I34" s="13">
        <f>IF(C34&lt;&gt;"",MAX(0,H34-G34+1),0)</f>
        <v/>
      </c>
      <c r="J34" s="20">
        <f>IF(C34&lt;&gt;"",I34/Stammdaten!$B$8,0)</f>
        <v/>
      </c>
      <c r="K34" s="20">
        <f>IF(C34&lt;&gt;"",SUMPRODUCT(O34:Z34,$O$3:$Z$3)/Stammdaten!$E$17,0)</f>
        <v/>
      </c>
      <c r="L34" s="16">
        <f>IF(C34&lt;&gt;"",IFERROR(INDEX(Stammdaten!$C$22:$C$51,MATCH(C34,Stammdaten!$A$22:$A$51,0)),0),0)</f>
        <v/>
      </c>
      <c r="M34" s="16">
        <f>IF(C34&lt;&gt;"",IFERROR(INDEX(Stammdaten!$D$22:$D$51,MATCH(C34,Stammdaten!$A$22:$A$51,0)),0),0)</f>
        <v/>
      </c>
      <c r="N34" s="16">
        <f>IF(C34&lt;&gt;"",IFERROR(INDEX(Stammdaten!$E$22:$E$51,MATCH(C34,Stammdaten!$A$22:$A$51,0)),0),0)</f>
        <v/>
      </c>
      <c r="O34" s="16">
        <f>IF(C34&lt;&gt;"",MAX(0,MIN(H34,EOMONTH(EDATE(Stammdaten!$B$6,0),0))-MAX(G34,EDATE(Stammdaten!$B$6,0))+1)/DAY(EOMONTH(EDATE(Stammdaten!$B$6,0),0)),0)</f>
        <v/>
      </c>
      <c r="P34" s="16">
        <f>IF(C34&lt;&gt;"",MAX(0,MIN(H34,EOMONTH(EDATE(Stammdaten!$B$6,1),0))-MAX(G34,EDATE(Stammdaten!$B$6,1))+1)/DAY(EOMONTH(EDATE(Stammdaten!$B$6,1),0)),0)</f>
        <v/>
      </c>
      <c r="Q34" s="16">
        <f>IF(C34&lt;&gt;"",MAX(0,MIN(H34,EOMONTH(EDATE(Stammdaten!$B$6,2),0))-MAX(G34,EDATE(Stammdaten!$B$6,2))+1)/DAY(EOMONTH(EDATE(Stammdaten!$B$6,2),0)),0)</f>
        <v/>
      </c>
      <c r="R34" s="16">
        <f>IF(C34&lt;&gt;"",MAX(0,MIN(H34,EOMONTH(EDATE(Stammdaten!$B$6,3),0))-MAX(G34,EDATE(Stammdaten!$B$6,3))+1)/DAY(EOMONTH(EDATE(Stammdaten!$B$6,3),0)),0)</f>
        <v/>
      </c>
      <c r="S34" s="16">
        <f>IF(C34&lt;&gt;"",MAX(0,MIN(H34,EOMONTH(EDATE(Stammdaten!$B$6,4),0))-MAX(G34,EDATE(Stammdaten!$B$6,4))+1)/DAY(EOMONTH(EDATE(Stammdaten!$B$6,4),0)),0)</f>
        <v/>
      </c>
      <c r="T34" s="16">
        <f>IF(C34&lt;&gt;"",MAX(0,MIN(H34,EOMONTH(EDATE(Stammdaten!$B$6,5),0))-MAX(G34,EDATE(Stammdaten!$B$6,5))+1)/DAY(EOMONTH(EDATE(Stammdaten!$B$6,5),0)),0)</f>
        <v/>
      </c>
      <c r="U34" s="16">
        <f>IF(C34&lt;&gt;"",MAX(0,MIN(H34,EOMONTH(EDATE(Stammdaten!$B$6,6),0))-MAX(G34,EDATE(Stammdaten!$B$6,6))+1)/DAY(EOMONTH(EDATE(Stammdaten!$B$6,6),0)),0)</f>
        <v/>
      </c>
      <c r="V34" s="16">
        <f>IF(C34&lt;&gt;"",MAX(0,MIN(H34,EOMONTH(EDATE(Stammdaten!$B$6,7),0))-MAX(G34,EDATE(Stammdaten!$B$6,7))+1)/DAY(EOMONTH(EDATE(Stammdaten!$B$6,7),0)),0)</f>
        <v/>
      </c>
      <c r="W34" s="16">
        <f>IF(C34&lt;&gt;"",MAX(0,MIN(H34,EOMONTH(EDATE(Stammdaten!$B$6,8),0))-MAX(G34,EDATE(Stammdaten!$B$6,8))+1)/DAY(EOMONTH(EDATE(Stammdaten!$B$6,8),0)),0)</f>
        <v/>
      </c>
      <c r="X34" s="16">
        <f>IF(C34&lt;&gt;"",MAX(0,MIN(H34,EOMONTH(EDATE(Stammdaten!$B$6,9),0))-MAX(G34,EDATE(Stammdaten!$B$6,9))+1)/DAY(EOMONTH(EDATE(Stammdaten!$B$6,9),0)),0)</f>
        <v/>
      </c>
      <c r="Y34" s="16">
        <f>IF(C34&lt;&gt;"",MAX(0,MIN(H34,EOMONTH(EDATE(Stammdaten!$B$6,10),0))-MAX(G34,EDATE(Stammdaten!$B$6,10))+1)/DAY(EOMONTH(EDATE(Stammdaten!$B$6,10),0)),0)</f>
        <v/>
      </c>
      <c r="Z34" s="16">
        <f>IF(C34&lt;&gt;"",MAX(0,MIN(H34,EOMONTH(EDATE(Stammdaten!$B$6,11),0))-MAX(G34,EDATE(Stammdaten!$B$6,11))+1)/DAY(EOMONTH(EDATE(Stammdaten!$B$6,11),0)),0)</f>
        <v/>
      </c>
    </row>
    <row r="35">
      <c r="A35" s="13" t="n">
        <v>31</v>
      </c>
      <c r="B35" s="7" t="n"/>
      <c r="C35" s="7" t="n"/>
      <c r="D35" s="11" t="n"/>
      <c r="E35" s="11" t="n"/>
      <c r="F35" s="17" t="n"/>
      <c r="G35" s="12">
        <f>IF(C35&lt;&gt;"",MAX(IF(D35="",Stammdaten!$B$6,D35),Stammdaten!$B$6),"")</f>
        <v/>
      </c>
      <c r="H35" s="12">
        <f>IF(C35&lt;&gt;"",MIN(IF(E35="",Stammdaten!$B$7,E35),Stammdaten!$B$7),"")</f>
        <v/>
      </c>
      <c r="I35" s="13">
        <f>IF(C35&lt;&gt;"",MAX(0,H35-G35+1),0)</f>
        <v/>
      </c>
      <c r="J35" s="20">
        <f>IF(C35&lt;&gt;"",I35/Stammdaten!$B$8,0)</f>
        <v/>
      </c>
      <c r="K35" s="20">
        <f>IF(C35&lt;&gt;"",SUMPRODUCT(O35:Z35,$O$3:$Z$3)/Stammdaten!$E$17,0)</f>
        <v/>
      </c>
      <c r="L35" s="16">
        <f>IF(C35&lt;&gt;"",IFERROR(INDEX(Stammdaten!$C$22:$C$51,MATCH(C35,Stammdaten!$A$22:$A$51,0)),0),0)</f>
        <v/>
      </c>
      <c r="M35" s="16">
        <f>IF(C35&lt;&gt;"",IFERROR(INDEX(Stammdaten!$D$22:$D$51,MATCH(C35,Stammdaten!$A$22:$A$51,0)),0),0)</f>
        <v/>
      </c>
      <c r="N35" s="16">
        <f>IF(C35&lt;&gt;"",IFERROR(INDEX(Stammdaten!$E$22:$E$51,MATCH(C35,Stammdaten!$A$22:$A$51,0)),0),0)</f>
        <v/>
      </c>
      <c r="O35" s="16">
        <f>IF(C35&lt;&gt;"",MAX(0,MIN(H35,EOMONTH(EDATE(Stammdaten!$B$6,0),0))-MAX(G35,EDATE(Stammdaten!$B$6,0))+1)/DAY(EOMONTH(EDATE(Stammdaten!$B$6,0),0)),0)</f>
        <v/>
      </c>
      <c r="P35" s="16">
        <f>IF(C35&lt;&gt;"",MAX(0,MIN(H35,EOMONTH(EDATE(Stammdaten!$B$6,1),0))-MAX(G35,EDATE(Stammdaten!$B$6,1))+1)/DAY(EOMONTH(EDATE(Stammdaten!$B$6,1),0)),0)</f>
        <v/>
      </c>
      <c r="Q35" s="16">
        <f>IF(C35&lt;&gt;"",MAX(0,MIN(H35,EOMONTH(EDATE(Stammdaten!$B$6,2),0))-MAX(G35,EDATE(Stammdaten!$B$6,2))+1)/DAY(EOMONTH(EDATE(Stammdaten!$B$6,2),0)),0)</f>
        <v/>
      </c>
      <c r="R35" s="16">
        <f>IF(C35&lt;&gt;"",MAX(0,MIN(H35,EOMONTH(EDATE(Stammdaten!$B$6,3),0))-MAX(G35,EDATE(Stammdaten!$B$6,3))+1)/DAY(EOMONTH(EDATE(Stammdaten!$B$6,3),0)),0)</f>
        <v/>
      </c>
      <c r="S35" s="16">
        <f>IF(C35&lt;&gt;"",MAX(0,MIN(H35,EOMONTH(EDATE(Stammdaten!$B$6,4),0))-MAX(G35,EDATE(Stammdaten!$B$6,4))+1)/DAY(EOMONTH(EDATE(Stammdaten!$B$6,4),0)),0)</f>
        <v/>
      </c>
      <c r="T35" s="16">
        <f>IF(C35&lt;&gt;"",MAX(0,MIN(H35,EOMONTH(EDATE(Stammdaten!$B$6,5),0))-MAX(G35,EDATE(Stammdaten!$B$6,5))+1)/DAY(EOMONTH(EDATE(Stammdaten!$B$6,5),0)),0)</f>
        <v/>
      </c>
      <c r="U35" s="16">
        <f>IF(C35&lt;&gt;"",MAX(0,MIN(H35,EOMONTH(EDATE(Stammdaten!$B$6,6),0))-MAX(G35,EDATE(Stammdaten!$B$6,6))+1)/DAY(EOMONTH(EDATE(Stammdaten!$B$6,6),0)),0)</f>
        <v/>
      </c>
      <c r="V35" s="16">
        <f>IF(C35&lt;&gt;"",MAX(0,MIN(H35,EOMONTH(EDATE(Stammdaten!$B$6,7),0))-MAX(G35,EDATE(Stammdaten!$B$6,7))+1)/DAY(EOMONTH(EDATE(Stammdaten!$B$6,7),0)),0)</f>
        <v/>
      </c>
      <c r="W35" s="16">
        <f>IF(C35&lt;&gt;"",MAX(0,MIN(H35,EOMONTH(EDATE(Stammdaten!$B$6,8),0))-MAX(G35,EDATE(Stammdaten!$B$6,8))+1)/DAY(EOMONTH(EDATE(Stammdaten!$B$6,8),0)),0)</f>
        <v/>
      </c>
      <c r="X35" s="16">
        <f>IF(C35&lt;&gt;"",MAX(0,MIN(H35,EOMONTH(EDATE(Stammdaten!$B$6,9),0))-MAX(G35,EDATE(Stammdaten!$B$6,9))+1)/DAY(EOMONTH(EDATE(Stammdaten!$B$6,9),0)),0)</f>
        <v/>
      </c>
      <c r="Y35" s="16">
        <f>IF(C35&lt;&gt;"",MAX(0,MIN(H35,EOMONTH(EDATE(Stammdaten!$B$6,10),0))-MAX(G35,EDATE(Stammdaten!$B$6,10))+1)/DAY(EOMONTH(EDATE(Stammdaten!$B$6,10),0)),0)</f>
        <v/>
      </c>
      <c r="Z35" s="16">
        <f>IF(C35&lt;&gt;"",MAX(0,MIN(H35,EOMONTH(EDATE(Stammdaten!$B$6,11),0))-MAX(G35,EDATE(Stammdaten!$B$6,11))+1)/DAY(EOMONTH(EDATE(Stammdaten!$B$6,11),0)),0)</f>
        <v/>
      </c>
    </row>
    <row r="36">
      <c r="A36" s="13" t="n">
        <v>32</v>
      </c>
      <c r="B36" s="7" t="n"/>
      <c r="C36" s="7" t="n"/>
      <c r="D36" s="11" t="n"/>
      <c r="E36" s="11" t="n"/>
      <c r="F36" s="17" t="n"/>
      <c r="G36" s="12">
        <f>IF(C36&lt;&gt;"",MAX(IF(D36="",Stammdaten!$B$6,D36),Stammdaten!$B$6),"")</f>
        <v/>
      </c>
      <c r="H36" s="12">
        <f>IF(C36&lt;&gt;"",MIN(IF(E36="",Stammdaten!$B$7,E36),Stammdaten!$B$7),"")</f>
        <v/>
      </c>
      <c r="I36" s="13">
        <f>IF(C36&lt;&gt;"",MAX(0,H36-G36+1),0)</f>
        <v/>
      </c>
      <c r="J36" s="20">
        <f>IF(C36&lt;&gt;"",I36/Stammdaten!$B$8,0)</f>
        <v/>
      </c>
      <c r="K36" s="20">
        <f>IF(C36&lt;&gt;"",SUMPRODUCT(O36:Z36,$O$3:$Z$3)/Stammdaten!$E$17,0)</f>
        <v/>
      </c>
      <c r="L36" s="16">
        <f>IF(C36&lt;&gt;"",IFERROR(INDEX(Stammdaten!$C$22:$C$51,MATCH(C36,Stammdaten!$A$22:$A$51,0)),0),0)</f>
        <v/>
      </c>
      <c r="M36" s="16">
        <f>IF(C36&lt;&gt;"",IFERROR(INDEX(Stammdaten!$D$22:$D$51,MATCH(C36,Stammdaten!$A$22:$A$51,0)),0),0)</f>
        <v/>
      </c>
      <c r="N36" s="16">
        <f>IF(C36&lt;&gt;"",IFERROR(INDEX(Stammdaten!$E$22:$E$51,MATCH(C36,Stammdaten!$A$22:$A$51,0)),0),0)</f>
        <v/>
      </c>
      <c r="O36" s="16">
        <f>IF(C36&lt;&gt;"",MAX(0,MIN(H36,EOMONTH(EDATE(Stammdaten!$B$6,0),0))-MAX(G36,EDATE(Stammdaten!$B$6,0))+1)/DAY(EOMONTH(EDATE(Stammdaten!$B$6,0),0)),0)</f>
        <v/>
      </c>
      <c r="P36" s="16">
        <f>IF(C36&lt;&gt;"",MAX(0,MIN(H36,EOMONTH(EDATE(Stammdaten!$B$6,1),0))-MAX(G36,EDATE(Stammdaten!$B$6,1))+1)/DAY(EOMONTH(EDATE(Stammdaten!$B$6,1),0)),0)</f>
        <v/>
      </c>
      <c r="Q36" s="16">
        <f>IF(C36&lt;&gt;"",MAX(0,MIN(H36,EOMONTH(EDATE(Stammdaten!$B$6,2),0))-MAX(G36,EDATE(Stammdaten!$B$6,2))+1)/DAY(EOMONTH(EDATE(Stammdaten!$B$6,2),0)),0)</f>
        <v/>
      </c>
      <c r="R36" s="16">
        <f>IF(C36&lt;&gt;"",MAX(0,MIN(H36,EOMONTH(EDATE(Stammdaten!$B$6,3),0))-MAX(G36,EDATE(Stammdaten!$B$6,3))+1)/DAY(EOMONTH(EDATE(Stammdaten!$B$6,3),0)),0)</f>
        <v/>
      </c>
      <c r="S36" s="16">
        <f>IF(C36&lt;&gt;"",MAX(0,MIN(H36,EOMONTH(EDATE(Stammdaten!$B$6,4),0))-MAX(G36,EDATE(Stammdaten!$B$6,4))+1)/DAY(EOMONTH(EDATE(Stammdaten!$B$6,4),0)),0)</f>
        <v/>
      </c>
      <c r="T36" s="16">
        <f>IF(C36&lt;&gt;"",MAX(0,MIN(H36,EOMONTH(EDATE(Stammdaten!$B$6,5),0))-MAX(G36,EDATE(Stammdaten!$B$6,5))+1)/DAY(EOMONTH(EDATE(Stammdaten!$B$6,5),0)),0)</f>
        <v/>
      </c>
      <c r="U36" s="16">
        <f>IF(C36&lt;&gt;"",MAX(0,MIN(H36,EOMONTH(EDATE(Stammdaten!$B$6,6),0))-MAX(G36,EDATE(Stammdaten!$B$6,6))+1)/DAY(EOMONTH(EDATE(Stammdaten!$B$6,6),0)),0)</f>
        <v/>
      </c>
      <c r="V36" s="16">
        <f>IF(C36&lt;&gt;"",MAX(0,MIN(H36,EOMONTH(EDATE(Stammdaten!$B$6,7),0))-MAX(G36,EDATE(Stammdaten!$B$6,7))+1)/DAY(EOMONTH(EDATE(Stammdaten!$B$6,7),0)),0)</f>
        <v/>
      </c>
      <c r="W36" s="16">
        <f>IF(C36&lt;&gt;"",MAX(0,MIN(H36,EOMONTH(EDATE(Stammdaten!$B$6,8),0))-MAX(G36,EDATE(Stammdaten!$B$6,8))+1)/DAY(EOMONTH(EDATE(Stammdaten!$B$6,8),0)),0)</f>
        <v/>
      </c>
      <c r="X36" s="16">
        <f>IF(C36&lt;&gt;"",MAX(0,MIN(H36,EOMONTH(EDATE(Stammdaten!$B$6,9),0))-MAX(G36,EDATE(Stammdaten!$B$6,9))+1)/DAY(EOMONTH(EDATE(Stammdaten!$B$6,9),0)),0)</f>
        <v/>
      </c>
      <c r="Y36" s="16">
        <f>IF(C36&lt;&gt;"",MAX(0,MIN(H36,EOMONTH(EDATE(Stammdaten!$B$6,10),0))-MAX(G36,EDATE(Stammdaten!$B$6,10))+1)/DAY(EOMONTH(EDATE(Stammdaten!$B$6,10),0)),0)</f>
        <v/>
      </c>
      <c r="Z36" s="16">
        <f>IF(C36&lt;&gt;"",MAX(0,MIN(H36,EOMONTH(EDATE(Stammdaten!$B$6,11),0))-MAX(G36,EDATE(Stammdaten!$B$6,11))+1)/DAY(EOMONTH(EDATE(Stammdaten!$B$6,11),0)),0)</f>
        <v/>
      </c>
    </row>
    <row r="37">
      <c r="A37" s="13" t="n">
        <v>33</v>
      </c>
      <c r="B37" s="7" t="n"/>
      <c r="C37" s="7" t="n"/>
      <c r="D37" s="11" t="n"/>
      <c r="E37" s="11" t="n"/>
      <c r="F37" s="17" t="n"/>
      <c r="G37" s="12">
        <f>IF(C37&lt;&gt;"",MAX(IF(D37="",Stammdaten!$B$6,D37),Stammdaten!$B$6),"")</f>
        <v/>
      </c>
      <c r="H37" s="12">
        <f>IF(C37&lt;&gt;"",MIN(IF(E37="",Stammdaten!$B$7,E37),Stammdaten!$B$7),"")</f>
        <v/>
      </c>
      <c r="I37" s="13">
        <f>IF(C37&lt;&gt;"",MAX(0,H37-G37+1),0)</f>
        <v/>
      </c>
      <c r="J37" s="20">
        <f>IF(C37&lt;&gt;"",I37/Stammdaten!$B$8,0)</f>
        <v/>
      </c>
      <c r="K37" s="20">
        <f>IF(C37&lt;&gt;"",SUMPRODUCT(O37:Z37,$O$3:$Z$3)/Stammdaten!$E$17,0)</f>
        <v/>
      </c>
      <c r="L37" s="16">
        <f>IF(C37&lt;&gt;"",IFERROR(INDEX(Stammdaten!$C$22:$C$51,MATCH(C37,Stammdaten!$A$22:$A$51,0)),0),0)</f>
        <v/>
      </c>
      <c r="M37" s="16">
        <f>IF(C37&lt;&gt;"",IFERROR(INDEX(Stammdaten!$D$22:$D$51,MATCH(C37,Stammdaten!$A$22:$A$51,0)),0),0)</f>
        <v/>
      </c>
      <c r="N37" s="16">
        <f>IF(C37&lt;&gt;"",IFERROR(INDEX(Stammdaten!$E$22:$E$51,MATCH(C37,Stammdaten!$A$22:$A$51,0)),0),0)</f>
        <v/>
      </c>
      <c r="O37" s="16">
        <f>IF(C37&lt;&gt;"",MAX(0,MIN(H37,EOMONTH(EDATE(Stammdaten!$B$6,0),0))-MAX(G37,EDATE(Stammdaten!$B$6,0))+1)/DAY(EOMONTH(EDATE(Stammdaten!$B$6,0),0)),0)</f>
        <v/>
      </c>
      <c r="P37" s="16">
        <f>IF(C37&lt;&gt;"",MAX(0,MIN(H37,EOMONTH(EDATE(Stammdaten!$B$6,1),0))-MAX(G37,EDATE(Stammdaten!$B$6,1))+1)/DAY(EOMONTH(EDATE(Stammdaten!$B$6,1),0)),0)</f>
        <v/>
      </c>
      <c r="Q37" s="16">
        <f>IF(C37&lt;&gt;"",MAX(0,MIN(H37,EOMONTH(EDATE(Stammdaten!$B$6,2),0))-MAX(G37,EDATE(Stammdaten!$B$6,2))+1)/DAY(EOMONTH(EDATE(Stammdaten!$B$6,2),0)),0)</f>
        <v/>
      </c>
      <c r="R37" s="16">
        <f>IF(C37&lt;&gt;"",MAX(0,MIN(H37,EOMONTH(EDATE(Stammdaten!$B$6,3),0))-MAX(G37,EDATE(Stammdaten!$B$6,3))+1)/DAY(EOMONTH(EDATE(Stammdaten!$B$6,3),0)),0)</f>
        <v/>
      </c>
      <c r="S37" s="16">
        <f>IF(C37&lt;&gt;"",MAX(0,MIN(H37,EOMONTH(EDATE(Stammdaten!$B$6,4),0))-MAX(G37,EDATE(Stammdaten!$B$6,4))+1)/DAY(EOMONTH(EDATE(Stammdaten!$B$6,4),0)),0)</f>
        <v/>
      </c>
      <c r="T37" s="16">
        <f>IF(C37&lt;&gt;"",MAX(0,MIN(H37,EOMONTH(EDATE(Stammdaten!$B$6,5),0))-MAX(G37,EDATE(Stammdaten!$B$6,5))+1)/DAY(EOMONTH(EDATE(Stammdaten!$B$6,5),0)),0)</f>
        <v/>
      </c>
      <c r="U37" s="16">
        <f>IF(C37&lt;&gt;"",MAX(0,MIN(H37,EOMONTH(EDATE(Stammdaten!$B$6,6),0))-MAX(G37,EDATE(Stammdaten!$B$6,6))+1)/DAY(EOMONTH(EDATE(Stammdaten!$B$6,6),0)),0)</f>
        <v/>
      </c>
      <c r="V37" s="16">
        <f>IF(C37&lt;&gt;"",MAX(0,MIN(H37,EOMONTH(EDATE(Stammdaten!$B$6,7),0))-MAX(G37,EDATE(Stammdaten!$B$6,7))+1)/DAY(EOMONTH(EDATE(Stammdaten!$B$6,7),0)),0)</f>
        <v/>
      </c>
      <c r="W37" s="16">
        <f>IF(C37&lt;&gt;"",MAX(0,MIN(H37,EOMONTH(EDATE(Stammdaten!$B$6,8),0))-MAX(G37,EDATE(Stammdaten!$B$6,8))+1)/DAY(EOMONTH(EDATE(Stammdaten!$B$6,8),0)),0)</f>
        <v/>
      </c>
      <c r="X37" s="16">
        <f>IF(C37&lt;&gt;"",MAX(0,MIN(H37,EOMONTH(EDATE(Stammdaten!$B$6,9),0))-MAX(G37,EDATE(Stammdaten!$B$6,9))+1)/DAY(EOMONTH(EDATE(Stammdaten!$B$6,9),0)),0)</f>
        <v/>
      </c>
      <c r="Y37" s="16">
        <f>IF(C37&lt;&gt;"",MAX(0,MIN(H37,EOMONTH(EDATE(Stammdaten!$B$6,10),0))-MAX(G37,EDATE(Stammdaten!$B$6,10))+1)/DAY(EOMONTH(EDATE(Stammdaten!$B$6,10),0)),0)</f>
        <v/>
      </c>
      <c r="Z37" s="16">
        <f>IF(C37&lt;&gt;"",MAX(0,MIN(H37,EOMONTH(EDATE(Stammdaten!$B$6,11),0))-MAX(G37,EDATE(Stammdaten!$B$6,11))+1)/DAY(EOMONTH(EDATE(Stammdaten!$B$6,11),0)),0)</f>
        <v/>
      </c>
    </row>
    <row r="38">
      <c r="A38" s="13" t="n">
        <v>34</v>
      </c>
      <c r="B38" s="7" t="n"/>
      <c r="C38" s="7" t="n"/>
      <c r="D38" s="11" t="n"/>
      <c r="E38" s="11" t="n"/>
      <c r="F38" s="17" t="n"/>
      <c r="G38" s="12">
        <f>IF(C38&lt;&gt;"",MAX(IF(D38="",Stammdaten!$B$6,D38),Stammdaten!$B$6),"")</f>
        <v/>
      </c>
      <c r="H38" s="12">
        <f>IF(C38&lt;&gt;"",MIN(IF(E38="",Stammdaten!$B$7,E38),Stammdaten!$B$7),"")</f>
        <v/>
      </c>
      <c r="I38" s="13">
        <f>IF(C38&lt;&gt;"",MAX(0,H38-G38+1),0)</f>
        <v/>
      </c>
      <c r="J38" s="20">
        <f>IF(C38&lt;&gt;"",I38/Stammdaten!$B$8,0)</f>
        <v/>
      </c>
      <c r="K38" s="20">
        <f>IF(C38&lt;&gt;"",SUMPRODUCT(O38:Z38,$O$3:$Z$3)/Stammdaten!$E$17,0)</f>
        <v/>
      </c>
      <c r="L38" s="16">
        <f>IF(C38&lt;&gt;"",IFERROR(INDEX(Stammdaten!$C$22:$C$51,MATCH(C38,Stammdaten!$A$22:$A$51,0)),0),0)</f>
        <v/>
      </c>
      <c r="M38" s="16">
        <f>IF(C38&lt;&gt;"",IFERROR(INDEX(Stammdaten!$D$22:$D$51,MATCH(C38,Stammdaten!$A$22:$A$51,0)),0),0)</f>
        <v/>
      </c>
      <c r="N38" s="16">
        <f>IF(C38&lt;&gt;"",IFERROR(INDEX(Stammdaten!$E$22:$E$51,MATCH(C38,Stammdaten!$A$22:$A$51,0)),0),0)</f>
        <v/>
      </c>
      <c r="O38" s="16">
        <f>IF(C38&lt;&gt;"",MAX(0,MIN(H38,EOMONTH(EDATE(Stammdaten!$B$6,0),0))-MAX(G38,EDATE(Stammdaten!$B$6,0))+1)/DAY(EOMONTH(EDATE(Stammdaten!$B$6,0),0)),0)</f>
        <v/>
      </c>
      <c r="P38" s="16">
        <f>IF(C38&lt;&gt;"",MAX(0,MIN(H38,EOMONTH(EDATE(Stammdaten!$B$6,1),0))-MAX(G38,EDATE(Stammdaten!$B$6,1))+1)/DAY(EOMONTH(EDATE(Stammdaten!$B$6,1),0)),0)</f>
        <v/>
      </c>
      <c r="Q38" s="16">
        <f>IF(C38&lt;&gt;"",MAX(0,MIN(H38,EOMONTH(EDATE(Stammdaten!$B$6,2),0))-MAX(G38,EDATE(Stammdaten!$B$6,2))+1)/DAY(EOMONTH(EDATE(Stammdaten!$B$6,2),0)),0)</f>
        <v/>
      </c>
      <c r="R38" s="16">
        <f>IF(C38&lt;&gt;"",MAX(0,MIN(H38,EOMONTH(EDATE(Stammdaten!$B$6,3),0))-MAX(G38,EDATE(Stammdaten!$B$6,3))+1)/DAY(EOMONTH(EDATE(Stammdaten!$B$6,3),0)),0)</f>
        <v/>
      </c>
      <c r="S38" s="16">
        <f>IF(C38&lt;&gt;"",MAX(0,MIN(H38,EOMONTH(EDATE(Stammdaten!$B$6,4),0))-MAX(G38,EDATE(Stammdaten!$B$6,4))+1)/DAY(EOMONTH(EDATE(Stammdaten!$B$6,4),0)),0)</f>
        <v/>
      </c>
      <c r="T38" s="16">
        <f>IF(C38&lt;&gt;"",MAX(0,MIN(H38,EOMONTH(EDATE(Stammdaten!$B$6,5),0))-MAX(G38,EDATE(Stammdaten!$B$6,5))+1)/DAY(EOMONTH(EDATE(Stammdaten!$B$6,5),0)),0)</f>
        <v/>
      </c>
      <c r="U38" s="16">
        <f>IF(C38&lt;&gt;"",MAX(0,MIN(H38,EOMONTH(EDATE(Stammdaten!$B$6,6),0))-MAX(G38,EDATE(Stammdaten!$B$6,6))+1)/DAY(EOMONTH(EDATE(Stammdaten!$B$6,6),0)),0)</f>
        <v/>
      </c>
      <c r="V38" s="16">
        <f>IF(C38&lt;&gt;"",MAX(0,MIN(H38,EOMONTH(EDATE(Stammdaten!$B$6,7),0))-MAX(G38,EDATE(Stammdaten!$B$6,7))+1)/DAY(EOMONTH(EDATE(Stammdaten!$B$6,7),0)),0)</f>
        <v/>
      </c>
      <c r="W38" s="16">
        <f>IF(C38&lt;&gt;"",MAX(0,MIN(H38,EOMONTH(EDATE(Stammdaten!$B$6,8),0))-MAX(G38,EDATE(Stammdaten!$B$6,8))+1)/DAY(EOMONTH(EDATE(Stammdaten!$B$6,8),0)),0)</f>
        <v/>
      </c>
      <c r="X38" s="16">
        <f>IF(C38&lt;&gt;"",MAX(0,MIN(H38,EOMONTH(EDATE(Stammdaten!$B$6,9),0))-MAX(G38,EDATE(Stammdaten!$B$6,9))+1)/DAY(EOMONTH(EDATE(Stammdaten!$B$6,9),0)),0)</f>
        <v/>
      </c>
      <c r="Y38" s="16">
        <f>IF(C38&lt;&gt;"",MAX(0,MIN(H38,EOMONTH(EDATE(Stammdaten!$B$6,10),0))-MAX(G38,EDATE(Stammdaten!$B$6,10))+1)/DAY(EOMONTH(EDATE(Stammdaten!$B$6,10),0)),0)</f>
        <v/>
      </c>
      <c r="Z38" s="16">
        <f>IF(C38&lt;&gt;"",MAX(0,MIN(H38,EOMONTH(EDATE(Stammdaten!$B$6,11),0))-MAX(G38,EDATE(Stammdaten!$B$6,11))+1)/DAY(EOMONTH(EDATE(Stammdaten!$B$6,11),0)),0)</f>
        <v/>
      </c>
    </row>
    <row r="39">
      <c r="A39" s="13" t="n">
        <v>35</v>
      </c>
      <c r="B39" s="7" t="n"/>
      <c r="C39" s="7" t="n"/>
      <c r="D39" s="11" t="n"/>
      <c r="E39" s="11" t="n"/>
      <c r="F39" s="17" t="n"/>
      <c r="G39" s="12">
        <f>IF(C39&lt;&gt;"",MAX(IF(D39="",Stammdaten!$B$6,D39),Stammdaten!$B$6),"")</f>
        <v/>
      </c>
      <c r="H39" s="12">
        <f>IF(C39&lt;&gt;"",MIN(IF(E39="",Stammdaten!$B$7,E39),Stammdaten!$B$7),"")</f>
        <v/>
      </c>
      <c r="I39" s="13">
        <f>IF(C39&lt;&gt;"",MAX(0,H39-G39+1),0)</f>
        <v/>
      </c>
      <c r="J39" s="20">
        <f>IF(C39&lt;&gt;"",I39/Stammdaten!$B$8,0)</f>
        <v/>
      </c>
      <c r="K39" s="20">
        <f>IF(C39&lt;&gt;"",SUMPRODUCT(O39:Z39,$O$3:$Z$3)/Stammdaten!$E$17,0)</f>
        <v/>
      </c>
      <c r="L39" s="16">
        <f>IF(C39&lt;&gt;"",IFERROR(INDEX(Stammdaten!$C$22:$C$51,MATCH(C39,Stammdaten!$A$22:$A$51,0)),0),0)</f>
        <v/>
      </c>
      <c r="M39" s="16">
        <f>IF(C39&lt;&gt;"",IFERROR(INDEX(Stammdaten!$D$22:$D$51,MATCH(C39,Stammdaten!$A$22:$A$51,0)),0),0)</f>
        <v/>
      </c>
      <c r="N39" s="16">
        <f>IF(C39&lt;&gt;"",IFERROR(INDEX(Stammdaten!$E$22:$E$51,MATCH(C39,Stammdaten!$A$22:$A$51,0)),0),0)</f>
        <v/>
      </c>
      <c r="O39" s="16">
        <f>IF(C39&lt;&gt;"",MAX(0,MIN(H39,EOMONTH(EDATE(Stammdaten!$B$6,0),0))-MAX(G39,EDATE(Stammdaten!$B$6,0))+1)/DAY(EOMONTH(EDATE(Stammdaten!$B$6,0),0)),0)</f>
        <v/>
      </c>
      <c r="P39" s="16">
        <f>IF(C39&lt;&gt;"",MAX(0,MIN(H39,EOMONTH(EDATE(Stammdaten!$B$6,1),0))-MAX(G39,EDATE(Stammdaten!$B$6,1))+1)/DAY(EOMONTH(EDATE(Stammdaten!$B$6,1),0)),0)</f>
        <v/>
      </c>
      <c r="Q39" s="16">
        <f>IF(C39&lt;&gt;"",MAX(0,MIN(H39,EOMONTH(EDATE(Stammdaten!$B$6,2),0))-MAX(G39,EDATE(Stammdaten!$B$6,2))+1)/DAY(EOMONTH(EDATE(Stammdaten!$B$6,2),0)),0)</f>
        <v/>
      </c>
      <c r="R39" s="16">
        <f>IF(C39&lt;&gt;"",MAX(0,MIN(H39,EOMONTH(EDATE(Stammdaten!$B$6,3),0))-MAX(G39,EDATE(Stammdaten!$B$6,3))+1)/DAY(EOMONTH(EDATE(Stammdaten!$B$6,3),0)),0)</f>
        <v/>
      </c>
      <c r="S39" s="16">
        <f>IF(C39&lt;&gt;"",MAX(0,MIN(H39,EOMONTH(EDATE(Stammdaten!$B$6,4),0))-MAX(G39,EDATE(Stammdaten!$B$6,4))+1)/DAY(EOMONTH(EDATE(Stammdaten!$B$6,4),0)),0)</f>
        <v/>
      </c>
      <c r="T39" s="16">
        <f>IF(C39&lt;&gt;"",MAX(0,MIN(H39,EOMONTH(EDATE(Stammdaten!$B$6,5),0))-MAX(G39,EDATE(Stammdaten!$B$6,5))+1)/DAY(EOMONTH(EDATE(Stammdaten!$B$6,5),0)),0)</f>
        <v/>
      </c>
      <c r="U39" s="16">
        <f>IF(C39&lt;&gt;"",MAX(0,MIN(H39,EOMONTH(EDATE(Stammdaten!$B$6,6),0))-MAX(G39,EDATE(Stammdaten!$B$6,6))+1)/DAY(EOMONTH(EDATE(Stammdaten!$B$6,6),0)),0)</f>
        <v/>
      </c>
      <c r="V39" s="16">
        <f>IF(C39&lt;&gt;"",MAX(0,MIN(H39,EOMONTH(EDATE(Stammdaten!$B$6,7),0))-MAX(G39,EDATE(Stammdaten!$B$6,7))+1)/DAY(EOMONTH(EDATE(Stammdaten!$B$6,7),0)),0)</f>
        <v/>
      </c>
      <c r="W39" s="16">
        <f>IF(C39&lt;&gt;"",MAX(0,MIN(H39,EOMONTH(EDATE(Stammdaten!$B$6,8),0))-MAX(G39,EDATE(Stammdaten!$B$6,8))+1)/DAY(EOMONTH(EDATE(Stammdaten!$B$6,8),0)),0)</f>
        <v/>
      </c>
      <c r="X39" s="16">
        <f>IF(C39&lt;&gt;"",MAX(0,MIN(H39,EOMONTH(EDATE(Stammdaten!$B$6,9),0))-MAX(G39,EDATE(Stammdaten!$B$6,9))+1)/DAY(EOMONTH(EDATE(Stammdaten!$B$6,9),0)),0)</f>
        <v/>
      </c>
      <c r="Y39" s="16">
        <f>IF(C39&lt;&gt;"",MAX(0,MIN(H39,EOMONTH(EDATE(Stammdaten!$B$6,10),0))-MAX(G39,EDATE(Stammdaten!$B$6,10))+1)/DAY(EOMONTH(EDATE(Stammdaten!$B$6,10),0)),0)</f>
        <v/>
      </c>
      <c r="Z39" s="16">
        <f>IF(C39&lt;&gt;"",MAX(0,MIN(H39,EOMONTH(EDATE(Stammdaten!$B$6,11),0))-MAX(G39,EDATE(Stammdaten!$B$6,11))+1)/DAY(EOMONTH(EDATE(Stammdaten!$B$6,11),0)),0)</f>
        <v/>
      </c>
    </row>
    <row r="40">
      <c r="A40" s="13" t="n">
        <v>36</v>
      </c>
      <c r="B40" s="7" t="n"/>
      <c r="C40" s="7" t="n"/>
      <c r="D40" s="11" t="n"/>
      <c r="E40" s="11" t="n"/>
      <c r="F40" s="17" t="n"/>
      <c r="G40" s="12">
        <f>IF(C40&lt;&gt;"",MAX(IF(D40="",Stammdaten!$B$6,D40),Stammdaten!$B$6),"")</f>
        <v/>
      </c>
      <c r="H40" s="12">
        <f>IF(C40&lt;&gt;"",MIN(IF(E40="",Stammdaten!$B$7,E40),Stammdaten!$B$7),"")</f>
        <v/>
      </c>
      <c r="I40" s="13">
        <f>IF(C40&lt;&gt;"",MAX(0,H40-G40+1),0)</f>
        <v/>
      </c>
      <c r="J40" s="20">
        <f>IF(C40&lt;&gt;"",I40/Stammdaten!$B$8,0)</f>
        <v/>
      </c>
      <c r="K40" s="20">
        <f>IF(C40&lt;&gt;"",SUMPRODUCT(O40:Z40,$O$3:$Z$3)/Stammdaten!$E$17,0)</f>
        <v/>
      </c>
      <c r="L40" s="16">
        <f>IF(C40&lt;&gt;"",IFERROR(INDEX(Stammdaten!$C$22:$C$51,MATCH(C40,Stammdaten!$A$22:$A$51,0)),0),0)</f>
        <v/>
      </c>
      <c r="M40" s="16">
        <f>IF(C40&lt;&gt;"",IFERROR(INDEX(Stammdaten!$D$22:$D$51,MATCH(C40,Stammdaten!$A$22:$A$51,0)),0),0)</f>
        <v/>
      </c>
      <c r="N40" s="16">
        <f>IF(C40&lt;&gt;"",IFERROR(INDEX(Stammdaten!$E$22:$E$51,MATCH(C40,Stammdaten!$A$22:$A$51,0)),0),0)</f>
        <v/>
      </c>
      <c r="O40" s="16">
        <f>IF(C40&lt;&gt;"",MAX(0,MIN(H40,EOMONTH(EDATE(Stammdaten!$B$6,0),0))-MAX(G40,EDATE(Stammdaten!$B$6,0))+1)/DAY(EOMONTH(EDATE(Stammdaten!$B$6,0),0)),0)</f>
        <v/>
      </c>
      <c r="P40" s="16">
        <f>IF(C40&lt;&gt;"",MAX(0,MIN(H40,EOMONTH(EDATE(Stammdaten!$B$6,1),0))-MAX(G40,EDATE(Stammdaten!$B$6,1))+1)/DAY(EOMONTH(EDATE(Stammdaten!$B$6,1),0)),0)</f>
        <v/>
      </c>
      <c r="Q40" s="16">
        <f>IF(C40&lt;&gt;"",MAX(0,MIN(H40,EOMONTH(EDATE(Stammdaten!$B$6,2),0))-MAX(G40,EDATE(Stammdaten!$B$6,2))+1)/DAY(EOMONTH(EDATE(Stammdaten!$B$6,2),0)),0)</f>
        <v/>
      </c>
      <c r="R40" s="16">
        <f>IF(C40&lt;&gt;"",MAX(0,MIN(H40,EOMONTH(EDATE(Stammdaten!$B$6,3),0))-MAX(G40,EDATE(Stammdaten!$B$6,3))+1)/DAY(EOMONTH(EDATE(Stammdaten!$B$6,3),0)),0)</f>
        <v/>
      </c>
      <c r="S40" s="16">
        <f>IF(C40&lt;&gt;"",MAX(0,MIN(H40,EOMONTH(EDATE(Stammdaten!$B$6,4),0))-MAX(G40,EDATE(Stammdaten!$B$6,4))+1)/DAY(EOMONTH(EDATE(Stammdaten!$B$6,4),0)),0)</f>
        <v/>
      </c>
      <c r="T40" s="16">
        <f>IF(C40&lt;&gt;"",MAX(0,MIN(H40,EOMONTH(EDATE(Stammdaten!$B$6,5),0))-MAX(G40,EDATE(Stammdaten!$B$6,5))+1)/DAY(EOMONTH(EDATE(Stammdaten!$B$6,5),0)),0)</f>
        <v/>
      </c>
      <c r="U40" s="16">
        <f>IF(C40&lt;&gt;"",MAX(0,MIN(H40,EOMONTH(EDATE(Stammdaten!$B$6,6),0))-MAX(G40,EDATE(Stammdaten!$B$6,6))+1)/DAY(EOMONTH(EDATE(Stammdaten!$B$6,6),0)),0)</f>
        <v/>
      </c>
      <c r="V40" s="16">
        <f>IF(C40&lt;&gt;"",MAX(0,MIN(H40,EOMONTH(EDATE(Stammdaten!$B$6,7),0))-MAX(G40,EDATE(Stammdaten!$B$6,7))+1)/DAY(EOMONTH(EDATE(Stammdaten!$B$6,7),0)),0)</f>
        <v/>
      </c>
      <c r="W40" s="16">
        <f>IF(C40&lt;&gt;"",MAX(0,MIN(H40,EOMONTH(EDATE(Stammdaten!$B$6,8),0))-MAX(G40,EDATE(Stammdaten!$B$6,8))+1)/DAY(EOMONTH(EDATE(Stammdaten!$B$6,8),0)),0)</f>
        <v/>
      </c>
      <c r="X40" s="16">
        <f>IF(C40&lt;&gt;"",MAX(0,MIN(H40,EOMONTH(EDATE(Stammdaten!$B$6,9),0))-MAX(G40,EDATE(Stammdaten!$B$6,9))+1)/DAY(EOMONTH(EDATE(Stammdaten!$B$6,9),0)),0)</f>
        <v/>
      </c>
      <c r="Y40" s="16">
        <f>IF(C40&lt;&gt;"",MAX(0,MIN(H40,EOMONTH(EDATE(Stammdaten!$B$6,10),0))-MAX(G40,EDATE(Stammdaten!$B$6,10))+1)/DAY(EOMONTH(EDATE(Stammdaten!$B$6,10),0)),0)</f>
        <v/>
      </c>
      <c r="Z40" s="16">
        <f>IF(C40&lt;&gt;"",MAX(0,MIN(H40,EOMONTH(EDATE(Stammdaten!$B$6,11),0))-MAX(G40,EDATE(Stammdaten!$B$6,11))+1)/DAY(EOMONTH(EDATE(Stammdaten!$B$6,11),0)),0)</f>
        <v/>
      </c>
    </row>
    <row r="41">
      <c r="A41" s="13" t="n">
        <v>37</v>
      </c>
      <c r="B41" s="7" t="n"/>
      <c r="C41" s="7" t="n"/>
      <c r="D41" s="11" t="n"/>
      <c r="E41" s="11" t="n"/>
      <c r="F41" s="17" t="n"/>
      <c r="G41" s="12">
        <f>IF(C41&lt;&gt;"",MAX(IF(D41="",Stammdaten!$B$6,D41),Stammdaten!$B$6),"")</f>
        <v/>
      </c>
      <c r="H41" s="12">
        <f>IF(C41&lt;&gt;"",MIN(IF(E41="",Stammdaten!$B$7,E41),Stammdaten!$B$7),"")</f>
        <v/>
      </c>
      <c r="I41" s="13">
        <f>IF(C41&lt;&gt;"",MAX(0,H41-G41+1),0)</f>
        <v/>
      </c>
      <c r="J41" s="20">
        <f>IF(C41&lt;&gt;"",I41/Stammdaten!$B$8,0)</f>
        <v/>
      </c>
      <c r="K41" s="20">
        <f>IF(C41&lt;&gt;"",SUMPRODUCT(O41:Z41,$O$3:$Z$3)/Stammdaten!$E$17,0)</f>
        <v/>
      </c>
      <c r="L41" s="16">
        <f>IF(C41&lt;&gt;"",IFERROR(INDEX(Stammdaten!$C$22:$C$51,MATCH(C41,Stammdaten!$A$22:$A$51,0)),0),0)</f>
        <v/>
      </c>
      <c r="M41" s="16">
        <f>IF(C41&lt;&gt;"",IFERROR(INDEX(Stammdaten!$D$22:$D$51,MATCH(C41,Stammdaten!$A$22:$A$51,0)),0),0)</f>
        <v/>
      </c>
      <c r="N41" s="16">
        <f>IF(C41&lt;&gt;"",IFERROR(INDEX(Stammdaten!$E$22:$E$51,MATCH(C41,Stammdaten!$A$22:$A$51,0)),0),0)</f>
        <v/>
      </c>
      <c r="O41" s="16">
        <f>IF(C41&lt;&gt;"",MAX(0,MIN(H41,EOMONTH(EDATE(Stammdaten!$B$6,0),0))-MAX(G41,EDATE(Stammdaten!$B$6,0))+1)/DAY(EOMONTH(EDATE(Stammdaten!$B$6,0),0)),0)</f>
        <v/>
      </c>
      <c r="P41" s="16">
        <f>IF(C41&lt;&gt;"",MAX(0,MIN(H41,EOMONTH(EDATE(Stammdaten!$B$6,1),0))-MAX(G41,EDATE(Stammdaten!$B$6,1))+1)/DAY(EOMONTH(EDATE(Stammdaten!$B$6,1),0)),0)</f>
        <v/>
      </c>
      <c r="Q41" s="16">
        <f>IF(C41&lt;&gt;"",MAX(0,MIN(H41,EOMONTH(EDATE(Stammdaten!$B$6,2),0))-MAX(G41,EDATE(Stammdaten!$B$6,2))+1)/DAY(EOMONTH(EDATE(Stammdaten!$B$6,2),0)),0)</f>
        <v/>
      </c>
      <c r="R41" s="16">
        <f>IF(C41&lt;&gt;"",MAX(0,MIN(H41,EOMONTH(EDATE(Stammdaten!$B$6,3),0))-MAX(G41,EDATE(Stammdaten!$B$6,3))+1)/DAY(EOMONTH(EDATE(Stammdaten!$B$6,3),0)),0)</f>
        <v/>
      </c>
      <c r="S41" s="16">
        <f>IF(C41&lt;&gt;"",MAX(0,MIN(H41,EOMONTH(EDATE(Stammdaten!$B$6,4),0))-MAX(G41,EDATE(Stammdaten!$B$6,4))+1)/DAY(EOMONTH(EDATE(Stammdaten!$B$6,4),0)),0)</f>
        <v/>
      </c>
      <c r="T41" s="16">
        <f>IF(C41&lt;&gt;"",MAX(0,MIN(H41,EOMONTH(EDATE(Stammdaten!$B$6,5),0))-MAX(G41,EDATE(Stammdaten!$B$6,5))+1)/DAY(EOMONTH(EDATE(Stammdaten!$B$6,5),0)),0)</f>
        <v/>
      </c>
      <c r="U41" s="16">
        <f>IF(C41&lt;&gt;"",MAX(0,MIN(H41,EOMONTH(EDATE(Stammdaten!$B$6,6),0))-MAX(G41,EDATE(Stammdaten!$B$6,6))+1)/DAY(EOMONTH(EDATE(Stammdaten!$B$6,6),0)),0)</f>
        <v/>
      </c>
      <c r="V41" s="16">
        <f>IF(C41&lt;&gt;"",MAX(0,MIN(H41,EOMONTH(EDATE(Stammdaten!$B$6,7),0))-MAX(G41,EDATE(Stammdaten!$B$6,7))+1)/DAY(EOMONTH(EDATE(Stammdaten!$B$6,7),0)),0)</f>
        <v/>
      </c>
      <c r="W41" s="16">
        <f>IF(C41&lt;&gt;"",MAX(0,MIN(H41,EOMONTH(EDATE(Stammdaten!$B$6,8),0))-MAX(G41,EDATE(Stammdaten!$B$6,8))+1)/DAY(EOMONTH(EDATE(Stammdaten!$B$6,8),0)),0)</f>
        <v/>
      </c>
      <c r="X41" s="16">
        <f>IF(C41&lt;&gt;"",MAX(0,MIN(H41,EOMONTH(EDATE(Stammdaten!$B$6,9),0))-MAX(G41,EDATE(Stammdaten!$B$6,9))+1)/DAY(EOMONTH(EDATE(Stammdaten!$B$6,9),0)),0)</f>
        <v/>
      </c>
      <c r="Y41" s="16">
        <f>IF(C41&lt;&gt;"",MAX(0,MIN(H41,EOMONTH(EDATE(Stammdaten!$B$6,10),0))-MAX(G41,EDATE(Stammdaten!$B$6,10))+1)/DAY(EOMONTH(EDATE(Stammdaten!$B$6,10),0)),0)</f>
        <v/>
      </c>
      <c r="Z41" s="16">
        <f>IF(C41&lt;&gt;"",MAX(0,MIN(H41,EOMONTH(EDATE(Stammdaten!$B$6,11),0))-MAX(G41,EDATE(Stammdaten!$B$6,11))+1)/DAY(EOMONTH(EDATE(Stammdaten!$B$6,11),0)),0)</f>
        <v/>
      </c>
    </row>
    <row r="42">
      <c r="A42" s="13" t="n">
        <v>38</v>
      </c>
      <c r="B42" s="7" t="n"/>
      <c r="C42" s="7" t="n"/>
      <c r="D42" s="11" t="n"/>
      <c r="E42" s="11" t="n"/>
      <c r="F42" s="17" t="n"/>
      <c r="G42" s="12">
        <f>IF(C42&lt;&gt;"",MAX(IF(D42="",Stammdaten!$B$6,D42),Stammdaten!$B$6),"")</f>
        <v/>
      </c>
      <c r="H42" s="12">
        <f>IF(C42&lt;&gt;"",MIN(IF(E42="",Stammdaten!$B$7,E42),Stammdaten!$B$7),"")</f>
        <v/>
      </c>
      <c r="I42" s="13">
        <f>IF(C42&lt;&gt;"",MAX(0,H42-G42+1),0)</f>
        <v/>
      </c>
      <c r="J42" s="20">
        <f>IF(C42&lt;&gt;"",I42/Stammdaten!$B$8,0)</f>
        <v/>
      </c>
      <c r="K42" s="20">
        <f>IF(C42&lt;&gt;"",SUMPRODUCT(O42:Z42,$O$3:$Z$3)/Stammdaten!$E$17,0)</f>
        <v/>
      </c>
      <c r="L42" s="16">
        <f>IF(C42&lt;&gt;"",IFERROR(INDEX(Stammdaten!$C$22:$C$51,MATCH(C42,Stammdaten!$A$22:$A$51,0)),0),0)</f>
        <v/>
      </c>
      <c r="M42" s="16">
        <f>IF(C42&lt;&gt;"",IFERROR(INDEX(Stammdaten!$D$22:$D$51,MATCH(C42,Stammdaten!$A$22:$A$51,0)),0),0)</f>
        <v/>
      </c>
      <c r="N42" s="16">
        <f>IF(C42&lt;&gt;"",IFERROR(INDEX(Stammdaten!$E$22:$E$51,MATCH(C42,Stammdaten!$A$22:$A$51,0)),0),0)</f>
        <v/>
      </c>
      <c r="O42" s="16">
        <f>IF(C42&lt;&gt;"",MAX(0,MIN(H42,EOMONTH(EDATE(Stammdaten!$B$6,0),0))-MAX(G42,EDATE(Stammdaten!$B$6,0))+1)/DAY(EOMONTH(EDATE(Stammdaten!$B$6,0),0)),0)</f>
        <v/>
      </c>
      <c r="P42" s="16">
        <f>IF(C42&lt;&gt;"",MAX(0,MIN(H42,EOMONTH(EDATE(Stammdaten!$B$6,1),0))-MAX(G42,EDATE(Stammdaten!$B$6,1))+1)/DAY(EOMONTH(EDATE(Stammdaten!$B$6,1),0)),0)</f>
        <v/>
      </c>
      <c r="Q42" s="16">
        <f>IF(C42&lt;&gt;"",MAX(0,MIN(H42,EOMONTH(EDATE(Stammdaten!$B$6,2),0))-MAX(G42,EDATE(Stammdaten!$B$6,2))+1)/DAY(EOMONTH(EDATE(Stammdaten!$B$6,2),0)),0)</f>
        <v/>
      </c>
      <c r="R42" s="16">
        <f>IF(C42&lt;&gt;"",MAX(0,MIN(H42,EOMONTH(EDATE(Stammdaten!$B$6,3),0))-MAX(G42,EDATE(Stammdaten!$B$6,3))+1)/DAY(EOMONTH(EDATE(Stammdaten!$B$6,3),0)),0)</f>
        <v/>
      </c>
      <c r="S42" s="16">
        <f>IF(C42&lt;&gt;"",MAX(0,MIN(H42,EOMONTH(EDATE(Stammdaten!$B$6,4),0))-MAX(G42,EDATE(Stammdaten!$B$6,4))+1)/DAY(EOMONTH(EDATE(Stammdaten!$B$6,4),0)),0)</f>
        <v/>
      </c>
      <c r="T42" s="16">
        <f>IF(C42&lt;&gt;"",MAX(0,MIN(H42,EOMONTH(EDATE(Stammdaten!$B$6,5),0))-MAX(G42,EDATE(Stammdaten!$B$6,5))+1)/DAY(EOMONTH(EDATE(Stammdaten!$B$6,5),0)),0)</f>
        <v/>
      </c>
      <c r="U42" s="16">
        <f>IF(C42&lt;&gt;"",MAX(0,MIN(H42,EOMONTH(EDATE(Stammdaten!$B$6,6),0))-MAX(G42,EDATE(Stammdaten!$B$6,6))+1)/DAY(EOMONTH(EDATE(Stammdaten!$B$6,6),0)),0)</f>
        <v/>
      </c>
      <c r="V42" s="16">
        <f>IF(C42&lt;&gt;"",MAX(0,MIN(H42,EOMONTH(EDATE(Stammdaten!$B$6,7),0))-MAX(G42,EDATE(Stammdaten!$B$6,7))+1)/DAY(EOMONTH(EDATE(Stammdaten!$B$6,7),0)),0)</f>
        <v/>
      </c>
      <c r="W42" s="16">
        <f>IF(C42&lt;&gt;"",MAX(0,MIN(H42,EOMONTH(EDATE(Stammdaten!$B$6,8),0))-MAX(G42,EDATE(Stammdaten!$B$6,8))+1)/DAY(EOMONTH(EDATE(Stammdaten!$B$6,8),0)),0)</f>
        <v/>
      </c>
      <c r="X42" s="16">
        <f>IF(C42&lt;&gt;"",MAX(0,MIN(H42,EOMONTH(EDATE(Stammdaten!$B$6,9),0))-MAX(G42,EDATE(Stammdaten!$B$6,9))+1)/DAY(EOMONTH(EDATE(Stammdaten!$B$6,9),0)),0)</f>
        <v/>
      </c>
      <c r="Y42" s="16">
        <f>IF(C42&lt;&gt;"",MAX(0,MIN(H42,EOMONTH(EDATE(Stammdaten!$B$6,10),0))-MAX(G42,EDATE(Stammdaten!$B$6,10))+1)/DAY(EOMONTH(EDATE(Stammdaten!$B$6,10),0)),0)</f>
        <v/>
      </c>
      <c r="Z42" s="16">
        <f>IF(C42&lt;&gt;"",MAX(0,MIN(H42,EOMONTH(EDATE(Stammdaten!$B$6,11),0))-MAX(G42,EDATE(Stammdaten!$B$6,11))+1)/DAY(EOMONTH(EDATE(Stammdaten!$B$6,11),0)),0)</f>
        <v/>
      </c>
    </row>
    <row r="43">
      <c r="A43" s="13" t="n">
        <v>39</v>
      </c>
      <c r="B43" s="7" t="n"/>
      <c r="C43" s="7" t="n"/>
      <c r="D43" s="11" t="n"/>
      <c r="E43" s="11" t="n"/>
      <c r="F43" s="17" t="n"/>
      <c r="G43" s="12">
        <f>IF(C43&lt;&gt;"",MAX(IF(D43="",Stammdaten!$B$6,D43),Stammdaten!$B$6),"")</f>
        <v/>
      </c>
      <c r="H43" s="12">
        <f>IF(C43&lt;&gt;"",MIN(IF(E43="",Stammdaten!$B$7,E43),Stammdaten!$B$7),"")</f>
        <v/>
      </c>
      <c r="I43" s="13">
        <f>IF(C43&lt;&gt;"",MAX(0,H43-G43+1),0)</f>
        <v/>
      </c>
      <c r="J43" s="20">
        <f>IF(C43&lt;&gt;"",I43/Stammdaten!$B$8,0)</f>
        <v/>
      </c>
      <c r="K43" s="20">
        <f>IF(C43&lt;&gt;"",SUMPRODUCT(O43:Z43,$O$3:$Z$3)/Stammdaten!$E$17,0)</f>
        <v/>
      </c>
      <c r="L43" s="16">
        <f>IF(C43&lt;&gt;"",IFERROR(INDEX(Stammdaten!$C$22:$C$51,MATCH(C43,Stammdaten!$A$22:$A$51,0)),0),0)</f>
        <v/>
      </c>
      <c r="M43" s="16">
        <f>IF(C43&lt;&gt;"",IFERROR(INDEX(Stammdaten!$D$22:$D$51,MATCH(C43,Stammdaten!$A$22:$A$51,0)),0),0)</f>
        <v/>
      </c>
      <c r="N43" s="16">
        <f>IF(C43&lt;&gt;"",IFERROR(INDEX(Stammdaten!$E$22:$E$51,MATCH(C43,Stammdaten!$A$22:$A$51,0)),0),0)</f>
        <v/>
      </c>
      <c r="O43" s="16">
        <f>IF(C43&lt;&gt;"",MAX(0,MIN(H43,EOMONTH(EDATE(Stammdaten!$B$6,0),0))-MAX(G43,EDATE(Stammdaten!$B$6,0))+1)/DAY(EOMONTH(EDATE(Stammdaten!$B$6,0),0)),0)</f>
        <v/>
      </c>
      <c r="P43" s="16">
        <f>IF(C43&lt;&gt;"",MAX(0,MIN(H43,EOMONTH(EDATE(Stammdaten!$B$6,1),0))-MAX(G43,EDATE(Stammdaten!$B$6,1))+1)/DAY(EOMONTH(EDATE(Stammdaten!$B$6,1),0)),0)</f>
        <v/>
      </c>
      <c r="Q43" s="16">
        <f>IF(C43&lt;&gt;"",MAX(0,MIN(H43,EOMONTH(EDATE(Stammdaten!$B$6,2),0))-MAX(G43,EDATE(Stammdaten!$B$6,2))+1)/DAY(EOMONTH(EDATE(Stammdaten!$B$6,2),0)),0)</f>
        <v/>
      </c>
      <c r="R43" s="16">
        <f>IF(C43&lt;&gt;"",MAX(0,MIN(H43,EOMONTH(EDATE(Stammdaten!$B$6,3),0))-MAX(G43,EDATE(Stammdaten!$B$6,3))+1)/DAY(EOMONTH(EDATE(Stammdaten!$B$6,3),0)),0)</f>
        <v/>
      </c>
      <c r="S43" s="16">
        <f>IF(C43&lt;&gt;"",MAX(0,MIN(H43,EOMONTH(EDATE(Stammdaten!$B$6,4),0))-MAX(G43,EDATE(Stammdaten!$B$6,4))+1)/DAY(EOMONTH(EDATE(Stammdaten!$B$6,4),0)),0)</f>
        <v/>
      </c>
      <c r="T43" s="16">
        <f>IF(C43&lt;&gt;"",MAX(0,MIN(H43,EOMONTH(EDATE(Stammdaten!$B$6,5),0))-MAX(G43,EDATE(Stammdaten!$B$6,5))+1)/DAY(EOMONTH(EDATE(Stammdaten!$B$6,5),0)),0)</f>
        <v/>
      </c>
      <c r="U43" s="16">
        <f>IF(C43&lt;&gt;"",MAX(0,MIN(H43,EOMONTH(EDATE(Stammdaten!$B$6,6),0))-MAX(G43,EDATE(Stammdaten!$B$6,6))+1)/DAY(EOMONTH(EDATE(Stammdaten!$B$6,6),0)),0)</f>
        <v/>
      </c>
      <c r="V43" s="16">
        <f>IF(C43&lt;&gt;"",MAX(0,MIN(H43,EOMONTH(EDATE(Stammdaten!$B$6,7),0))-MAX(G43,EDATE(Stammdaten!$B$6,7))+1)/DAY(EOMONTH(EDATE(Stammdaten!$B$6,7),0)),0)</f>
        <v/>
      </c>
      <c r="W43" s="16">
        <f>IF(C43&lt;&gt;"",MAX(0,MIN(H43,EOMONTH(EDATE(Stammdaten!$B$6,8),0))-MAX(G43,EDATE(Stammdaten!$B$6,8))+1)/DAY(EOMONTH(EDATE(Stammdaten!$B$6,8),0)),0)</f>
        <v/>
      </c>
      <c r="X43" s="16">
        <f>IF(C43&lt;&gt;"",MAX(0,MIN(H43,EOMONTH(EDATE(Stammdaten!$B$6,9),0))-MAX(G43,EDATE(Stammdaten!$B$6,9))+1)/DAY(EOMONTH(EDATE(Stammdaten!$B$6,9),0)),0)</f>
        <v/>
      </c>
      <c r="Y43" s="16">
        <f>IF(C43&lt;&gt;"",MAX(0,MIN(H43,EOMONTH(EDATE(Stammdaten!$B$6,10),0))-MAX(G43,EDATE(Stammdaten!$B$6,10))+1)/DAY(EOMONTH(EDATE(Stammdaten!$B$6,10),0)),0)</f>
        <v/>
      </c>
      <c r="Z43" s="16">
        <f>IF(C43&lt;&gt;"",MAX(0,MIN(H43,EOMONTH(EDATE(Stammdaten!$B$6,11),0))-MAX(G43,EDATE(Stammdaten!$B$6,11))+1)/DAY(EOMONTH(EDATE(Stammdaten!$B$6,11),0)),0)</f>
        <v/>
      </c>
    </row>
    <row r="44">
      <c r="A44" s="13" t="n">
        <v>40</v>
      </c>
      <c r="B44" s="7" t="n"/>
      <c r="C44" s="7" t="n"/>
      <c r="D44" s="11" t="n"/>
      <c r="E44" s="11" t="n"/>
      <c r="F44" s="17" t="n"/>
      <c r="G44" s="12">
        <f>IF(C44&lt;&gt;"",MAX(IF(D44="",Stammdaten!$B$6,D44),Stammdaten!$B$6),"")</f>
        <v/>
      </c>
      <c r="H44" s="12">
        <f>IF(C44&lt;&gt;"",MIN(IF(E44="",Stammdaten!$B$7,E44),Stammdaten!$B$7),"")</f>
        <v/>
      </c>
      <c r="I44" s="13">
        <f>IF(C44&lt;&gt;"",MAX(0,H44-G44+1),0)</f>
        <v/>
      </c>
      <c r="J44" s="20">
        <f>IF(C44&lt;&gt;"",I44/Stammdaten!$B$8,0)</f>
        <v/>
      </c>
      <c r="K44" s="20">
        <f>IF(C44&lt;&gt;"",SUMPRODUCT(O44:Z44,$O$3:$Z$3)/Stammdaten!$E$17,0)</f>
        <v/>
      </c>
      <c r="L44" s="16">
        <f>IF(C44&lt;&gt;"",IFERROR(INDEX(Stammdaten!$C$22:$C$51,MATCH(C44,Stammdaten!$A$22:$A$51,0)),0),0)</f>
        <v/>
      </c>
      <c r="M44" s="16">
        <f>IF(C44&lt;&gt;"",IFERROR(INDEX(Stammdaten!$D$22:$D$51,MATCH(C44,Stammdaten!$A$22:$A$51,0)),0),0)</f>
        <v/>
      </c>
      <c r="N44" s="16">
        <f>IF(C44&lt;&gt;"",IFERROR(INDEX(Stammdaten!$E$22:$E$51,MATCH(C44,Stammdaten!$A$22:$A$51,0)),0),0)</f>
        <v/>
      </c>
      <c r="O44" s="16">
        <f>IF(C44&lt;&gt;"",MAX(0,MIN(H44,EOMONTH(EDATE(Stammdaten!$B$6,0),0))-MAX(G44,EDATE(Stammdaten!$B$6,0))+1)/DAY(EOMONTH(EDATE(Stammdaten!$B$6,0),0)),0)</f>
        <v/>
      </c>
      <c r="P44" s="16">
        <f>IF(C44&lt;&gt;"",MAX(0,MIN(H44,EOMONTH(EDATE(Stammdaten!$B$6,1),0))-MAX(G44,EDATE(Stammdaten!$B$6,1))+1)/DAY(EOMONTH(EDATE(Stammdaten!$B$6,1),0)),0)</f>
        <v/>
      </c>
      <c r="Q44" s="16">
        <f>IF(C44&lt;&gt;"",MAX(0,MIN(H44,EOMONTH(EDATE(Stammdaten!$B$6,2),0))-MAX(G44,EDATE(Stammdaten!$B$6,2))+1)/DAY(EOMONTH(EDATE(Stammdaten!$B$6,2),0)),0)</f>
        <v/>
      </c>
      <c r="R44" s="16">
        <f>IF(C44&lt;&gt;"",MAX(0,MIN(H44,EOMONTH(EDATE(Stammdaten!$B$6,3),0))-MAX(G44,EDATE(Stammdaten!$B$6,3))+1)/DAY(EOMONTH(EDATE(Stammdaten!$B$6,3),0)),0)</f>
        <v/>
      </c>
      <c r="S44" s="16">
        <f>IF(C44&lt;&gt;"",MAX(0,MIN(H44,EOMONTH(EDATE(Stammdaten!$B$6,4),0))-MAX(G44,EDATE(Stammdaten!$B$6,4))+1)/DAY(EOMONTH(EDATE(Stammdaten!$B$6,4),0)),0)</f>
        <v/>
      </c>
      <c r="T44" s="16">
        <f>IF(C44&lt;&gt;"",MAX(0,MIN(H44,EOMONTH(EDATE(Stammdaten!$B$6,5),0))-MAX(G44,EDATE(Stammdaten!$B$6,5))+1)/DAY(EOMONTH(EDATE(Stammdaten!$B$6,5),0)),0)</f>
        <v/>
      </c>
      <c r="U44" s="16">
        <f>IF(C44&lt;&gt;"",MAX(0,MIN(H44,EOMONTH(EDATE(Stammdaten!$B$6,6),0))-MAX(G44,EDATE(Stammdaten!$B$6,6))+1)/DAY(EOMONTH(EDATE(Stammdaten!$B$6,6),0)),0)</f>
        <v/>
      </c>
      <c r="V44" s="16">
        <f>IF(C44&lt;&gt;"",MAX(0,MIN(H44,EOMONTH(EDATE(Stammdaten!$B$6,7),0))-MAX(G44,EDATE(Stammdaten!$B$6,7))+1)/DAY(EOMONTH(EDATE(Stammdaten!$B$6,7),0)),0)</f>
        <v/>
      </c>
      <c r="W44" s="16">
        <f>IF(C44&lt;&gt;"",MAX(0,MIN(H44,EOMONTH(EDATE(Stammdaten!$B$6,8),0))-MAX(G44,EDATE(Stammdaten!$B$6,8))+1)/DAY(EOMONTH(EDATE(Stammdaten!$B$6,8),0)),0)</f>
        <v/>
      </c>
      <c r="X44" s="16">
        <f>IF(C44&lt;&gt;"",MAX(0,MIN(H44,EOMONTH(EDATE(Stammdaten!$B$6,9),0))-MAX(G44,EDATE(Stammdaten!$B$6,9))+1)/DAY(EOMONTH(EDATE(Stammdaten!$B$6,9),0)),0)</f>
        <v/>
      </c>
      <c r="Y44" s="16">
        <f>IF(C44&lt;&gt;"",MAX(0,MIN(H44,EOMONTH(EDATE(Stammdaten!$B$6,10),0))-MAX(G44,EDATE(Stammdaten!$B$6,10))+1)/DAY(EOMONTH(EDATE(Stammdaten!$B$6,10),0)),0)</f>
        <v/>
      </c>
      <c r="Z44" s="16">
        <f>IF(C44&lt;&gt;"",MAX(0,MIN(H44,EOMONTH(EDATE(Stammdaten!$B$6,11),0))-MAX(G44,EDATE(Stammdaten!$B$6,11))+1)/DAY(EOMONTH(EDATE(Stammdaten!$B$6,11),0)),0)</f>
        <v/>
      </c>
    </row>
  </sheetData>
  <sheetProtection selectLockedCells="0" selectUnlockedCells="0" sheet="1" objects="0" insertRows="1" insertHyperlinks="1" autoFilter="1" scenarios="0" formatColumns="0" deleteColumns="1" insertColumns="1" pivotTables="1" deleteRows="1" formatCells="1" formatRows="0" sort="1"/>
  <conditionalFormatting sqref="C5:C44">
    <cfRule type="expression" priority="1" dxfId="0">
      <formula>AND(C5&lt;&gt;"",ISNA(MATCH(C5,Stammdaten!$A$22:$A$51,0)))</formula>
    </cfRule>
  </conditionalFormatting>
  <conditionalFormatting sqref="E5:E44">
    <cfRule type="expression" priority="2" dxfId="0">
      <formula>AND(E5&lt;&gt;"",D5&lt;&gt;"",E5&lt;D5)</formula>
    </cfRule>
  </conditionalFormatting>
  <dataValidations count="1">
    <dataValidation sqref="C5 C6 C7 C8 C9 C10 C11 C12 C13 C14 C15 C16 C17 C18 C19 C20 C21 C22 C23 C24 C25 C26 C27 C28 C29 C30 C31 C32 C33 C34 C35 C36 C37 C38 C39 C40 C41 C42 C43 C44" showDropDown="0" showInputMessage="0" showErrorMessage="0" allowBlank="1" type="list">
      <formula1>Stammdaten!$A$22:$A$51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Verteilung je Mieter und Kostenart</t>
        </is>
      </c>
    </row>
    <row r="2">
      <c r="A2" s="2" t="inlineStr">
        <is>
          <t>Vollständig berechnet. Keine Eingaben nötig.</t>
        </is>
      </c>
    </row>
    <row r="3" ht="60" customHeight="1">
      <c r="C3" s="21">
        <f>IF(Kosten!A5="","",Kosten!A5)</f>
        <v/>
      </c>
      <c r="D3" s="21">
        <f>IF(Kosten!A6="","",Kosten!A6)</f>
        <v/>
      </c>
      <c r="E3" s="21">
        <f>IF(Kosten!A7="","",Kosten!A7)</f>
        <v/>
      </c>
      <c r="F3" s="21">
        <f>IF(Kosten!A8="","",Kosten!A8)</f>
        <v/>
      </c>
      <c r="G3" s="21">
        <f>IF(Kosten!A9="","",Kosten!A9)</f>
        <v/>
      </c>
      <c r="H3" s="21">
        <f>IF(Kosten!A10="","",Kosten!A10)</f>
        <v/>
      </c>
      <c r="I3" s="21">
        <f>IF(Kosten!A11="","",Kosten!A11)</f>
        <v/>
      </c>
      <c r="J3" s="21">
        <f>IF(Kosten!A12="","",Kosten!A12)</f>
        <v/>
      </c>
      <c r="K3" s="21">
        <f>IF(Kosten!A13="","",Kosten!A13)</f>
        <v/>
      </c>
      <c r="L3" s="21">
        <f>IF(Kosten!A14="","",Kosten!A14)</f>
        <v/>
      </c>
      <c r="M3" s="21">
        <f>IF(Kosten!A15="","",Kosten!A15)</f>
        <v/>
      </c>
      <c r="N3" s="21">
        <f>IF(Kosten!A16="","",Kosten!A16)</f>
        <v/>
      </c>
      <c r="O3" s="21">
        <f>IF(Kosten!A17="","",Kosten!A17)</f>
        <v/>
      </c>
      <c r="P3" s="21">
        <f>IF(Kosten!A18="","",Kosten!A18)</f>
        <v/>
      </c>
      <c r="Q3" s="21">
        <f>IF(Kosten!A19="","",Kosten!A19)</f>
        <v/>
      </c>
      <c r="R3" s="21">
        <f>IF(Kosten!A20="","",Kosten!A20)</f>
        <v/>
      </c>
      <c r="S3" s="21">
        <f>IF(Kosten!A21="","",Kosten!A21)</f>
        <v/>
      </c>
      <c r="T3" s="21">
        <f>IF(Kosten!A22="","",Kosten!A22)</f>
        <v/>
      </c>
      <c r="U3" s="21">
        <f>IF(Kosten!A23="","",Kosten!A23)</f>
        <v/>
      </c>
      <c r="V3" s="21">
        <f>IF(Kosten!A24="","",Kosten!A24)</f>
        <v/>
      </c>
      <c r="W3" s="21">
        <f>IF(Kosten!A25="","",Kosten!A25)</f>
        <v/>
      </c>
      <c r="X3" s="21">
        <f>IF(Kosten!A26="","",Kosten!A26)</f>
        <v/>
      </c>
      <c r="Y3" s="21">
        <f>IF(Kosten!A27="","",Kosten!A27)</f>
        <v/>
      </c>
      <c r="Z3" s="21">
        <f>IF(Kosten!A28="","",Kosten!A28)</f>
        <v/>
      </c>
      <c r="AA3" s="21">
        <f>IF(Kosten!A29="","",Kosten!A29)</f>
        <v/>
      </c>
    </row>
    <row r="4">
      <c r="A4" s="8" t="inlineStr">
        <is>
          <t>Nr.</t>
        </is>
      </c>
      <c r="B4" s="8" t="inlineStr">
        <is>
          <t>Mieter</t>
        </is>
      </c>
      <c r="C4" s="8" t="inlineStr">
        <is>
          <t>K1</t>
        </is>
      </c>
      <c r="D4" s="8" t="inlineStr">
        <is>
          <t>K2</t>
        </is>
      </c>
      <c r="E4" s="8" t="inlineStr">
        <is>
          <t>K3</t>
        </is>
      </c>
      <c r="F4" s="8" t="inlineStr">
        <is>
          <t>K4</t>
        </is>
      </c>
      <c r="G4" s="8" t="inlineStr">
        <is>
          <t>K5</t>
        </is>
      </c>
      <c r="H4" s="8" t="inlineStr">
        <is>
          <t>K6</t>
        </is>
      </c>
      <c r="I4" s="8" t="inlineStr">
        <is>
          <t>K7</t>
        </is>
      </c>
      <c r="J4" s="8" t="inlineStr">
        <is>
          <t>K8</t>
        </is>
      </c>
      <c r="K4" s="8" t="inlineStr">
        <is>
          <t>K9</t>
        </is>
      </c>
      <c r="L4" s="8" t="inlineStr">
        <is>
          <t>K10</t>
        </is>
      </c>
      <c r="M4" s="8" t="inlineStr">
        <is>
          <t>K11</t>
        </is>
      </c>
      <c r="N4" s="8" t="inlineStr">
        <is>
          <t>K12</t>
        </is>
      </c>
      <c r="O4" s="8" t="inlineStr">
        <is>
          <t>K13</t>
        </is>
      </c>
      <c r="P4" s="8" t="inlineStr">
        <is>
          <t>K14</t>
        </is>
      </c>
      <c r="Q4" s="8" t="inlineStr">
        <is>
          <t>K15</t>
        </is>
      </c>
      <c r="R4" s="8" t="inlineStr">
        <is>
          <t>K16</t>
        </is>
      </c>
      <c r="S4" s="8" t="inlineStr">
        <is>
          <t>K17</t>
        </is>
      </c>
      <c r="T4" s="8" t="inlineStr">
        <is>
          <t>K18</t>
        </is>
      </c>
      <c r="U4" s="8" t="inlineStr">
        <is>
          <t>K19</t>
        </is>
      </c>
      <c r="V4" s="8" t="inlineStr">
        <is>
          <t>K20</t>
        </is>
      </c>
      <c r="W4" s="8" t="inlineStr">
        <is>
          <t>K21</t>
        </is>
      </c>
      <c r="X4" s="8" t="inlineStr">
        <is>
          <t>K22</t>
        </is>
      </c>
      <c r="Y4" s="8" t="inlineStr">
        <is>
          <t>K23</t>
        </is>
      </c>
      <c r="Z4" s="8" t="inlineStr">
        <is>
          <t>K24</t>
        </is>
      </c>
      <c r="AA4" s="8" t="inlineStr">
        <is>
          <t>K25</t>
        </is>
      </c>
      <c r="AB4" s="8" t="inlineStr">
        <is>
          <t>Total</t>
        </is>
      </c>
      <c r="AC4" s="8" t="inlineStr">
        <is>
          <t>Akonto</t>
        </is>
      </c>
      <c r="AD4" s="8" t="inlineStr">
        <is>
          <t>Saldo</t>
        </is>
      </c>
    </row>
    <row r="5">
      <c r="A5" s="13">
        <f>Mieter!A5</f>
        <v/>
      </c>
      <c r="B5" s="22">
        <f>IF(Mieter!C5="","",Mieter!B5)</f>
        <v/>
      </c>
      <c r="C5" s="18">
        <f>IF(OR(Kosten!$B$5="",Kosten!$E$5=0,Mieter!$C5=""),0,Kosten!$B$5*IF(Kosten!$C$5="Fläche",Mieter!$L5,IF(Kosten!$C$5="Anteil",Mieter!$M5,Mieter!$N5))*IF(Kosten!$D$5="Heizung",Mieter!$K5,Mieter!$J5)/Kosten!$E$5)</f>
        <v/>
      </c>
      <c r="D5" s="18">
        <f>IF(OR(Kosten!$B$6="",Kosten!$E$6=0,Mieter!$C5=""),0,Kosten!$B$6*IF(Kosten!$C$6="Fläche",Mieter!$L5,IF(Kosten!$C$6="Anteil",Mieter!$M5,Mieter!$N5))*IF(Kosten!$D$6="Heizung",Mieter!$K5,Mieter!$J5)/Kosten!$E$6)</f>
        <v/>
      </c>
      <c r="E5" s="18">
        <f>IF(OR(Kosten!$B$7="",Kosten!$E$7=0,Mieter!$C5=""),0,Kosten!$B$7*IF(Kosten!$C$7="Fläche",Mieter!$L5,IF(Kosten!$C$7="Anteil",Mieter!$M5,Mieter!$N5))*IF(Kosten!$D$7="Heizung",Mieter!$K5,Mieter!$J5)/Kosten!$E$7)</f>
        <v/>
      </c>
      <c r="F5" s="18">
        <f>IF(OR(Kosten!$B$8="",Kosten!$E$8=0,Mieter!$C5=""),0,Kosten!$B$8*IF(Kosten!$C$8="Fläche",Mieter!$L5,IF(Kosten!$C$8="Anteil",Mieter!$M5,Mieter!$N5))*IF(Kosten!$D$8="Heizung",Mieter!$K5,Mieter!$J5)/Kosten!$E$8)</f>
        <v/>
      </c>
      <c r="G5" s="18">
        <f>IF(OR(Kosten!$B$9="",Kosten!$E$9=0,Mieter!$C5=""),0,Kosten!$B$9*IF(Kosten!$C$9="Fläche",Mieter!$L5,IF(Kosten!$C$9="Anteil",Mieter!$M5,Mieter!$N5))*IF(Kosten!$D$9="Heizung",Mieter!$K5,Mieter!$J5)/Kosten!$E$9)</f>
        <v/>
      </c>
      <c r="H5" s="18">
        <f>IF(OR(Kosten!$B$10="",Kosten!$E$10=0,Mieter!$C5=""),0,Kosten!$B$10*IF(Kosten!$C$10="Fläche",Mieter!$L5,IF(Kosten!$C$10="Anteil",Mieter!$M5,Mieter!$N5))*IF(Kosten!$D$10="Heizung",Mieter!$K5,Mieter!$J5)/Kosten!$E$10)</f>
        <v/>
      </c>
      <c r="I5" s="18">
        <f>IF(OR(Kosten!$B$11="",Kosten!$E$11=0,Mieter!$C5=""),0,Kosten!$B$11*IF(Kosten!$C$11="Fläche",Mieter!$L5,IF(Kosten!$C$11="Anteil",Mieter!$M5,Mieter!$N5))*IF(Kosten!$D$11="Heizung",Mieter!$K5,Mieter!$J5)/Kosten!$E$11)</f>
        <v/>
      </c>
      <c r="J5" s="18">
        <f>IF(OR(Kosten!$B$12="",Kosten!$E$12=0,Mieter!$C5=""),0,Kosten!$B$12*IF(Kosten!$C$12="Fläche",Mieter!$L5,IF(Kosten!$C$12="Anteil",Mieter!$M5,Mieter!$N5))*IF(Kosten!$D$12="Heizung",Mieter!$K5,Mieter!$J5)/Kosten!$E$12)</f>
        <v/>
      </c>
      <c r="K5" s="18">
        <f>IF(OR(Kosten!$B$13="",Kosten!$E$13=0,Mieter!$C5=""),0,Kosten!$B$13*IF(Kosten!$C$13="Fläche",Mieter!$L5,IF(Kosten!$C$13="Anteil",Mieter!$M5,Mieter!$N5))*IF(Kosten!$D$13="Heizung",Mieter!$K5,Mieter!$J5)/Kosten!$E$13)</f>
        <v/>
      </c>
      <c r="L5" s="18">
        <f>IF(OR(Kosten!$B$14="",Kosten!$E$14=0,Mieter!$C5=""),0,Kosten!$B$14*IF(Kosten!$C$14="Fläche",Mieter!$L5,IF(Kosten!$C$14="Anteil",Mieter!$M5,Mieter!$N5))*IF(Kosten!$D$14="Heizung",Mieter!$K5,Mieter!$J5)/Kosten!$E$14)</f>
        <v/>
      </c>
      <c r="M5" s="18">
        <f>IF(OR(Kosten!$B$15="",Kosten!$E$15=0,Mieter!$C5=""),0,Kosten!$B$15*IF(Kosten!$C$15="Fläche",Mieter!$L5,IF(Kosten!$C$15="Anteil",Mieter!$M5,Mieter!$N5))*IF(Kosten!$D$15="Heizung",Mieter!$K5,Mieter!$J5)/Kosten!$E$15)</f>
        <v/>
      </c>
      <c r="N5" s="18">
        <f>IF(OR(Kosten!$B$16="",Kosten!$E$16=0,Mieter!$C5=""),0,Kosten!$B$16*IF(Kosten!$C$16="Fläche",Mieter!$L5,IF(Kosten!$C$16="Anteil",Mieter!$M5,Mieter!$N5))*IF(Kosten!$D$16="Heizung",Mieter!$K5,Mieter!$J5)/Kosten!$E$16)</f>
        <v/>
      </c>
      <c r="O5" s="18">
        <f>IF(OR(Kosten!$B$17="",Kosten!$E$17=0,Mieter!$C5=""),0,Kosten!$B$17*IF(Kosten!$C$17="Fläche",Mieter!$L5,IF(Kosten!$C$17="Anteil",Mieter!$M5,Mieter!$N5))*IF(Kosten!$D$17="Heizung",Mieter!$K5,Mieter!$J5)/Kosten!$E$17)</f>
        <v/>
      </c>
      <c r="P5" s="18">
        <f>IF(OR(Kosten!$B$18="",Kosten!$E$18=0,Mieter!$C5=""),0,Kosten!$B$18*IF(Kosten!$C$18="Fläche",Mieter!$L5,IF(Kosten!$C$18="Anteil",Mieter!$M5,Mieter!$N5))*IF(Kosten!$D$18="Heizung",Mieter!$K5,Mieter!$J5)/Kosten!$E$18)</f>
        <v/>
      </c>
      <c r="Q5" s="18">
        <f>IF(OR(Kosten!$B$19="",Kosten!$E$19=0,Mieter!$C5=""),0,Kosten!$B$19*IF(Kosten!$C$19="Fläche",Mieter!$L5,IF(Kosten!$C$19="Anteil",Mieter!$M5,Mieter!$N5))*IF(Kosten!$D$19="Heizung",Mieter!$K5,Mieter!$J5)/Kosten!$E$19)</f>
        <v/>
      </c>
      <c r="R5" s="18">
        <f>IF(OR(Kosten!$B$20="",Kosten!$E$20=0,Mieter!$C5=""),0,Kosten!$B$20*IF(Kosten!$C$20="Fläche",Mieter!$L5,IF(Kosten!$C$20="Anteil",Mieter!$M5,Mieter!$N5))*IF(Kosten!$D$20="Heizung",Mieter!$K5,Mieter!$J5)/Kosten!$E$20)</f>
        <v/>
      </c>
      <c r="S5" s="18">
        <f>IF(OR(Kosten!$B$21="",Kosten!$E$21=0,Mieter!$C5=""),0,Kosten!$B$21*IF(Kosten!$C$21="Fläche",Mieter!$L5,IF(Kosten!$C$21="Anteil",Mieter!$M5,Mieter!$N5))*IF(Kosten!$D$21="Heizung",Mieter!$K5,Mieter!$J5)/Kosten!$E$21)</f>
        <v/>
      </c>
      <c r="T5" s="18">
        <f>IF(OR(Kosten!$B$22="",Kosten!$E$22=0,Mieter!$C5=""),0,Kosten!$B$22*IF(Kosten!$C$22="Fläche",Mieter!$L5,IF(Kosten!$C$22="Anteil",Mieter!$M5,Mieter!$N5))*IF(Kosten!$D$22="Heizung",Mieter!$K5,Mieter!$J5)/Kosten!$E$22)</f>
        <v/>
      </c>
      <c r="U5" s="18">
        <f>IF(OR(Kosten!$B$23="",Kosten!$E$23=0,Mieter!$C5=""),0,Kosten!$B$23*IF(Kosten!$C$23="Fläche",Mieter!$L5,IF(Kosten!$C$23="Anteil",Mieter!$M5,Mieter!$N5))*IF(Kosten!$D$23="Heizung",Mieter!$K5,Mieter!$J5)/Kosten!$E$23)</f>
        <v/>
      </c>
      <c r="V5" s="18">
        <f>IF(OR(Kosten!$B$24="",Kosten!$E$24=0,Mieter!$C5=""),0,Kosten!$B$24*IF(Kosten!$C$24="Fläche",Mieter!$L5,IF(Kosten!$C$24="Anteil",Mieter!$M5,Mieter!$N5))*IF(Kosten!$D$24="Heizung",Mieter!$K5,Mieter!$J5)/Kosten!$E$24)</f>
        <v/>
      </c>
      <c r="W5" s="18">
        <f>IF(OR(Kosten!$B$25="",Kosten!$E$25=0,Mieter!$C5=""),0,Kosten!$B$25*IF(Kosten!$C$25="Fläche",Mieter!$L5,IF(Kosten!$C$25="Anteil",Mieter!$M5,Mieter!$N5))*IF(Kosten!$D$25="Heizung",Mieter!$K5,Mieter!$J5)/Kosten!$E$25)</f>
        <v/>
      </c>
      <c r="X5" s="18">
        <f>IF(OR(Kosten!$B$26="",Kosten!$E$26=0,Mieter!$C5=""),0,Kosten!$B$26*IF(Kosten!$C$26="Fläche",Mieter!$L5,IF(Kosten!$C$26="Anteil",Mieter!$M5,Mieter!$N5))*IF(Kosten!$D$26="Heizung",Mieter!$K5,Mieter!$J5)/Kosten!$E$26)</f>
        <v/>
      </c>
      <c r="Y5" s="18">
        <f>IF(OR(Kosten!$B$27="",Kosten!$E$27=0,Mieter!$C5=""),0,Kosten!$B$27*IF(Kosten!$C$27="Fläche",Mieter!$L5,IF(Kosten!$C$27="Anteil",Mieter!$M5,Mieter!$N5))*IF(Kosten!$D$27="Heizung",Mieter!$K5,Mieter!$J5)/Kosten!$E$27)</f>
        <v/>
      </c>
      <c r="Z5" s="18">
        <f>IF(OR(Kosten!$B$28="",Kosten!$E$28=0,Mieter!$C5=""),0,Kosten!$B$28*IF(Kosten!$C$28="Fläche",Mieter!$L5,IF(Kosten!$C$28="Anteil",Mieter!$M5,Mieter!$N5))*IF(Kosten!$D$28="Heizung",Mieter!$K5,Mieter!$J5)/Kosten!$E$28)</f>
        <v/>
      </c>
      <c r="AA5" s="18">
        <f>IF(OR(Kosten!$B$29="",Kosten!$E$29=0,Mieter!$C5=""),0,Kosten!$B$29*IF(Kosten!$C$29="Fläche",Mieter!$L5,IF(Kosten!$C$29="Anteil",Mieter!$M5,Mieter!$N5))*IF(Kosten!$D$29="Heizung",Mieter!$K5,Mieter!$J5)/Kosten!$E$29)</f>
        <v/>
      </c>
      <c r="AB5" s="18">
        <f>ROUND(SUM(C5:AA5)*20,0)/20</f>
        <v/>
      </c>
      <c r="AC5" s="18">
        <f>N(Mieter!F5)</f>
        <v/>
      </c>
      <c r="AD5" s="18">
        <f>AB5-AC5</f>
        <v/>
      </c>
    </row>
    <row r="6">
      <c r="A6" s="13">
        <f>Mieter!A6</f>
        <v/>
      </c>
      <c r="B6" s="22">
        <f>IF(Mieter!C6="","",Mieter!B6)</f>
        <v/>
      </c>
      <c r="C6" s="18">
        <f>IF(OR(Kosten!$B$5="",Kosten!$E$5=0,Mieter!$C6=""),0,Kosten!$B$5*IF(Kosten!$C$5="Fläche",Mieter!$L6,IF(Kosten!$C$5="Anteil",Mieter!$M6,Mieter!$N6))*IF(Kosten!$D$5="Heizung",Mieter!$K6,Mieter!$J6)/Kosten!$E$5)</f>
        <v/>
      </c>
      <c r="D6" s="18">
        <f>IF(OR(Kosten!$B$6="",Kosten!$E$6=0,Mieter!$C6=""),0,Kosten!$B$6*IF(Kosten!$C$6="Fläche",Mieter!$L6,IF(Kosten!$C$6="Anteil",Mieter!$M6,Mieter!$N6))*IF(Kosten!$D$6="Heizung",Mieter!$K6,Mieter!$J6)/Kosten!$E$6)</f>
        <v/>
      </c>
      <c r="E6" s="18">
        <f>IF(OR(Kosten!$B$7="",Kosten!$E$7=0,Mieter!$C6=""),0,Kosten!$B$7*IF(Kosten!$C$7="Fläche",Mieter!$L6,IF(Kosten!$C$7="Anteil",Mieter!$M6,Mieter!$N6))*IF(Kosten!$D$7="Heizung",Mieter!$K6,Mieter!$J6)/Kosten!$E$7)</f>
        <v/>
      </c>
      <c r="F6" s="18">
        <f>IF(OR(Kosten!$B$8="",Kosten!$E$8=0,Mieter!$C6=""),0,Kosten!$B$8*IF(Kosten!$C$8="Fläche",Mieter!$L6,IF(Kosten!$C$8="Anteil",Mieter!$M6,Mieter!$N6))*IF(Kosten!$D$8="Heizung",Mieter!$K6,Mieter!$J6)/Kosten!$E$8)</f>
        <v/>
      </c>
      <c r="G6" s="18">
        <f>IF(OR(Kosten!$B$9="",Kosten!$E$9=0,Mieter!$C6=""),0,Kosten!$B$9*IF(Kosten!$C$9="Fläche",Mieter!$L6,IF(Kosten!$C$9="Anteil",Mieter!$M6,Mieter!$N6))*IF(Kosten!$D$9="Heizung",Mieter!$K6,Mieter!$J6)/Kosten!$E$9)</f>
        <v/>
      </c>
      <c r="H6" s="18">
        <f>IF(OR(Kosten!$B$10="",Kosten!$E$10=0,Mieter!$C6=""),0,Kosten!$B$10*IF(Kosten!$C$10="Fläche",Mieter!$L6,IF(Kosten!$C$10="Anteil",Mieter!$M6,Mieter!$N6))*IF(Kosten!$D$10="Heizung",Mieter!$K6,Mieter!$J6)/Kosten!$E$10)</f>
        <v/>
      </c>
      <c r="I6" s="18">
        <f>IF(OR(Kosten!$B$11="",Kosten!$E$11=0,Mieter!$C6=""),0,Kosten!$B$11*IF(Kosten!$C$11="Fläche",Mieter!$L6,IF(Kosten!$C$11="Anteil",Mieter!$M6,Mieter!$N6))*IF(Kosten!$D$11="Heizung",Mieter!$K6,Mieter!$J6)/Kosten!$E$11)</f>
        <v/>
      </c>
      <c r="J6" s="18">
        <f>IF(OR(Kosten!$B$12="",Kosten!$E$12=0,Mieter!$C6=""),0,Kosten!$B$12*IF(Kosten!$C$12="Fläche",Mieter!$L6,IF(Kosten!$C$12="Anteil",Mieter!$M6,Mieter!$N6))*IF(Kosten!$D$12="Heizung",Mieter!$K6,Mieter!$J6)/Kosten!$E$12)</f>
        <v/>
      </c>
      <c r="K6" s="18">
        <f>IF(OR(Kosten!$B$13="",Kosten!$E$13=0,Mieter!$C6=""),0,Kosten!$B$13*IF(Kosten!$C$13="Fläche",Mieter!$L6,IF(Kosten!$C$13="Anteil",Mieter!$M6,Mieter!$N6))*IF(Kosten!$D$13="Heizung",Mieter!$K6,Mieter!$J6)/Kosten!$E$13)</f>
        <v/>
      </c>
      <c r="L6" s="18">
        <f>IF(OR(Kosten!$B$14="",Kosten!$E$14=0,Mieter!$C6=""),0,Kosten!$B$14*IF(Kosten!$C$14="Fläche",Mieter!$L6,IF(Kosten!$C$14="Anteil",Mieter!$M6,Mieter!$N6))*IF(Kosten!$D$14="Heizung",Mieter!$K6,Mieter!$J6)/Kosten!$E$14)</f>
        <v/>
      </c>
      <c r="M6" s="18">
        <f>IF(OR(Kosten!$B$15="",Kosten!$E$15=0,Mieter!$C6=""),0,Kosten!$B$15*IF(Kosten!$C$15="Fläche",Mieter!$L6,IF(Kosten!$C$15="Anteil",Mieter!$M6,Mieter!$N6))*IF(Kosten!$D$15="Heizung",Mieter!$K6,Mieter!$J6)/Kosten!$E$15)</f>
        <v/>
      </c>
      <c r="N6" s="18">
        <f>IF(OR(Kosten!$B$16="",Kosten!$E$16=0,Mieter!$C6=""),0,Kosten!$B$16*IF(Kosten!$C$16="Fläche",Mieter!$L6,IF(Kosten!$C$16="Anteil",Mieter!$M6,Mieter!$N6))*IF(Kosten!$D$16="Heizung",Mieter!$K6,Mieter!$J6)/Kosten!$E$16)</f>
        <v/>
      </c>
      <c r="O6" s="18">
        <f>IF(OR(Kosten!$B$17="",Kosten!$E$17=0,Mieter!$C6=""),0,Kosten!$B$17*IF(Kosten!$C$17="Fläche",Mieter!$L6,IF(Kosten!$C$17="Anteil",Mieter!$M6,Mieter!$N6))*IF(Kosten!$D$17="Heizung",Mieter!$K6,Mieter!$J6)/Kosten!$E$17)</f>
        <v/>
      </c>
      <c r="P6" s="18">
        <f>IF(OR(Kosten!$B$18="",Kosten!$E$18=0,Mieter!$C6=""),0,Kosten!$B$18*IF(Kosten!$C$18="Fläche",Mieter!$L6,IF(Kosten!$C$18="Anteil",Mieter!$M6,Mieter!$N6))*IF(Kosten!$D$18="Heizung",Mieter!$K6,Mieter!$J6)/Kosten!$E$18)</f>
        <v/>
      </c>
      <c r="Q6" s="18">
        <f>IF(OR(Kosten!$B$19="",Kosten!$E$19=0,Mieter!$C6=""),0,Kosten!$B$19*IF(Kosten!$C$19="Fläche",Mieter!$L6,IF(Kosten!$C$19="Anteil",Mieter!$M6,Mieter!$N6))*IF(Kosten!$D$19="Heizung",Mieter!$K6,Mieter!$J6)/Kosten!$E$19)</f>
        <v/>
      </c>
      <c r="R6" s="18">
        <f>IF(OR(Kosten!$B$20="",Kosten!$E$20=0,Mieter!$C6=""),0,Kosten!$B$20*IF(Kosten!$C$20="Fläche",Mieter!$L6,IF(Kosten!$C$20="Anteil",Mieter!$M6,Mieter!$N6))*IF(Kosten!$D$20="Heizung",Mieter!$K6,Mieter!$J6)/Kosten!$E$20)</f>
        <v/>
      </c>
      <c r="S6" s="18">
        <f>IF(OR(Kosten!$B$21="",Kosten!$E$21=0,Mieter!$C6=""),0,Kosten!$B$21*IF(Kosten!$C$21="Fläche",Mieter!$L6,IF(Kosten!$C$21="Anteil",Mieter!$M6,Mieter!$N6))*IF(Kosten!$D$21="Heizung",Mieter!$K6,Mieter!$J6)/Kosten!$E$21)</f>
        <v/>
      </c>
      <c r="T6" s="18">
        <f>IF(OR(Kosten!$B$22="",Kosten!$E$22=0,Mieter!$C6=""),0,Kosten!$B$22*IF(Kosten!$C$22="Fläche",Mieter!$L6,IF(Kosten!$C$22="Anteil",Mieter!$M6,Mieter!$N6))*IF(Kosten!$D$22="Heizung",Mieter!$K6,Mieter!$J6)/Kosten!$E$22)</f>
        <v/>
      </c>
      <c r="U6" s="18">
        <f>IF(OR(Kosten!$B$23="",Kosten!$E$23=0,Mieter!$C6=""),0,Kosten!$B$23*IF(Kosten!$C$23="Fläche",Mieter!$L6,IF(Kosten!$C$23="Anteil",Mieter!$M6,Mieter!$N6))*IF(Kosten!$D$23="Heizung",Mieter!$K6,Mieter!$J6)/Kosten!$E$23)</f>
        <v/>
      </c>
      <c r="V6" s="18">
        <f>IF(OR(Kosten!$B$24="",Kosten!$E$24=0,Mieter!$C6=""),0,Kosten!$B$24*IF(Kosten!$C$24="Fläche",Mieter!$L6,IF(Kosten!$C$24="Anteil",Mieter!$M6,Mieter!$N6))*IF(Kosten!$D$24="Heizung",Mieter!$K6,Mieter!$J6)/Kosten!$E$24)</f>
        <v/>
      </c>
      <c r="W6" s="18">
        <f>IF(OR(Kosten!$B$25="",Kosten!$E$25=0,Mieter!$C6=""),0,Kosten!$B$25*IF(Kosten!$C$25="Fläche",Mieter!$L6,IF(Kosten!$C$25="Anteil",Mieter!$M6,Mieter!$N6))*IF(Kosten!$D$25="Heizung",Mieter!$K6,Mieter!$J6)/Kosten!$E$25)</f>
        <v/>
      </c>
      <c r="X6" s="18">
        <f>IF(OR(Kosten!$B$26="",Kosten!$E$26=0,Mieter!$C6=""),0,Kosten!$B$26*IF(Kosten!$C$26="Fläche",Mieter!$L6,IF(Kosten!$C$26="Anteil",Mieter!$M6,Mieter!$N6))*IF(Kosten!$D$26="Heizung",Mieter!$K6,Mieter!$J6)/Kosten!$E$26)</f>
        <v/>
      </c>
      <c r="Y6" s="18">
        <f>IF(OR(Kosten!$B$27="",Kosten!$E$27=0,Mieter!$C6=""),0,Kosten!$B$27*IF(Kosten!$C$27="Fläche",Mieter!$L6,IF(Kosten!$C$27="Anteil",Mieter!$M6,Mieter!$N6))*IF(Kosten!$D$27="Heizung",Mieter!$K6,Mieter!$J6)/Kosten!$E$27)</f>
        <v/>
      </c>
      <c r="Z6" s="18">
        <f>IF(OR(Kosten!$B$28="",Kosten!$E$28=0,Mieter!$C6=""),0,Kosten!$B$28*IF(Kosten!$C$28="Fläche",Mieter!$L6,IF(Kosten!$C$28="Anteil",Mieter!$M6,Mieter!$N6))*IF(Kosten!$D$28="Heizung",Mieter!$K6,Mieter!$J6)/Kosten!$E$28)</f>
        <v/>
      </c>
      <c r="AA6" s="18">
        <f>IF(OR(Kosten!$B$29="",Kosten!$E$29=0,Mieter!$C6=""),0,Kosten!$B$29*IF(Kosten!$C$29="Fläche",Mieter!$L6,IF(Kosten!$C$29="Anteil",Mieter!$M6,Mieter!$N6))*IF(Kosten!$D$29="Heizung",Mieter!$K6,Mieter!$J6)/Kosten!$E$29)</f>
        <v/>
      </c>
      <c r="AB6" s="18">
        <f>ROUND(SUM(C6:AA6)*20,0)/20</f>
        <v/>
      </c>
      <c r="AC6" s="18">
        <f>N(Mieter!F6)</f>
        <v/>
      </c>
      <c r="AD6" s="18">
        <f>AB6-AC6</f>
        <v/>
      </c>
    </row>
    <row r="7">
      <c r="A7" s="13">
        <f>Mieter!A7</f>
        <v/>
      </c>
      <c r="B7" s="22">
        <f>IF(Mieter!C7="","",Mieter!B7)</f>
        <v/>
      </c>
      <c r="C7" s="18">
        <f>IF(OR(Kosten!$B$5="",Kosten!$E$5=0,Mieter!$C7=""),0,Kosten!$B$5*IF(Kosten!$C$5="Fläche",Mieter!$L7,IF(Kosten!$C$5="Anteil",Mieter!$M7,Mieter!$N7))*IF(Kosten!$D$5="Heizung",Mieter!$K7,Mieter!$J7)/Kosten!$E$5)</f>
        <v/>
      </c>
      <c r="D7" s="18">
        <f>IF(OR(Kosten!$B$6="",Kosten!$E$6=0,Mieter!$C7=""),0,Kosten!$B$6*IF(Kosten!$C$6="Fläche",Mieter!$L7,IF(Kosten!$C$6="Anteil",Mieter!$M7,Mieter!$N7))*IF(Kosten!$D$6="Heizung",Mieter!$K7,Mieter!$J7)/Kosten!$E$6)</f>
        <v/>
      </c>
      <c r="E7" s="18">
        <f>IF(OR(Kosten!$B$7="",Kosten!$E$7=0,Mieter!$C7=""),0,Kosten!$B$7*IF(Kosten!$C$7="Fläche",Mieter!$L7,IF(Kosten!$C$7="Anteil",Mieter!$M7,Mieter!$N7))*IF(Kosten!$D$7="Heizung",Mieter!$K7,Mieter!$J7)/Kosten!$E$7)</f>
        <v/>
      </c>
      <c r="F7" s="18">
        <f>IF(OR(Kosten!$B$8="",Kosten!$E$8=0,Mieter!$C7=""),0,Kosten!$B$8*IF(Kosten!$C$8="Fläche",Mieter!$L7,IF(Kosten!$C$8="Anteil",Mieter!$M7,Mieter!$N7))*IF(Kosten!$D$8="Heizung",Mieter!$K7,Mieter!$J7)/Kosten!$E$8)</f>
        <v/>
      </c>
      <c r="G7" s="18">
        <f>IF(OR(Kosten!$B$9="",Kosten!$E$9=0,Mieter!$C7=""),0,Kosten!$B$9*IF(Kosten!$C$9="Fläche",Mieter!$L7,IF(Kosten!$C$9="Anteil",Mieter!$M7,Mieter!$N7))*IF(Kosten!$D$9="Heizung",Mieter!$K7,Mieter!$J7)/Kosten!$E$9)</f>
        <v/>
      </c>
      <c r="H7" s="18">
        <f>IF(OR(Kosten!$B$10="",Kosten!$E$10=0,Mieter!$C7=""),0,Kosten!$B$10*IF(Kosten!$C$10="Fläche",Mieter!$L7,IF(Kosten!$C$10="Anteil",Mieter!$M7,Mieter!$N7))*IF(Kosten!$D$10="Heizung",Mieter!$K7,Mieter!$J7)/Kosten!$E$10)</f>
        <v/>
      </c>
      <c r="I7" s="18">
        <f>IF(OR(Kosten!$B$11="",Kosten!$E$11=0,Mieter!$C7=""),0,Kosten!$B$11*IF(Kosten!$C$11="Fläche",Mieter!$L7,IF(Kosten!$C$11="Anteil",Mieter!$M7,Mieter!$N7))*IF(Kosten!$D$11="Heizung",Mieter!$K7,Mieter!$J7)/Kosten!$E$11)</f>
        <v/>
      </c>
      <c r="J7" s="18">
        <f>IF(OR(Kosten!$B$12="",Kosten!$E$12=0,Mieter!$C7=""),0,Kosten!$B$12*IF(Kosten!$C$12="Fläche",Mieter!$L7,IF(Kosten!$C$12="Anteil",Mieter!$M7,Mieter!$N7))*IF(Kosten!$D$12="Heizung",Mieter!$K7,Mieter!$J7)/Kosten!$E$12)</f>
        <v/>
      </c>
      <c r="K7" s="18">
        <f>IF(OR(Kosten!$B$13="",Kosten!$E$13=0,Mieter!$C7=""),0,Kosten!$B$13*IF(Kosten!$C$13="Fläche",Mieter!$L7,IF(Kosten!$C$13="Anteil",Mieter!$M7,Mieter!$N7))*IF(Kosten!$D$13="Heizung",Mieter!$K7,Mieter!$J7)/Kosten!$E$13)</f>
        <v/>
      </c>
      <c r="L7" s="18">
        <f>IF(OR(Kosten!$B$14="",Kosten!$E$14=0,Mieter!$C7=""),0,Kosten!$B$14*IF(Kosten!$C$14="Fläche",Mieter!$L7,IF(Kosten!$C$14="Anteil",Mieter!$M7,Mieter!$N7))*IF(Kosten!$D$14="Heizung",Mieter!$K7,Mieter!$J7)/Kosten!$E$14)</f>
        <v/>
      </c>
      <c r="M7" s="18">
        <f>IF(OR(Kosten!$B$15="",Kosten!$E$15=0,Mieter!$C7=""),0,Kosten!$B$15*IF(Kosten!$C$15="Fläche",Mieter!$L7,IF(Kosten!$C$15="Anteil",Mieter!$M7,Mieter!$N7))*IF(Kosten!$D$15="Heizung",Mieter!$K7,Mieter!$J7)/Kosten!$E$15)</f>
        <v/>
      </c>
      <c r="N7" s="18">
        <f>IF(OR(Kosten!$B$16="",Kosten!$E$16=0,Mieter!$C7=""),0,Kosten!$B$16*IF(Kosten!$C$16="Fläche",Mieter!$L7,IF(Kosten!$C$16="Anteil",Mieter!$M7,Mieter!$N7))*IF(Kosten!$D$16="Heizung",Mieter!$K7,Mieter!$J7)/Kosten!$E$16)</f>
        <v/>
      </c>
      <c r="O7" s="18">
        <f>IF(OR(Kosten!$B$17="",Kosten!$E$17=0,Mieter!$C7=""),0,Kosten!$B$17*IF(Kosten!$C$17="Fläche",Mieter!$L7,IF(Kosten!$C$17="Anteil",Mieter!$M7,Mieter!$N7))*IF(Kosten!$D$17="Heizung",Mieter!$K7,Mieter!$J7)/Kosten!$E$17)</f>
        <v/>
      </c>
      <c r="P7" s="18">
        <f>IF(OR(Kosten!$B$18="",Kosten!$E$18=0,Mieter!$C7=""),0,Kosten!$B$18*IF(Kosten!$C$18="Fläche",Mieter!$L7,IF(Kosten!$C$18="Anteil",Mieter!$M7,Mieter!$N7))*IF(Kosten!$D$18="Heizung",Mieter!$K7,Mieter!$J7)/Kosten!$E$18)</f>
        <v/>
      </c>
      <c r="Q7" s="18">
        <f>IF(OR(Kosten!$B$19="",Kosten!$E$19=0,Mieter!$C7=""),0,Kosten!$B$19*IF(Kosten!$C$19="Fläche",Mieter!$L7,IF(Kosten!$C$19="Anteil",Mieter!$M7,Mieter!$N7))*IF(Kosten!$D$19="Heizung",Mieter!$K7,Mieter!$J7)/Kosten!$E$19)</f>
        <v/>
      </c>
      <c r="R7" s="18">
        <f>IF(OR(Kosten!$B$20="",Kosten!$E$20=0,Mieter!$C7=""),0,Kosten!$B$20*IF(Kosten!$C$20="Fläche",Mieter!$L7,IF(Kosten!$C$20="Anteil",Mieter!$M7,Mieter!$N7))*IF(Kosten!$D$20="Heizung",Mieter!$K7,Mieter!$J7)/Kosten!$E$20)</f>
        <v/>
      </c>
      <c r="S7" s="18">
        <f>IF(OR(Kosten!$B$21="",Kosten!$E$21=0,Mieter!$C7=""),0,Kosten!$B$21*IF(Kosten!$C$21="Fläche",Mieter!$L7,IF(Kosten!$C$21="Anteil",Mieter!$M7,Mieter!$N7))*IF(Kosten!$D$21="Heizung",Mieter!$K7,Mieter!$J7)/Kosten!$E$21)</f>
        <v/>
      </c>
      <c r="T7" s="18">
        <f>IF(OR(Kosten!$B$22="",Kosten!$E$22=0,Mieter!$C7=""),0,Kosten!$B$22*IF(Kosten!$C$22="Fläche",Mieter!$L7,IF(Kosten!$C$22="Anteil",Mieter!$M7,Mieter!$N7))*IF(Kosten!$D$22="Heizung",Mieter!$K7,Mieter!$J7)/Kosten!$E$22)</f>
        <v/>
      </c>
      <c r="U7" s="18">
        <f>IF(OR(Kosten!$B$23="",Kosten!$E$23=0,Mieter!$C7=""),0,Kosten!$B$23*IF(Kosten!$C$23="Fläche",Mieter!$L7,IF(Kosten!$C$23="Anteil",Mieter!$M7,Mieter!$N7))*IF(Kosten!$D$23="Heizung",Mieter!$K7,Mieter!$J7)/Kosten!$E$23)</f>
        <v/>
      </c>
      <c r="V7" s="18">
        <f>IF(OR(Kosten!$B$24="",Kosten!$E$24=0,Mieter!$C7=""),0,Kosten!$B$24*IF(Kosten!$C$24="Fläche",Mieter!$L7,IF(Kosten!$C$24="Anteil",Mieter!$M7,Mieter!$N7))*IF(Kosten!$D$24="Heizung",Mieter!$K7,Mieter!$J7)/Kosten!$E$24)</f>
        <v/>
      </c>
      <c r="W7" s="18">
        <f>IF(OR(Kosten!$B$25="",Kosten!$E$25=0,Mieter!$C7=""),0,Kosten!$B$25*IF(Kosten!$C$25="Fläche",Mieter!$L7,IF(Kosten!$C$25="Anteil",Mieter!$M7,Mieter!$N7))*IF(Kosten!$D$25="Heizung",Mieter!$K7,Mieter!$J7)/Kosten!$E$25)</f>
        <v/>
      </c>
      <c r="X7" s="18">
        <f>IF(OR(Kosten!$B$26="",Kosten!$E$26=0,Mieter!$C7=""),0,Kosten!$B$26*IF(Kosten!$C$26="Fläche",Mieter!$L7,IF(Kosten!$C$26="Anteil",Mieter!$M7,Mieter!$N7))*IF(Kosten!$D$26="Heizung",Mieter!$K7,Mieter!$J7)/Kosten!$E$26)</f>
        <v/>
      </c>
      <c r="Y7" s="18">
        <f>IF(OR(Kosten!$B$27="",Kosten!$E$27=0,Mieter!$C7=""),0,Kosten!$B$27*IF(Kosten!$C$27="Fläche",Mieter!$L7,IF(Kosten!$C$27="Anteil",Mieter!$M7,Mieter!$N7))*IF(Kosten!$D$27="Heizung",Mieter!$K7,Mieter!$J7)/Kosten!$E$27)</f>
        <v/>
      </c>
      <c r="Z7" s="18">
        <f>IF(OR(Kosten!$B$28="",Kosten!$E$28=0,Mieter!$C7=""),0,Kosten!$B$28*IF(Kosten!$C$28="Fläche",Mieter!$L7,IF(Kosten!$C$28="Anteil",Mieter!$M7,Mieter!$N7))*IF(Kosten!$D$28="Heizung",Mieter!$K7,Mieter!$J7)/Kosten!$E$28)</f>
        <v/>
      </c>
      <c r="AA7" s="18">
        <f>IF(OR(Kosten!$B$29="",Kosten!$E$29=0,Mieter!$C7=""),0,Kosten!$B$29*IF(Kosten!$C$29="Fläche",Mieter!$L7,IF(Kosten!$C$29="Anteil",Mieter!$M7,Mieter!$N7))*IF(Kosten!$D$29="Heizung",Mieter!$K7,Mieter!$J7)/Kosten!$E$29)</f>
        <v/>
      </c>
      <c r="AB7" s="18">
        <f>ROUND(SUM(C7:AA7)*20,0)/20</f>
        <v/>
      </c>
      <c r="AC7" s="18">
        <f>N(Mieter!F7)</f>
        <v/>
      </c>
      <c r="AD7" s="18">
        <f>AB7-AC7</f>
        <v/>
      </c>
    </row>
    <row r="8">
      <c r="A8" s="13">
        <f>Mieter!A8</f>
        <v/>
      </c>
      <c r="B8" s="22">
        <f>IF(Mieter!C8="","",Mieter!B8)</f>
        <v/>
      </c>
      <c r="C8" s="18">
        <f>IF(OR(Kosten!$B$5="",Kosten!$E$5=0,Mieter!$C8=""),0,Kosten!$B$5*IF(Kosten!$C$5="Fläche",Mieter!$L8,IF(Kosten!$C$5="Anteil",Mieter!$M8,Mieter!$N8))*IF(Kosten!$D$5="Heizung",Mieter!$K8,Mieter!$J8)/Kosten!$E$5)</f>
        <v/>
      </c>
      <c r="D8" s="18">
        <f>IF(OR(Kosten!$B$6="",Kosten!$E$6=0,Mieter!$C8=""),0,Kosten!$B$6*IF(Kosten!$C$6="Fläche",Mieter!$L8,IF(Kosten!$C$6="Anteil",Mieter!$M8,Mieter!$N8))*IF(Kosten!$D$6="Heizung",Mieter!$K8,Mieter!$J8)/Kosten!$E$6)</f>
        <v/>
      </c>
      <c r="E8" s="18">
        <f>IF(OR(Kosten!$B$7="",Kosten!$E$7=0,Mieter!$C8=""),0,Kosten!$B$7*IF(Kosten!$C$7="Fläche",Mieter!$L8,IF(Kosten!$C$7="Anteil",Mieter!$M8,Mieter!$N8))*IF(Kosten!$D$7="Heizung",Mieter!$K8,Mieter!$J8)/Kosten!$E$7)</f>
        <v/>
      </c>
      <c r="F8" s="18">
        <f>IF(OR(Kosten!$B$8="",Kosten!$E$8=0,Mieter!$C8=""),0,Kosten!$B$8*IF(Kosten!$C$8="Fläche",Mieter!$L8,IF(Kosten!$C$8="Anteil",Mieter!$M8,Mieter!$N8))*IF(Kosten!$D$8="Heizung",Mieter!$K8,Mieter!$J8)/Kosten!$E$8)</f>
        <v/>
      </c>
      <c r="G8" s="18">
        <f>IF(OR(Kosten!$B$9="",Kosten!$E$9=0,Mieter!$C8=""),0,Kosten!$B$9*IF(Kosten!$C$9="Fläche",Mieter!$L8,IF(Kosten!$C$9="Anteil",Mieter!$M8,Mieter!$N8))*IF(Kosten!$D$9="Heizung",Mieter!$K8,Mieter!$J8)/Kosten!$E$9)</f>
        <v/>
      </c>
      <c r="H8" s="18">
        <f>IF(OR(Kosten!$B$10="",Kosten!$E$10=0,Mieter!$C8=""),0,Kosten!$B$10*IF(Kosten!$C$10="Fläche",Mieter!$L8,IF(Kosten!$C$10="Anteil",Mieter!$M8,Mieter!$N8))*IF(Kosten!$D$10="Heizung",Mieter!$K8,Mieter!$J8)/Kosten!$E$10)</f>
        <v/>
      </c>
      <c r="I8" s="18">
        <f>IF(OR(Kosten!$B$11="",Kosten!$E$11=0,Mieter!$C8=""),0,Kosten!$B$11*IF(Kosten!$C$11="Fläche",Mieter!$L8,IF(Kosten!$C$11="Anteil",Mieter!$M8,Mieter!$N8))*IF(Kosten!$D$11="Heizung",Mieter!$K8,Mieter!$J8)/Kosten!$E$11)</f>
        <v/>
      </c>
      <c r="J8" s="18">
        <f>IF(OR(Kosten!$B$12="",Kosten!$E$12=0,Mieter!$C8=""),0,Kosten!$B$12*IF(Kosten!$C$12="Fläche",Mieter!$L8,IF(Kosten!$C$12="Anteil",Mieter!$M8,Mieter!$N8))*IF(Kosten!$D$12="Heizung",Mieter!$K8,Mieter!$J8)/Kosten!$E$12)</f>
        <v/>
      </c>
      <c r="K8" s="18">
        <f>IF(OR(Kosten!$B$13="",Kosten!$E$13=0,Mieter!$C8=""),0,Kosten!$B$13*IF(Kosten!$C$13="Fläche",Mieter!$L8,IF(Kosten!$C$13="Anteil",Mieter!$M8,Mieter!$N8))*IF(Kosten!$D$13="Heizung",Mieter!$K8,Mieter!$J8)/Kosten!$E$13)</f>
        <v/>
      </c>
      <c r="L8" s="18">
        <f>IF(OR(Kosten!$B$14="",Kosten!$E$14=0,Mieter!$C8=""),0,Kosten!$B$14*IF(Kosten!$C$14="Fläche",Mieter!$L8,IF(Kosten!$C$14="Anteil",Mieter!$M8,Mieter!$N8))*IF(Kosten!$D$14="Heizung",Mieter!$K8,Mieter!$J8)/Kosten!$E$14)</f>
        <v/>
      </c>
      <c r="M8" s="18">
        <f>IF(OR(Kosten!$B$15="",Kosten!$E$15=0,Mieter!$C8=""),0,Kosten!$B$15*IF(Kosten!$C$15="Fläche",Mieter!$L8,IF(Kosten!$C$15="Anteil",Mieter!$M8,Mieter!$N8))*IF(Kosten!$D$15="Heizung",Mieter!$K8,Mieter!$J8)/Kosten!$E$15)</f>
        <v/>
      </c>
      <c r="N8" s="18">
        <f>IF(OR(Kosten!$B$16="",Kosten!$E$16=0,Mieter!$C8=""),0,Kosten!$B$16*IF(Kosten!$C$16="Fläche",Mieter!$L8,IF(Kosten!$C$16="Anteil",Mieter!$M8,Mieter!$N8))*IF(Kosten!$D$16="Heizung",Mieter!$K8,Mieter!$J8)/Kosten!$E$16)</f>
        <v/>
      </c>
      <c r="O8" s="18">
        <f>IF(OR(Kosten!$B$17="",Kosten!$E$17=0,Mieter!$C8=""),0,Kosten!$B$17*IF(Kosten!$C$17="Fläche",Mieter!$L8,IF(Kosten!$C$17="Anteil",Mieter!$M8,Mieter!$N8))*IF(Kosten!$D$17="Heizung",Mieter!$K8,Mieter!$J8)/Kosten!$E$17)</f>
        <v/>
      </c>
      <c r="P8" s="18">
        <f>IF(OR(Kosten!$B$18="",Kosten!$E$18=0,Mieter!$C8=""),0,Kosten!$B$18*IF(Kosten!$C$18="Fläche",Mieter!$L8,IF(Kosten!$C$18="Anteil",Mieter!$M8,Mieter!$N8))*IF(Kosten!$D$18="Heizung",Mieter!$K8,Mieter!$J8)/Kosten!$E$18)</f>
        <v/>
      </c>
      <c r="Q8" s="18">
        <f>IF(OR(Kosten!$B$19="",Kosten!$E$19=0,Mieter!$C8=""),0,Kosten!$B$19*IF(Kosten!$C$19="Fläche",Mieter!$L8,IF(Kosten!$C$19="Anteil",Mieter!$M8,Mieter!$N8))*IF(Kosten!$D$19="Heizung",Mieter!$K8,Mieter!$J8)/Kosten!$E$19)</f>
        <v/>
      </c>
      <c r="R8" s="18">
        <f>IF(OR(Kosten!$B$20="",Kosten!$E$20=0,Mieter!$C8=""),0,Kosten!$B$20*IF(Kosten!$C$20="Fläche",Mieter!$L8,IF(Kosten!$C$20="Anteil",Mieter!$M8,Mieter!$N8))*IF(Kosten!$D$20="Heizung",Mieter!$K8,Mieter!$J8)/Kosten!$E$20)</f>
        <v/>
      </c>
      <c r="S8" s="18">
        <f>IF(OR(Kosten!$B$21="",Kosten!$E$21=0,Mieter!$C8=""),0,Kosten!$B$21*IF(Kosten!$C$21="Fläche",Mieter!$L8,IF(Kosten!$C$21="Anteil",Mieter!$M8,Mieter!$N8))*IF(Kosten!$D$21="Heizung",Mieter!$K8,Mieter!$J8)/Kosten!$E$21)</f>
        <v/>
      </c>
      <c r="T8" s="18">
        <f>IF(OR(Kosten!$B$22="",Kosten!$E$22=0,Mieter!$C8=""),0,Kosten!$B$22*IF(Kosten!$C$22="Fläche",Mieter!$L8,IF(Kosten!$C$22="Anteil",Mieter!$M8,Mieter!$N8))*IF(Kosten!$D$22="Heizung",Mieter!$K8,Mieter!$J8)/Kosten!$E$22)</f>
        <v/>
      </c>
      <c r="U8" s="18">
        <f>IF(OR(Kosten!$B$23="",Kosten!$E$23=0,Mieter!$C8=""),0,Kosten!$B$23*IF(Kosten!$C$23="Fläche",Mieter!$L8,IF(Kosten!$C$23="Anteil",Mieter!$M8,Mieter!$N8))*IF(Kosten!$D$23="Heizung",Mieter!$K8,Mieter!$J8)/Kosten!$E$23)</f>
        <v/>
      </c>
      <c r="V8" s="18">
        <f>IF(OR(Kosten!$B$24="",Kosten!$E$24=0,Mieter!$C8=""),0,Kosten!$B$24*IF(Kosten!$C$24="Fläche",Mieter!$L8,IF(Kosten!$C$24="Anteil",Mieter!$M8,Mieter!$N8))*IF(Kosten!$D$24="Heizung",Mieter!$K8,Mieter!$J8)/Kosten!$E$24)</f>
        <v/>
      </c>
      <c r="W8" s="18">
        <f>IF(OR(Kosten!$B$25="",Kosten!$E$25=0,Mieter!$C8=""),0,Kosten!$B$25*IF(Kosten!$C$25="Fläche",Mieter!$L8,IF(Kosten!$C$25="Anteil",Mieter!$M8,Mieter!$N8))*IF(Kosten!$D$25="Heizung",Mieter!$K8,Mieter!$J8)/Kosten!$E$25)</f>
        <v/>
      </c>
      <c r="X8" s="18">
        <f>IF(OR(Kosten!$B$26="",Kosten!$E$26=0,Mieter!$C8=""),0,Kosten!$B$26*IF(Kosten!$C$26="Fläche",Mieter!$L8,IF(Kosten!$C$26="Anteil",Mieter!$M8,Mieter!$N8))*IF(Kosten!$D$26="Heizung",Mieter!$K8,Mieter!$J8)/Kosten!$E$26)</f>
        <v/>
      </c>
      <c r="Y8" s="18">
        <f>IF(OR(Kosten!$B$27="",Kosten!$E$27=0,Mieter!$C8=""),0,Kosten!$B$27*IF(Kosten!$C$27="Fläche",Mieter!$L8,IF(Kosten!$C$27="Anteil",Mieter!$M8,Mieter!$N8))*IF(Kosten!$D$27="Heizung",Mieter!$K8,Mieter!$J8)/Kosten!$E$27)</f>
        <v/>
      </c>
      <c r="Z8" s="18">
        <f>IF(OR(Kosten!$B$28="",Kosten!$E$28=0,Mieter!$C8=""),0,Kosten!$B$28*IF(Kosten!$C$28="Fläche",Mieter!$L8,IF(Kosten!$C$28="Anteil",Mieter!$M8,Mieter!$N8))*IF(Kosten!$D$28="Heizung",Mieter!$K8,Mieter!$J8)/Kosten!$E$28)</f>
        <v/>
      </c>
      <c r="AA8" s="18">
        <f>IF(OR(Kosten!$B$29="",Kosten!$E$29=0,Mieter!$C8=""),0,Kosten!$B$29*IF(Kosten!$C$29="Fläche",Mieter!$L8,IF(Kosten!$C$29="Anteil",Mieter!$M8,Mieter!$N8))*IF(Kosten!$D$29="Heizung",Mieter!$K8,Mieter!$J8)/Kosten!$E$29)</f>
        <v/>
      </c>
      <c r="AB8" s="18">
        <f>ROUND(SUM(C8:AA8)*20,0)/20</f>
        <v/>
      </c>
      <c r="AC8" s="18">
        <f>N(Mieter!F8)</f>
        <v/>
      </c>
      <c r="AD8" s="18">
        <f>AB8-AC8</f>
        <v/>
      </c>
    </row>
    <row r="9">
      <c r="A9" s="13">
        <f>Mieter!A9</f>
        <v/>
      </c>
      <c r="B9" s="22">
        <f>IF(Mieter!C9="","",Mieter!B9)</f>
        <v/>
      </c>
      <c r="C9" s="18">
        <f>IF(OR(Kosten!$B$5="",Kosten!$E$5=0,Mieter!$C9=""),0,Kosten!$B$5*IF(Kosten!$C$5="Fläche",Mieter!$L9,IF(Kosten!$C$5="Anteil",Mieter!$M9,Mieter!$N9))*IF(Kosten!$D$5="Heizung",Mieter!$K9,Mieter!$J9)/Kosten!$E$5)</f>
        <v/>
      </c>
      <c r="D9" s="18">
        <f>IF(OR(Kosten!$B$6="",Kosten!$E$6=0,Mieter!$C9=""),0,Kosten!$B$6*IF(Kosten!$C$6="Fläche",Mieter!$L9,IF(Kosten!$C$6="Anteil",Mieter!$M9,Mieter!$N9))*IF(Kosten!$D$6="Heizung",Mieter!$K9,Mieter!$J9)/Kosten!$E$6)</f>
        <v/>
      </c>
      <c r="E9" s="18">
        <f>IF(OR(Kosten!$B$7="",Kosten!$E$7=0,Mieter!$C9=""),0,Kosten!$B$7*IF(Kosten!$C$7="Fläche",Mieter!$L9,IF(Kosten!$C$7="Anteil",Mieter!$M9,Mieter!$N9))*IF(Kosten!$D$7="Heizung",Mieter!$K9,Mieter!$J9)/Kosten!$E$7)</f>
        <v/>
      </c>
      <c r="F9" s="18">
        <f>IF(OR(Kosten!$B$8="",Kosten!$E$8=0,Mieter!$C9=""),0,Kosten!$B$8*IF(Kosten!$C$8="Fläche",Mieter!$L9,IF(Kosten!$C$8="Anteil",Mieter!$M9,Mieter!$N9))*IF(Kosten!$D$8="Heizung",Mieter!$K9,Mieter!$J9)/Kosten!$E$8)</f>
        <v/>
      </c>
      <c r="G9" s="18">
        <f>IF(OR(Kosten!$B$9="",Kosten!$E$9=0,Mieter!$C9=""),0,Kosten!$B$9*IF(Kosten!$C$9="Fläche",Mieter!$L9,IF(Kosten!$C$9="Anteil",Mieter!$M9,Mieter!$N9))*IF(Kosten!$D$9="Heizung",Mieter!$K9,Mieter!$J9)/Kosten!$E$9)</f>
        <v/>
      </c>
      <c r="H9" s="18">
        <f>IF(OR(Kosten!$B$10="",Kosten!$E$10=0,Mieter!$C9=""),0,Kosten!$B$10*IF(Kosten!$C$10="Fläche",Mieter!$L9,IF(Kosten!$C$10="Anteil",Mieter!$M9,Mieter!$N9))*IF(Kosten!$D$10="Heizung",Mieter!$K9,Mieter!$J9)/Kosten!$E$10)</f>
        <v/>
      </c>
      <c r="I9" s="18">
        <f>IF(OR(Kosten!$B$11="",Kosten!$E$11=0,Mieter!$C9=""),0,Kosten!$B$11*IF(Kosten!$C$11="Fläche",Mieter!$L9,IF(Kosten!$C$11="Anteil",Mieter!$M9,Mieter!$N9))*IF(Kosten!$D$11="Heizung",Mieter!$K9,Mieter!$J9)/Kosten!$E$11)</f>
        <v/>
      </c>
      <c r="J9" s="18">
        <f>IF(OR(Kosten!$B$12="",Kosten!$E$12=0,Mieter!$C9=""),0,Kosten!$B$12*IF(Kosten!$C$12="Fläche",Mieter!$L9,IF(Kosten!$C$12="Anteil",Mieter!$M9,Mieter!$N9))*IF(Kosten!$D$12="Heizung",Mieter!$K9,Mieter!$J9)/Kosten!$E$12)</f>
        <v/>
      </c>
      <c r="K9" s="18">
        <f>IF(OR(Kosten!$B$13="",Kosten!$E$13=0,Mieter!$C9=""),0,Kosten!$B$13*IF(Kosten!$C$13="Fläche",Mieter!$L9,IF(Kosten!$C$13="Anteil",Mieter!$M9,Mieter!$N9))*IF(Kosten!$D$13="Heizung",Mieter!$K9,Mieter!$J9)/Kosten!$E$13)</f>
        <v/>
      </c>
      <c r="L9" s="18">
        <f>IF(OR(Kosten!$B$14="",Kosten!$E$14=0,Mieter!$C9=""),0,Kosten!$B$14*IF(Kosten!$C$14="Fläche",Mieter!$L9,IF(Kosten!$C$14="Anteil",Mieter!$M9,Mieter!$N9))*IF(Kosten!$D$14="Heizung",Mieter!$K9,Mieter!$J9)/Kosten!$E$14)</f>
        <v/>
      </c>
      <c r="M9" s="18">
        <f>IF(OR(Kosten!$B$15="",Kosten!$E$15=0,Mieter!$C9=""),0,Kosten!$B$15*IF(Kosten!$C$15="Fläche",Mieter!$L9,IF(Kosten!$C$15="Anteil",Mieter!$M9,Mieter!$N9))*IF(Kosten!$D$15="Heizung",Mieter!$K9,Mieter!$J9)/Kosten!$E$15)</f>
        <v/>
      </c>
      <c r="N9" s="18">
        <f>IF(OR(Kosten!$B$16="",Kosten!$E$16=0,Mieter!$C9=""),0,Kosten!$B$16*IF(Kosten!$C$16="Fläche",Mieter!$L9,IF(Kosten!$C$16="Anteil",Mieter!$M9,Mieter!$N9))*IF(Kosten!$D$16="Heizung",Mieter!$K9,Mieter!$J9)/Kosten!$E$16)</f>
        <v/>
      </c>
      <c r="O9" s="18">
        <f>IF(OR(Kosten!$B$17="",Kosten!$E$17=0,Mieter!$C9=""),0,Kosten!$B$17*IF(Kosten!$C$17="Fläche",Mieter!$L9,IF(Kosten!$C$17="Anteil",Mieter!$M9,Mieter!$N9))*IF(Kosten!$D$17="Heizung",Mieter!$K9,Mieter!$J9)/Kosten!$E$17)</f>
        <v/>
      </c>
      <c r="P9" s="18">
        <f>IF(OR(Kosten!$B$18="",Kosten!$E$18=0,Mieter!$C9=""),0,Kosten!$B$18*IF(Kosten!$C$18="Fläche",Mieter!$L9,IF(Kosten!$C$18="Anteil",Mieter!$M9,Mieter!$N9))*IF(Kosten!$D$18="Heizung",Mieter!$K9,Mieter!$J9)/Kosten!$E$18)</f>
        <v/>
      </c>
      <c r="Q9" s="18">
        <f>IF(OR(Kosten!$B$19="",Kosten!$E$19=0,Mieter!$C9=""),0,Kosten!$B$19*IF(Kosten!$C$19="Fläche",Mieter!$L9,IF(Kosten!$C$19="Anteil",Mieter!$M9,Mieter!$N9))*IF(Kosten!$D$19="Heizung",Mieter!$K9,Mieter!$J9)/Kosten!$E$19)</f>
        <v/>
      </c>
      <c r="R9" s="18">
        <f>IF(OR(Kosten!$B$20="",Kosten!$E$20=0,Mieter!$C9=""),0,Kosten!$B$20*IF(Kosten!$C$20="Fläche",Mieter!$L9,IF(Kosten!$C$20="Anteil",Mieter!$M9,Mieter!$N9))*IF(Kosten!$D$20="Heizung",Mieter!$K9,Mieter!$J9)/Kosten!$E$20)</f>
        <v/>
      </c>
      <c r="S9" s="18">
        <f>IF(OR(Kosten!$B$21="",Kosten!$E$21=0,Mieter!$C9=""),0,Kosten!$B$21*IF(Kosten!$C$21="Fläche",Mieter!$L9,IF(Kosten!$C$21="Anteil",Mieter!$M9,Mieter!$N9))*IF(Kosten!$D$21="Heizung",Mieter!$K9,Mieter!$J9)/Kosten!$E$21)</f>
        <v/>
      </c>
      <c r="T9" s="18">
        <f>IF(OR(Kosten!$B$22="",Kosten!$E$22=0,Mieter!$C9=""),0,Kosten!$B$22*IF(Kosten!$C$22="Fläche",Mieter!$L9,IF(Kosten!$C$22="Anteil",Mieter!$M9,Mieter!$N9))*IF(Kosten!$D$22="Heizung",Mieter!$K9,Mieter!$J9)/Kosten!$E$22)</f>
        <v/>
      </c>
      <c r="U9" s="18">
        <f>IF(OR(Kosten!$B$23="",Kosten!$E$23=0,Mieter!$C9=""),0,Kosten!$B$23*IF(Kosten!$C$23="Fläche",Mieter!$L9,IF(Kosten!$C$23="Anteil",Mieter!$M9,Mieter!$N9))*IF(Kosten!$D$23="Heizung",Mieter!$K9,Mieter!$J9)/Kosten!$E$23)</f>
        <v/>
      </c>
      <c r="V9" s="18">
        <f>IF(OR(Kosten!$B$24="",Kosten!$E$24=0,Mieter!$C9=""),0,Kosten!$B$24*IF(Kosten!$C$24="Fläche",Mieter!$L9,IF(Kosten!$C$24="Anteil",Mieter!$M9,Mieter!$N9))*IF(Kosten!$D$24="Heizung",Mieter!$K9,Mieter!$J9)/Kosten!$E$24)</f>
        <v/>
      </c>
      <c r="W9" s="18">
        <f>IF(OR(Kosten!$B$25="",Kosten!$E$25=0,Mieter!$C9=""),0,Kosten!$B$25*IF(Kosten!$C$25="Fläche",Mieter!$L9,IF(Kosten!$C$25="Anteil",Mieter!$M9,Mieter!$N9))*IF(Kosten!$D$25="Heizung",Mieter!$K9,Mieter!$J9)/Kosten!$E$25)</f>
        <v/>
      </c>
      <c r="X9" s="18">
        <f>IF(OR(Kosten!$B$26="",Kosten!$E$26=0,Mieter!$C9=""),0,Kosten!$B$26*IF(Kosten!$C$26="Fläche",Mieter!$L9,IF(Kosten!$C$26="Anteil",Mieter!$M9,Mieter!$N9))*IF(Kosten!$D$26="Heizung",Mieter!$K9,Mieter!$J9)/Kosten!$E$26)</f>
        <v/>
      </c>
      <c r="Y9" s="18">
        <f>IF(OR(Kosten!$B$27="",Kosten!$E$27=0,Mieter!$C9=""),0,Kosten!$B$27*IF(Kosten!$C$27="Fläche",Mieter!$L9,IF(Kosten!$C$27="Anteil",Mieter!$M9,Mieter!$N9))*IF(Kosten!$D$27="Heizung",Mieter!$K9,Mieter!$J9)/Kosten!$E$27)</f>
        <v/>
      </c>
      <c r="Z9" s="18">
        <f>IF(OR(Kosten!$B$28="",Kosten!$E$28=0,Mieter!$C9=""),0,Kosten!$B$28*IF(Kosten!$C$28="Fläche",Mieter!$L9,IF(Kosten!$C$28="Anteil",Mieter!$M9,Mieter!$N9))*IF(Kosten!$D$28="Heizung",Mieter!$K9,Mieter!$J9)/Kosten!$E$28)</f>
        <v/>
      </c>
      <c r="AA9" s="18">
        <f>IF(OR(Kosten!$B$29="",Kosten!$E$29=0,Mieter!$C9=""),0,Kosten!$B$29*IF(Kosten!$C$29="Fläche",Mieter!$L9,IF(Kosten!$C$29="Anteil",Mieter!$M9,Mieter!$N9))*IF(Kosten!$D$29="Heizung",Mieter!$K9,Mieter!$J9)/Kosten!$E$29)</f>
        <v/>
      </c>
      <c r="AB9" s="18">
        <f>ROUND(SUM(C9:AA9)*20,0)/20</f>
        <v/>
      </c>
      <c r="AC9" s="18">
        <f>N(Mieter!F9)</f>
        <v/>
      </c>
      <c r="AD9" s="18">
        <f>AB9-AC9</f>
        <v/>
      </c>
    </row>
    <row r="10">
      <c r="A10" s="13">
        <f>Mieter!A10</f>
        <v/>
      </c>
      <c r="B10" s="22">
        <f>IF(Mieter!C10="","",Mieter!B10)</f>
        <v/>
      </c>
      <c r="C10" s="18">
        <f>IF(OR(Kosten!$B$5="",Kosten!$E$5=0,Mieter!$C10=""),0,Kosten!$B$5*IF(Kosten!$C$5="Fläche",Mieter!$L10,IF(Kosten!$C$5="Anteil",Mieter!$M10,Mieter!$N10))*IF(Kosten!$D$5="Heizung",Mieter!$K10,Mieter!$J10)/Kosten!$E$5)</f>
        <v/>
      </c>
      <c r="D10" s="18">
        <f>IF(OR(Kosten!$B$6="",Kosten!$E$6=0,Mieter!$C10=""),0,Kosten!$B$6*IF(Kosten!$C$6="Fläche",Mieter!$L10,IF(Kosten!$C$6="Anteil",Mieter!$M10,Mieter!$N10))*IF(Kosten!$D$6="Heizung",Mieter!$K10,Mieter!$J10)/Kosten!$E$6)</f>
        <v/>
      </c>
      <c r="E10" s="18">
        <f>IF(OR(Kosten!$B$7="",Kosten!$E$7=0,Mieter!$C10=""),0,Kosten!$B$7*IF(Kosten!$C$7="Fläche",Mieter!$L10,IF(Kosten!$C$7="Anteil",Mieter!$M10,Mieter!$N10))*IF(Kosten!$D$7="Heizung",Mieter!$K10,Mieter!$J10)/Kosten!$E$7)</f>
        <v/>
      </c>
      <c r="F10" s="18">
        <f>IF(OR(Kosten!$B$8="",Kosten!$E$8=0,Mieter!$C10=""),0,Kosten!$B$8*IF(Kosten!$C$8="Fläche",Mieter!$L10,IF(Kosten!$C$8="Anteil",Mieter!$M10,Mieter!$N10))*IF(Kosten!$D$8="Heizung",Mieter!$K10,Mieter!$J10)/Kosten!$E$8)</f>
        <v/>
      </c>
      <c r="G10" s="18">
        <f>IF(OR(Kosten!$B$9="",Kosten!$E$9=0,Mieter!$C10=""),0,Kosten!$B$9*IF(Kosten!$C$9="Fläche",Mieter!$L10,IF(Kosten!$C$9="Anteil",Mieter!$M10,Mieter!$N10))*IF(Kosten!$D$9="Heizung",Mieter!$K10,Mieter!$J10)/Kosten!$E$9)</f>
        <v/>
      </c>
      <c r="H10" s="18">
        <f>IF(OR(Kosten!$B$10="",Kosten!$E$10=0,Mieter!$C10=""),0,Kosten!$B$10*IF(Kosten!$C$10="Fläche",Mieter!$L10,IF(Kosten!$C$10="Anteil",Mieter!$M10,Mieter!$N10))*IF(Kosten!$D$10="Heizung",Mieter!$K10,Mieter!$J10)/Kosten!$E$10)</f>
        <v/>
      </c>
      <c r="I10" s="18">
        <f>IF(OR(Kosten!$B$11="",Kosten!$E$11=0,Mieter!$C10=""),0,Kosten!$B$11*IF(Kosten!$C$11="Fläche",Mieter!$L10,IF(Kosten!$C$11="Anteil",Mieter!$M10,Mieter!$N10))*IF(Kosten!$D$11="Heizung",Mieter!$K10,Mieter!$J10)/Kosten!$E$11)</f>
        <v/>
      </c>
      <c r="J10" s="18">
        <f>IF(OR(Kosten!$B$12="",Kosten!$E$12=0,Mieter!$C10=""),0,Kosten!$B$12*IF(Kosten!$C$12="Fläche",Mieter!$L10,IF(Kosten!$C$12="Anteil",Mieter!$M10,Mieter!$N10))*IF(Kosten!$D$12="Heizung",Mieter!$K10,Mieter!$J10)/Kosten!$E$12)</f>
        <v/>
      </c>
      <c r="K10" s="18">
        <f>IF(OR(Kosten!$B$13="",Kosten!$E$13=0,Mieter!$C10=""),0,Kosten!$B$13*IF(Kosten!$C$13="Fläche",Mieter!$L10,IF(Kosten!$C$13="Anteil",Mieter!$M10,Mieter!$N10))*IF(Kosten!$D$13="Heizung",Mieter!$K10,Mieter!$J10)/Kosten!$E$13)</f>
        <v/>
      </c>
      <c r="L10" s="18">
        <f>IF(OR(Kosten!$B$14="",Kosten!$E$14=0,Mieter!$C10=""),0,Kosten!$B$14*IF(Kosten!$C$14="Fläche",Mieter!$L10,IF(Kosten!$C$14="Anteil",Mieter!$M10,Mieter!$N10))*IF(Kosten!$D$14="Heizung",Mieter!$K10,Mieter!$J10)/Kosten!$E$14)</f>
        <v/>
      </c>
      <c r="M10" s="18">
        <f>IF(OR(Kosten!$B$15="",Kosten!$E$15=0,Mieter!$C10=""),0,Kosten!$B$15*IF(Kosten!$C$15="Fläche",Mieter!$L10,IF(Kosten!$C$15="Anteil",Mieter!$M10,Mieter!$N10))*IF(Kosten!$D$15="Heizung",Mieter!$K10,Mieter!$J10)/Kosten!$E$15)</f>
        <v/>
      </c>
      <c r="N10" s="18">
        <f>IF(OR(Kosten!$B$16="",Kosten!$E$16=0,Mieter!$C10=""),0,Kosten!$B$16*IF(Kosten!$C$16="Fläche",Mieter!$L10,IF(Kosten!$C$16="Anteil",Mieter!$M10,Mieter!$N10))*IF(Kosten!$D$16="Heizung",Mieter!$K10,Mieter!$J10)/Kosten!$E$16)</f>
        <v/>
      </c>
      <c r="O10" s="18">
        <f>IF(OR(Kosten!$B$17="",Kosten!$E$17=0,Mieter!$C10=""),0,Kosten!$B$17*IF(Kosten!$C$17="Fläche",Mieter!$L10,IF(Kosten!$C$17="Anteil",Mieter!$M10,Mieter!$N10))*IF(Kosten!$D$17="Heizung",Mieter!$K10,Mieter!$J10)/Kosten!$E$17)</f>
        <v/>
      </c>
      <c r="P10" s="18">
        <f>IF(OR(Kosten!$B$18="",Kosten!$E$18=0,Mieter!$C10=""),0,Kosten!$B$18*IF(Kosten!$C$18="Fläche",Mieter!$L10,IF(Kosten!$C$18="Anteil",Mieter!$M10,Mieter!$N10))*IF(Kosten!$D$18="Heizung",Mieter!$K10,Mieter!$J10)/Kosten!$E$18)</f>
        <v/>
      </c>
      <c r="Q10" s="18">
        <f>IF(OR(Kosten!$B$19="",Kosten!$E$19=0,Mieter!$C10=""),0,Kosten!$B$19*IF(Kosten!$C$19="Fläche",Mieter!$L10,IF(Kosten!$C$19="Anteil",Mieter!$M10,Mieter!$N10))*IF(Kosten!$D$19="Heizung",Mieter!$K10,Mieter!$J10)/Kosten!$E$19)</f>
        <v/>
      </c>
      <c r="R10" s="18">
        <f>IF(OR(Kosten!$B$20="",Kosten!$E$20=0,Mieter!$C10=""),0,Kosten!$B$20*IF(Kosten!$C$20="Fläche",Mieter!$L10,IF(Kosten!$C$20="Anteil",Mieter!$M10,Mieter!$N10))*IF(Kosten!$D$20="Heizung",Mieter!$K10,Mieter!$J10)/Kosten!$E$20)</f>
        <v/>
      </c>
      <c r="S10" s="18">
        <f>IF(OR(Kosten!$B$21="",Kosten!$E$21=0,Mieter!$C10=""),0,Kosten!$B$21*IF(Kosten!$C$21="Fläche",Mieter!$L10,IF(Kosten!$C$21="Anteil",Mieter!$M10,Mieter!$N10))*IF(Kosten!$D$21="Heizung",Mieter!$K10,Mieter!$J10)/Kosten!$E$21)</f>
        <v/>
      </c>
      <c r="T10" s="18">
        <f>IF(OR(Kosten!$B$22="",Kosten!$E$22=0,Mieter!$C10=""),0,Kosten!$B$22*IF(Kosten!$C$22="Fläche",Mieter!$L10,IF(Kosten!$C$22="Anteil",Mieter!$M10,Mieter!$N10))*IF(Kosten!$D$22="Heizung",Mieter!$K10,Mieter!$J10)/Kosten!$E$22)</f>
        <v/>
      </c>
      <c r="U10" s="18">
        <f>IF(OR(Kosten!$B$23="",Kosten!$E$23=0,Mieter!$C10=""),0,Kosten!$B$23*IF(Kosten!$C$23="Fläche",Mieter!$L10,IF(Kosten!$C$23="Anteil",Mieter!$M10,Mieter!$N10))*IF(Kosten!$D$23="Heizung",Mieter!$K10,Mieter!$J10)/Kosten!$E$23)</f>
        <v/>
      </c>
      <c r="V10" s="18">
        <f>IF(OR(Kosten!$B$24="",Kosten!$E$24=0,Mieter!$C10=""),0,Kosten!$B$24*IF(Kosten!$C$24="Fläche",Mieter!$L10,IF(Kosten!$C$24="Anteil",Mieter!$M10,Mieter!$N10))*IF(Kosten!$D$24="Heizung",Mieter!$K10,Mieter!$J10)/Kosten!$E$24)</f>
        <v/>
      </c>
      <c r="W10" s="18">
        <f>IF(OR(Kosten!$B$25="",Kosten!$E$25=0,Mieter!$C10=""),0,Kosten!$B$25*IF(Kosten!$C$25="Fläche",Mieter!$L10,IF(Kosten!$C$25="Anteil",Mieter!$M10,Mieter!$N10))*IF(Kosten!$D$25="Heizung",Mieter!$K10,Mieter!$J10)/Kosten!$E$25)</f>
        <v/>
      </c>
      <c r="X10" s="18">
        <f>IF(OR(Kosten!$B$26="",Kosten!$E$26=0,Mieter!$C10=""),0,Kosten!$B$26*IF(Kosten!$C$26="Fläche",Mieter!$L10,IF(Kosten!$C$26="Anteil",Mieter!$M10,Mieter!$N10))*IF(Kosten!$D$26="Heizung",Mieter!$K10,Mieter!$J10)/Kosten!$E$26)</f>
        <v/>
      </c>
      <c r="Y10" s="18">
        <f>IF(OR(Kosten!$B$27="",Kosten!$E$27=0,Mieter!$C10=""),0,Kosten!$B$27*IF(Kosten!$C$27="Fläche",Mieter!$L10,IF(Kosten!$C$27="Anteil",Mieter!$M10,Mieter!$N10))*IF(Kosten!$D$27="Heizung",Mieter!$K10,Mieter!$J10)/Kosten!$E$27)</f>
        <v/>
      </c>
      <c r="Z10" s="18">
        <f>IF(OR(Kosten!$B$28="",Kosten!$E$28=0,Mieter!$C10=""),0,Kosten!$B$28*IF(Kosten!$C$28="Fläche",Mieter!$L10,IF(Kosten!$C$28="Anteil",Mieter!$M10,Mieter!$N10))*IF(Kosten!$D$28="Heizung",Mieter!$K10,Mieter!$J10)/Kosten!$E$28)</f>
        <v/>
      </c>
      <c r="AA10" s="18">
        <f>IF(OR(Kosten!$B$29="",Kosten!$E$29=0,Mieter!$C10=""),0,Kosten!$B$29*IF(Kosten!$C$29="Fläche",Mieter!$L10,IF(Kosten!$C$29="Anteil",Mieter!$M10,Mieter!$N10))*IF(Kosten!$D$29="Heizung",Mieter!$K10,Mieter!$J10)/Kosten!$E$29)</f>
        <v/>
      </c>
      <c r="AB10" s="18">
        <f>ROUND(SUM(C10:AA10)*20,0)/20</f>
        <v/>
      </c>
      <c r="AC10" s="18">
        <f>N(Mieter!F10)</f>
        <v/>
      </c>
      <c r="AD10" s="18">
        <f>AB10-AC10</f>
        <v/>
      </c>
    </row>
    <row r="11">
      <c r="A11" s="13">
        <f>Mieter!A11</f>
        <v/>
      </c>
      <c r="B11" s="22">
        <f>IF(Mieter!C11="","",Mieter!B11)</f>
        <v/>
      </c>
      <c r="C11" s="18">
        <f>IF(OR(Kosten!$B$5="",Kosten!$E$5=0,Mieter!$C11=""),0,Kosten!$B$5*IF(Kosten!$C$5="Fläche",Mieter!$L11,IF(Kosten!$C$5="Anteil",Mieter!$M11,Mieter!$N11))*IF(Kosten!$D$5="Heizung",Mieter!$K11,Mieter!$J11)/Kosten!$E$5)</f>
        <v/>
      </c>
      <c r="D11" s="18">
        <f>IF(OR(Kosten!$B$6="",Kosten!$E$6=0,Mieter!$C11=""),0,Kosten!$B$6*IF(Kosten!$C$6="Fläche",Mieter!$L11,IF(Kosten!$C$6="Anteil",Mieter!$M11,Mieter!$N11))*IF(Kosten!$D$6="Heizung",Mieter!$K11,Mieter!$J11)/Kosten!$E$6)</f>
        <v/>
      </c>
      <c r="E11" s="18">
        <f>IF(OR(Kosten!$B$7="",Kosten!$E$7=0,Mieter!$C11=""),0,Kosten!$B$7*IF(Kosten!$C$7="Fläche",Mieter!$L11,IF(Kosten!$C$7="Anteil",Mieter!$M11,Mieter!$N11))*IF(Kosten!$D$7="Heizung",Mieter!$K11,Mieter!$J11)/Kosten!$E$7)</f>
        <v/>
      </c>
      <c r="F11" s="18">
        <f>IF(OR(Kosten!$B$8="",Kosten!$E$8=0,Mieter!$C11=""),0,Kosten!$B$8*IF(Kosten!$C$8="Fläche",Mieter!$L11,IF(Kosten!$C$8="Anteil",Mieter!$M11,Mieter!$N11))*IF(Kosten!$D$8="Heizung",Mieter!$K11,Mieter!$J11)/Kosten!$E$8)</f>
        <v/>
      </c>
      <c r="G11" s="18">
        <f>IF(OR(Kosten!$B$9="",Kosten!$E$9=0,Mieter!$C11=""),0,Kosten!$B$9*IF(Kosten!$C$9="Fläche",Mieter!$L11,IF(Kosten!$C$9="Anteil",Mieter!$M11,Mieter!$N11))*IF(Kosten!$D$9="Heizung",Mieter!$K11,Mieter!$J11)/Kosten!$E$9)</f>
        <v/>
      </c>
      <c r="H11" s="18">
        <f>IF(OR(Kosten!$B$10="",Kosten!$E$10=0,Mieter!$C11=""),0,Kosten!$B$10*IF(Kosten!$C$10="Fläche",Mieter!$L11,IF(Kosten!$C$10="Anteil",Mieter!$M11,Mieter!$N11))*IF(Kosten!$D$10="Heizung",Mieter!$K11,Mieter!$J11)/Kosten!$E$10)</f>
        <v/>
      </c>
      <c r="I11" s="18">
        <f>IF(OR(Kosten!$B$11="",Kosten!$E$11=0,Mieter!$C11=""),0,Kosten!$B$11*IF(Kosten!$C$11="Fläche",Mieter!$L11,IF(Kosten!$C$11="Anteil",Mieter!$M11,Mieter!$N11))*IF(Kosten!$D$11="Heizung",Mieter!$K11,Mieter!$J11)/Kosten!$E$11)</f>
        <v/>
      </c>
      <c r="J11" s="18">
        <f>IF(OR(Kosten!$B$12="",Kosten!$E$12=0,Mieter!$C11=""),0,Kosten!$B$12*IF(Kosten!$C$12="Fläche",Mieter!$L11,IF(Kosten!$C$12="Anteil",Mieter!$M11,Mieter!$N11))*IF(Kosten!$D$12="Heizung",Mieter!$K11,Mieter!$J11)/Kosten!$E$12)</f>
        <v/>
      </c>
      <c r="K11" s="18">
        <f>IF(OR(Kosten!$B$13="",Kosten!$E$13=0,Mieter!$C11=""),0,Kosten!$B$13*IF(Kosten!$C$13="Fläche",Mieter!$L11,IF(Kosten!$C$13="Anteil",Mieter!$M11,Mieter!$N11))*IF(Kosten!$D$13="Heizung",Mieter!$K11,Mieter!$J11)/Kosten!$E$13)</f>
        <v/>
      </c>
      <c r="L11" s="18">
        <f>IF(OR(Kosten!$B$14="",Kosten!$E$14=0,Mieter!$C11=""),0,Kosten!$B$14*IF(Kosten!$C$14="Fläche",Mieter!$L11,IF(Kosten!$C$14="Anteil",Mieter!$M11,Mieter!$N11))*IF(Kosten!$D$14="Heizung",Mieter!$K11,Mieter!$J11)/Kosten!$E$14)</f>
        <v/>
      </c>
      <c r="M11" s="18">
        <f>IF(OR(Kosten!$B$15="",Kosten!$E$15=0,Mieter!$C11=""),0,Kosten!$B$15*IF(Kosten!$C$15="Fläche",Mieter!$L11,IF(Kosten!$C$15="Anteil",Mieter!$M11,Mieter!$N11))*IF(Kosten!$D$15="Heizung",Mieter!$K11,Mieter!$J11)/Kosten!$E$15)</f>
        <v/>
      </c>
      <c r="N11" s="18">
        <f>IF(OR(Kosten!$B$16="",Kosten!$E$16=0,Mieter!$C11=""),0,Kosten!$B$16*IF(Kosten!$C$16="Fläche",Mieter!$L11,IF(Kosten!$C$16="Anteil",Mieter!$M11,Mieter!$N11))*IF(Kosten!$D$16="Heizung",Mieter!$K11,Mieter!$J11)/Kosten!$E$16)</f>
        <v/>
      </c>
      <c r="O11" s="18">
        <f>IF(OR(Kosten!$B$17="",Kosten!$E$17=0,Mieter!$C11=""),0,Kosten!$B$17*IF(Kosten!$C$17="Fläche",Mieter!$L11,IF(Kosten!$C$17="Anteil",Mieter!$M11,Mieter!$N11))*IF(Kosten!$D$17="Heizung",Mieter!$K11,Mieter!$J11)/Kosten!$E$17)</f>
        <v/>
      </c>
      <c r="P11" s="18">
        <f>IF(OR(Kosten!$B$18="",Kosten!$E$18=0,Mieter!$C11=""),0,Kosten!$B$18*IF(Kosten!$C$18="Fläche",Mieter!$L11,IF(Kosten!$C$18="Anteil",Mieter!$M11,Mieter!$N11))*IF(Kosten!$D$18="Heizung",Mieter!$K11,Mieter!$J11)/Kosten!$E$18)</f>
        <v/>
      </c>
      <c r="Q11" s="18">
        <f>IF(OR(Kosten!$B$19="",Kosten!$E$19=0,Mieter!$C11=""),0,Kosten!$B$19*IF(Kosten!$C$19="Fläche",Mieter!$L11,IF(Kosten!$C$19="Anteil",Mieter!$M11,Mieter!$N11))*IF(Kosten!$D$19="Heizung",Mieter!$K11,Mieter!$J11)/Kosten!$E$19)</f>
        <v/>
      </c>
      <c r="R11" s="18">
        <f>IF(OR(Kosten!$B$20="",Kosten!$E$20=0,Mieter!$C11=""),0,Kosten!$B$20*IF(Kosten!$C$20="Fläche",Mieter!$L11,IF(Kosten!$C$20="Anteil",Mieter!$M11,Mieter!$N11))*IF(Kosten!$D$20="Heizung",Mieter!$K11,Mieter!$J11)/Kosten!$E$20)</f>
        <v/>
      </c>
      <c r="S11" s="18">
        <f>IF(OR(Kosten!$B$21="",Kosten!$E$21=0,Mieter!$C11=""),0,Kosten!$B$21*IF(Kosten!$C$21="Fläche",Mieter!$L11,IF(Kosten!$C$21="Anteil",Mieter!$M11,Mieter!$N11))*IF(Kosten!$D$21="Heizung",Mieter!$K11,Mieter!$J11)/Kosten!$E$21)</f>
        <v/>
      </c>
      <c r="T11" s="18">
        <f>IF(OR(Kosten!$B$22="",Kosten!$E$22=0,Mieter!$C11=""),0,Kosten!$B$22*IF(Kosten!$C$22="Fläche",Mieter!$L11,IF(Kosten!$C$22="Anteil",Mieter!$M11,Mieter!$N11))*IF(Kosten!$D$22="Heizung",Mieter!$K11,Mieter!$J11)/Kosten!$E$22)</f>
        <v/>
      </c>
      <c r="U11" s="18">
        <f>IF(OR(Kosten!$B$23="",Kosten!$E$23=0,Mieter!$C11=""),0,Kosten!$B$23*IF(Kosten!$C$23="Fläche",Mieter!$L11,IF(Kosten!$C$23="Anteil",Mieter!$M11,Mieter!$N11))*IF(Kosten!$D$23="Heizung",Mieter!$K11,Mieter!$J11)/Kosten!$E$23)</f>
        <v/>
      </c>
      <c r="V11" s="18">
        <f>IF(OR(Kosten!$B$24="",Kosten!$E$24=0,Mieter!$C11=""),0,Kosten!$B$24*IF(Kosten!$C$24="Fläche",Mieter!$L11,IF(Kosten!$C$24="Anteil",Mieter!$M11,Mieter!$N11))*IF(Kosten!$D$24="Heizung",Mieter!$K11,Mieter!$J11)/Kosten!$E$24)</f>
        <v/>
      </c>
      <c r="W11" s="18">
        <f>IF(OR(Kosten!$B$25="",Kosten!$E$25=0,Mieter!$C11=""),0,Kosten!$B$25*IF(Kosten!$C$25="Fläche",Mieter!$L11,IF(Kosten!$C$25="Anteil",Mieter!$M11,Mieter!$N11))*IF(Kosten!$D$25="Heizung",Mieter!$K11,Mieter!$J11)/Kosten!$E$25)</f>
        <v/>
      </c>
      <c r="X11" s="18">
        <f>IF(OR(Kosten!$B$26="",Kosten!$E$26=0,Mieter!$C11=""),0,Kosten!$B$26*IF(Kosten!$C$26="Fläche",Mieter!$L11,IF(Kosten!$C$26="Anteil",Mieter!$M11,Mieter!$N11))*IF(Kosten!$D$26="Heizung",Mieter!$K11,Mieter!$J11)/Kosten!$E$26)</f>
        <v/>
      </c>
      <c r="Y11" s="18">
        <f>IF(OR(Kosten!$B$27="",Kosten!$E$27=0,Mieter!$C11=""),0,Kosten!$B$27*IF(Kosten!$C$27="Fläche",Mieter!$L11,IF(Kosten!$C$27="Anteil",Mieter!$M11,Mieter!$N11))*IF(Kosten!$D$27="Heizung",Mieter!$K11,Mieter!$J11)/Kosten!$E$27)</f>
        <v/>
      </c>
      <c r="Z11" s="18">
        <f>IF(OR(Kosten!$B$28="",Kosten!$E$28=0,Mieter!$C11=""),0,Kosten!$B$28*IF(Kosten!$C$28="Fläche",Mieter!$L11,IF(Kosten!$C$28="Anteil",Mieter!$M11,Mieter!$N11))*IF(Kosten!$D$28="Heizung",Mieter!$K11,Mieter!$J11)/Kosten!$E$28)</f>
        <v/>
      </c>
      <c r="AA11" s="18">
        <f>IF(OR(Kosten!$B$29="",Kosten!$E$29=0,Mieter!$C11=""),0,Kosten!$B$29*IF(Kosten!$C$29="Fläche",Mieter!$L11,IF(Kosten!$C$29="Anteil",Mieter!$M11,Mieter!$N11))*IF(Kosten!$D$29="Heizung",Mieter!$K11,Mieter!$J11)/Kosten!$E$29)</f>
        <v/>
      </c>
      <c r="AB11" s="18">
        <f>ROUND(SUM(C11:AA11)*20,0)/20</f>
        <v/>
      </c>
      <c r="AC11" s="18">
        <f>N(Mieter!F11)</f>
        <v/>
      </c>
      <c r="AD11" s="18">
        <f>AB11-AC11</f>
        <v/>
      </c>
    </row>
    <row r="12">
      <c r="A12" s="13">
        <f>Mieter!A12</f>
        <v/>
      </c>
      <c r="B12" s="22">
        <f>IF(Mieter!C12="","",Mieter!B12)</f>
        <v/>
      </c>
      <c r="C12" s="18">
        <f>IF(OR(Kosten!$B$5="",Kosten!$E$5=0,Mieter!$C12=""),0,Kosten!$B$5*IF(Kosten!$C$5="Fläche",Mieter!$L12,IF(Kosten!$C$5="Anteil",Mieter!$M12,Mieter!$N12))*IF(Kosten!$D$5="Heizung",Mieter!$K12,Mieter!$J12)/Kosten!$E$5)</f>
        <v/>
      </c>
      <c r="D12" s="18">
        <f>IF(OR(Kosten!$B$6="",Kosten!$E$6=0,Mieter!$C12=""),0,Kosten!$B$6*IF(Kosten!$C$6="Fläche",Mieter!$L12,IF(Kosten!$C$6="Anteil",Mieter!$M12,Mieter!$N12))*IF(Kosten!$D$6="Heizung",Mieter!$K12,Mieter!$J12)/Kosten!$E$6)</f>
        <v/>
      </c>
      <c r="E12" s="18">
        <f>IF(OR(Kosten!$B$7="",Kosten!$E$7=0,Mieter!$C12=""),0,Kosten!$B$7*IF(Kosten!$C$7="Fläche",Mieter!$L12,IF(Kosten!$C$7="Anteil",Mieter!$M12,Mieter!$N12))*IF(Kosten!$D$7="Heizung",Mieter!$K12,Mieter!$J12)/Kosten!$E$7)</f>
        <v/>
      </c>
      <c r="F12" s="18">
        <f>IF(OR(Kosten!$B$8="",Kosten!$E$8=0,Mieter!$C12=""),0,Kosten!$B$8*IF(Kosten!$C$8="Fläche",Mieter!$L12,IF(Kosten!$C$8="Anteil",Mieter!$M12,Mieter!$N12))*IF(Kosten!$D$8="Heizung",Mieter!$K12,Mieter!$J12)/Kosten!$E$8)</f>
        <v/>
      </c>
      <c r="G12" s="18">
        <f>IF(OR(Kosten!$B$9="",Kosten!$E$9=0,Mieter!$C12=""),0,Kosten!$B$9*IF(Kosten!$C$9="Fläche",Mieter!$L12,IF(Kosten!$C$9="Anteil",Mieter!$M12,Mieter!$N12))*IF(Kosten!$D$9="Heizung",Mieter!$K12,Mieter!$J12)/Kosten!$E$9)</f>
        <v/>
      </c>
      <c r="H12" s="18">
        <f>IF(OR(Kosten!$B$10="",Kosten!$E$10=0,Mieter!$C12=""),0,Kosten!$B$10*IF(Kosten!$C$10="Fläche",Mieter!$L12,IF(Kosten!$C$10="Anteil",Mieter!$M12,Mieter!$N12))*IF(Kosten!$D$10="Heizung",Mieter!$K12,Mieter!$J12)/Kosten!$E$10)</f>
        <v/>
      </c>
      <c r="I12" s="18">
        <f>IF(OR(Kosten!$B$11="",Kosten!$E$11=0,Mieter!$C12=""),0,Kosten!$B$11*IF(Kosten!$C$11="Fläche",Mieter!$L12,IF(Kosten!$C$11="Anteil",Mieter!$M12,Mieter!$N12))*IF(Kosten!$D$11="Heizung",Mieter!$K12,Mieter!$J12)/Kosten!$E$11)</f>
        <v/>
      </c>
      <c r="J12" s="18">
        <f>IF(OR(Kosten!$B$12="",Kosten!$E$12=0,Mieter!$C12=""),0,Kosten!$B$12*IF(Kosten!$C$12="Fläche",Mieter!$L12,IF(Kosten!$C$12="Anteil",Mieter!$M12,Mieter!$N12))*IF(Kosten!$D$12="Heizung",Mieter!$K12,Mieter!$J12)/Kosten!$E$12)</f>
        <v/>
      </c>
      <c r="K12" s="18">
        <f>IF(OR(Kosten!$B$13="",Kosten!$E$13=0,Mieter!$C12=""),0,Kosten!$B$13*IF(Kosten!$C$13="Fläche",Mieter!$L12,IF(Kosten!$C$13="Anteil",Mieter!$M12,Mieter!$N12))*IF(Kosten!$D$13="Heizung",Mieter!$K12,Mieter!$J12)/Kosten!$E$13)</f>
        <v/>
      </c>
      <c r="L12" s="18">
        <f>IF(OR(Kosten!$B$14="",Kosten!$E$14=0,Mieter!$C12=""),0,Kosten!$B$14*IF(Kosten!$C$14="Fläche",Mieter!$L12,IF(Kosten!$C$14="Anteil",Mieter!$M12,Mieter!$N12))*IF(Kosten!$D$14="Heizung",Mieter!$K12,Mieter!$J12)/Kosten!$E$14)</f>
        <v/>
      </c>
      <c r="M12" s="18">
        <f>IF(OR(Kosten!$B$15="",Kosten!$E$15=0,Mieter!$C12=""),0,Kosten!$B$15*IF(Kosten!$C$15="Fläche",Mieter!$L12,IF(Kosten!$C$15="Anteil",Mieter!$M12,Mieter!$N12))*IF(Kosten!$D$15="Heizung",Mieter!$K12,Mieter!$J12)/Kosten!$E$15)</f>
        <v/>
      </c>
      <c r="N12" s="18">
        <f>IF(OR(Kosten!$B$16="",Kosten!$E$16=0,Mieter!$C12=""),0,Kosten!$B$16*IF(Kosten!$C$16="Fläche",Mieter!$L12,IF(Kosten!$C$16="Anteil",Mieter!$M12,Mieter!$N12))*IF(Kosten!$D$16="Heizung",Mieter!$K12,Mieter!$J12)/Kosten!$E$16)</f>
        <v/>
      </c>
      <c r="O12" s="18">
        <f>IF(OR(Kosten!$B$17="",Kosten!$E$17=0,Mieter!$C12=""),0,Kosten!$B$17*IF(Kosten!$C$17="Fläche",Mieter!$L12,IF(Kosten!$C$17="Anteil",Mieter!$M12,Mieter!$N12))*IF(Kosten!$D$17="Heizung",Mieter!$K12,Mieter!$J12)/Kosten!$E$17)</f>
        <v/>
      </c>
      <c r="P12" s="18">
        <f>IF(OR(Kosten!$B$18="",Kosten!$E$18=0,Mieter!$C12=""),0,Kosten!$B$18*IF(Kosten!$C$18="Fläche",Mieter!$L12,IF(Kosten!$C$18="Anteil",Mieter!$M12,Mieter!$N12))*IF(Kosten!$D$18="Heizung",Mieter!$K12,Mieter!$J12)/Kosten!$E$18)</f>
        <v/>
      </c>
      <c r="Q12" s="18">
        <f>IF(OR(Kosten!$B$19="",Kosten!$E$19=0,Mieter!$C12=""),0,Kosten!$B$19*IF(Kosten!$C$19="Fläche",Mieter!$L12,IF(Kosten!$C$19="Anteil",Mieter!$M12,Mieter!$N12))*IF(Kosten!$D$19="Heizung",Mieter!$K12,Mieter!$J12)/Kosten!$E$19)</f>
        <v/>
      </c>
      <c r="R12" s="18">
        <f>IF(OR(Kosten!$B$20="",Kosten!$E$20=0,Mieter!$C12=""),0,Kosten!$B$20*IF(Kosten!$C$20="Fläche",Mieter!$L12,IF(Kosten!$C$20="Anteil",Mieter!$M12,Mieter!$N12))*IF(Kosten!$D$20="Heizung",Mieter!$K12,Mieter!$J12)/Kosten!$E$20)</f>
        <v/>
      </c>
      <c r="S12" s="18">
        <f>IF(OR(Kosten!$B$21="",Kosten!$E$21=0,Mieter!$C12=""),0,Kosten!$B$21*IF(Kosten!$C$21="Fläche",Mieter!$L12,IF(Kosten!$C$21="Anteil",Mieter!$M12,Mieter!$N12))*IF(Kosten!$D$21="Heizung",Mieter!$K12,Mieter!$J12)/Kosten!$E$21)</f>
        <v/>
      </c>
      <c r="T12" s="18">
        <f>IF(OR(Kosten!$B$22="",Kosten!$E$22=0,Mieter!$C12=""),0,Kosten!$B$22*IF(Kosten!$C$22="Fläche",Mieter!$L12,IF(Kosten!$C$22="Anteil",Mieter!$M12,Mieter!$N12))*IF(Kosten!$D$22="Heizung",Mieter!$K12,Mieter!$J12)/Kosten!$E$22)</f>
        <v/>
      </c>
      <c r="U12" s="18">
        <f>IF(OR(Kosten!$B$23="",Kosten!$E$23=0,Mieter!$C12=""),0,Kosten!$B$23*IF(Kosten!$C$23="Fläche",Mieter!$L12,IF(Kosten!$C$23="Anteil",Mieter!$M12,Mieter!$N12))*IF(Kosten!$D$23="Heizung",Mieter!$K12,Mieter!$J12)/Kosten!$E$23)</f>
        <v/>
      </c>
      <c r="V12" s="18">
        <f>IF(OR(Kosten!$B$24="",Kosten!$E$24=0,Mieter!$C12=""),0,Kosten!$B$24*IF(Kosten!$C$24="Fläche",Mieter!$L12,IF(Kosten!$C$24="Anteil",Mieter!$M12,Mieter!$N12))*IF(Kosten!$D$24="Heizung",Mieter!$K12,Mieter!$J12)/Kosten!$E$24)</f>
        <v/>
      </c>
      <c r="W12" s="18">
        <f>IF(OR(Kosten!$B$25="",Kosten!$E$25=0,Mieter!$C12=""),0,Kosten!$B$25*IF(Kosten!$C$25="Fläche",Mieter!$L12,IF(Kosten!$C$25="Anteil",Mieter!$M12,Mieter!$N12))*IF(Kosten!$D$25="Heizung",Mieter!$K12,Mieter!$J12)/Kosten!$E$25)</f>
        <v/>
      </c>
      <c r="X12" s="18">
        <f>IF(OR(Kosten!$B$26="",Kosten!$E$26=0,Mieter!$C12=""),0,Kosten!$B$26*IF(Kosten!$C$26="Fläche",Mieter!$L12,IF(Kosten!$C$26="Anteil",Mieter!$M12,Mieter!$N12))*IF(Kosten!$D$26="Heizung",Mieter!$K12,Mieter!$J12)/Kosten!$E$26)</f>
        <v/>
      </c>
      <c r="Y12" s="18">
        <f>IF(OR(Kosten!$B$27="",Kosten!$E$27=0,Mieter!$C12=""),0,Kosten!$B$27*IF(Kosten!$C$27="Fläche",Mieter!$L12,IF(Kosten!$C$27="Anteil",Mieter!$M12,Mieter!$N12))*IF(Kosten!$D$27="Heizung",Mieter!$K12,Mieter!$J12)/Kosten!$E$27)</f>
        <v/>
      </c>
      <c r="Z12" s="18">
        <f>IF(OR(Kosten!$B$28="",Kosten!$E$28=0,Mieter!$C12=""),0,Kosten!$B$28*IF(Kosten!$C$28="Fläche",Mieter!$L12,IF(Kosten!$C$28="Anteil",Mieter!$M12,Mieter!$N12))*IF(Kosten!$D$28="Heizung",Mieter!$K12,Mieter!$J12)/Kosten!$E$28)</f>
        <v/>
      </c>
      <c r="AA12" s="18">
        <f>IF(OR(Kosten!$B$29="",Kosten!$E$29=0,Mieter!$C12=""),0,Kosten!$B$29*IF(Kosten!$C$29="Fläche",Mieter!$L12,IF(Kosten!$C$29="Anteil",Mieter!$M12,Mieter!$N12))*IF(Kosten!$D$29="Heizung",Mieter!$K12,Mieter!$J12)/Kosten!$E$29)</f>
        <v/>
      </c>
      <c r="AB12" s="18">
        <f>ROUND(SUM(C12:AA12)*20,0)/20</f>
        <v/>
      </c>
      <c r="AC12" s="18">
        <f>N(Mieter!F12)</f>
        <v/>
      </c>
      <c r="AD12" s="18">
        <f>AB12-AC12</f>
        <v/>
      </c>
    </row>
    <row r="13">
      <c r="A13" s="13">
        <f>Mieter!A13</f>
        <v/>
      </c>
      <c r="B13" s="22">
        <f>IF(Mieter!C13="","",Mieter!B13)</f>
        <v/>
      </c>
      <c r="C13" s="18">
        <f>IF(OR(Kosten!$B$5="",Kosten!$E$5=0,Mieter!$C13=""),0,Kosten!$B$5*IF(Kosten!$C$5="Fläche",Mieter!$L13,IF(Kosten!$C$5="Anteil",Mieter!$M13,Mieter!$N13))*IF(Kosten!$D$5="Heizung",Mieter!$K13,Mieter!$J13)/Kosten!$E$5)</f>
        <v/>
      </c>
      <c r="D13" s="18">
        <f>IF(OR(Kosten!$B$6="",Kosten!$E$6=0,Mieter!$C13=""),0,Kosten!$B$6*IF(Kosten!$C$6="Fläche",Mieter!$L13,IF(Kosten!$C$6="Anteil",Mieter!$M13,Mieter!$N13))*IF(Kosten!$D$6="Heizung",Mieter!$K13,Mieter!$J13)/Kosten!$E$6)</f>
        <v/>
      </c>
      <c r="E13" s="18">
        <f>IF(OR(Kosten!$B$7="",Kosten!$E$7=0,Mieter!$C13=""),0,Kosten!$B$7*IF(Kosten!$C$7="Fläche",Mieter!$L13,IF(Kosten!$C$7="Anteil",Mieter!$M13,Mieter!$N13))*IF(Kosten!$D$7="Heizung",Mieter!$K13,Mieter!$J13)/Kosten!$E$7)</f>
        <v/>
      </c>
      <c r="F13" s="18">
        <f>IF(OR(Kosten!$B$8="",Kosten!$E$8=0,Mieter!$C13=""),0,Kosten!$B$8*IF(Kosten!$C$8="Fläche",Mieter!$L13,IF(Kosten!$C$8="Anteil",Mieter!$M13,Mieter!$N13))*IF(Kosten!$D$8="Heizung",Mieter!$K13,Mieter!$J13)/Kosten!$E$8)</f>
        <v/>
      </c>
      <c r="G13" s="18">
        <f>IF(OR(Kosten!$B$9="",Kosten!$E$9=0,Mieter!$C13=""),0,Kosten!$B$9*IF(Kosten!$C$9="Fläche",Mieter!$L13,IF(Kosten!$C$9="Anteil",Mieter!$M13,Mieter!$N13))*IF(Kosten!$D$9="Heizung",Mieter!$K13,Mieter!$J13)/Kosten!$E$9)</f>
        <v/>
      </c>
      <c r="H13" s="18">
        <f>IF(OR(Kosten!$B$10="",Kosten!$E$10=0,Mieter!$C13=""),0,Kosten!$B$10*IF(Kosten!$C$10="Fläche",Mieter!$L13,IF(Kosten!$C$10="Anteil",Mieter!$M13,Mieter!$N13))*IF(Kosten!$D$10="Heizung",Mieter!$K13,Mieter!$J13)/Kosten!$E$10)</f>
        <v/>
      </c>
      <c r="I13" s="18">
        <f>IF(OR(Kosten!$B$11="",Kosten!$E$11=0,Mieter!$C13=""),0,Kosten!$B$11*IF(Kosten!$C$11="Fläche",Mieter!$L13,IF(Kosten!$C$11="Anteil",Mieter!$M13,Mieter!$N13))*IF(Kosten!$D$11="Heizung",Mieter!$K13,Mieter!$J13)/Kosten!$E$11)</f>
        <v/>
      </c>
      <c r="J13" s="18">
        <f>IF(OR(Kosten!$B$12="",Kosten!$E$12=0,Mieter!$C13=""),0,Kosten!$B$12*IF(Kosten!$C$12="Fläche",Mieter!$L13,IF(Kosten!$C$12="Anteil",Mieter!$M13,Mieter!$N13))*IF(Kosten!$D$12="Heizung",Mieter!$K13,Mieter!$J13)/Kosten!$E$12)</f>
        <v/>
      </c>
      <c r="K13" s="18">
        <f>IF(OR(Kosten!$B$13="",Kosten!$E$13=0,Mieter!$C13=""),0,Kosten!$B$13*IF(Kosten!$C$13="Fläche",Mieter!$L13,IF(Kosten!$C$13="Anteil",Mieter!$M13,Mieter!$N13))*IF(Kosten!$D$13="Heizung",Mieter!$K13,Mieter!$J13)/Kosten!$E$13)</f>
        <v/>
      </c>
      <c r="L13" s="18">
        <f>IF(OR(Kosten!$B$14="",Kosten!$E$14=0,Mieter!$C13=""),0,Kosten!$B$14*IF(Kosten!$C$14="Fläche",Mieter!$L13,IF(Kosten!$C$14="Anteil",Mieter!$M13,Mieter!$N13))*IF(Kosten!$D$14="Heizung",Mieter!$K13,Mieter!$J13)/Kosten!$E$14)</f>
        <v/>
      </c>
      <c r="M13" s="18">
        <f>IF(OR(Kosten!$B$15="",Kosten!$E$15=0,Mieter!$C13=""),0,Kosten!$B$15*IF(Kosten!$C$15="Fläche",Mieter!$L13,IF(Kosten!$C$15="Anteil",Mieter!$M13,Mieter!$N13))*IF(Kosten!$D$15="Heizung",Mieter!$K13,Mieter!$J13)/Kosten!$E$15)</f>
        <v/>
      </c>
      <c r="N13" s="18">
        <f>IF(OR(Kosten!$B$16="",Kosten!$E$16=0,Mieter!$C13=""),0,Kosten!$B$16*IF(Kosten!$C$16="Fläche",Mieter!$L13,IF(Kosten!$C$16="Anteil",Mieter!$M13,Mieter!$N13))*IF(Kosten!$D$16="Heizung",Mieter!$K13,Mieter!$J13)/Kosten!$E$16)</f>
        <v/>
      </c>
      <c r="O13" s="18">
        <f>IF(OR(Kosten!$B$17="",Kosten!$E$17=0,Mieter!$C13=""),0,Kosten!$B$17*IF(Kosten!$C$17="Fläche",Mieter!$L13,IF(Kosten!$C$17="Anteil",Mieter!$M13,Mieter!$N13))*IF(Kosten!$D$17="Heizung",Mieter!$K13,Mieter!$J13)/Kosten!$E$17)</f>
        <v/>
      </c>
      <c r="P13" s="18">
        <f>IF(OR(Kosten!$B$18="",Kosten!$E$18=0,Mieter!$C13=""),0,Kosten!$B$18*IF(Kosten!$C$18="Fläche",Mieter!$L13,IF(Kosten!$C$18="Anteil",Mieter!$M13,Mieter!$N13))*IF(Kosten!$D$18="Heizung",Mieter!$K13,Mieter!$J13)/Kosten!$E$18)</f>
        <v/>
      </c>
      <c r="Q13" s="18">
        <f>IF(OR(Kosten!$B$19="",Kosten!$E$19=0,Mieter!$C13=""),0,Kosten!$B$19*IF(Kosten!$C$19="Fläche",Mieter!$L13,IF(Kosten!$C$19="Anteil",Mieter!$M13,Mieter!$N13))*IF(Kosten!$D$19="Heizung",Mieter!$K13,Mieter!$J13)/Kosten!$E$19)</f>
        <v/>
      </c>
      <c r="R13" s="18">
        <f>IF(OR(Kosten!$B$20="",Kosten!$E$20=0,Mieter!$C13=""),0,Kosten!$B$20*IF(Kosten!$C$20="Fläche",Mieter!$L13,IF(Kosten!$C$20="Anteil",Mieter!$M13,Mieter!$N13))*IF(Kosten!$D$20="Heizung",Mieter!$K13,Mieter!$J13)/Kosten!$E$20)</f>
        <v/>
      </c>
      <c r="S13" s="18">
        <f>IF(OR(Kosten!$B$21="",Kosten!$E$21=0,Mieter!$C13=""),0,Kosten!$B$21*IF(Kosten!$C$21="Fläche",Mieter!$L13,IF(Kosten!$C$21="Anteil",Mieter!$M13,Mieter!$N13))*IF(Kosten!$D$21="Heizung",Mieter!$K13,Mieter!$J13)/Kosten!$E$21)</f>
        <v/>
      </c>
      <c r="T13" s="18">
        <f>IF(OR(Kosten!$B$22="",Kosten!$E$22=0,Mieter!$C13=""),0,Kosten!$B$22*IF(Kosten!$C$22="Fläche",Mieter!$L13,IF(Kosten!$C$22="Anteil",Mieter!$M13,Mieter!$N13))*IF(Kosten!$D$22="Heizung",Mieter!$K13,Mieter!$J13)/Kosten!$E$22)</f>
        <v/>
      </c>
      <c r="U13" s="18">
        <f>IF(OR(Kosten!$B$23="",Kosten!$E$23=0,Mieter!$C13=""),0,Kosten!$B$23*IF(Kosten!$C$23="Fläche",Mieter!$L13,IF(Kosten!$C$23="Anteil",Mieter!$M13,Mieter!$N13))*IF(Kosten!$D$23="Heizung",Mieter!$K13,Mieter!$J13)/Kosten!$E$23)</f>
        <v/>
      </c>
      <c r="V13" s="18">
        <f>IF(OR(Kosten!$B$24="",Kosten!$E$24=0,Mieter!$C13=""),0,Kosten!$B$24*IF(Kosten!$C$24="Fläche",Mieter!$L13,IF(Kosten!$C$24="Anteil",Mieter!$M13,Mieter!$N13))*IF(Kosten!$D$24="Heizung",Mieter!$K13,Mieter!$J13)/Kosten!$E$24)</f>
        <v/>
      </c>
      <c r="W13" s="18">
        <f>IF(OR(Kosten!$B$25="",Kosten!$E$25=0,Mieter!$C13=""),0,Kosten!$B$25*IF(Kosten!$C$25="Fläche",Mieter!$L13,IF(Kosten!$C$25="Anteil",Mieter!$M13,Mieter!$N13))*IF(Kosten!$D$25="Heizung",Mieter!$K13,Mieter!$J13)/Kosten!$E$25)</f>
        <v/>
      </c>
      <c r="X13" s="18">
        <f>IF(OR(Kosten!$B$26="",Kosten!$E$26=0,Mieter!$C13=""),0,Kosten!$B$26*IF(Kosten!$C$26="Fläche",Mieter!$L13,IF(Kosten!$C$26="Anteil",Mieter!$M13,Mieter!$N13))*IF(Kosten!$D$26="Heizung",Mieter!$K13,Mieter!$J13)/Kosten!$E$26)</f>
        <v/>
      </c>
      <c r="Y13" s="18">
        <f>IF(OR(Kosten!$B$27="",Kosten!$E$27=0,Mieter!$C13=""),0,Kosten!$B$27*IF(Kosten!$C$27="Fläche",Mieter!$L13,IF(Kosten!$C$27="Anteil",Mieter!$M13,Mieter!$N13))*IF(Kosten!$D$27="Heizung",Mieter!$K13,Mieter!$J13)/Kosten!$E$27)</f>
        <v/>
      </c>
      <c r="Z13" s="18">
        <f>IF(OR(Kosten!$B$28="",Kosten!$E$28=0,Mieter!$C13=""),0,Kosten!$B$28*IF(Kosten!$C$28="Fläche",Mieter!$L13,IF(Kosten!$C$28="Anteil",Mieter!$M13,Mieter!$N13))*IF(Kosten!$D$28="Heizung",Mieter!$K13,Mieter!$J13)/Kosten!$E$28)</f>
        <v/>
      </c>
      <c r="AA13" s="18">
        <f>IF(OR(Kosten!$B$29="",Kosten!$E$29=0,Mieter!$C13=""),0,Kosten!$B$29*IF(Kosten!$C$29="Fläche",Mieter!$L13,IF(Kosten!$C$29="Anteil",Mieter!$M13,Mieter!$N13))*IF(Kosten!$D$29="Heizung",Mieter!$K13,Mieter!$J13)/Kosten!$E$29)</f>
        <v/>
      </c>
      <c r="AB13" s="18">
        <f>ROUND(SUM(C13:AA13)*20,0)/20</f>
        <v/>
      </c>
      <c r="AC13" s="18">
        <f>N(Mieter!F13)</f>
        <v/>
      </c>
      <c r="AD13" s="18">
        <f>AB13-AC13</f>
        <v/>
      </c>
    </row>
    <row r="14">
      <c r="A14" s="13">
        <f>Mieter!A14</f>
        <v/>
      </c>
      <c r="B14" s="22">
        <f>IF(Mieter!C14="","",Mieter!B14)</f>
        <v/>
      </c>
      <c r="C14" s="18">
        <f>IF(OR(Kosten!$B$5="",Kosten!$E$5=0,Mieter!$C14=""),0,Kosten!$B$5*IF(Kosten!$C$5="Fläche",Mieter!$L14,IF(Kosten!$C$5="Anteil",Mieter!$M14,Mieter!$N14))*IF(Kosten!$D$5="Heizung",Mieter!$K14,Mieter!$J14)/Kosten!$E$5)</f>
        <v/>
      </c>
      <c r="D14" s="18">
        <f>IF(OR(Kosten!$B$6="",Kosten!$E$6=0,Mieter!$C14=""),0,Kosten!$B$6*IF(Kosten!$C$6="Fläche",Mieter!$L14,IF(Kosten!$C$6="Anteil",Mieter!$M14,Mieter!$N14))*IF(Kosten!$D$6="Heizung",Mieter!$K14,Mieter!$J14)/Kosten!$E$6)</f>
        <v/>
      </c>
      <c r="E14" s="18">
        <f>IF(OR(Kosten!$B$7="",Kosten!$E$7=0,Mieter!$C14=""),0,Kosten!$B$7*IF(Kosten!$C$7="Fläche",Mieter!$L14,IF(Kosten!$C$7="Anteil",Mieter!$M14,Mieter!$N14))*IF(Kosten!$D$7="Heizung",Mieter!$K14,Mieter!$J14)/Kosten!$E$7)</f>
        <v/>
      </c>
      <c r="F14" s="18">
        <f>IF(OR(Kosten!$B$8="",Kosten!$E$8=0,Mieter!$C14=""),0,Kosten!$B$8*IF(Kosten!$C$8="Fläche",Mieter!$L14,IF(Kosten!$C$8="Anteil",Mieter!$M14,Mieter!$N14))*IF(Kosten!$D$8="Heizung",Mieter!$K14,Mieter!$J14)/Kosten!$E$8)</f>
        <v/>
      </c>
      <c r="G14" s="18">
        <f>IF(OR(Kosten!$B$9="",Kosten!$E$9=0,Mieter!$C14=""),0,Kosten!$B$9*IF(Kosten!$C$9="Fläche",Mieter!$L14,IF(Kosten!$C$9="Anteil",Mieter!$M14,Mieter!$N14))*IF(Kosten!$D$9="Heizung",Mieter!$K14,Mieter!$J14)/Kosten!$E$9)</f>
        <v/>
      </c>
      <c r="H14" s="18">
        <f>IF(OR(Kosten!$B$10="",Kosten!$E$10=0,Mieter!$C14=""),0,Kosten!$B$10*IF(Kosten!$C$10="Fläche",Mieter!$L14,IF(Kosten!$C$10="Anteil",Mieter!$M14,Mieter!$N14))*IF(Kosten!$D$10="Heizung",Mieter!$K14,Mieter!$J14)/Kosten!$E$10)</f>
        <v/>
      </c>
      <c r="I14" s="18">
        <f>IF(OR(Kosten!$B$11="",Kosten!$E$11=0,Mieter!$C14=""),0,Kosten!$B$11*IF(Kosten!$C$11="Fläche",Mieter!$L14,IF(Kosten!$C$11="Anteil",Mieter!$M14,Mieter!$N14))*IF(Kosten!$D$11="Heizung",Mieter!$K14,Mieter!$J14)/Kosten!$E$11)</f>
        <v/>
      </c>
      <c r="J14" s="18">
        <f>IF(OR(Kosten!$B$12="",Kosten!$E$12=0,Mieter!$C14=""),0,Kosten!$B$12*IF(Kosten!$C$12="Fläche",Mieter!$L14,IF(Kosten!$C$12="Anteil",Mieter!$M14,Mieter!$N14))*IF(Kosten!$D$12="Heizung",Mieter!$K14,Mieter!$J14)/Kosten!$E$12)</f>
        <v/>
      </c>
      <c r="K14" s="18">
        <f>IF(OR(Kosten!$B$13="",Kosten!$E$13=0,Mieter!$C14=""),0,Kosten!$B$13*IF(Kosten!$C$13="Fläche",Mieter!$L14,IF(Kosten!$C$13="Anteil",Mieter!$M14,Mieter!$N14))*IF(Kosten!$D$13="Heizung",Mieter!$K14,Mieter!$J14)/Kosten!$E$13)</f>
        <v/>
      </c>
      <c r="L14" s="18">
        <f>IF(OR(Kosten!$B$14="",Kosten!$E$14=0,Mieter!$C14=""),0,Kosten!$B$14*IF(Kosten!$C$14="Fläche",Mieter!$L14,IF(Kosten!$C$14="Anteil",Mieter!$M14,Mieter!$N14))*IF(Kosten!$D$14="Heizung",Mieter!$K14,Mieter!$J14)/Kosten!$E$14)</f>
        <v/>
      </c>
      <c r="M14" s="18">
        <f>IF(OR(Kosten!$B$15="",Kosten!$E$15=0,Mieter!$C14=""),0,Kosten!$B$15*IF(Kosten!$C$15="Fläche",Mieter!$L14,IF(Kosten!$C$15="Anteil",Mieter!$M14,Mieter!$N14))*IF(Kosten!$D$15="Heizung",Mieter!$K14,Mieter!$J14)/Kosten!$E$15)</f>
        <v/>
      </c>
      <c r="N14" s="18">
        <f>IF(OR(Kosten!$B$16="",Kosten!$E$16=0,Mieter!$C14=""),0,Kosten!$B$16*IF(Kosten!$C$16="Fläche",Mieter!$L14,IF(Kosten!$C$16="Anteil",Mieter!$M14,Mieter!$N14))*IF(Kosten!$D$16="Heizung",Mieter!$K14,Mieter!$J14)/Kosten!$E$16)</f>
        <v/>
      </c>
      <c r="O14" s="18">
        <f>IF(OR(Kosten!$B$17="",Kosten!$E$17=0,Mieter!$C14=""),0,Kosten!$B$17*IF(Kosten!$C$17="Fläche",Mieter!$L14,IF(Kosten!$C$17="Anteil",Mieter!$M14,Mieter!$N14))*IF(Kosten!$D$17="Heizung",Mieter!$K14,Mieter!$J14)/Kosten!$E$17)</f>
        <v/>
      </c>
      <c r="P14" s="18">
        <f>IF(OR(Kosten!$B$18="",Kosten!$E$18=0,Mieter!$C14=""),0,Kosten!$B$18*IF(Kosten!$C$18="Fläche",Mieter!$L14,IF(Kosten!$C$18="Anteil",Mieter!$M14,Mieter!$N14))*IF(Kosten!$D$18="Heizung",Mieter!$K14,Mieter!$J14)/Kosten!$E$18)</f>
        <v/>
      </c>
      <c r="Q14" s="18">
        <f>IF(OR(Kosten!$B$19="",Kosten!$E$19=0,Mieter!$C14=""),0,Kosten!$B$19*IF(Kosten!$C$19="Fläche",Mieter!$L14,IF(Kosten!$C$19="Anteil",Mieter!$M14,Mieter!$N14))*IF(Kosten!$D$19="Heizung",Mieter!$K14,Mieter!$J14)/Kosten!$E$19)</f>
        <v/>
      </c>
      <c r="R14" s="18">
        <f>IF(OR(Kosten!$B$20="",Kosten!$E$20=0,Mieter!$C14=""),0,Kosten!$B$20*IF(Kosten!$C$20="Fläche",Mieter!$L14,IF(Kosten!$C$20="Anteil",Mieter!$M14,Mieter!$N14))*IF(Kosten!$D$20="Heizung",Mieter!$K14,Mieter!$J14)/Kosten!$E$20)</f>
        <v/>
      </c>
      <c r="S14" s="18">
        <f>IF(OR(Kosten!$B$21="",Kosten!$E$21=0,Mieter!$C14=""),0,Kosten!$B$21*IF(Kosten!$C$21="Fläche",Mieter!$L14,IF(Kosten!$C$21="Anteil",Mieter!$M14,Mieter!$N14))*IF(Kosten!$D$21="Heizung",Mieter!$K14,Mieter!$J14)/Kosten!$E$21)</f>
        <v/>
      </c>
      <c r="T14" s="18">
        <f>IF(OR(Kosten!$B$22="",Kosten!$E$22=0,Mieter!$C14=""),0,Kosten!$B$22*IF(Kosten!$C$22="Fläche",Mieter!$L14,IF(Kosten!$C$22="Anteil",Mieter!$M14,Mieter!$N14))*IF(Kosten!$D$22="Heizung",Mieter!$K14,Mieter!$J14)/Kosten!$E$22)</f>
        <v/>
      </c>
      <c r="U14" s="18">
        <f>IF(OR(Kosten!$B$23="",Kosten!$E$23=0,Mieter!$C14=""),0,Kosten!$B$23*IF(Kosten!$C$23="Fläche",Mieter!$L14,IF(Kosten!$C$23="Anteil",Mieter!$M14,Mieter!$N14))*IF(Kosten!$D$23="Heizung",Mieter!$K14,Mieter!$J14)/Kosten!$E$23)</f>
        <v/>
      </c>
      <c r="V14" s="18">
        <f>IF(OR(Kosten!$B$24="",Kosten!$E$24=0,Mieter!$C14=""),0,Kosten!$B$24*IF(Kosten!$C$24="Fläche",Mieter!$L14,IF(Kosten!$C$24="Anteil",Mieter!$M14,Mieter!$N14))*IF(Kosten!$D$24="Heizung",Mieter!$K14,Mieter!$J14)/Kosten!$E$24)</f>
        <v/>
      </c>
      <c r="W14" s="18">
        <f>IF(OR(Kosten!$B$25="",Kosten!$E$25=0,Mieter!$C14=""),0,Kosten!$B$25*IF(Kosten!$C$25="Fläche",Mieter!$L14,IF(Kosten!$C$25="Anteil",Mieter!$M14,Mieter!$N14))*IF(Kosten!$D$25="Heizung",Mieter!$K14,Mieter!$J14)/Kosten!$E$25)</f>
        <v/>
      </c>
      <c r="X14" s="18">
        <f>IF(OR(Kosten!$B$26="",Kosten!$E$26=0,Mieter!$C14=""),0,Kosten!$B$26*IF(Kosten!$C$26="Fläche",Mieter!$L14,IF(Kosten!$C$26="Anteil",Mieter!$M14,Mieter!$N14))*IF(Kosten!$D$26="Heizung",Mieter!$K14,Mieter!$J14)/Kosten!$E$26)</f>
        <v/>
      </c>
      <c r="Y14" s="18">
        <f>IF(OR(Kosten!$B$27="",Kosten!$E$27=0,Mieter!$C14=""),0,Kosten!$B$27*IF(Kosten!$C$27="Fläche",Mieter!$L14,IF(Kosten!$C$27="Anteil",Mieter!$M14,Mieter!$N14))*IF(Kosten!$D$27="Heizung",Mieter!$K14,Mieter!$J14)/Kosten!$E$27)</f>
        <v/>
      </c>
      <c r="Z14" s="18">
        <f>IF(OR(Kosten!$B$28="",Kosten!$E$28=0,Mieter!$C14=""),0,Kosten!$B$28*IF(Kosten!$C$28="Fläche",Mieter!$L14,IF(Kosten!$C$28="Anteil",Mieter!$M14,Mieter!$N14))*IF(Kosten!$D$28="Heizung",Mieter!$K14,Mieter!$J14)/Kosten!$E$28)</f>
        <v/>
      </c>
      <c r="AA14" s="18">
        <f>IF(OR(Kosten!$B$29="",Kosten!$E$29=0,Mieter!$C14=""),0,Kosten!$B$29*IF(Kosten!$C$29="Fläche",Mieter!$L14,IF(Kosten!$C$29="Anteil",Mieter!$M14,Mieter!$N14))*IF(Kosten!$D$29="Heizung",Mieter!$K14,Mieter!$J14)/Kosten!$E$29)</f>
        <v/>
      </c>
      <c r="AB14" s="18">
        <f>ROUND(SUM(C14:AA14)*20,0)/20</f>
        <v/>
      </c>
      <c r="AC14" s="18">
        <f>N(Mieter!F14)</f>
        <v/>
      </c>
      <c r="AD14" s="18">
        <f>AB14-AC14</f>
        <v/>
      </c>
    </row>
    <row r="15">
      <c r="A15" s="13">
        <f>Mieter!A15</f>
        <v/>
      </c>
      <c r="B15" s="22">
        <f>IF(Mieter!C15="","",Mieter!B15)</f>
        <v/>
      </c>
      <c r="C15" s="18">
        <f>IF(OR(Kosten!$B$5="",Kosten!$E$5=0,Mieter!$C15=""),0,Kosten!$B$5*IF(Kosten!$C$5="Fläche",Mieter!$L15,IF(Kosten!$C$5="Anteil",Mieter!$M15,Mieter!$N15))*IF(Kosten!$D$5="Heizung",Mieter!$K15,Mieter!$J15)/Kosten!$E$5)</f>
        <v/>
      </c>
      <c r="D15" s="18">
        <f>IF(OR(Kosten!$B$6="",Kosten!$E$6=0,Mieter!$C15=""),0,Kosten!$B$6*IF(Kosten!$C$6="Fläche",Mieter!$L15,IF(Kosten!$C$6="Anteil",Mieter!$M15,Mieter!$N15))*IF(Kosten!$D$6="Heizung",Mieter!$K15,Mieter!$J15)/Kosten!$E$6)</f>
        <v/>
      </c>
      <c r="E15" s="18">
        <f>IF(OR(Kosten!$B$7="",Kosten!$E$7=0,Mieter!$C15=""),0,Kosten!$B$7*IF(Kosten!$C$7="Fläche",Mieter!$L15,IF(Kosten!$C$7="Anteil",Mieter!$M15,Mieter!$N15))*IF(Kosten!$D$7="Heizung",Mieter!$K15,Mieter!$J15)/Kosten!$E$7)</f>
        <v/>
      </c>
      <c r="F15" s="18">
        <f>IF(OR(Kosten!$B$8="",Kosten!$E$8=0,Mieter!$C15=""),0,Kosten!$B$8*IF(Kosten!$C$8="Fläche",Mieter!$L15,IF(Kosten!$C$8="Anteil",Mieter!$M15,Mieter!$N15))*IF(Kosten!$D$8="Heizung",Mieter!$K15,Mieter!$J15)/Kosten!$E$8)</f>
        <v/>
      </c>
      <c r="G15" s="18">
        <f>IF(OR(Kosten!$B$9="",Kosten!$E$9=0,Mieter!$C15=""),0,Kosten!$B$9*IF(Kosten!$C$9="Fläche",Mieter!$L15,IF(Kosten!$C$9="Anteil",Mieter!$M15,Mieter!$N15))*IF(Kosten!$D$9="Heizung",Mieter!$K15,Mieter!$J15)/Kosten!$E$9)</f>
        <v/>
      </c>
      <c r="H15" s="18">
        <f>IF(OR(Kosten!$B$10="",Kosten!$E$10=0,Mieter!$C15=""),0,Kosten!$B$10*IF(Kosten!$C$10="Fläche",Mieter!$L15,IF(Kosten!$C$10="Anteil",Mieter!$M15,Mieter!$N15))*IF(Kosten!$D$10="Heizung",Mieter!$K15,Mieter!$J15)/Kosten!$E$10)</f>
        <v/>
      </c>
      <c r="I15" s="18">
        <f>IF(OR(Kosten!$B$11="",Kosten!$E$11=0,Mieter!$C15=""),0,Kosten!$B$11*IF(Kosten!$C$11="Fläche",Mieter!$L15,IF(Kosten!$C$11="Anteil",Mieter!$M15,Mieter!$N15))*IF(Kosten!$D$11="Heizung",Mieter!$K15,Mieter!$J15)/Kosten!$E$11)</f>
        <v/>
      </c>
      <c r="J15" s="18">
        <f>IF(OR(Kosten!$B$12="",Kosten!$E$12=0,Mieter!$C15=""),0,Kosten!$B$12*IF(Kosten!$C$12="Fläche",Mieter!$L15,IF(Kosten!$C$12="Anteil",Mieter!$M15,Mieter!$N15))*IF(Kosten!$D$12="Heizung",Mieter!$K15,Mieter!$J15)/Kosten!$E$12)</f>
        <v/>
      </c>
      <c r="K15" s="18">
        <f>IF(OR(Kosten!$B$13="",Kosten!$E$13=0,Mieter!$C15=""),0,Kosten!$B$13*IF(Kosten!$C$13="Fläche",Mieter!$L15,IF(Kosten!$C$13="Anteil",Mieter!$M15,Mieter!$N15))*IF(Kosten!$D$13="Heizung",Mieter!$K15,Mieter!$J15)/Kosten!$E$13)</f>
        <v/>
      </c>
      <c r="L15" s="18">
        <f>IF(OR(Kosten!$B$14="",Kosten!$E$14=0,Mieter!$C15=""),0,Kosten!$B$14*IF(Kosten!$C$14="Fläche",Mieter!$L15,IF(Kosten!$C$14="Anteil",Mieter!$M15,Mieter!$N15))*IF(Kosten!$D$14="Heizung",Mieter!$K15,Mieter!$J15)/Kosten!$E$14)</f>
        <v/>
      </c>
      <c r="M15" s="18">
        <f>IF(OR(Kosten!$B$15="",Kosten!$E$15=0,Mieter!$C15=""),0,Kosten!$B$15*IF(Kosten!$C$15="Fläche",Mieter!$L15,IF(Kosten!$C$15="Anteil",Mieter!$M15,Mieter!$N15))*IF(Kosten!$D$15="Heizung",Mieter!$K15,Mieter!$J15)/Kosten!$E$15)</f>
        <v/>
      </c>
      <c r="N15" s="18">
        <f>IF(OR(Kosten!$B$16="",Kosten!$E$16=0,Mieter!$C15=""),0,Kosten!$B$16*IF(Kosten!$C$16="Fläche",Mieter!$L15,IF(Kosten!$C$16="Anteil",Mieter!$M15,Mieter!$N15))*IF(Kosten!$D$16="Heizung",Mieter!$K15,Mieter!$J15)/Kosten!$E$16)</f>
        <v/>
      </c>
      <c r="O15" s="18">
        <f>IF(OR(Kosten!$B$17="",Kosten!$E$17=0,Mieter!$C15=""),0,Kosten!$B$17*IF(Kosten!$C$17="Fläche",Mieter!$L15,IF(Kosten!$C$17="Anteil",Mieter!$M15,Mieter!$N15))*IF(Kosten!$D$17="Heizung",Mieter!$K15,Mieter!$J15)/Kosten!$E$17)</f>
        <v/>
      </c>
      <c r="P15" s="18">
        <f>IF(OR(Kosten!$B$18="",Kosten!$E$18=0,Mieter!$C15=""),0,Kosten!$B$18*IF(Kosten!$C$18="Fläche",Mieter!$L15,IF(Kosten!$C$18="Anteil",Mieter!$M15,Mieter!$N15))*IF(Kosten!$D$18="Heizung",Mieter!$K15,Mieter!$J15)/Kosten!$E$18)</f>
        <v/>
      </c>
      <c r="Q15" s="18">
        <f>IF(OR(Kosten!$B$19="",Kosten!$E$19=0,Mieter!$C15=""),0,Kosten!$B$19*IF(Kosten!$C$19="Fläche",Mieter!$L15,IF(Kosten!$C$19="Anteil",Mieter!$M15,Mieter!$N15))*IF(Kosten!$D$19="Heizung",Mieter!$K15,Mieter!$J15)/Kosten!$E$19)</f>
        <v/>
      </c>
      <c r="R15" s="18">
        <f>IF(OR(Kosten!$B$20="",Kosten!$E$20=0,Mieter!$C15=""),0,Kosten!$B$20*IF(Kosten!$C$20="Fläche",Mieter!$L15,IF(Kosten!$C$20="Anteil",Mieter!$M15,Mieter!$N15))*IF(Kosten!$D$20="Heizung",Mieter!$K15,Mieter!$J15)/Kosten!$E$20)</f>
        <v/>
      </c>
      <c r="S15" s="18">
        <f>IF(OR(Kosten!$B$21="",Kosten!$E$21=0,Mieter!$C15=""),0,Kosten!$B$21*IF(Kosten!$C$21="Fläche",Mieter!$L15,IF(Kosten!$C$21="Anteil",Mieter!$M15,Mieter!$N15))*IF(Kosten!$D$21="Heizung",Mieter!$K15,Mieter!$J15)/Kosten!$E$21)</f>
        <v/>
      </c>
      <c r="T15" s="18">
        <f>IF(OR(Kosten!$B$22="",Kosten!$E$22=0,Mieter!$C15=""),0,Kosten!$B$22*IF(Kosten!$C$22="Fläche",Mieter!$L15,IF(Kosten!$C$22="Anteil",Mieter!$M15,Mieter!$N15))*IF(Kosten!$D$22="Heizung",Mieter!$K15,Mieter!$J15)/Kosten!$E$22)</f>
        <v/>
      </c>
      <c r="U15" s="18">
        <f>IF(OR(Kosten!$B$23="",Kosten!$E$23=0,Mieter!$C15=""),0,Kosten!$B$23*IF(Kosten!$C$23="Fläche",Mieter!$L15,IF(Kosten!$C$23="Anteil",Mieter!$M15,Mieter!$N15))*IF(Kosten!$D$23="Heizung",Mieter!$K15,Mieter!$J15)/Kosten!$E$23)</f>
        <v/>
      </c>
      <c r="V15" s="18">
        <f>IF(OR(Kosten!$B$24="",Kosten!$E$24=0,Mieter!$C15=""),0,Kosten!$B$24*IF(Kosten!$C$24="Fläche",Mieter!$L15,IF(Kosten!$C$24="Anteil",Mieter!$M15,Mieter!$N15))*IF(Kosten!$D$24="Heizung",Mieter!$K15,Mieter!$J15)/Kosten!$E$24)</f>
        <v/>
      </c>
      <c r="W15" s="18">
        <f>IF(OR(Kosten!$B$25="",Kosten!$E$25=0,Mieter!$C15=""),0,Kosten!$B$25*IF(Kosten!$C$25="Fläche",Mieter!$L15,IF(Kosten!$C$25="Anteil",Mieter!$M15,Mieter!$N15))*IF(Kosten!$D$25="Heizung",Mieter!$K15,Mieter!$J15)/Kosten!$E$25)</f>
        <v/>
      </c>
      <c r="X15" s="18">
        <f>IF(OR(Kosten!$B$26="",Kosten!$E$26=0,Mieter!$C15=""),0,Kosten!$B$26*IF(Kosten!$C$26="Fläche",Mieter!$L15,IF(Kosten!$C$26="Anteil",Mieter!$M15,Mieter!$N15))*IF(Kosten!$D$26="Heizung",Mieter!$K15,Mieter!$J15)/Kosten!$E$26)</f>
        <v/>
      </c>
      <c r="Y15" s="18">
        <f>IF(OR(Kosten!$B$27="",Kosten!$E$27=0,Mieter!$C15=""),0,Kosten!$B$27*IF(Kosten!$C$27="Fläche",Mieter!$L15,IF(Kosten!$C$27="Anteil",Mieter!$M15,Mieter!$N15))*IF(Kosten!$D$27="Heizung",Mieter!$K15,Mieter!$J15)/Kosten!$E$27)</f>
        <v/>
      </c>
      <c r="Z15" s="18">
        <f>IF(OR(Kosten!$B$28="",Kosten!$E$28=0,Mieter!$C15=""),0,Kosten!$B$28*IF(Kosten!$C$28="Fläche",Mieter!$L15,IF(Kosten!$C$28="Anteil",Mieter!$M15,Mieter!$N15))*IF(Kosten!$D$28="Heizung",Mieter!$K15,Mieter!$J15)/Kosten!$E$28)</f>
        <v/>
      </c>
      <c r="AA15" s="18">
        <f>IF(OR(Kosten!$B$29="",Kosten!$E$29=0,Mieter!$C15=""),0,Kosten!$B$29*IF(Kosten!$C$29="Fläche",Mieter!$L15,IF(Kosten!$C$29="Anteil",Mieter!$M15,Mieter!$N15))*IF(Kosten!$D$29="Heizung",Mieter!$K15,Mieter!$J15)/Kosten!$E$29)</f>
        <v/>
      </c>
      <c r="AB15" s="18">
        <f>ROUND(SUM(C15:AA15)*20,0)/20</f>
        <v/>
      </c>
      <c r="AC15" s="18">
        <f>N(Mieter!F15)</f>
        <v/>
      </c>
      <c r="AD15" s="18">
        <f>AB15-AC15</f>
        <v/>
      </c>
    </row>
    <row r="16">
      <c r="A16" s="13">
        <f>Mieter!A16</f>
        <v/>
      </c>
      <c r="B16" s="22">
        <f>IF(Mieter!C16="","",Mieter!B16)</f>
        <v/>
      </c>
      <c r="C16" s="18">
        <f>IF(OR(Kosten!$B$5="",Kosten!$E$5=0,Mieter!$C16=""),0,Kosten!$B$5*IF(Kosten!$C$5="Fläche",Mieter!$L16,IF(Kosten!$C$5="Anteil",Mieter!$M16,Mieter!$N16))*IF(Kosten!$D$5="Heizung",Mieter!$K16,Mieter!$J16)/Kosten!$E$5)</f>
        <v/>
      </c>
      <c r="D16" s="18">
        <f>IF(OR(Kosten!$B$6="",Kosten!$E$6=0,Mieter!$C16=""),0,Kosten!$B$6*IF(Kosten!$C$6="Fläche",Mieter!$L16,IF(Kosten!$C$6="Anteil",Mieter!$M16,Mieter!$N16))*IF(Kosten!$D$6="Heizung",Mieter!$K16,Mieter!$J16)/Kosten!$E$6)</f>
        <v/>
      </c>
      <c r="E16" s="18">
        <f>IF(OR(Kosten!$B$7="",Kosten!$E$7=0,Mieter!$C16=""),0,Kosten!$B$7*IF(Kosten!$C$7="Fläche",Mieter!$L16,IF(Kosten!$C$7="Anteil",Mieter!$M16,Mieter!$N16))*IF(Kosten!$D$7="Heizung",Mieter!$K16,Mieter!$J16)/Kosten!$E$7)</f>
        <v/>
      </c>
      <c r="F16" s="18">
        <f>IF(OR(Kosten!$B$8="",Kosten!$E$8=0,Mieter!$C16=""),0,Kosten!$B$8*IF(Kosten!$C$8="Fläche",Mieter!$L16,IF(Kosten!$C$8="Anteil",Mieter!$M16,Mieter!$N16))*IF(Kosten!$D$8="Heizung",Mieter!$K16,Mieter!$J16)/Kosten!$E$8)</f>
        <v/>
      </c>
      <c r="G16" s="18">
        <f>IF(OR(Kosten!$B$9="",Kosten!$E$9=0,Mieter!$C16=""),0,Kosten!$B$9*IF(Kosten!$C$9="Fläche",Mieter!$L16,IF(Kosten!$C$9="Anteil",Mieter!$M16,Mieter!$N16))*IF(Kosten!$D$9="Heizung",Mieter!$K16,Mieter!$J16)/Kosten!$E$9)</f>
        <v/>
      </c>
      <c r="H16" s="18">
        <f>IF(OR(Kosten!$B$10="",Kosten!$E$10=0,Mieter!$C16=""),0,Kosten!$B$10*IF(Kosten!$C$10="Fläche",Mieter!$L16,IF(Kosten!$C$10="Anteil",Mieter!$M16,Mieter!$N16))*IF(Kosten!$D$10="Heizung",Mieter!$K16,Mieter!$J16)/Kosten!$E$10)</f>
        <v/>
      </c>
      <c r="I16" s="18">
        <f>IF(OR(Kosten!$B$11="",Kosten!$E$11=0,Mieter!$C16=""),0,Kosten!$B$11*IF(Kosten!$C$11="Fläche",Mieter!$L16,IF(Kosten!$C$11="Anteil",Mieter!$M16,Mieter!$N16))*IF(Kosten!$D$11="Heizung",Mieter!$K16,Mieter!$J16)/Kosten!$E$11)</f>
        <v/>
      </c>
      <c r="J16" s="18">
        <f>IF(OR(Kosten!$B$12="",Kosten!$E$12=0,Mieter!$C16=""),0,Kosten!$B$12*IF(Kosten!$C$12="Fläche",Mieter!$L16,IF(Kosten!$C$12="Anteil",Mieter!$M16,Mieter!$N16))*IF(Kosten!$D$12="Heizung",Mieter!$K16,Mieter!$J16)/Kosten!$E$12)</f>
        <v/>
      </c>
      <c r="K16" s="18">
        <f>IF(OR(Kosten!$B$13="",Kosten!$E$13=0,Mieter!$C16=""),0,Kosten!$B$13*IF(Kosten!$C$13="Fläche",Mieter!$L16,IF(Kosten!$C$13="Anteil",Mieter!$M16,Mieter!$N16))*IF(Kosten!$D$13="Heizung",Mieter!$K16,Mieter!$J16)/Kosten!$E$13)</f>
        <v/>
      </c>
      <c r="L16" s="18">
        <f>IF(OR(Kosten!$B$14="",Kosten!$E$14=0,Mieter!$C16=""),0,Kosten!$B$14*IF(Kosten!$C$14="Fläche",Mieter!$L16,IF(Kosten!$C$14="Anteil",Mieter!$M16,Mieter!$N16))*IF(Kosten!$D$14="Heizung",Mieter!$K16,Mieter!$J16)/Kosten!$E$14)</f>
        <v/>
      </c>
      <c r="M16" s="18">
        <f>IF(OR(Kosten!$B$15="",Kosten!$E$15=0,Mieter!$C16=""),0,Kosten!$B$15*IF(Kosten!$C$15="Fläche",Mieter!$L16,IF(Kosten!$C$15="Anteil",Mieter!$M16,Mieter!$N16))*IF(Kosten!$D$15="Heizung",Mieter!$K16,Mieter!$J16)/Kosten!$E$15)</f>
        <v/>
      </c>
      <c r="N16" s="18">
        <f>IF(OR(Kosten!$B$16="",Kosten!$E$16=0,Mieter!$C16=""),0,Kosten!$B$16*IF(Kosten!$C$16="Fläche",Mieter!$L16,IF(Kosten!$C$16="Anteil",Mieter!$M16,Mieter!$N16))*IF(Kosten!$D$16="Heizung",Mieter!$K16,Mieter!$J16)/Kosten!$E$16)</f>
        <v/>
      </c>
      <c r="O16" s="18">
        <f>IF(OR(Kosten!$B$17="",Kosten!$E$17=0,Mieter!$C16=""),0,Kosten!$B$17*IF(Kosten!$C$17="Fläche",Mieter!$L16,IF(Kosten!$C$17="Anteil",Mieter!$M16,Mieter!$N16))*IF(Kosten!$D$17="Heizung",Mieter!$K16,Mieter!$J16)/Kosten!$E$17)</f>
        <v/>
      </c>
      <c r="P16" s="18">
        <f>IF(OR(Kosten!$B$18="",Kosten!$E$18=0,Mieter!$C16=""),0,Kosten!$B$18*IF(Kosten!$C$18="Fläche",Mieter!$L16,IF(Kosten!$C$18="Anteil",Mieter!$M16,Mieter!$N16))*IF(Kosten!$D$18="Heizung",Mieter!$K16,Mieter!$J16)/Kosten!$E$18)</f>
        <v/>
      </c>
      <c r="Q16" s="18">
        <f>IF(OR(Kosten!$B$19="",Kosten!$E$19=0,Mieter!$C16=""),0,Kosten!$B$19*IF(Kosten!$C$19="Fläche",Mieter!$L16,IF(Kosten!$C$19="Anteil",Mieter!$M16,Mieter!$N16))*IF(Kosten!$D$19="Heizung",Mieter!$K16,Mieter!$J16)/Kosten!$E$19)</f>
        <v/>
      </c>
      <c r="R16" s="18">
        <f>IF(OR(Kosten!$B$20="",Kosten!$E$20=0,Mieter!$C16=""),0,Kosten!$B$20*IF(Kosten!$C$20="Fläche",Mieter!$L16,IF(Kosten!$C$20="Anteil",Mieter!$M16,Mieter!$N16))*IF(Kosten!$D$20="Heizung",Mieter!$K16,Mieter!$J16)/Kosten!$E$20)</f>
        <v/>
      </c>
      <c r="S16" s="18">
        <f>IF(OR(Kosten!$B$21="",Kosten!$E$21=0,Mieter!$C16=""),0,Kosten!$B$21*IF(Kosten!$C$21="Fläche",Mieter!$L16,IF(Kosten!$C$21="Anteil",Mieter!$M16,Mieter!$N16))*IF(Kosten!$D$21="Heizung",Mieter!$K16,Mieter!$J16)/Kosten!$E$21)</f>
        <v/>
      </c>
      <c r="T16" s="18">
        <f>IF(OR(Kosten!$B$22="",Kosten!$E$22=0,Mieter!$C16=""),0,Kosten!$B$22*IF(Kosten!$C$22="Fläche",Mieter!$L16,IF(Kosten!$C$22="Anteil",Mieter!$M16,Mieter!$N16))*IF(Kosten!$D$22="Heizung",Mieter!$K16,Mieter!$J16)/Kosten!$E$22)</f>
        <v/>
      </c>
      <c r="U16" s="18">
        <f>IF(OR(Kosten!$B$23="",Kosten!$E$23=0,Mieter!$C16=""),0,Kosten!$B$23*IF(Kosten!$C$23="Fläche",Mieter!$L16,IF(Kosten!$C$23="Anteil",Mieter!$M16,Mieter!$N16))*IF(Kosten!$D$23="Heizung",Mieter!$K16,Mieter!$J16)/Kosten!$E$23)</f>
        <v/>
      </c>
      <c r="V16" s="18">
        <f>IF(OR(Kosten!$B$24="",Kosten!$E$24=0,Mieter!$C16=""),0,Kosten!$B$24*IF(Kosten!$C$24="Fläche",Mieter!$L16,IF(Kosten!$C$24="Anteil",Mieter!$M16,Mieter!$N16))*IF(Kosten!$D$24="Heizung",Mieter!$K16,Mieter!$J16)/Kosten!$E$24)</f>
        <v/>
      </c>
      <c r="W16" s="18">
        <f>IF(OR(Kosten!$B$25="",Kosten!$E$25=0,Mieter!$C16=""),0,Kosten!$B$25*IF(Kosten!$C$25="Fläche",Mieter!$L16,IF(Kosten!$C$25="Anteil",Mieter!$M16,Mieter!$N16))*IF(Kosten!$D$25="Heizung",Mieter!$K16,Mieter!$J16)/Kosten!$E$25)</f>
        <v/>
      </c>
      <c r="X16" s="18">
        <f>IF(OR(Kosten!$B$26="",Kosten!$E$26=0,Mieter!$C16=""),0,Kosten!$B$26*IF(Kosten!$C$26="Fläche",Mieter!$L16,IF(Kosten!$C$26="Anteil",Mieter!$M16,Mieter!$N16))*IF(Kosten!$D$26="Heizung",Mieter!$K16,Mieter!$J16)/Kosten!$E$26)</f>
        <v/>
      </c>
      <c r="Y16" s="18">
        <f>IF(OR(Kosten!$B$27="",Kosten!$E$27=0,Mieter!$C16=""),0,Kosten!$B$27*IF(Kosten!$C$27="Fläche",Mieter!$L16,IF(Kosten!$C$27="Anteil",Mieter!$M16,Mieter!$N16))*IF(Kosten!$D$27="Heizung",Mieter!$K16,Mieter!$J16)/Kosten!$E$27)</f>
        <v/>
      </c>
      <c r="Z16" s="18">
        <f>IF(OR(Kosten!$B$28="",Kosten!$E$28=0,Mieter!$C16=""),0,Kosten!$B$28*IF(Kosten!$C$28="Fläche",Mieter!$L16,IF(Kosten!$C$28="Anteil",Mieter!$M16,Mieter!$N16))*IF(Kosten!$D$28="Heizung",Mieter!$K16,Mieter!$J16)/Kosten!$E$28)</f>
        <v/>
      </c>
      <c r="AA16" s="18">
        <f>IF(OR(Kosten!$B$29="",Kosten!$E$29=0,Mieter!$C16=""),0,Kosten!$B$29*IF(Kosten!$C$29="Fläche",Mieter!$L16,IF(Kosten!$C$29="Anteil",Mieter!$M16,Mieter!$N16))*IF(Kosten!$D$29="Heizung",Mieter!$K16,Mieter!$J16)/Kosten!$E$29)</f>
        <v/>
      </c>
      <c r="AB16" s="18">
        <f>ROUND(SUM(C16:AA16)*20,0)/20</f>
        <v/>
      </c>
      <c r="AC16" s="18">
        <f>N(Mieter!F16)</f>
        <v/>
      </c>
      <c r="AD16" s="18">
        <f>AB16-AC16</f>
        <v/>
      </c>
    </row>
    <row r="17">
      <c r="A17" s="13">
        <f>Mieter!A17</f>
        <v/>
      </c>
      <c r="B17" s="22">
        <f>IF(Mieter!C17="","",Mieter!B17)</f>
        <v/>
      </c>
      <c r="C17" s="18">
        <f>IF(OR(Kosten!$B$5="",Kosten!$E$5=0,Mieter!$C17=""),0,Kosten!$B$5*IF(Kosten!$C$5="Fläche",Mieter!$L17,IF(Kosten!$C$5="Anteil",Mieter!$M17,Mieter!$N17))*IF(Kosten!$D$5="Heizung",Mieter!$K17,Mieter!$J17)/Kosten!$E$5)</f>
        <v/>
      </c>
      <c r="D17" s="18">
        <f>IF(OR(Kosten!$B$6="",Kosten!$E$6=0,Mieter!$C17=""),0,Kosten!$B$6*IF(Kosten!$C$6="Fläche",Mieter!$L17,IF(Kosten!$C$6="Anteil",Mieter!$M17,Mieter!$N17))*IF(Kosten!$D$6="Heizung",Mieter!$K17,Mieter!$J17)/Kosten!$E$6)</f>
        <v/>
      </c>
      <c r="E17" s="18">
        <f>IF(OR(Kosten!$B$7="",Kosten!$E$7=0,Mieter!$C17=""),0,Kosten!$B$7*IF(Kosten!$C$7="Fläche",Mieter!$L17,IF(Kosten!$C$7="Anteil",Mieter!$M17,Mieter!$N17))*IF(Kosten!$D$7="Heizung",Mieter!$K17,Mieter!$J17)/Kosten!$E$7)</f>
        <v/>
      </c>
      <c r="F17" s="18">
        <f>IF(OR(Kosten!$B$8="",Kosten!$E$8=0,Mieter!$C17=""),0,Kosten!$B$8*IF(Kosten!$C$8="Fläche",Mieter!$L17,IF(Kosten!$C$8="Anteil",Mieter!$M17,Mieter!$N17))*IF(Kosten!$D$8="Heizung",Mieter!$K17,Mieter!$J17)/Kosten!$E$8)</f>
        <v/>
      </c>
      <c r="G17" s="18">
        <f>IF(OR(Kosten!$B$9="",Kosten!$E$9=0,Mieter!$C17=""),0,Kosten!$B$9*IF(Kosten!$C$9="Fläche",Mieter!$L17,IF(Kosten!$C$9="Anteil",Mieter!$M17,Mieter!$N17))*IF(Kosten!$D$9="Heizung",Mieter!$K17,Mieter!$J17)/Kosten!$E$9)</f>
        <v/>
      </c>
      <c r="H17" s="18">
        <f>IF(OR(Kosten!$B$10="",Kosten!$E$10=0,Mieter!$C17=""),0,Kosten!$B$10*IF(Kosten!$C$10="Fläche",Mieter!$L17,IF(Kosten!$C$10="Anteil",Mieter!$M17,Mieter!$N17))*IF(Kosten!$D$10="Heizung",Mieter!$K17,Mieter!$J17)/Kosten!$E$10)</f>
        <v/>
      </c>
      <c r="I17" s="18">
        <f>IF(OR(Kosten!$B$11="",Kosten!$E$11=0,Mieter!$C17=""),0,Kosten!$B$11*IF(Kosten!$C$11="Fläche",Mieter!$L17,IF(Kosten!$C$11="Anteil",Mieter!$M17,Mieter!$N17))*IF(Kosten!$D$11="Heizung",Mieter!$K17,Mieter!$J17)/Kosten!$E$11)</f>
        <v/>
      </c>
      <c r="J17" s="18">
        <f>IF(OR(Kosten!$B$12="",Kosten!$E$12=0,Mieter!$C17=""),0,Kosten!$B$12*IF(Kosten!$C$12="Fläche",Mieter!$L17,IF(Kosten!$C$12="Anteil",Mieter!$M17,Mieter!$N17))*IF(Kosten!$D$12="Heizung",Mieter!$K17,Mieter!$J17)/Kosten!$E$12)</f>
        <v/>
      </c>
      <c r="K17" s="18">
        <f>IF(OR(Kosten!$B$13="",Kosten!$E$13=0,Mieter!$C17=""),0,Kosten!$B$13*IF(Kosten!$C$13="Fläche",Mieter!$L17,IF(Kosten!$C$13="Anteil",Mieter!$M17,Mieter!$N17))*IF(Kosten!$D$13="Heizung",Mieter!$K17,Mieter!$J17)/Kosten!$E$13)</f>
        <v/>
      </c>
      <c r="L17" s="18">
        <f>IF(OR(Kosten!$B$14="",Kosten!$E$14=0,Mieter!$C17=""),0,Kosten!$B$14*IF(Kosten!$C$14="Fläche",Mieter!$L17,IF(Kosten!$C$14="Anteil",Mieter!$M17,Mieter!$N17))*IF(Kosten!$D$14="Heizung",Mieter!$K17,Mieter!$J17)/Kosten!$E$14)</f>
        <v/>
      </c>
      <c r="M17" s="18">
        <f>IF(OR(Kosten!$B$15="",Kosten!$E$15=0,Mieter!$C17=""),0,Kosten!$B$15*IF(Kosten!$C$15="Fläche",Mieter!$L17,IF(Kosten!$C$15="Anteil",Mieter!$M17,Mieter!$N17))*IF(Kosten!$D$15="Heizung",Mieter!$K17,Mieter!$J17)/Kosten!$E$15)</f>
        <v/>
      </c>
      <c r="N17" s="18">
        <f>IF(OR(Kosten!$B$16="",Kosten!$E$16=0,Mieter!$C17=""),0,Kosten!$B$16*IF(Kosten!$C$16="Fläche",Mieter!$L17,IF(Kosten!$C$16="Anteil",Mieter!$M17,Mieter!$N17))*IF(Kosten!$D$16="Heizung",Mieter!$K17,Mieter!$J17)/Kosten!$E$16)</f>
        <v/>
      </c>
      <c r="O17" s="18">
        <f>IF(OR(Kosten!$B$17="",Kosten!$E$17=0,Mieter!$C17=""),0,Kosten!$B$17*IF(Kosten!$C$17="Fläche",Mieter!$L17,IF(Kosten!$C$17="Anteil",Mieter!$M17,Mieter!$N17))*IF(Kosten!$D$17="Heizung",Mieter!$K17,Mieter!$J17)/Kosten!$E$17)</f>
        <v/>
      </c>
      <c r="P17" s="18">
        <f>IF(OR(Kosten!$B$18="",Kosten!$E$18=0,Mieter!$C17=""),0,Kosten!$B$18*IF(Kosten!$C$18="Fläche",Mieter!$L17,IF(Kosten!$C$18="Anteil",Mieter!$M17,Mieter!$N17))*IF(Kosten!$D$18="Heizung",Mieter!$K17,Mieter!$J17)/Kosten!$E$18)</f>
        <v/>
      </c>
      <c r="Q17" s="18">
        <f>IF(OR(Kosten!$B$19="",Kosten!$E$19=0,Mieter!$C17=""),0,Kosten!$B$19*IF(Kosten!$C$19="Fläche",Mieter!$L17,IF(Kosten!$C$19="Anteil",Mieter!$M17,Mieter!$N17))*IF(Kosten!$D$19="Heizung",Mieter!$K17,Mieter!$J17)/Kosten!$E$19)</f>
        <v/>
      </c>
      <c r="R17" s="18">
        <f>IF(OR(Kosten!$B$20="",Kosten!$E$20=0,Mieter!$C17=""),0,Kosten!$B$20*IF(Kosten!$C$20="Fläche",Mieter!$L17,IF(Kosten!$C$20="Anteil",Mieter!$M17,Mieter!$N17))*IF(Kosten!$D$20="Heizung",Mieter!$K17,Mieter!$J17)/Kosten!$E$20)</f>
        <v/>
      </c>
      <c r="S17" s="18">
        <f>IF(OR(Kosten!$B$21="",Kosten!$E$21=0,Mieter!$C17=""),0,Kosten!$B$21*IF(Kosten!$C$21="Fläche",Mieter!$L17,IF(Kosten!$C$21="Anteil",Mieter!$M17,Mieter!$N17))*IF(Kosten!$D$21="Heizung",Mieter!$K17,Mieter!$J17)/Kosten!$E$21)</f>
        <v/>
      </c>
      <c r="T17" s="18">
        <f>IF(OR(Kosten!$B$22="",Kosten!$E$22=0,Mieter!$C17=""),0,Kosten!$B$22*IF(Kosten!$C$22="Fläche",Mieter!$L17,IF(Kosten!$C$22="Anteil",Mieter!$M17,Mieter!$N17))*IF(Kosten!$D$22="Heizung",Mieter!$K17,Mieter!$J17)/Kosten!$E$22)</f>
        <v/>
      </c>
      <c r="U17" s="18">
        <f>IF(OR(Kosten!$B$23="",Kosten!$E$23=0,Mieter!$C17=""),0,Kosten!$B$23*IF(Kosten!$C$23="Fläche",Mieter!$L17,IF(Kosten!$C$23="Anteil",Mieter!$M17,Mieter!$N17))*IF(Kosten!$D$23="Heizung",Mieter!$K17,Mieter!$J17)/Kosten!$E$23)</f>
        <v/>
      </c>
      <c r="V17" s="18">
        <f>IF(OR(Kosten!$B$24="",Kosten!$E$24=0,Mieter!$C17=""),0,Kosten!$B$24*IF(Kosten!$C$24="Fläche",Mieter!$L17,IF(Kosten!$C$24="Anteil",Mieter!$M17,Mieter!$N17))*IF(Kosten!$D$24="Heizung",Mieter!$K17,Mieter!$J17)/Kosten!$E$24)</f>
        <v/>
      </c>
      <c r="W17" s="18">
        <f>IF(OR(Kosten!$B$25="",Kosten!$E$25=0,Mieter!$C17=""),0,Kosten!$B$25*IF(Kosten!$C$25="Fläche",Mieter!$L17,IF(Kosten!$C$25="Anteil",Mieter!$M17,Mieter!$N17))*IF(Kosten!$D$25="Heizung",Mieter!$K17,Mieter!$J17)/Kosten!$E$25)</f>
        <v/>
      </c>
      <c r="X17" s="18">
        <f>IF(OR(Kosten!$B$26="",Kosten!$E$26=0,Mieter!$C17=""),0,Kosten!$B$26*IF(Kosten!$C$26="Fläche",Mieter!$L17,IF(Kosten!$C$26="Anteil",Mieter!$M17,Mieter!$N17))*IF(Kosten!$D$26="Heizung",Mieter!$K17,Mieter!$J17)/Kosten!$E$26)</f>
        <v/>
      </c>
      <c r="Y17" s="18">
        <f>IF(OR(Kosten!$B$27="",Kosten!$E$27=0,Mieter!$C17=""),0,Kosten!$B$27*IF(Kosten!$C$27="Fläche",Mieter!$L17,IF(Kosten!$C$27="Anteil",Mieter!$M17,Mieter!$N17))*IF(Kosten!$D$27="Heizung",Mieter!$K17,Mieter!$J17)/Kosten!$E$27)</f>
        <v/>
      </c>
      <c r="Z17" s="18">
        <f>IF(OR(Kosten!$B$28="",Kosten!$E$28=0,Mieter!$C17=""),0,Kosten!$B$28*IF(Kosten!$C$28="Fläche",Mieter!$L17,IF(Kosten!$C$28="Anteil",Mieter!$M17,Mieter!$N17))*IF(Kosten!$D$28="Heizung",Mieter!$K17,Mieter!$J17)/Kosten!$E$28)</f>
        <v/>
      </c>
      <c r="AA17" s="18">
        <f>IF(OR(Kosten!$B$29="",Kosten!$E$29=0,Mieter!$C17=""),0,Kosten!$B$29*IF(Kosten!$C$29="Fläche",Mieter!$L17,IF(Kosten!$C$29="Anteil",Mieter!$M17,Mieter!$N17))*IF(Kosten!$D$29="Heizung",Mieter!$K17,Mieter!$J17)/Kosten!$E$29)</f>
        <v/>
      </c>
      <c r="AB17" s="18">
        <f>ROUND(SUM(C17:AA17)*20,0)/20</f>
        <v/>
      </c>
      <c r="AC17" s="18">
        <f>N(Mieter!F17)</f>
        <v/>
      </c>
      <c r="AD17" s="18">
        <f>AB17-AC17</f>
        <v/>
      </c>
    </row>
    <row r="18">
      <c r="A18" s="13">
        <f>Mieter!A18</f>
        <v/>
      </c>
      <c r="B18" s="22">
        <f>IF(Mieter!C18="","",Mieter!B18)</f>
        <v/>
      </c>
      <c r="C18" s="18">
        <f>IF(OR(Kosten!$B$5="",Kosten!$E$5=0,Mieter!$C18=""),0,Kosten!$B$5*IF(Kosten!$C$5="Fläche",Mieter!$L18,IF(Kosten!$C$5="Anteil",Mieter!$M18,Mieter!$N18))*IF(Kosten!$D$5="Heizung",Mieter!$K18,Mieter!$J18)/Kosten!$E$5)</f>
        <v/>
      </c>
      <c r="D18" s="18">
        <f>IF(OR(Kosten!$B$6="",Kosten!$E$6=0,Mieter!$C18=""),0,Kosten!$B$6*IF(Kosten!$C$6="Fläche",Mieter!$L18,IF(Kosten!$C$6="Anteil",Mieter!$M18,Mieter!$N18))*IF(Kosten!$D$6="Heizung",Mieter!$K18,Mieter!$J18)/Kosten!$E$6)</f>
        <v/>
      </c>
      <c r="E18" s="18">
        <f>IF(OR(Kosten!$B$7="",Kosten!$E$7=0,Mieter!$C18=""),0,Kosten!$B$7*IF(Kosten!$C$7="Fläche",Mieter!$L18,IF(Kosten!$C$7="Anteil",Mieter!$M18,Mieter!$N18))*IF(Kosten!$D$7="Heizung",Mieter!$K18,Mieter!$J18)/Kosten!$E$7)</f>
        <v/>
      </c>
      <c r="F18" s="18">
        <f>IF(OR(Kosten!$B$8="",Kosten!$E$8=0,Mieter!$C18=""),0,Kosten!$B$8*IF(Kosten!$C$8="Fläche",Mieter!$L18,IF(Kosten!$C$8="Anteil",Mieter!$M18,Mieter!$N18))*IF(Kosten!$D$8="Heizung",Mieter!$K18,Mieter!$J18)/Kosten!$E$8)</f>
        <v/>
      </c>
      <c r="G18" s="18">
        <f>IF(OR(Kosten!$B$9="",Kosten!$E$9=0,Mieter!$C18=""),0,Kosten!$B$9*IF(Kosten!$C$9="Fläche",Mieter!$L18,IF(Kosten!$C$9="Anteil",Mieter!$M18,Mieter!$N18))*IF(Kosten!$D$9="Heizung",Mieter!$K18,Mieter!$J18)/Kosten!$E$9)</f>
        <v/>
      </c>
      <c r="H18" s="18">
        <f>IF(OR(Kosten!$B$10="",Kosten!$E$10=0,Mieter!$C18=""),0,Kosten!$B$10*IF(Kosten!$C$10="Fläche",Mieter!$L18,IF(Kosten!$C$10="Anteil",Mieter!$M18,Mieter!$N18))*IF(Kosten!$D$10="Heizung",Mieter!$K18,Mieter!$J18)/Kosten!$E$10)</f>
        <v/>
      </c>
      <c r="I18" s="18">
        <f>IF(OR(Kosten!$B$11="",Kosten!$E$11=0,Mieter!$C18=""),0,Kosten!$B$11*IF(Kosten!$C$11="Fläche",Mieter!$L18,IF(Kosten!$C$11="Anteil",Mieter!$M18,Mieter!$N18))*IF(Kosten!$D$11="Heizung",Mieter!$K18,Mieter!$J18)/Kosten!$E$11)</f>
        <v/>
      </c>
      <c r="J18" s="18">
        <f>IF(OR(Kosten!$B$12="",Kosten!$E$12=0,Mieter!$C18=""),0,Kosten!$B$12*IF(Kosten!$C$12="Fläche",Mieter!$L18,IF(Kosten!$C$12="Anteil",Mieter!$M18,Mieter!$N18))*IF(Kosten!$D$12="Heizung",Mieter!$K18,Mieter!$J18)/Kosten!$E$12)</f>
        <v/>
      </c>
      <c r="K18" s="18">
        <f>IF(OR(Kosten!$B$13="",Kosten!$E$13=0,Mieter!$C18=""),0,Kosten!$B$13*IF(Kosten!$C$13="Fläche",Mieter!$L18,IF(Kosten!$C$13="Anteil",Mieter!$M18,Mieter!$N18))*IF(Kosten!$D$13="Heizung",Mieter!$K18,Mieter!$J18)/Kosten!$E$13)</f>
        <v/>
      </c>
      <c r="L18" s="18">
        <f>IF(OR(Kosten!$B$14="",Kosten!$E$14=0,Mieter!$C18=""),0,Kosten!$B$14*IF(Kosten!$C$14="Fläche",Mieter!$L18,IF(Kosten!$C$14="Anteil",Mieter!$M18,Mieter!$N18))*IF(Kosten!$D$14="Heizung",Mieter!$K18,Mieter!$J18)/Kosten!$E$14)</f>
        <v/>
      </c>
      <c r="M18" s="18">
        <f>IF(OR(Kosten!$B$15="",Kosten!$E$15=0,Mieter!$C18=""),0,Kosten!$B$15*IF(Kosten!$C$15="Fläche",Mieter!$L18,IF(Kosten!$C$15="Anteil",Mieter!$M18,Mieter!$N18))*IF(Kosten!$D$15="Heizung",Mieter!$K18,Mieter!$J18)/Kosten!$E$15)</f>
        <v/>
      </c>
      <c r="N18" s="18">
        <f>IF(OR(Kosten!$B$16="",Kosten!$E$16=0,Mieter!$C18=""),0,Kosten!$B$16*IF(Kosten!$C$16="Fläche",Mieter!$L18,IF(Kosten!$C$16="Anteil",Mieter!$M18,Mieter!$N18))*IF(Kosten!$D$16="Heizung",Mieter!$K18,Mieter!$J18)/Kosten!$E$16)</f>
        <v/>
      </c>
      <c r="O18" s="18">
        <f>IF(OR(Kosten!$B$17="",Kosten!$E$17=0,Mieter!$C18=""),0,Kosten!$B$17*IF(Kosten!$C$17="Fläche",Mieter!$L18,IF(Kosten!$C$17="Anteil",Mieter!$M18,Mieter!$N18))*IF(Kosten!$D$17="Heizung",Mieter!$K18,Mieter!$J18)/Kosten!$E$17)</f>
        <v/>
      </c>
      <c r="P18" s="18">
        <f>IF(OR(Kosten!$B$18="",Kosten!$E$18=0,Mieter!$C18=""),0,Kosten!$B$18*IF(Kosten!$C$18="Fläche",Mieter!$L18,IF(Kosten!$C$18="Anteil",Mieter!$M18,Mieter!$N18))*IF(Kosten!$D$18="Heizung",Mieter!$K18,Mieter!$J18)/Kosten!$E$18)</f>
        <v/>
      </c>
      <c r="Q18" s="18">
        <f>IF(OR(Kosten!$B$19="",Kosten!$E$19=0,Mieter!$C18=""),0,Kosten!$B$19*IF(Kosten!$C$19="Fläche",Mieter!$L18,IF(Kosten!$C$19="Anteil",Mieter!$M18,Mieter!$N18))*IF(Kosten!$D$19="Heizung",Mieter!$K18,Mieter!$J18)/Kosten!$E$19)</f>
        <v/>
      </c>
      <c r="R18" s="18">
        <f>IF(OR(Kosten!$B$20="",Kosten!$E$20=0,Mieter!$C18=""),0,Kosten!$B$20*IF(Kosten!$C$20="Fläche",Mieter!$L18,IF(Kosten!$C$20="Anteil",Mieter!$M18,Mieter!$N18))*IF(Kosten!$D$20="Heizung",Mieter!$K18,Mieter!$J18)/Kosten!$E$20)</f>
        <v/>
      </c>
      <c r="S18" s="18">
        <f>IF(OR(Kosten!$B$21="",Kosten!$E$21=0,Mieter!$C18=""),0,Kosten!$B$21*IF(Kosten!$C$21="Fläche",Mieter!$L18,IF(Kosten!$C$21="Anteil",Mieter!$M18,Mieter!$N18))*IF(Kosten!$D$21="Heizung",Mieter!$K18,Mieter!$J18)/Kosten!$E$21)</f>
        <v/>
      </c>
      <c r="T18" s="18">
        <f>IF(OR(Kosten!$B$22="",Kosten!$E$22=0,Mieter!$C18=""),0,Kosten!$B$22*IF(Kosten!$C$22="Fläche",Mieter!$L18,IF(Kosten!$C$22="Anteil",Mieter!$M18,Mieter!$N18))*IF(Kosten!$D$22="Heizung",Mieter!$K18,Mieter!$J18)/Kosten!$E$22)</f>
        <v/>
      </c>
      <c r="U18" s="18">
        <f>IF(OR(Kosten!$B$23="",Kosten!$E$23=0,Mieter!$C18=""),0,Kosten!$B$23*IF(Kosten!$C$23="Fläche",Mieter!$L18,IF(Kosten!$C$23="Anteil",Mieter!$M18,Mieter!$N18))*IF(Kosten!$D$23="Heizung",Mieter!$K18,Mieter!$J18)/Kosten!$E$23)</f>
        <v/>
      </c>
      <c r="V18" s="18">
        <f>IF(OR(Kosten!$B$24="",Kosten!$E$24=0,Mieter!$C18=""),0,Kosten!$B$24*IF(Kosten!$C$24="Fläche",Mieter!$L18,IF(Kosten!$C$24="Anteil",Mieter!$M18,Mieter!$N18))*IF(Kosten!$D$24="Heizung",Mieter!$K18,Mieter!$J18)/Kosten!$E$24)</f>
        <v/>
      </c>
      <c r="W18" s="18">
        <f>IF(OR(Kosten!$B$25="",Kosten!$E$25=0,Mieter!$C18=""),0,Kosten!$B$25*IF(Kosten!$C$25="Fläche",Mieter!$L18,IF(Kosten!$C$25="Anteil",Mieter!$M18,Mieter!$N18))*IF(Kosten!$D$25="Heizung",Mieter!$K18,Mieter!$J18)/Kosten!$E$25)</f>
        <v/>
      </c>
      <c r="X18" s="18">
        <f>IF(OR(Kosten!$B$26="",Kosten!$E$26=0,Mieter!$C18=""),0,Kosten!$B$26*IF(Kosten!$C$26="Fläche",Mieter!$L18,IF(Kosten!$C$26="Anteil",Mieter!$M18,Mieter!$N18))*IF(Kosten!$D$26="Heizung",Mieter!$K18,Mieter!$J18)/Kosten!$E$26)</f>
        <v/>
      </c>
      <c r="Y18" s="18">
        <f>IF(OR(Kosten!$B$27="",Kosten!$E$27=0,Mieter!$C18=""),0,Kosten!$B$27*IF(Kosten!$C$27="Fläche",Mieter!$L18,IF(Kosten!$C$27="Anteil",Mieter!$M18,Mieter!$N18))*IF(Kosten!$D$27="Heizung",Mieter!$K18,Mieter!$J18)/Kosten!$E$27)</f>
        <v/>
      </c>
      <c r="Z18" s="18">
        <f>IF(OR(Kosten!$B$28="",Kosten!$E$28=0,Mieter!$C18=""),0,Kosten!$B$28*IF(Kosten!$C$28="Fläche",Mieter!$L18,IF(Kosten!$C$28="Anteil",Mieter!$M18,Mieter!$N18))*IF(Kosten!$D$28="Heizung",Mieter!$K18,Mieter!$J18)/Kosten!$E$28)</f>
        <v/>
      </c>
      <c r="AA18" s="18">
        <f>IF(OR(Kosten!$B$29="",Kosten!$E$29=0,Mieter!$C18=""),0,Kosten!$B$29*IF(Kosten!$C$29="Fläche",Mieter!$L18,IF(Kosten!$C$29="Anteil",Mieter!$M18,Mieter!$N18))*IF(Kosten!$D$29="Heizung",Mieter!$K18,Mieter!$J18)/Kosten!$E$29)</f>
        <v/>
      </c>
      <c r="AB18" s="18">
        <f>ROUND(SUM(C18:AA18)*20,0)/20</f>
        <v/>
      </c>
      <c r="AC18" s="18">
        <f>N(Mieter!F18)</f>
        <v/>
      </c>
      <c r="AD18" s="18">
        <f>AB18-AC18</f>
        <v/>
      </c>
    </row>
    <row r="19">
      <c r="A19" s="13">
        <f>Mieter!A19</f>
        <v/>
      </c>
      <c r="B19" s="22">
        <f>IF(Mieter!C19="","",Mieter!B19)</f>
        <v/>
      </c>
      <c r="C19" s="18">
        <f>IF(OR(Kosten!$B$5="",Kosten!$E$5=0,Mieter!$C19=""),0,Kosten!$B$5*IF(Kosten!$C$5="Fläche",Mieter!$L19,IF(Kosten!$C$5="Anteil",Mieter!$M19,Mieter!$N19))*IF(Kosten!$D$5="Heizung",Mieter!$K19,Mieter!$J19)/Kosten!$E$5)</f>
        <v/>
      </c>
      <c r="D19" s="18">
        <f>IF(OR(Kosten!$B$6="",Kosten!$E$6=0,Mieter!$C19=""),0,Kosten!$B$6*IF(Kosten!$C$6="Fläche",Mieter!$L19,IF(Kosten!$C$6="Anteil",Mieter!$M19,Mieter!$N19))*IF(Kosten!$D$6="Heizung",Mieter!$K19,Mieter!$J19)/Kosten!$E$6)</f>
        <v/>
      </c>
      <c r="E19" s="18">
        <f>IF(OR(Kosten!$B$7="",Kosten!$E$7=0,Mieter!$C19=""),0,Kosten!$B$7*IF(Kosten!$C$7="Fläche",Mieter!$L19,IF(Kosten!$C$7="Anteil",Mieter!$M19,Mieter!$N19))*IF(Kosten!$D$7="Heizung",Mieter!$K19,Mieter!$J19)/Kosten!$E$7)</f>
        <v/>
      </c>
      <c r="F19" s="18">
        <f>IF(OR(Kosten!$B$8="",Kosten!$E$8=0,Mieter!$C19=""),0,Kosten!$B$8*IF(Kosten!$C$8="Fläche",Mieter!$L19,IF(Kosten!$C$8="Anteil",Mieter!$M19,Mieter!$N19))*IF(Kosten!$D$8="Heizung",Mieter!$K19,Mieter!$J19)/Kosten!$E$8)</f>
        <v/>
      </c>
      <c r="G19" s="18">
        <f>IF(OR(Kosten!$B$9="",Kosten!$E$9=0,Mieter!$C19=""),0,Kosten!$B$9*IF(Kosten!$C$9="Fläche",Mieter!$L19,IF(Kosten!$C$9="Anteil",Mieter!$M19,Mieter!$N19))*IF(Kosten!$D$9="Heizung",Mieter!$K19,Mieter!$J19)/Kosten!$E$9)</f>
        <v/>
      </c>
      <c r="H19" s="18">
        <f>IF(OR(Kosten!$B$10="",Kosten!$E$10=0,Mieter!$C19=""),0,Kosten!$B$10*IF(Kosten!$C$10="Fläche",Mieter!$L19,IF(Kosten!$C$10="Anteil",Mieter!$M19,Mieter!$N19))*IF(Kosten!$D$10="Heizung",Mieter!$K19,Mieter!$J19)/Kosten!$E$10)</f>
        <v/>
      </c>
      <c r="I19" s="18">
        <f>IF(OR(Kosten!$B$11="",Kosten!$E$11=0,Mieter!$C19=""),0,Kosten!$B$11*IF(Kosten!$C$11="Fläche",Mieter!$L19,IF(Kosten!$C$11="Anteil",Mieter!$M19,Mieter!$N19))*IF(Kosten!$D$11="Heizung",Mieter!$K19,Mieter!$J19)/Kosten!$E$11)</f>
        <v/>
      </c>
      <c r="J19" s="18">
        <f>IF(OR(Kosten!$B$12="",Kosten!$E$12=0,Mieter!$C19=""),0,Kosten!$B$12*IF(Kosten!$C$12="Fläche",Mieter!$L19,IF(Kosten!$C$12="Anteil",Mieter!$M19,Mieter!$N19))*IF(Kosten!$D$12="Heizung",Mieter!$K19,Mieter!$J19)/Kosten!$E$12)</f>
        <v/>
      </c>
      <c r="K19" s="18">
        <f>IF(OR(Kosten!$B$13="",Kosten!$E$13=0,Mieter!$C19=""),0,Kosten!$B$13*IF(Kosten!$C$13="Fläche",Mieter!$L19,IF(Kosten!$C$13="Anteil",Mieter!$M19,Mieter!$N19))*IF(Kosten!$D$13="Heizung",Mieter!$K19,Mieter!$J19)/Kosten!$E$13)</f>
        <v/>
      </c>
      <c r="L19" s="18">
        <f>IF(OR(Kosten!$B$14="",Kosten!$E$14=0,Mieter!$C19=""),0,Kosten!$B$14*IF(Kosten!$C$14="Fläche",Mieter!$L19,IF(Kosten!$C$14="Anteil",Mieter!$M19,Mieter!$N19))*IF(Kosten!$D$14="Heizung",Mieter!$K19,Mieter!$J19)/Kosten!$E$14)</f>
        <v/>
      </c>
      <c r="M19" s="18">
        <f>IF(OR(Kosten!$B$15="",Kosten!$E$15=0,Mieter!$C19=""),0,Kosten!$B$15*IF(Kosten!$C$15="Fläche",Mieter!$L19,IF(Kosten!$C$15="Anteil",Mieter!$M19,Mieter!$N19))*IF(Kosten!$D$15="Heizung",Mieter!$K19,Mieter!$J19)/Kosten!$E$15)</f>
        <v/>
      </c>
      <c r="N19" s="18">
        <f>IF(OR(Kosten!$B$16="",Kosten!$E$16=0,Mieter!$C19=""),0,Kosten!$B$16*IF(Kosten!$C$16="Fläche",Mieter!$L19,IF(Kosten!$C$16="Anteil",Mieter!$M19,Mieter!$N19))*IF(Kosten!$D$16="Heizung",Mieter!$K19,Mieter!$J19)/Kosten!$E$16)</f>
        <v/>
      </c>
      <c r="O19" s="18">
        <f>IF(OR(Kosten!$B$17="",Kosten!$E$17=0,Mieter!$C19=""),0,Kosten!$B$17*IF(Kosten!$C$17="Fläche",Mieter!$L19,IF(Kosten!$C$17="Anteil",Mieter!$M19,Mieter!$N19))*IF(Kosten!$D$17="Heizung",Mieter!$K19,Mieter!$J19)/Kosten!$E$17)</f>
        <v/>
      </c>
      <c r="P19" s="18">
        <f>IF(OR(Kosten!$B$18="",Kosten!$E$18=0,Mieter!$C19=""),0,Kosten!$B$18*IF(Kosten!$C$18="Fläche",Mieter!$L19,IF(Kosten!$C$18="Anteil",Mieter!$M19,Mieter!$N19))*IF(Kosten!$D$18="Heizung",Mieter!$K19,Mieter!$J19)/Kosten!$E$18)</f>
        <v/>
      </c>
      <c r="Q19" s="18">
        <f>IF(OR(Kosten!$B$19="",Kosten!$E$19=0,Mieter!$C19=""),0,Kosten!$B$19*IF(Kosten!$C$19="Fläche",Mieter!$L19,IF(Kosten!$C$19="Anteil",Mieter!$M19,Mieter!$N19))*IF(Kosten!$D$19="Heizung",Mieter!$K19,Mieter!$J19)/Kosten!$E$19)</f>
        <v/>
      </c>
      <c r="R19" s="18">
        <f>IF(OR(Kosten!$B$20="",Kosten!$E$20=0,Mieter!$C19=""),0,Kosten!$B$20*IF(Kosten!$C$20="Fläche",Mieter!$L19,IF(Kosten!$C$20="Anteil",Mieter!$M19,Mieter!$N19))*IF(Kosten!$D$20="Heizung",Mieter!$K19,Mieter!$J19)/Kosten!$E$20)</f>
        <v/>
      </c>
      <c r="S19" s="18">
        <f>IF(OR(Kosten!$B$21="",Kosten!$E$21=0,Mieter!$C19=""),0,Kosten!$B$21*IF(Kosten!$C$21="Fläche",Mieter!$L19,IF(Kosten!$C$21="Anteil",Mieter!$M19,Mieter!$N19))*IF(Kosten!$D$21="Heizung",Mieter!$K19,Mieter!$J19)/Kosten!$E$21)</f>
        <v/>
      </c>
      <c r="T19" s="18">
        <f>IF(OR(Kosten!$B$22="",Kosten!$E$22=0,Mieter!$C19=""),0,Kosten!$B$22*IF(Kosten!$C$22="Fläche",Mieter!$L19,IF(Kosten!$C$22="Anteil",Mieter!$M19,Mieter!$N19))*IF(Kosten!$D$22="Heizung",Mieter!$K19,Mieter!$J19)/Kosten!$E$22)</f>
        <v/>
      </c>
      <c r="U19" s="18">
        <f>IF(OR(Kosten!$B$23="",Kosten!$E$23=0,Mieter!$C19=""),0,Kosten!$B$23*IF(Kosten!$C$23="Fläche",Mieter!$L19,IF(Kosten!$C$23="Anteil",Mieter!$M19,Mieter!$N19))*IF(Kosten!$D$23="Heizung",Mieter!$K19,Mieter!$J19)/Kosten!$E$23)</f>
        <v/>
      </c>
      <c r="V19" s="18">
        <f>IF(OR(Kosten!$B$24="",Kosten!$E$24=0,Mieter!$C19=""),0,Kosten!$B$24*IF(Kosten!$C$24="Fläche",Mieter!$L19,IF(Kosten!$C$24="Anteil",Mieter!$M19,Mieter!$N19))*IF(Kosten!$D$24="Heizung",Mieter!$K19,Mieter!$J19)/Kosten!$E$24)</f>
        <v/>
      </c>
      <c r="W19" s="18">
        <f>IF(OR(Kosten!$B$25="",Kosten!$E$25=0,Mieter!$C19=""),0,Kosten!$B$25*IF(Kosten!$C$25="Fläche",Mieter!$L19,IF(Kosten!$C$25="Anteil",Mieter!$M19,Mieter!$N19))*IF(Kosten!$D$25="Heizung",Mieter!$K19,Mieter!$J19)/Kosten!$E$25)</f>
        <v/>
      </c>
      <c r="X19" s="18">
        <f>IF(OR(Kosten!$B$26="",Kosten!$E$26=0,Mieter!$C19=""),0,Kosten!$B$26*IF(Kosten!$C$26="Fläche",Mieter!$L19,IF(Kosten!$C$26="Anteil",Mieter!$M19,Mieter!$N19))*IF(Kosten!$D$26="Heizung",Mieter!$K19,Mieter!$J19)/Kosten!$E$26)</f>
        <v/>
      </c>
      <c r="Y19" s="18">
        <f>IF(OR(Kosten!$B$27="",Kosten!$E$27=0,Mieter!$C19=""),0,Kosten!$B$27*IF(Kosten!$C$27="Fläche",Mieter!$L19,IF(Kosten!$C$27="Anteil",Mieter!$M19,Mieter!$N19))*IF(Kosten!$D$27="Heizung",Mieter!$K19,Mieter!$J19)/Kosten!$E$27)</f>
        <v/>
      </c>
      <c r="Z19" s="18">
        <f>IF(OR(Kosten!$B$28="",Kosten!$E$28=0,Mieter!$C19=""),0,Kosten!$B$28*IF(Kosten!$C$28="Fläche",Mieter!$L19,IF(Kosten!$C$28="Anteil",Mieter!$M19,Mieter!$N19))*IF(Kosten!$D$28="Heizung",Mieter!$K19,Mieter!$J19)/Kosten!$E$28)</f>
        <v/>
      </c>
      <c r="AA19" s="18">
        <f>IF(OR(Kosten!$B$29="",Kosten!$E$29=0,Mieter!$C19=""),0,Kosten!$B$29*IF(Kosten!$C$29="Fläche",Mieter!$L19,IF(Kosten!$C$29="Anteil",Mieter!$M19,Mieter!$N19))*IF(Kosten!$D$29="Heizung",Mieter!$K19,Mieter!$J19)/Kosten!$E$29)</f>
        <v/>
      </c>
      <c r="AB19" s="18">
        <f>ROUND(SUM(C19:AA19)*20,0)/20</f>
        <v/>
      </c>
      <c r="AC19" s="18">
        <f>N(Mieter!F19)</f>
        <v/>
      </c>
      <c r="AD19" s="18">
        <f>AB19-AC19</f>
        <v/>
      </c>
    </row>
    <row r="20">
      <c r="A20" s="13">
        <f>Mieter!A20</f>
        <v/>
      </c>
      <c r="B20" s="22">
        <f>IF(Mieter!C20="","",Mieter!B20)</f>
        <v/>
      </c>
      <c r="C20" s="18">
        <f>IF(OR(Kosten!$B$5="",Kosten!$E$5=0,Mieter!$C20=""),0,Kosten!$B$5*IF(Kosten!$C$5="Fläche",Mieter!$L20,IF(Kosten!$C$5="Anteil",Mieter!$M20,Mieter!$N20))*IF(Kosten!$D$5="Heizung",Mieter!$K20,Mieter!$J20)/Kosten!$E$5)</f>
        <v/>
      </c>
      <c r="D20" s="18">
        <f>IF(OR(Kosten!$B$6="",Kosten!$E$6=0,Mieter!$C20=""),0,Kosten!$B$6*IF(Kosten!$C$6="Fläche",Mieter!$L20,IF(Kosten!$C$6="Anteil",Mieter!$M20,Mieter!$N20))*IF(Kosten!$D$6="Heizung",Mieter!$K20,Mieter!$J20)/Kosten!$E$6)</f>
        <v/>
      </c>
      <c r="E20" s="18">
        <f>IF(OR(Kosten!$B$7="",Kosten!$E$7=0,Mieter!$C20=""),0,Kosten!$B$7*IF(Kosten!$C$7="Fläche",Mieter!$L20,IF(Kosten!$C$7="Anteil",Mieter!$M20,Mieter!$N20))*IF(Kosten!$D$7="Heizung",Mieter!$K20,Mieter!$J20)/Kosten!$E$7)</f>
        <v/>
      </c>
      <c r="F20" s="18">
        <f>IF(OR(Kosten!$B$8="",Kosten!$E$8=0,Mieter!$C20=""),0,Kosten!$B$8*IF(Kosten!$C$8="Fläche",Mieter!$L20,IF(Kosten!$C$8="Anteil",Mieter!$M20,Mieter!$N20))*IF(Kosten!$D$8="Heizung",Mieter!$K20,Mieter!$J20)/Kosten!$E$8)</f>
        <v/>
      </c>
      <c r="G20" s="18">
        <f>IF(OR(Kosten!$B$9="",Kosten!$E$9=0,Mieter!$C20=""),0,Kosten!$B$9*IF(Kosten!$C$9="Fläche",Mieter!$L20,IF(Kosten!$C$9="Anteil",Mieter!$M20,Mieter!$N20))*IF(Kosten!$D$9="Heizung",Mieter!$K20,Mieter!$J20)/Kosten!$E$9)</f>
        <v/>
      </c>
      <c r="H20" s="18">
        <f>IF(OR(Kosten!$B$10="",Kosten!$E$10=0,Mieter!$C20=""),0,Kosten!$B$10*IF(Kosten!$C$10="Fläche",Mieter!$L20,IF(Kosten!$C$10="Anteil",Mieter!$M20,Mieter!$N20))*IF(Kosten!$D$10="Heizung",Mieter!$K20,Mieter!$J20)/Kosten!$E$10)</f>
        <v/>
      </c>
      <c r="I20" s="18">
        <f>IF(OR(Kosten!$B$11="",Kosten!$E$11=0,Mieter!$C20=""),0,Kosten!$B$11*IF(Kosten!$C$11="Fläche",Mieter!$L20,IF(Kosten!$C$11="Anteil",Mieter!$M20,Mieter!$N20))*IF(Kosten!$D$11="Heizung",Mieter!$K20,Mieter!$J20)/Kosten!$E$11)</f>
        <v/>
      </c>
      <c r="J20" s="18">
        <f>IF(OR(Kosten!$B$12="",Kosten!$E$12=0,Mieter!$C20=""),0,Kosten!$B$12*IF(Kosten!$C$12="Fläche",Mieter!$L20,IF(Kosten!$C$12="Anteil",Mieter!$M20,Mieter!$N20))*IF(Kosten!$D$12="Heizung",Mieter!$K20,Mieter!$J20)/Kosten!$E$12)</f>
        <v/>
      </c>
      <c r="K20" s="18">
        <f>IF(OR(Kosten!$B$13="",Kosten!$E$13=0,Mieter!$C20=""),0,Kosten!$B$13*IF(Kosten!$C$13="Fläche",Mieter!$L20,IF(Kosten!$C$13="Anteil",Mieter!$M20,Mieter!$N20))*IF(Kosten!$D$13="Heizung",Mieter!$K20,Mieter!$J20)/Kosten!$E$13)</f>
        <v/>
      </c>
      <c r="L20" s="18">
        <f>IF(OR(Kosten!$B$14="",Kosten!$E$14=0,Mieter!$C20=""),0,Kosten!$B$14*IF(Kosten!$C$14="Fläche",Mieter!$L20,IF(Kosten!$C$14="Anteil",Mieter!$M20,Mieter!$N20))*IF(Kosten!$D$14="Heizung",Mieter!$K20,Mieter!$J20)/Kosten!$E$14)</f>
        <v/>
      </c>
      <c r="M20" s="18">
        <f>IF(OR(Kosten!$B$15="",Kosten!$E$15=0,Mieter!$C20=""),0,Kosten!$B$15*IF(Kosten!$C$15="Fläche",Mieter!$L20,IF(Kosten!$C$15="Anteil",Mieter!$M20,Mieter!$N20))*IF(Kosten!$D$15="Heizung",Mieter!$K20,Mieter!$J20)/Kosten!$E$15)</f>
        <v/>
      </c>
      <c r="N20" s="18">
        <f>IF(OR(Kosten!$B$16="",Kosten!$E$16=0,Mieter!$C20=""),0,Kosten!$B$16*IF(Kosten!$C$16="Fläche",Mieter!$L20,IF(Kosten!$C$16="Anteil",Mieter!$M20,Mieter!$N20))*IF(Kosten!$D$16="Heizung",Mieter!$K20,Mieter!$J20)/Kosten!$E$16)</f>
        <v/>
      </c>
      <c r="O20" s="18">
        <f>IF(OR(Kosten!$B$17="",Kosten!$E$17=0,Mieter!$C20=""),0,Kosten!$B$17*IF(Kosten!$C$17="Fläche",Mieter!$L20,IF(Kosten!$C$17="Anteil",Mieter!$M20,Mieter!$N20))*IF(Kosten!$D$17="Heizung",Mieter!$K20,Mieter!$J20)/Kosten!$E$17)</f>
        <v/>
      </c>
      <c r="P20" s="18">
        <f>IF(OR(Kosten!$B$18="",Kosten!$E$18=0,Mieter!$C20=""),0,Kosten!$B$18*IF(Kosten!$C$18="Fläche",Mieter!$L20,IF(Kosten!$C$18="Anteil",Mieter!$M20,Mieter!$N20))*IF(Kosten!$D$18="Heizung",Mieter!$K20,Mieter!$J20)/Kosten!$E$18)</f>
        <v/>
      </c>
      <c r="Q20" s="18">
        <f>IF(OR(Kosten!$B$19="",Kosten!$E$19=0,Mieter!$C20=""),0,Kosten!$B$19*IF(Kosten!$C$19="Fläche",Mieter!$L20,IF(Kosten!$C$19="Anteil",Mieter!$M20,Mieter!$N20))*IF(Kosten!$D$19="Heizung",Mieter!$K20,Mieter!$J20)/Kosten!$E$19)</f>
        <v/>
      </c>
      <c r="R20" s="18">
        <f>IF(OR(Kosten!$B$20="",Kosten!$E$20=0,Mieter!$C20=""),0,Kosten!$B$20*IF(Kosten!$C$20="Fläche",Mieter!$L20,IF(Kosten!$C$20="Anteil",Mieter!$M20,Mieter!$N20))*IF(Kosten!$D$20="Heizung",Mieter!$K20,Mieter!$J20)/Kosten!$E$20)</f>
        <v/>
      </c>
      <c r="S20" s="18">
        <f>IF(OR(Kosten!$B$21="",Kosten!$E$21=0,Mieter!$C20=""),0,Kosten!$B$21*IF(Kosten!$C$21="Fläche",Mieter!$L20,IF(Kosten!$C$21="Anteil",Mieter!$M20,Mieter!$N20))*IF(Kosten!$D$21="Heizung",Mieter!$K20,Mieter!$J20)/Kosten!$E$21)</f>
        <v/>
      </c>
      <c r="T20" s="18">
        <f>IF(OR(Kosten!$B$22="",Kosten!$E$22=0,Mieter!$C20=""),0,Kosten!$B$22*IF(Kosten!$C$22="Fläche",Mieter!$L20,IF(Kosten!$C$22="Anteil",Mieter!$M20,Mieter!$N20))*IF(Kosten!$D$22="Heizung",Mieter!$K20,Mieter!$J20)/Kosten!$E$22)</f>
        <v/>
      </c>
      <c r="U20" s="18">
        <f>IF(OR(Kosten!$B$23="",Kosten!$E$23=0,Mieter!$C20=""),0,Kosten!$B$23*IF(Kosten!$C$23="Fläche",Mieter!$L20,IF(Kosten!$C$23="Anteil",Mieter!$M20,Mieter!$N20))*IF(Kosten!$D$23="Heizung",Mieter!$K20,Mieter!$J20)/Kosten!$E$23)</f>
        <v/>
      </c>
      <c r="V20" s="18">
        <f>IF(OR(Kosten!$B$24="",Kosten!$E$24=0,Mieter!$C20=""),0,Kosten!$B$24*IF(Kosten!$C$24="Fläche",Mieter!$L20,IF(Kosten!$C$24="Anteil",Mieter!$M20,Mieter!$N20))*IF(Kosten!$D$24="Heizung",Mieter!$K20,Mieter!$J20)/Kosten!$E$24)</f>
        <v/>
      </c>
      <c r="W20" s="18">
        <f>IF(OR(Kosten!$B$25="",Kosten!$E$25=0,Mieter!$C20=""),0,Kosten!$B$25*IF(Kosten!$C$25="Fläche",Mieter!$L20,IF(Kosten!$C$25="Anteil",Mieter!$M20,Mieter!$N20))*IF(Kosten!$D$25="Heizung",Mieter!$K20,Mieter!$J20)/Kosten!$E$25)</f>
        <v/>
      </c>
      <c r="X20" s="18">
        <f>IF(OR(Kosten!$B$26="",Kosten!$E$26=0,Mieter!$C20=""),0,Kosten!$B$26*IF(Kosten!$C$26="Fläche",Mieter!$L20,IF(Kosten!$C$26="Anteil",Mieter!$M20,Mieter!$N20))*IF(Kosten!$D$26="Heizung",Mieter!$K20,Mieter!$J20)/Kosten!$E$26)</f>
        <v/>
      </c>
      <c r="Y20" s="18">
        <f>IF(OR(Kosten!$B$27="",Kosten!$E$27=0,Mieter!$C20=""),0,Kosten!$B$27*IF(Kosten!$C$27="Fläche",Mieter!$L20,IF(Kosten!$C$27="Anteil",Mieter!$M20,Mieter!$N20))*IF(Kosten!$D$27="Heizung",Mieter!$K20,Mieter!$J20)/Kosten!$E$27)</f>
        <v/>
      </c>
      <c r="Z20" s="18">
        <f>IF(OR(Kosten!$B$28="",Kosten!$E$28=0,Mieter!$C20=""),0,Kosten!$B$28*IF(Kosten!$C$28="Fläche",Mieter!$L20,IF(Kosten!$C$28="Anteil",Mieter!$M20,Mieter!$N20))*IF(Kosten!$D$28="Heizung",Mieter!$K20,Mieter!$J20)/Kosten!$E$28)</f>
        <v/>
      </c>
      <c r="AA20" s="18">
        <f>IF(OR(Kosten!$B$29="",Kosten!$E$29=0,Mieter!$C20=""),0,Kosten!$B$29*IF(Kosten!$C$29="Fläche",Mieter!$L20,IF(Kosten!$C$29="Anteil",Mieter!$M20,Mieter!$N20))*IF(Kosten!$D$29="Heizung",Mieter!$K20,Mieter!$J20)/Kosten!$E$29)</f>
        <v/>
      </c>
      <c r="AB20" s="18">
        <f>ROUND(SUM(C20:AA20)*20,0)/20</f>
        <v/>
      </c>
      <c r="AC20" s="18">
        <f>N(Mieter!F20)</f>
        <v/>
      </c>
      <c r="AD20" s="18">
        <f>AB20-AC20</f>
        <v/>
      </c>
    </row>
    <row r="21">
      <c r="A21" s="13">
        <f>Mieter!A21</f>
        <v/>
      </c>
      <c r="B21" s="22">
        <f>IF(Mieter!C21="","",Mieter!B21)</f>
        <v/>
      </c>
      <c r="C21" s="18">
        <f>IF(OR(Kosten!$B$5="",Kosten!$E$5=0,Mieter!$C21=""),0,Kosten!$B$5*IF(Kosten!$C$5="Fläche",Mieter!$L21,IF(Kosten!$C$5="Anteil",Mieter!$M21,Mieter!$N21))*IF(Kosten!$D$5="Heizung",Mieter!$K21,Mieter!$J21)/Kosten!$E$5)</f>
        <v/>
      </c>
      <c r="D21" s="18">
        <f>IF(OR(Kosten!$B$6="",Kosten!$E$6=0,Mieter!$C21=""),0,Kosten!$B$6*IF(Kosten!$C$6="Fläche",Mieter!$L21,IF(Kosten!$C$6="Anteil",Mieter!$M21,Mieter!$N21))*IF(Kosten!$D$6="Heizung",Mieter!$K21,Mieter!$J21)/Kosten!$E$6)</f>
        <v/>
      </c>
      <c r="E21" s="18">
        <f>IF(OR(Kosten!$B$7="",Kosten!$E$7=0,Mieter!$C21=""),0,Kosten!$B$7*IF(Kosten!$C$7="Fläche",Mieter!$L21,IF(Kosten!$C$7="Anteil",Mieter!$M21,Mieter!$N21))*IF(Kosten!$D$7="Heizung",Mieter!$K21,Mieter!$J21)/Kosten!$E$7)</f>
        <v/>
      </c>
      <c r="F21" s="18">
        <f>IF(OR(Kosten!$B$8="",Kosten!$E$8=0,Mieter!$C21=""),0,Kosten!$B$8*IF(Kosten!$C$8="Fläche",Mieter!$L21,IF(Kosten!$C$8="Anteil",Mieter!$M21,Mieter!$N21))*IF(Kosten!$D$8="Heizung",Mieter!$K21,Mieter!$J21)/Kosten!$E$8)</f>
        <v/>
      </c>
      <c r="G21" s="18">
        <f>IF(OR(Kosten!$B$9="",Kosten!$E$9=0,Mieter!$C21=""),0,Kosten!$B$9*IF(Kosten!$C$9="Fläche",Mieter!$L21,IF(Kosten!$C$9="Anteil",Mieter!$M21,Mieter!$N21))*IF(Kosten!$D$9="Heizung",Mieter!$K21,Mieter!$J21)/Kosten!$E$9)</f>
        <v/>
      </c>
      <c r="H21" s="18">
        <f>IF(OR(Kosten!$B$10="",Kosten!$E$10=0,Mieter!$C21=""),0,Kosten!$B$10*IF(Kosten!$C$10="Fläche",Mieter!$L21,IF(Kosten!$C$10="Anteil",Mieter!$M21,Mieter!$N21))*IF(Kosten!$D$10="Heizung",Mieter!$K21,Mieter!$J21)/Kosten!$E$10)</f>
        <v/>
      </c>
      <c r="I21" s="18">
        <f>IF(OR(Kosten!$B$11="",Kosten!$E$11=0,Mieter!$C21=""),0,Kosten!$B$11*IF(Kosten!$C$11="Fläche",Mieter!$L21,IF(Kosten!$C$11="Anteil",Mieter!$M21,Mieter!$N21))*IF(Kosten!$D$11="Heizung",Mieter!$K21,Mieter!$J21)/Kosten!$E$11)</f>
        <v/>
      </c>
      <c r="J21" s="18">
        <f>IF(OR(Kosten!$B$12="",Kosten!$E$12=0,Mieter!$C21=""),0,Kosten!$B$12*IF(Kosten!$C$12="Fläche",Mieter!$L21,IF(Kosten!$C$12="Anteil",Mieter!$M21,Mieter!$N21))*IF(Kosten!$D$12="Heizung",Mieter!$K21,Mieter!$J21)/Kosten!$E$12)</f>
        <v/>
      </c>
      <c r="K21" s="18">
        <f>IF(OR(Kosten!$B$13="",Kosten!$E$13=0,Mieter!$C21=""),0,Kosten!$B$13*IF(Kosten!$C$13="Fläche",Mieter!$L21,IF(Kosten!$C$13="Anteil",Mieter!$M21,Mieter!$N21))*IF(Kosten!$D$13="Heizung",Mieter!$K21,Mieter!$J21)/Kosten!$E$13)</f>
        <v/>
      </c>
      <c r="L21" s="18">
        <f>IF(OR(Kosten!$B$14="",Kosten!$E$14=0,Mieter!$C21=""),0,Kosten!$B$14*IF(Kosten!$C$14="Fläche",Mieter!$L21,IF(Kosten!$C$14="Anteil",Mieter!$M21,Mieter!$N21))*IF(Kosten!$D$14="Heizung",Mieter!$K21,Mieter!$J21)/Kosten!$E$14)</f>
        <v/>
      </c>
      <c r="M21" s="18">
        <f>IF(OR(Kosten!$B$15="",Kosten!$E$15=0,Mieter!$C21=""),0,Kosten!$B$15*IF(Kosten!$C$15="Fläche",Mieter!$L21,IF(Kosten!$C$15="Anteil",Mieter!$M21,Mieter!$N21))*IF(Kosten!$D$15="Heizung",Mieter!$K21,Mieter!$J21)/Kosten!$E$15)</f>
        <v/>
      </c>
      <c r="N21" s="18">
        <f>IF(OR(Kosten!$B$16="",Kosten!$E$16=0,Mieter!$C21=""),0,Kosten!$B$16*IF(Kosten!$C$16="Fläche",Mieter!$L21,IF(Kosten!$C$16="Anteil",Mieter!$M21,Mieter!$N21))*IF(Kosten!$D$16="Heizung",Mieter!$K21,Mieter!$J21)/Kosten!$E$16)</f>
        <v/>
      </c>
      <c r="O21" s="18">
        <f>IF(OR(Kosten!$B$17="",Kosten!$E$17=0,Mieter!$C21=""),0,Kosten!$B$17*IF(Kosten!$C$17="Fläche",Mieter!$L21,IF(Kosten!$C$17="Anteil",Mieter!$M21,Mieter!$N21))*IF(Kosten!$D$17="Heizung",Mieter!$K21,Mieter!$J21)/Kosten!$E$17)</f>
        <v/>
      </c>
      <c r="P21" s="18">
        <f>IF(OR(Kosten!$B$18="",Kosten!$E$18=0,Mieter!$C21=""),0,Kosten!$B$18*IF(Kosten!$C$18="Fläche",Mieter!$L21,IF(Kosten!$C$18="Anteil",Mieter!$M21,Mieter!$N21))*IF(Kosten!$D$18="Heizung",Mieter!$K21,Mieter!$J21)/Kosten!$E$18)</f>
        <v/>
      </c>
      <c r="Q21" s="18">
        <f>IF(OR(Kosten!$B$19="",Kosten!$E$19=0,Mieter!$C21=""),0,Kosten!$B$19*IF(Kosten!$C$19="Fläche",Mieter!$L21,IF(Kosten!$C$19="Anteil",Mieter!$M21,Mieter!$N21))*IF(Kosten!$D$19="Heizung",Mieter!$K21,Mieter!$J21)/Kosten!$E$19)</f>
        <v/>
      </c>
      <c r="R21" s="18">
        <f>IF(OR(Kosten!$B$20="",Kosten!$E$20=0,Mieter!$C21=""),0,Kosten!$B$20*IF(Kosten!$C$20="Fläche",Mieter!$L21,IF(Kosten!$C$20="Anteil",Mieter!$M21,Mieter!$N21))*IF(Kosten!$D$20="Heizung",Mieter!$K21,Mieter!$J21)/Kosten!$E$20)</f>
        <v/>
      </c>
      <c r="S21" s="18">
        <f>IF(OR(Kosten!$B$21="",Kosten!$E$21=0,Mieter!$C21=""),0,Kosten!$B$21*IF(Kosten!$C$21="Fläche",Mieter!$L21,IF(Kosten!$C$21="Anteil",Mieter!$M21,Mieter!$N21))*IF(Kosten!$D$21="Heizung",Mieter!$K21,Mieter!$J21)/Kosten!$E$21)</f>
        <v/>
      </c>
      <c r="T21" s="18">
        <f>IF(OR(Kosten!$B$22="",Kosten!$E$22=0,Mieter!$C21=""),0,Kosten!$B$22*IF(Kosten!$C$22="Fläche",Mieter!$L21,IF(Kosten!$C$22="Anteil",Mieter!$M21,Mieter!$N21))*IF(Kosten!$D$22="Heizung",Mieter!$K21,Mieter!$J21)/Kosten!$E$22)</f>
        <v/>
      </c>
      <c r="U21" s="18">
        <f>IF(OR(Kosten!$B$23="",Kosten!$E$23=0,Mieter!$C21=""),0,Kosten!$B$23*IF(Kosten!$C$23="Fläche",Mieter!$L21,IF(Kosten!$C$23="Anteil",Mieter!$M21,Mieter!$N21))*IF(Kosten!$D$23="Heizung",Mieter!$K21,Mieter!$J21)/Kosten!$E$23)</f>
        <v/>
      </c>
      <c r="V21" s="18">
        <f>IF(OR(Kosten!$B$24="",Kosten!$E$24=0,Mieter!$C21=""),0,Kosten!$B$24*IF(Kosten!$C$24="Fläche",Mieter!$L21,IF(Kosten!$C$24="Anteil",Mieter!$M21,Mieter!$N21))*IF(Kosten!$D$24="Heizung",Mieter!$K21,Mieter!$J21)/Kosten!$E$24)</f>
        <v/>
      </c>
      <c r="W21" s="18">
        <f>IF(OR(Kosten!$B$25="",Kosten!$E$25=0,Mieter!$C21=""),0,Kosten!$B$25*IF(Kosten!$C$25="Fläche",Mieter!$L21,IF(Kosten!$C$25="Anteil",Mieter!$M21,Mieter!$N21))*IF(Kosten!$D$25="Heizung",Mieter!$K21,Mieter!$J21)/Kosten!$E$25)</f>
        <v/>
      </c>
      <c r="X21" s="18">
        <f>IF(OR(Kosten!$B$26="",Kosten!$E$26=0,Mieter!$C21=""),0,Kosten!$B$26*IF(Kosten!$C$26="Fläche",Mieter!$L21,IF(Kosten!$C$26="Anteil",Mieter!$M21,Mieter!$N21))*IF(Kosten!$D$26="Heizung",Mieter!$K21,Mieter!$J21)/Kosten!$E$26)</f>
        <v/>
      </c>
      <c r="Y21" s="18">
        <f>IF(OR(Kosten!$B$27="",Kosten!$E$27=0,Mieter!$C21=""),0,Kosten!$B$27*IF(Kosten!$C$27="Fläche",Mieter!$L21,IF(Kosten!$C$27="Anteil",Mieter!$M21,Mieter!$N21))*IF(Kosten!$D$27="Heizung",Mieter!$K21,Mieter!$J21)/Kosten!$E$27)</f>
        <v/>
      </c>
      <c r="Z21" s="18">
        <f>IF(OR(Kosten!$B$28="",Kosten!$E$28=0,Mieter!$C21=""),0,Kosten!$B$28*IF(Kosten!$C$28="Fläche",Mieter!$L21,IF(Kosten!$C$28="Anteil",Mieter!$M21,Mieter!$N21))*IF(Kosten!$D$28="Heizung",Mieter!$K21,Mieter!$J21)/Kosten!$E$28)</f>
        <v/>
      </c>
      <c r="AA21" s="18">
        <f>IF(OR(Kosten!$B$29="",Kosten!$E$29=0,Mieter!$C21=""),0,Kosten!$B$29*IF(Kosten!$C$29="Fläche",Mieter!$L21,IF(Kosten!$C$29="Anteil",Mieter!$M21,Mieter!$N21))*IF(Kosten!$D$29="Heizung",Mieter!$K21,Mieter!$J21)/Kosten!$E$29)</f>
        <v/>
      </c>
      <c r="AB21" s="18">
        <f>ROUND(SUM(C21:AA21)*20,0)/20</f>
        <v/>
      </c>
      <c r="AC21" s="18">
        <f>N(Mieter!F21)</f>
        <v/>
      </c>
      <c r="AD21" s="18">
        <f>AB21-AC21</f>
        <v/>
      </c>
    </row>
    <row r="22">
      <c r="A22" s="13">
        <f>Mieter!A22</f>
        <v/>
      </c>
      <c r="B22" s="22">
        <f>IF(Mieter!C22="","",Mieter!B22)</f>
        <v/>
      </c>
      <c r="C22" s="18">
        <f>IF(OR(Kosten!$B$5="",Kosten!$E$5=0,Mieter!$C22=""),0,Kosten!$B$5*IF(Kosten!$C$5="Fläche",Mieter!$L22,IF(Kosten!$C$5="Anteil",Mieter!$M22,Mieter!$N22))*IF(Kosten!$D$5="Heizung",Mieter!$K22,Mieter!$J22)/Kosten!$E$5)</f>
        <v/>
      </c>
      <c r="D22" s="18">
        <f>IF(OR(Kosten!$B$6="",Kosten!$E$6=0,Mieter!$C22=""),0,Kosten!$B$6*IF(Kosten!$C$6="Fläche",Mieter!$L22,IF(Kosten!$C$6="Anteil",Mieter!$M22,Mieter!$N22))*IF(Kosten!$D$6="Heizung",Mieter!$K22,Mieter!$J22)/Kosten!$E$6)</f>
        <v/>
      </c>
      <c r="E22" s="18">
        <f>IF(OR(Kosten!$B$7="",Kosten!$E$7=0,Mieter!$C22=""),0,Kosten!$B$7*IF(Kosten!$C$7="Fläche",Mieter!$L22,IF(Kosten!$C$7="Anteil",Mieter!$M22,Mieter!$N22))*IF(Kosten!$D$7="Heizung",Mieter!$K22,Mieter!$J22)/Kosten!$E$7)</f>
        <v/>
      </c>
      <c r="F22" s="18">
        <f>IF(OR(Kosten!$B$8="",Kosten!$E$8=0,Mieter!$C22=""),0,Kosten!$B$8*IF(Kosten!$C$8="Fläche",Mieter!$L22,IF(Kosten!$C$8="Anteil",Mieter!$M22,Mieter!$N22))*IF(Kosten!$D$8="Heizung",Mieter!$K22,Mieter!$J22)/Kosten!$E$8)</f>
        <v/>
      </c>
      <c r="G22" s="18">
        <f>IF(OR(Kosten!$B$9="",Kosten!$E$9=0,Mieter!$C22=""),0,Kosten!$B$9*IF(Kosten!$C$9="Fläche",Mieter!$L22,IF(Kosten!$C$9="Anteil",Mieter!$M22,Mieter!$N22))*IF(Kosten!$D$9="Heizung",Mieter!$K22,Mieter!$J22)/Kosten!$E$9)</f>
        <v/>
      </c>
      <c r="H22" s="18">
        <f>IF(OR(Kosten!$B$10="",Kosten!$E$10=0,Mieter!$C22=""),0,Kosten!$B$10*IF(Kosten!$C$10="Fläche",Mieter!$L22,IF(Kosten!$C$10="Anteil",Mieter!$M22,Mieter!$N22))*IF(Kosten!$D$10="Heizung",Mieter!$K22,Mieter!$J22)/Kosten!$E$10)</f>
        <v/>
      </c>
      <c r="I22" s="18">
        <f>IF(OR(Kosten!$B$11="",Kosten!$E$11=0,Mieter!$C22=""),0,Kosten!$B$11*IF(Kosten!$C$11="Fläche",Mieter!$L22,IF(Kosten!$C$11="Anteil",Mieter!$M22,Mieter!$N22))*IF(Kosten!$D$11="Heizung",Mieter!$K22,Mieter!$J22)/Kosten!$E$11)</f>
        <v/>
      </c>
      <c r="J22" s="18">
        <f>IF(OR(Kosten!$B$12="",Kosten!$E$12=0,Mieter!$C22=""),0,Kosten!$B$12*IF(Kosten!$C$12="Fläche",Mieter!$L22,IF(Kosten!$C$12="Anteil",Mieter!$M22,Mieter!$N22))*IF(Kosten!$D$12="Heizung",Mieter!$K22,Mieter!$J22)/Kosten!$E$12)</f>
        <v/>
      </c>
      <c r="K22" s="18">
        <f>IF(OR(Kosten!$B$13="",Kosten!$E$13=0,Mieter!$C22=""),0,Kosten!$B$13*IF(Kosten!$C$13="Fläche",Mieter!$L22,IF(Kosten!$C$13="Anteil",Mieter!$M22,Mieter!$N22))*IF(Kosten!$D$13="Heizung",Mieter!$K22,Mieter!$J22)/Kosten!$E$13)</f>
        <v/>
      </c>
      <c r="L22" s="18">
        <f>IF(OR(Kosten!$B$14="",Kosten!$E$14=0,Mieter!$C22=""),0,Kosten!$B$14*IF(Kosten!$C$14="Fläche",Mieter!$L22,IF(Kosten!$C$14="Anteil",Mieter!$M22,Mieter!$N22))*IF(Kosten!$D$14="Heizung",Mieter!$K22,Mieter!$J22)/Kosten!$E$14)</f>
        <v/>
      </c>
      <c r="M22" s="18">
        <f>IF(OR(Kosten!$B$15="",Kosten!$E$15=0,Mieter!$C22=""),0,Kosten!$B$15*IF(Kosten!$C$15="Fläche",Mieter!$L22,IF(Kosten!$C$15="Anteil",Mieter!$M22,Mieter!$N22))*IF(Kosten!$D$15="Heizung",Mieter!$K22,Mieter!$J22)/Kosten!$E$15)</f>
        <v/>
      </c>
      <c r="N22" s="18">
        <f>IF(OR(Kosten!$B$16="",Kosten!$E$16=0,Mieter!$C22=""),0,Kosten!$B$16*IF(Kosten!$C$16="Fläche",Mieter!$L22,IF(Kosten!$C$16="Anteil",Mieter!$M22,Mieter!$N22))*IF(Kosten!$D$16="Heizung",Mieter!$K22,Mieter!$J22)/Kosten!$E$16)</f>
        <v/>
      </c>
      <c r="O22" s="18">
        <f>IF(OR(Kosten!$B$17="",Kosten!$E$17=0,Mieter!$C22=""),0,Kosten!$B$17*IF(Kosten!$C$17="Fläche",Mieter!$L22,IF(Kosten!$C$17="Anteil",Mieter!$M22,Mieter!$N22))*IF(Kosten!$D$17="Heizung",Mieter!$K22,Mieter!$J22)/Kosten!$E$17)</f>
        <v/>
      </c>
      <c r="P22" s="18">
        <f>IF(OR(Kosten!$B$18="",Kosten!$E$18=0,Mieter!$C22=""),0,Kosten!$B$18*IF(Kosten!$C$18="Fläche",Mieter!$L22,IF(Kosten!$C$18="Anteil",Mieter!$M22,Mieter!$N22))*IF(Kosten!$D$18="Heizung",Mieter!$K22,Mieter!$J22)/Kosten!$E$18)</f>
        <v/>
      </c>
      <c r="Q22" s="18">
        <f>IF(OR(Kosten!$B$19="",Kosten!$E$19=0,Mieter!$C22=""),0,Kosten!$B$19*IF(Kosten!$C$19="Fläche",Mieter!$L22,IF(Kosten!$C$19="Anteil",Mieter!$M22,Mieter!$N22))*IF(Kosten!$D$19="Heizung",Mieter!$K22,Mieter!$J22)/Kosten!$E$19)</f>
        <v/>
      </c>
      <c r="R22" s="18">
        <f>IF(OR(Kosten!$B$20="",Kosten!$E$20=0,Mieter!$C22=""),0,Kosten!$B$20*IF(Kosten!$C$20="Fläche",Mieter!$L22,IF(Kosten!$C$20="Anteil",Mieter!$M22,Mieter!$N22))*IF(Kosten!$D$20="Heizung",Mieter!$K22,Mieter!$J22)/Kosten!$E$20)</f>
        <v/>
      </c>
      <c r="S22" s="18">
        <f>IF(OR(Kosten!$B$21="",Kosten!$E$21=0,Mieter!$C22=""),0,Kosten!$B$21*IF(Kosten!$C$21="Fläche",Mieter!$L22,IF(Kosten!$C$21="Anteil",Mieter!$M22,Mieter!$N22))*IF(Kosten!$D$21="Heizung",Mieter!$K22,Mieter!$J22)/Kosten!$E$21)</f>
        <v/>
      </c>
      <c r="T22" s="18">
        <f>IF(OR(Kosten!$B$22="",Kosten!$E$22=0,Mieter!$C22=""),0,Kosten!$B$22*IF(Kosten!$C$22="Fläche",Mieter!$L22,IF(Kosten!$C$22="Anteil",Mieter!$M22,Mieter!$N22))*IF(Kosten!$D$22="Heizung",Mieter!$K22,Mieter!$J22)/Kosten!$E$22)</f>
        <v/>
      </c>
      <c r="U22" s="18">
        <f>IF(OR(Kosten!$B$23="",Kosten!$E$23=0,Mieter!$C22=""),0,Kosten!$B$23*IF(Kosten!$C$23="Fläche",Mieter!$L22,IF(Kosten!$C$23="Anteil",Mieter!$M22,Mieter!$N22))*IF(Kosten!$D$23="Heizung",Mieter!$K22,Mieter!$J22)/Kosten!$E$23)</f>
        <v/>
      </c>
      <c r="V22" s="18">
        <f>IF(OR(Kosten!$B$24="",Kosten!$E$24=0,Mieter!$C22=""),0,Kosten!$B$24*IF(Kosten!$C$24="Fläche",Mieter!$L22,IF(Kosten!$C$24="Anteil",Mieter!$M22,Mieter!$N22))*IF(Kosten!$D$24="Heizung",Mieter!$K22,Mieter!$J22)/Kosten!$E$24)</f>
        <v/>
      </c>
      <c r="W22" s="18">
        <f>IF(OR(Kosten!$B$25="",Kosten!$E$25=0,Mieter!$C22=""),0,Kosten!$B$25*IF(Kosten!$C$25="Fläche",Mieter!$L22,IF(Kosten!$C$25="Anteil",Mieter!$M22,Mieter!$N22))*IF(Kosten!$D$25="Heizung",Mieter!$K22,Mieter!$J22)/Kosten!$E$25)</f>
        <v/>
      </c>
      <c r="X22" s="18">
        <f>IF(OR(Kosten!$B$26="",Kosten!$E$26=0,Mieter!$C22=""),0,Kosten!$B$26*IF(Kosten!$C$26="Fläche",Mieter!$L22,IF(Kosten!$C$26="Anteil",Mieter!$M22,Mieter!$N22))*IF(Kosten!$D$26="Heizung",Mieter!$K22,Mieter!$J22)/Kosten!$E$26)</f>
        <v/>
      </c>
      <c r="Y22" s="18">
        <f>IF(OR(Kosten!$B$27="",Kosten!$E$27=0,Mieter!$C22=""),0,Kosten!$B$27*IF(Kosten!$C$27="Fläche",Mieter!$L22,IF(Kosten!$C$27="Anteil",Mieter!$M22,Mieter!$N22))*IF(Kosten!$D$27="Heizung",Mieter!$K22,Mieter!$J22)/Kosten!$E$27)</f>
        <v/>
      </c>
      <c r="Z22" s="18">
        <f>IF(OR(Kosten!$B$28="",Kosten!$E$28=0,Mieter!$C22=""),0,Kosten!$B$28*IF(Kosten!$C$28="Fläche",Mieter!$L22,IF(Kosten!$C$28="Anteil",Mieter!$M22,Mieter!$N22))*IF(Kosten!$D$28="Heizung",Mieter!$K22,Mieter!$J22)/Kosten!$E$28)</f>
        <v/>
      </c>
      <c r="AA22" s="18">
        <f>IF(OR(Kosten!$B$29="",Kosten!$E$29=0,Mieter!$C22=""),0,Kosten!$B$29*IF(Kosten!$C$29="Fläche",Mieter!$L22,IF(Kosten!$C$29="Anteil",Mieter!$M22,Mieter!$N22))*IF(Kosten!$D$29="Heizung",Mieter!$K22,Mieter!$J22)/Kosten!$E$29)</f>
        <v/>
      </c>
      <c r="AB22" s="18">
        <f>ROUND(SUM(C22:AA22)*20,0)/20</f>
        <v/>
      </c>
      <c r="AC22" s="18">
        <f>N(Mieter!F22)</f>
        <v/>
      </c>
      <c r="AD22" s="18">
        <f>AB22-AC22</f>
        <v/>
      </c>
    </row>
    <row r="23">
      <c r="A23" s="13">
        <f>Mieter!A23</f>
        <v/>
      </c>
      <c r="B23" s="22">
        <f>IF(Mieter!C23="","",Mieter!B23)</f>
        <v/>
      </c>
      <c r="C23" s="18">
        <f>IF(OR(Kosten!$B$5="",Kosten!$E$5=0,Mieter!$C23=""),0,Kosten!$B$5*IF(Kosten!$C$5="Fläche",Mieter!$L23,IF(Kosten!$C$5="Anteil",Mieter!$M23,Mieter!$N23))*IF(Kosten!$D$5="Heizung",Mieter!$K23,Mieter!$J23)/Kosten!$E$5)</f>
        <v/>
      </c>
      <c r="D23" s="18">
        <f>IF(OR(Kosten!$B$6="",Kosten!$E$6=0,Mieter!$C23=""),0,Kosten!$B$6*IF(Kosten!$C$6="Fläche",Mieter!$L23,IF(Kosten!$C$6="Anteil",Mieter!$M23,Mieter!$N23))*IF(Kosten!$D$6="Heizung",Mieter!$K23,Mieter!$J23)/Kosten!$E$6)</f>
        <v/>
      </c>
      <c r="E23" s="18">
        <f>IF(OR(Kosten!$B$7="",Kosten!$E$7=0,Mieter!$C23=""),0,Kosten!$B$7*IF(Kosten!$C$7="Fläche",Mieter!$L23,IF(Kosten!$C$7="Anteil",Mieter!$M23,Mieter!$N23))*IF(Kosten!$D$7="Heizung",Mieter!$K23,Mieter!$J23)/Kosten!$E$7)</f>
        <v/>
      </c>
      <c r="F23" s="18">
        <f>IF(OR(Kosten!$B$8="",Kosten!$E$8=0,Mieter!$C23=""),0,Kosten!$B$8*IF(Kosten!$C$8="Fläche",Mieter!$L23,IF(Kosten!$C$8="Anteil",Mieter!$M23,Mieter!$N23))*IF(Kosten!$D$8="Heizung",Mieter!$K23,Mieter!$J23)/Kosten!$E$8)</f>
        <v/>
      </c>
      <c r="G23" s="18">
        <f>IF(OR(Kosten!$B$9="",Kosten!$E$9=0,Mieter!$C23=""),0,Kosten!$B$9*IF(Kosten!$C$9="Fläche",Mieter!$L23,IF(Kosten!$C$9="Anteil",Mieter!$M23,Mieter!$N23))*IF(Kosten!$D$9="Heizung",Mieter!$K23,Mieter!$J23)/Kosten!$E$9)</f>
        <v/>
      </c>
      <c r="H23" s="18">
        <f>IF(OR(Kosten!$B$10="",Kosten!$E$10=0,Mieter!$C23=""),0,Kosten!$B$10*IF(Kosten!$C$10="Fläche",Mieter!$L23,IF(Kosten!$C$10="Anteil",Mieter!$M23,Mieter!$N23))*IF(Kosten!$D$10="Heizung",Mieter!$K23,Mieter!$J23)/Kosten!$E$10)</f>
        <v/>
      </c>
      <c r="I23" s="18">
        <f>IF(OR(Kosten!$B$11="",Kosten!$E$11=0,Mieter!$C23=""),0,Kosten!$B$11*IF(Kosten!$C$11="Fläche",Mieter!$L23,IF(Kosten!$C$11="Anteil",Mieter!$M23,Mieter!$N23))*IF(Kosten!$D$11="Heizung",Mieter!$K23,Mieter!$J23)/Kosten!$E$11)</f>
        <v/>
      </c>
      <c r="J23" s="18">
        <f>IF(OR(Kosten!$B$12="",Kosten!$E$12=0,Mieter!$C23=""),0,Kosten!$B$12*IF(Kosten!$C$12="Fläche",Mieter!$L23,IF(Kosten!$C$12="Anteil",Mieter!$M23,Mieter!$N23))*IF(Kosten!$D$12="Heizung",Mieter!$K23,Mieter!$J23)/Kosten!$E$12)</f>
        <v/>
      </c>
      <c r="K23" s="18">
        <f>IF(OR(Kosten!$B$13="",Kosten!$E$13=0,Mieter!$C23=""),0,Kosten!$B$13*IF(Kosten!$C$13="Fläche",Mieter!$L23,IF(Kosten!$C$13="Anteil",Mieter!$M23,Mieter!$N23))*IF(Kosten!$D$13="Heizung",Mieter!$K23,Mieter!$J23)/Kosten!$E$13)</f>
        <v/>
      </c>
      <c r="L23" s="18">
        <f>IF(OR(Kosten!$B$14="",Kosten!$E$14=0,Mieter!$C23=""),0,Kosten!$B$14*IF(Kosten!$C$14="Fläche",Mieter!$L23,IF(Kosten!$C$14="Anteil",Mieter!$M23,Mieter!$N23))*IF(Kosten!$D$14="Heizung",Mieter!$K23,Mieter!$J23)/Kosten!$E$14)</f>
        <v/>
      </c>
      <c r="M23" s="18">
        <f>IF(OR(Kosten!$B$15="",Kosten!$E$15=0,Mieter!$C23=""),0,Kosten!$B$15*IF(Kosten!$C$15="Fläche",Mieter!$L23,IF(Kosten!$C$15="Anteil",Mieter!$M23,Mieter!$N23))*IF(Kosten!$D$15="Heizung",Mieter!$K23,Mieter!$J23)/Kosten!$E$15)</f>
        <v/>
      </c>
      <c r="N23" s="18">
        <f>IF(OR(Kosten!$B$16="",Kosten!$E$16=0,Mieter!$C23=""),0,Kosten!$B$16*IF(Kosten!$C$16="Fläche",Mieter!$L23,IF(Kosten!$C$16="Anteil",Mieter!$M23,Mieter!$N23))*IF(Kosten!$D$16="Heizung",Mieter!$K23,Mieter!$J23)/Kosten!$E$16)</f>
        <v/>
      </c>
      <c r="O23" s="18">
        <f>IF(OR(Kosten!$B$17="",Kosten!$E$17=0,Mieter!$C23=""),0,Kosten!$B$17*IF(Kosten!$C$17="Fläche",Mieter!$L23,IF(Kosten!$C$17="Anteil",Mieter!$M23,Mieter!$N23))*IF(Kosten!$D$17="Heizung",Mieter!$K23,Mieter!$J23)/Kosten!$E$17)</f>
        <v/>
      </c>
      <c r="P23" s="18">
        <f>IF(OR(Kosten!$B$18="",Kosten!$E$18=0,Mieter!$C23=""),0,Kosten!$B$18*IF(Kosten!$C$18="Fläche",Mieter!$L23,IF(Kosten!$C$18="Anteil",Mieter!$M23,Mieter!$N23))*IF(Kosten!$D$18="Heizung",Mieter!$K23,Mieter!$J23)/Kosten!$E$18)</f>
        <v/>
      </c>
      <c r="Q23" s="18">
        <f>IF(OR(Kosten!$B$19="",Kosten!$E$19=0,Mieter!$C23=""),0,Kosten!$B$19*IF(Kosten!$C$19="Fläche",Mieter!$L23,IF(Kosten!$C$19="Anteil",Mieter!$M23,Mieter!$N23))*IF(Kosten!$D$19="Heizung",Mieter!$K23,Mieter!$J23)/Kosten!$E$19)</f>
        <v/>
      </c>
      <c r="R23" s="18">
        <f>IF(OR(Kosten!$B$20="",Kosten!$E$20=0,Mieter!$C23=""),0,Kosten!$B$20*IF(Kosten!$C$20="Fläche",Mieter!$L23,IF(Kosten!$C$20="Anteil",Mieter!$M23,Mieter!$N23))*IF(Kosten!$D$20="Heizung",Mieter!$K23,Mieter!$J23)/Kosten!$E$20)</f>
        <v/>
      </c>
      <c r="S23" s="18">
        <f>IF(OR(Kosten!$B$21="",Kosten!$E$21=0,Mieter!$C23=""),0,Kosten!$B$21*IF(Kosten!$C$21="Fläche",Mieter!$L23,IF(Kosten!$C$21="Anteil",Mieter!$M23,Mieter!$N23))*IF(Kosten!$D$21="Heizung",Mieter!$K23,Mieter!$J23)/Kosten!$E$21)</f>
        <v/>
      </c>
      <c r="T23" s="18">
        <f>IF(OR(Kosten!$B$22="",Kosten!$E$22=0,Mieter!$C23=""),0,Kosten!$B$22*IF(Kosten!$C$22="Fläche",Mieter!$L23,IF(Kosten!$C$22="Anteil",Mieter!$M23,Mieter!$N23))*IF(Kosten!$D$22="Heizung",Mieter!$K23,Mieter!$J23)/Kosten!$E$22)</f>
        <v/>
      </c>
      <c r="U23" s="18">
        <f>IF(OR(Kosten!$B$23="",Kosten!$E$23=0,Mieter!$C23=""),0,Kosten!$B$23*IF(Kosten!$C$23="Fläche",Mieter!$L23,IF(Kosten!$C$23="Anteil",Mieter!$M23,Mieter!$N23))*IF(Kosten!$D$23="Heizung",Mieter!$K23,Mieter!$J23)/Kosten!$E$23)</f>
        <v/>
      </c>
      <c r="V23" s="18">
        <f>IF(OR(Kosten!$B$24="",Kosten!$E$24=0,Mieter!$C23=""),0,Kosten!$B$24*IF(Kosten!$C$24="Fläche",Mieter!$L23,IF(Kosten!$C$24="Anteil",Mieter!$M23,Mieter!$N23))*IF(Kosten!$D$24="Heizung",Mieter!$K23,Mieter!$J23)/Kosten!$E$24)</f>
        <v/>
      </c>
      <c r="W23" s="18">
        <f>IF(OR(Kosten!$B$25="",Kosten!$E$25=0,Mieter!$C23=""),0,Kosten!$B$25*IF(Kosten!$C$25="Fläche",Mieter!$L23,IF(Kosten!$C$25="Anteil",Mieter!$M23,Mieter!$N23))*IF(Kosten!$D$25="Heizung",Mieter!$K23,Mieter!$J23)/Kosten!$E$25)</f>
        <v/>
      </c>
      <c r="X23" s="18">
        <f>IF(OR(Kosten!$B$26="",Kosten!$E$26=0,Mieter!$C23=""),0,Kosten!$B$26*IF(Kosten!$C$26="Fläche",Mieter!$L23,IF(Kosten!$C$26="Anteil",Mieter!$M23,Mieter!$N23))*IF(Kosten!$D$26="Heizung",Mieter!$K23,Mieter!$J23)/Kosten!$E$26)</f>
        <v/>
      </c>
      <c r="Y23" s="18">
        <f>IF(OR(Kosten!$B$27="",Kosten!$E$27=0,Mieter!$C23=""),0,Kosten!$B$27*IF(Kosten!$C$27="Fläche",Mieter!$L23,IF(Kosten!$C$27="Anteil",Mieter!$M23,Mieter!$N23))*IF(Kosten!$D$27="Heizung",Mieter!$K23,Mieter!$J23)/Kosten!$E$27)</f>
        <v/>
      </c>
      <c r="Z23" s="18">
        <f>IF(OR(Kosten!$B$28="",Kosten!$E$28=0,Mieter!$C23=""),0,Kosten!$B$28*IF(Kosten!$C$28="Fläche",Mieter!$L23,IF(Kosten!$C$28="Anteil",Mieter!$M23,Mieter!$N23))*IF(Kosten!$D$28="Heizung",Mieter!$K23,Mieter!$J23)/Kosten!$E$28)</f>
        <v/>
      </c>
      <c r="AA23" s="18">
        <f>IF(OR(Kosten!$B$29="",Kosten!$E$29=0,Mieter!$C23=""),0,Kosten!$B$29*IF(Kosten!$C$29="Fläche",Mieter!$L23,IF(Kosten!$C$29="Anteil",Mieter!$M23,Mieter!$N23))*IF(Kosten!$D$29="Heizung",Mieter!$K23,Mieter!$J23)/Kosten!$E$29)</f>
        <v/>
      </c>
      <c r="AB23" s="18">
        <f>ROUND(SUM(C23:AA23)*20,0)/20</f>
        <v/>
      </c>
      <c r="AC23" s="18">
        <f>N(Mieter!F23)</f>
        <v/>
      </c>
      <c r="AD23" s="18">
        <f>AB23-AC23</f>
        <v/>
      </c>
    </row>
    <row r="24">
      <c r="A24" s="13">
        <f>Mieter!A24</f>
        <v/>
      </c>
      <c r="B24" s="22">
        <f>IF(Mieter!C24="","",Mieter!B24)</f>
        <v/>
      </c>
      <c r="C24" s="18">
        <f>IF(OR(Kosten!$B$5="",Kosten!$E$5=0,Mieter!$C24=""),0,Kosten!$B$5*IF(Kosten!$C$5="Fläche",Mieter!$L24,IF(Kosten!$C$5="Anteil",Mieter!$M24,Mieter!$N24))*IF(Kosten!$D$5="Heizung",Mieter!$K24,Mieter!$J24)/Kosten!$E$5)</f>
        <v/>
      </c>
      <c r="D24" s="18">
        <f>IF(OR(Kosten!$B$6="",Kosten!$E$6=0,Mieter!$C24=""),0,Kosten!$B$6*IF(Kosten!$C$6="Fläche",Mieter!$L24,IF(Kosten!$C$6="Anteil",Mieter!$M24,Mieter!$N24))*IF(Kosten!$D$6="Heizung",Mieter!$K24,Mieter!$J24)/Kosten!$E$6)</f>
        <v/>
      </c>
      <c r="E24" s="18">
        <f>IF(OR(Kosten!$B$7="",Kosten!$E$7=0,Mieter!$C24=""),0,Kosten!$B$7*IF(Kosten!$C$7="Fläche",Mieter!$L24,IF(Kosten!$C$7="Anteil",Mieter!$M24,Mieter!$N24))*IF(Kosten!$D$7="Heizung",Mieter!$K24,Mieter!$J24)/Kosten!$E$7)</f>
        <v/>
      </c>
      <c r="F24" s="18">
        <f>IF(OR(Kosten!$B$8="",Kosten!$E$8=0,Mieter!$C24=""),0,Kosten!$B$8*IF(Kosten!$C$8="Fläche",Mieter!$L24,IF(Kosten!$C$8="Anteil",Mieter!$M24,Mieter!$N24))*IF(Kosten!$D$8="Heizung",Mieter!$K24,Mieter!$J24)/Kosten!$E$8)</f>
        <v/>
      </c>
      <c r="G24" s="18">
        <f>IF(OR(Kosten!$B$9="",Kosten!$E$9=0,Mieter!$C24=""),0,Kosten!$B$9*IF(Kosten!$C$9="Fläche",Mieter!$L24,IF(Kosten!$C$9="Anteil",Mieter!$M24,Mieter!$N24))*IF(Kosten!$D$9="Heizung",Mieter!$K24,Mieter!$J24)/Kosten!$E$9)</f>
        <v/>
      </c>
      <c r="H24" s="18">
        <f>IF(OR(Kosten!$B$10="",Kosten!$E$10=0,Mieter!$C24=""),0,Kosten!$B$10*IF(Kosten!$C$10="Fläche",Mieter!$L24,IF(Kosten!$C$10="Anteil",Mieter!$M24,Mieter!$N24))*IF(Kosten!$D$10="Heizung",Mieter!$K24,Mieter!$J24)/Kosten!$E$10)</f>
        <v/>
      </c>
      <c r="I24" s="18">
        <f>IF(OR(Kosten!$B$11="",Kosten!$E$11=0,Mieter!$C24=""),0,Kosten!$B$11*IF(Kosten!$C$11="Fläche",Mieter!$L24,IF(Kosten!$C$11="Anteil",Mieter!$M24,Mieter!$N24))*IF(Kosten!$D$11="Heizung",Mieter!$K24,Mieter!$J24)/Kosten!$E$11)</f>
        <v/>
      </c>
      <c r="J24" s="18">
        <f>IF(OR(Kosten!$B$12="",Kosten!$E$12=0,Mieter!$C24=""),0,Kosten!$B$12*IF(Kosten!$C$12="Fläche",Mieter!$L24,IF(Kosten!$C$12="Anteil",Mieter!$M24,Mieter!$N24))*IF(Kosten!$D$12="Heizung",Mieter!$K24,Mieter!$J24)/Kosten!$E$12)</f>
        <v/>
      </c>
      <c r="K24" s="18">
        <f>IF(OR(Kosten!$B$13="",Kosten!$E$13=0,Mieter!$C24=""),0,Kosten!$B$13*IF(Kosten!$C$13="Fläche",Mieter!$L24,IF(Kosten!$C$13="Anteil",Mieter!$M24,Mieter!$N24))*IF(Kosten!$D$13="Heizung",Mieter!$K24,Mieter!$J24)/Kosten!$E$13)</f>
        <v/>
      </c>
      <c r="L24" s="18">
        <f>IF(OR(Kosten!$B$14="",Kosten!$E$14=0,Mieter!$C24=""),0,Kosten!$B$14*IF(Kosten!$C$14="Fläche",Mieter!$L24,IF(Kosten!$C$14="Anteil",Mieter!$M24,Mieter!$N24))*IF(Kosten!$D$14="Heizung",Mieter!$K24,Mieter!$J24)/Kosten!$E$14)</f>
        <v/>
      </c>
      <c r="M24" s="18">
        <f>IF(OR(Kosten!$B$15="",Kosten!$E$15=0,Mieter!$C24=""),0,Kosten!$B$15*IF(Kosten!$C$15="Fläche",Mieter!$L24,IF(Kosten!$C$15="Anteil",Mieter!$M24,Mieter!$N24))*IF(Kosten!$D$15="Heizung",Mieter!$K24,Mieter!$J24)/Kosten!$E$15)</f>
        <v/>
      </c>
      <c r="N24" s="18">
        <f>IF(OR(Kosten!$B$16="",Kosten!$E$16=0,Mieter!$C24=""),0,Kosten!$B$16*IF(Kosten!$C$16="Fläche",Mieter!$L24,IF(Kosten!$C$16="Anteil",Mieter!$M24,Mieter!$N24))*IF(Kosten!$D$16="Heizung",Mieter!$K24,Mieter!$J24)/Kosten!$E$16)</f>
        <v/>
      </c>
      <c r="O24" s="18">
        <f>IF(OR(Kosten!$B$17="",Kosten!$E$17=0,Mieter!$C24=""),0,Kosten!$B$17*IF(Kosten!$C$17="Fläche",Mieter!$L24,IF(Kosten!$C$17="Anteil",Mieter!$M24,Mieter!$N24))*IF(Kosten!$D$17="Heizung",Mieter!$K24,Mieter!$J24)/Kosten!$E$17)</f>
        <v/>
      </c>
      <c r="P24" s="18">
        <f>IF(OR(Kosten!$B$18="",Kosten!$E$18=0,Mieter!$C24=""),0,Kosten!$B$18*IF(Kosten!$C$18="Fläche",Mieter!$L24,IF(Kosten!$C$18="Anteil",Mieter!$M24,Mieter!$N24))*IF(Kosten!$D$18="Heizung",Mieter!$K24,Mieter!$J24)/Kosten!$E$18)</f>
        <v/>
      </c>
      <c r="Q24" s="18">
        <f>IF(OR(Kosten!$B$19="",Kosten!$E$19=0,Mieter!$C24=""),0,Kosten!$B$19*IF(Kosten!$C$19="Fläche",Mieter!$L24,IF(Kosten!$C$19="Anteil",Mieter!$M24,Mieter!$N24))*IF(Kosten!$D$19="Heizung",Mieter!$K24,Mieter!$J24)/Kosten!$E$19)</f>
        <v/>
      </c>
      <c r="R24" s="18">
        <f>IF(OR(Kosten!$B$20="",Kosten!$E$20=0,Mieter!$C24=""),0,Kosten!$B$20*IF(Kosten!$C$20="Fläche",Mieter!$L24,IF(Kosten!$C$20="Anteil",Mieter!$M24,Mieter!$N24))*IF(Kosten!$D$20="Heizung",Mieter!$K24,Mieter!$J24)/Kosten!$E$20)</f>
        <v/>
      </c>
      <c r="S24" s="18">
        <f>IF(OR(Kosten!$B$21="",Kosten!$E$21=0,Mieter!$C24=""),0,Kosten!$B$21*IF(Kosten!$C$21="Fläche",Mieter!$L24,IF(Kosten!$C$21="Anteil",Mieter!$M24,Mieter!$N24))*IF(Kosten!$D$21="Heizung",Mieter!$K24,Mieter!$J24)/Kosten!$E$21)</f>
        <v/>
      </c>
      <c r="T24" s="18">
        <f>IF(OR(Kosten!$B$22="",Kosten!$E$22=0,Mieter!$C24=""),0,Kosten!$B$22*IF(Kosten!$C$22="Fläche",Mieter!$L24,IF(Kosten!$C$22="Anteil",Mieter!$M24,Mieter!$N24))*IF(Kosten!$D$22="Heizung",Mieter!$K24,Mieter!$J24)/Kosten!$E$22)</f>
        <v/>
      </c>
      <c r="U24" s="18">
        <f>IF(OR(Kosten!$B$23="",Kosten!$E$23=0,Mieter!$C24=""),0,Kosten!$B$23*IF(Kosten!$C$23="Fläche",Mieter!$L24,IF(Kosten!$C$23="Anteil",Mieter!$M24,Mieter!$N24))*IF(Kosten!$D$23="Heizung",Mieter!$K24,Mieter!$J24)/Kosten!$E$23)</f>
        <v/>
      </c>
      <c r="V24" s="18">
        <f>IF(OR(Kosten!$B$24="",Kosten!$E$24=0,Mieter!$C24=""),0,Kosten!$B$24*IF(Kosten!$C$24="Fläche",Mieter!$L24,IF(Kosten!$C$24="Anteil",Mieter!$M24,Mieter!$N24))*IF(Kosten!$D$24="Heizung",Mieter!$K24,Mieter!$J24)/Kosten!$E$24)</f>
        <v/>
      </c>
      <c r="W24" s="18">
        <f>IF(OR(Kosten!$B$25="",Kosten!$E$25=0,Mieter!$C24=""),0,Kosten!$B$25*IF(Kosten!$C$25="Fläche",Mieter!$L24,IF(Kosten!$C$25="Anteil",Mieter!$M24,Mieter!$N24))*IF(Kosten!$D$25="Heizung",Mieter!$K24,Mieter!$J24)/Kosten!$E$25)</f>
        <v/>
      </c>
      <c r="X24" s="18">
        <f>IF(OR(Kosten!$B$26="",Kosten!$E$26=0,Mieter!$C24=""),0,Kosten!$B$26*IF(Kosten!$C$26="Fläche",Mieter!$L24,IF(Kosten!$C$26="Anteil",Mieter!$M24,Mieter!$N24))*IF(Kosten!$D$26="Heizung",Mieter!$K24,Mieter!$J24)/Kosten!$E$26)</f>
        <v/>
      </c>
      <c r="Y24" s="18">
        <f>IF(OR(Kosten!$B$27="",Kosten!$E$27=0,Mieter!$C24=""),0,Kosten!$B$27*IF(Kosten!$C$27="Fläche",Mieter!$L24,IF(Kosten!$C$27="Anteil",Mieter!$M24,Mieter!$N24))*IF(Kosten!$D$27="Heizung",Mieter!$K24,Mieter!$J24)/Kosten!$E$27)</f>
        <v/>
      </c>
      <c r="Z24" s="18">
        <f>IF(OR(Kosten!$B$28="",Kosten!$E$28=0,Mieter!$C24=""),0,Kosten!$B$28*IF(Kosten!$C$28="Fläche",Mieter!$L24,IF(Kosten!$C$28="Anteil",Mieter!$M24,Mieter!$N24))*IF(Kosten!$D$28="Heizung",Mieter!$K24,Mieter!$J24)/Kosten!$E$28)</f>
        <v/>
      </c>
      <c r="AA24" s="18">
        <f>IF(OR(Kosten!$B$29="",Kosten!$E$29=0,Mieter!$C24=""),0,Kosten!$B$29*IF(Kosten!$C$29="Fläche",Mieter!$L24,IF(Kosten!$C$29="Anteil",Mieter!$M24,Mieter!$N24))*IF(Kosten!$D$29="Heizung",Mieter!$K24,Mieter!$J24)/Kosten!$E$29)</f>
        <v/>
      </c>
      <c r="AB24" s="18">
        <f>ROUND(SUM(C24:AA24)*20,0)/20</f>
        <v/>
      </c>
      <c r="AC24" s="18">
        <f>N(Mieter!F24)</f>
        <v/>
      </c>
      <c r="AD24" s="18">
        <f>AB24-AC24</f>
        <v/>
      </c>
    </row>
    <row r="25">
      <c r="A25" s="13">
        <f>Mieter!A25</f>
        <v/>
      </c>
      <c r="B25" s="22">
        <f>IF(Mieter!C25="","",Mieter!B25)</f>
        <v/>
      </c>
      <c r="C25" s="18">
        <f>IF(OR(Kosten!$B$5="",Kosten!$E$5=0,Mieter!$C25=""),0,Kosten!$B$5*IF(Kosten!$C$5="Fläche",Mieter!$L25,IF(Kosten!$C$5="Anteil",Mieter!$M25,Mieter!$N25))*IF(Kosten!$D$5="Heizung",Mieter!$K25,Mieter!$J25)/Kosten!$E$5)</f>
        <v/>
      </c>
      <c r="D25" s="18">
        <f>IF(OR(Kosten!$B$6="",Kosten!$E$6=0,Mieter!$C25=""),0,Kosten!$B$6*IF(Kosten!$C$6="Fläche",Mieter!$L25,IF(Kosten!$C$6="Anteil",Mieter!$M25,Mieter!$N25))*IF(Kosten!$D$6="Heizung",Mieter!$K25,Mieter!$J25)/Kosten!$E$6)</f>
        <v/>
      </c>
      <c r="E25" s="18">
        <f>IF(OR(Kosten!$B$7="",Kosten!$E$7=0,Mieter!$C25=""),0,Kosten!$B$7*IF(Kosten!$C$7="Fläche",Mieter!$L25,IF(Kosten!$C$7="Anteil",Mieter!$M25,Mieter!$N25))*IF(Kosten!$D$7="Heizung",Mieter!$K25,Mieter!$J25)/Kosten!$E$7)</f>
        <v/>
      </c>
      <c r="F25" s="18">
        <f>IF(OR(Kosten!$B$8="",Kosten!$E$8=0,Mieter!$C25=""),0,Kosten!$B$8*IF(Kosten!$C$8="Fläche",Mieter!$L25,IF(Kosten!$C$8="Anteil",Mieter!$M25,Mieter!$N25))*IF(Kosten!$D$8="Heizung",Mieter!$K25,Mieter!$J25)/Kosten!$E$8)</f>
        <v/>
      </c>
      <c r="G25" s="18">
        <f>IF(OR(Kosten!$B$9="",Kosten!$E$9=0,Mieter!$C25=""),0,Kosten!$B$9*IF(Kosten!$C$9="Fläche",Mieter!$L25,IF(Kosten!$C$9="Anteil",Mieter!$M25,Mieter!$N25))*IF(Kosten!$D$9="Heizung",Mieter!$K25,Mieter!$J25)/Kosten!$E$9)</f>
        <v/>
      </c>
      <c r="H25" s="18">
        <f>IF(OR(Kosten!$B$10="",Kosten!$E$10=0,Mieter!$C25=""),0,Kosten!$B$10*IF(Kosten!$C$10="Fläche",Mieter!$L25,IF(Kosten!$C$10="Anteil",Mieter!$M25,Mieter!$N25))*IF(Kosten!$D$10="Heizung",Mieter!$K25,Mieter!$J25)/Kosten!$E$10)</f>
        <v/>
      </c>
      <c r="I25" s="18">
        <f>IF(OR(Kosten!$B$11="",Kosten!$E$11=0,Mieter!$C25=""),0,Kosten!$B$11*IF(Kosten!$C$11="Fläche",Mieter!$L25,IF(Kosten!$C$11="Anteil",Mieter!$M25,Mieter!$N25))*IF(Kosten!$D$11="Heizung",Mieter!$K25,Mieter!$J25)/Kosten!$E$11)</f>
        <v/>
      </c>
      <c r="J25" s="18">
        <f>IF(OR(Kosten!$B$12="",Kosten!$E$12=0,Mieter!$C25=""),0,Kosten!$B$12*IF(Kosten!$C$12="Fläche",Mieter!$L25,IF(Kosten!$C$12="Anteil",Mieter!$M25,Mieter!$N25))*IF(Kosten!$D$12="Heizung",Mieter!$K25,Mieter!$J25)/Kosten!$E$12)</f>
        <v/>
      </c>
      <c r="K25" s="18">
        <f>IF(OR(Kosten!$B$13="",Kosten!$E$13=0,Mieter!$C25=""),0,Kosten!$B$13*IF(Kosten!$C$13="Fläche",Mieter!$L25,IF(Kosten!$C$13="Anteil",Mieter!$M25,Mieter!$N25))*IF(Kosten!$D$13="Heizung",Mieter!$K25,Mieter!$J25)/Kosten!$E$13)</f>
        <v/>
      </c>
      <c r="L25" s="18">
        <f>IF(OR(Kosten!$B$14="",Kosten!$E$14=0,Mieter!$C25=""),0,Kosten!$B$14*IF(Kosten!$C$14="Fläche",Mieter!$L25,IF(Kosten!$C$14="Anteil",Mieter!$M25,Mieter!$N25))*IF(Kosten!$D$14="Heizung",Mieter!$K25,Mieter!$J25)/Kosten!$E$14)</f>
        <v/>
      </c>
      <c r="M25" s="18">
        <f>IF(OR(Kosten!$B$15="",Kosten!$E$15=0,Mieter!$C25=""),0,Kosten!$B$15*IF(Kosten!$C$15="Fläche",Mieter!$L25,IF(Kosten!$C$15="Anteil",Mieter!$M25,Mieter!$N25))*IF(Kosten!$D$15="Heizung",Mieter!$K25,Mieter!$J25)/Kosten!$E$15)</f>
        <v/>
      </c>
      <c r="N25" s="18">
        <f>IF(OR(Kosten!$B$16="",Kosten!$E$16=0,Mieter!$C25=""),0,Kosten!$B$16*IF(Kosten!$C$16="Fläche",Mieter!$L25,IF(Kosten!$C$16="Anteil",Mieter!$M25,Mieter!$N25))*IF(Kosten!$D$16="Heizung",Mieter!$K25,Mieter!$J25)/Kosten!$E$16)</f>
        <v/>
      </c>
      <c r="O25" s="18">
        <f>IF(OR(Kosten!$B$17="",Kosten!$E$17=0,Mieter!$C25=""),0,Kosten!$B$17*IF(Kosten!$C$17="Fläche",Mieter!$L25,IF(Kosten!$C$17="Anteil",Mieter!$M25,Mieter!$N25))*IF(Kosten!$D$17="Heizung",Mieter!$K25,Mieter!$J25)/Kosten!$E$17)</f>
        <v/>
      </c>
      <c r="P25" s="18">
        <f>IF(OR(Kosten!$B$18="",Kosten!$E$18=0,Mieter!$C25=""),0,Kosten!$B$18*IF(Kosten!$C$18="Fläche",Mieter!$L25,IF(Kosten!$C$18="Anteil",Mieter!$M25,Mieter!$N25))*IF(Kosten!$D$18="Heizung",Mieter!$K25,Mieter!$J25)/Kosten!$E$18)</f>
        <v/>
      </c>
      <c r="Q25" s="18">
        <f>IF(OR(Kosten!$B$19="",Kosten!$E$19=0,Mieter!$C25=""),0,Kosten!$B$19*IF(Kosten!$C$19="Fläche",Mieter!$L25,IF(Kosten!$C$19="Anteil",Mieter!$M25,Mieter!$N25))*IF(Kosten!$D$19="Heizung",Mieter!$K25,Mieter!$J25)/Kosten!$E$19)</f>
        <v/>
      </c>
      <c r="R25" s="18">
        <f>IF(OR(Kosten!$B$20="",Kosten!$E$20=0,Mieter!$C25=""),0,Kosten!$B$20*IF(Kosten!$C$20="Fläche",Mieter!$L25,IF(Kosten!$C$20="Anteil",Mieter!$M25,Mieter!$N25))*IF(Kosten!$D$20="Heizung",Mieter!$K25,Mieter!$J25)/Kosten!$E$20)</f>
        <v/>
      </c>
      <c r="S25" s="18">
        <f>IF(OR(Kosten!$B$21="",Kosten!$E$21=0,Mieter!$C25=""),0,Kosten!$B$21*IF(Kosten!$C$21="Fläche",Mieter!$L25,IF(Kosten!$C$21="Anteil",Mieter!$M25,Mieter!$N25))*IF(Kosten!$D$21="Heizung",Mieter!$K25,Mieter!$J25)/Kosten!$E$21)</f>
        <v/>
      </c>
      <c r="T25" s="18">
        <f>IF(OR(Kosten!$B$22="",Kosten!$E$22=0,Mieter!$C25=""),0,Kosten!$B$22*IF(Kosten!$C$22="Fläche",Mieter!$L25,IF(Kosten!$C$22="Anteil",Mieter!$M25,Mieter!$N25))*IF(Kosten!$D$22="Heizung",Mieter!$K25,Mieter!$J25)/Kosten!$E$22)</f>
        <v/>
      </c>
      <c r="U25" s="18">
        <f>IF(OR(Kosten!$B$23="",Kosten!$E$23=0,Mieter!$C25=""),0,Kosten!$B$23*IF(Kosten!$C$23="Fläche",Mieter!$L25,IF(Kosten!$C$23="Anteil",Mieter!$M25,Mieter!$N25))*IF(Kosten!$D$23="Heizung",Mieter!$K25,Mieter!$J25)/Kosten!$E$23)</f>
        <v/>
      </c>
      <c r="V25" s="18">
        <f>IF(OR(Kosten!$B$24="",Kosten!$E$24=0,Mieter!$C25=""),0,Kosten!$B$24*IF(Kosten!$C$24="Fläche",Mieter!$L25,IF(Kosten!$C$24="Anteil",Mieter!$M25,Mieter!$N25))*IF(Kosten!$D$24="Heizung",Mieter!$K25,Mieter!$J25)/Kosten!$E$24)</f>
        <v/>
      </c>
      <c r="W25" s="18">
        <f>IF(OR(Kosten!$B$25="",Kosten!$E$25=0,Mieter!$C25=""),0,Kosten!$B$25*IF(Kosten!$C$25="Fläche",Mieter!$L25,IF(Kosten!$C$25="Anteil",Mieter!$M25,Mieter!$N25))*IF(Kosten!$D$25="Heizung",Mieter!$K25,Mieter!$J25)/Kosten!$E$25)</f>
        <v/>
      </c>
      <c r="X25" s="18">
        <f>IF(OR(Kosten!$B$26="",Kosten!$E$26=0,Mieter!$C25=""),0,Kosten!$B$26*IF(Kosten!$C$26="Fläche",Mieter!$L25,IF(Kosten!$C$26="Anteil",Mieter!$M25,Mieter!$N25))*IF(Kosten!$D$26="Heizung",Mieter!$K25,Mieter!$J25)/Kosten!$E$26)</f>
        <v/>
      </c>
      <c r="Y25" s="18">
        <f>IF(OR(Kosten!$B$27="",Kosten!$E$27=0,Mieter!$C25=""),0,Kosten!$B$27*IF(Kosten!$C$27="Fläche",Mieter!$L25,IF(Kosten!$C$27="Anteil",Mieter!$M25,Mieter!$N25))*IF(Kosten!$D$27="Heizung",Mieter!$K25,Mieter!$J25)/Kosten!$E$27)</f>
        <v/>
      </c>
      <c r="Z25" s="18">
        <f>IF(OR(Kosten!$B$28="",Kosten!$E$28=0,Mieter!$C25=""),0,Kosten!$B$28*IF(Kosten!$C$28="Fläche",Mieter!$L25,IF(Kosten!$C$28="Anteil",Mieter!$M25,Mieter!$N25))*IF(Kosten!$D$28="Heizung",Mieter!$K25,Mieter!$J25)/Kosten!$E$28)</f>
        <v/>
      </c>
      <c r="AA25" s="18">
        <f>IF(OR(Kosten!$B$29="",Kosten!$E$29=0,Mieter!$C25=""),0,Kosten!$B$29*IF(Kosten!$C$29="Fläche",Mieter!$L25,IF(Kosten!$C$29="Anteil",Mieter!$M25,Mieter!$N25))*IF(Kosten!$D$29="Heizung",Mieter!$K25,Mieter!$J25)/Kosten!$E$29)</f>
        <v/>
      </c>
      <c r="AB25" s="18">
        <f>ROUND(SUM(C25:AA25)*20,0)/20</f>
        <v/>
      </c>
      <c r="AC25" s="18">
        <f>N(Mieter!F25)</f>
        <v/>
      </c>
      <c r="AD25" s="18">
        <f>AB25-AC25</f>
        <v/>
      </c>
    </row>
    <row r="26">
      <c r="A26" s="13">
        <f>Mieter!A26</f>
        <v/>
      </c>
      <c r="B26" s="22">
        <f>IF(Mieter!C26="","",Mieter!B26)</f>
        <v/>
      </c>
      <c r="C26" s="18">
        <f>IF(OR(Kosten!$B$5="",Kosten!$E$5=0,Mieter!$C26=""),0,Kosten!$B$5*IF(Kosten!$C$5="Fläche",Mieter!$L26,IF(Kosten!$C$5="Anteil",Mieter!$M26,Mieter!$N26))*IF(Kosten!$D$5="Heizung",Mieter!$K26,Mieter!$J26)/Kosten!$E$5)</f>
        <v/>
      </c>
      <c r="D26" s="18">
        <f>IF(OR(Kosten!$B$6="",Kosten!$E$6=0,Mieter!$C26=""),0,Kosten!$B$6*IF(Kosten!$C$6="Fläche",Mieter!$L26,IF(Kosten!$C$6="Anteil",Mieter!$M26,Mieter!$N26))*IF(Kosten!$D$6="Heizung",Mieter!$K26,Mieter!$J26)/Kosten!$E$6)</f>
        <v/>
      </c>
      <c r="E26" s="18">
        <f>IF(OR(Kosten!$B$7="",Kosten!$E$7=0,Mieter!$C26=""),0,Kosten!$B$7*IF(Kosten!$C$7="Fläche",Mieter!$L26,IF(Kosten!$C$7="Anteil",Mieter!$M26,Mieter!$N26))*IF(Kosten!$D$7="Heizung",Mieter!$K26,Mieter!$J26)/Kosten!$E$7)</f>
        <v/>
      </c>
      <c r="F26" s="18">
        <f>IF(OR(Kosten!$B$8="",Kosten!$E$8=0,Mieter!$C26=""),0,Kosten!$B$8*IF(Kosten!$C$8="Fläche",Mieter!$L26,IF(Kosten!$C$8="Anteil",Mieter!$M26,Mieter!$N26))*IF(Kosten!$D$8="Heizung",Mieter!$K26,Mieter!$J26)/Kosten!$E$8)</f>
        <v/>
      </c>
      <c r="G26" s="18">
        <f>IF(OR(Kosten!$B$9="",Kosten!$E$9=0,Mieter!$C26=""),0,Kosten!$B$9*IF(Kosten!$C$9="Fläche",Mieter!$L26,IF(Kosten!$C$9="Anteil",Mieter!$M26,Mieter!$N26))*IF(Kosten!$D$9="Heizung",Mieter!$K26,Mieter!$J26)/Kosten!$E$9)</f>
        <v/>
      </c>
      <c r="H26" s="18">
        <f>IF(OR(Kosten!$B$10="",Kosten!$E$10=0,Mieter!$C26=""),0,Kosten!$B$10*IF(Kosten!$C$10="Fläche",Mieter!$L26,IF(Kosten!$C$10="Anteil",Mieter!$M26,Mieter!$N26))*IF(Kosten!$D$10="Heizung",Mieter!$K26,Mieter!$J26)/Kosten!$E$10)</f>
        <v/>
      </c>
      <c r="I26" s="18">
        <f>IF(OR(Kosten!$B$11="",Kosten!$E$11=0,Mieter!$C26=""),0,Kosten!$B$11*IF(Kosten!$C$11="Fläche",Mieter!$L26,IF(Kosten!$C$11="Anteil",Mieter!$M26,Mieter!$N26))*IF(Kosten!$D$11="Heizung",Mieter!$K26,Mieter!$J26)/Kosten!$E$11)</f>
        <v/>
      </c>
      <c r="J26" s="18">
        <f>IF(OR(Kosten!$B$12="",Kosten!$E$12=0,Mieter!$C26=""),0,Kosten!$B$12*IF(Kosten!$C$12="Fläche",Mieter!$L26,IF(Kosten!$C$12="Anteil",Mieter!$M26,Mieter!$N26))*IF(Kosten!$D$12="Heizung",Mieter!$K26,Mieter!$J26)/Kosten!$E$12)</f>
        <v/>
      </c>
      <c r="K26" s="18">
        <f>IF(OR(Kosten!$B$13="",Kosten!$E$13=0,Mieter!$C26=""),0,Kosten!$B$13*IF(Kosten!$C$13="Fläche",Mieter!$L26,IF(Kosten!$C$13="Anteil",Mieter!$M26,Mieter!$N26))*IF(Kosten!$D$13="Heizung",Mieter!$K26,Mieter!$J26)/Kosten!$E$13)</f>
        <v/>
      </c>
      <c r="L26" s="18">
        <f>IF(OR(Kosten!$B$14="",Kosten!$E$14=0,Mieter!$C26=""),0,Kosten!$B$14*IF(Kosten!$C$14="Fläche",Mieter!$L26,IF(Kosten!$C$14="Anteil",Mieter!$M26,Mieter!$N26))*IF(Kosten!$D$14="Heizung",Mieter!$K26,Mieter!$J26)/Kosten!$E$14)</f>
        <v/>
      </c>
      <c r="M26" s="18">
        <f>IF(OR(Kosten!$B$15="",Kosten!$E$15=0,Mieter!$C26=""),0,Kosten!$B$15*IF(Kosten!$C$15="Fläche",Mieter!$L26,IF(Kosten!$C$15="Anteil",Mieter!$M26,Mieter!$N26))*IF(Kosten!$D$15="Heizung",Mieter!$K26,Mieter!$J26)/Kosten!$E$15)</f>
        <v/>
      </c>
      <c r="N26" s="18">
        <f>IF(OR(Kosten!$B$16="",Kosten!$E$16=0,Mieter!$C26=""),0,Kosten!$B$16*IF(Kosten!$C$16="Fläche",Mieter!$L26,IF(Kosten!$C$16="Anteil",Mieter!$M26,Mieter!$N26))*IF(Kosten!$D$16="Heizung",Mieter!$K26,Mieter!$J26)/Kosten!$E$16)</f>
        <v/>
      </c>
      <c r="O26" s="18">
        <f>IF(OR(Kosten!$B$17="",Kosten!$E$17=0,Mieter!$C26=""),0,Kosten!$B$17*IF(Kosten!$C$17="Fläche",Mieter!$L26,IF(Kosten!$C$17="Anteil",Mieter!$M26,Mieter!$N26))*IF(Kosten!$D$17="Heizung",Mieter!$K26,Mieter!$J26)/Kosten!$E$17)</f>
        <v/>
      </c>
      <c r="P26" s="18">
        <f>IF(OR(Kosten!$B$18="",Kosten!$E$18=0,Mieter!$C26=""),0,Kosten!$B$18*IF(Kosten!$C$18="Fläche",Mieter!$L26,IF(Kosten!$C$18="Anteil",Mieter!$M26,Mieter!$N26))*IF(Kosten!$D$18="Heizung",Mieter!$K26,Mieter!$J26)/Kosten!$E$18)</f>
        <v/>
      </c>
      <c r="Q26" s="18">
        <f>IF(OR(Kosten!$B$19="",Kosten!$E$19=0,Mieter!$C26=""),0,Kosten!$B$19*IF(Kosten!$C$19="Fläche",Mieter!$L26,IF(Kosten!$C$19="Anteil",Mieter!$M26,Mieter!$N26))*IF(Kosten!$D$19="Heizung",Mieter!$K26,Mieter!$J26)/Kosten!$E$19)</f>
        <v/>
      </c>
      <c r="R26" s="18">
        <f>IF(OR(Kosten!$B$20="",Kosten!$E$20=0,Mieter!$C26=""),0,Kosten!$B$20*IF(Kosten!$C$20="Fläche",Mieter!$L26,IF(Kosten!$C$20="Anteil",Mieter!$M26,Mieter!$N26))*IF(Kosten!$D$20="Heizung",Mieter!$K26,Mieter!$J26)/Kosten!$E$20)</f>
        <v/>
      </c>
      <c r="S26" s="18">
        <f>IF(OR(Kosten!$B$21="",Kosten!$E$21=0,Mieter!$C26=""),0,Kosten!$B$21*IF(Kosten!$C$21="Fläche",Mieter!$L26,IF(Kosten!$C$21="Anteil",Mieter!$M26,Mieter!$N26))*IF(Kosten!$D$21="Heizung",Mieter!$K26,Mieter!$J26)/Kosten!$E$21)</f>
        <v/>
      </c>
      <c r="T26" s="18">
        <f>IF(OR(Kosten!$B$22="",Kosten!$E$22=0,Mieter!$C26=""),0,Kosten!$B$22*IF(Kosten!$C$22="Fläche",Mieter!$L26,IF(Kosten!$C$22="Anteil",Mieter!$M26,Mieter!$N26))*IF(Kosten!$D$22="Heizung",Mieter!$K26,Mieter!$J26)/Kosten!$E$22)</f>
        <v/>
      </c>
      <c r="U26" s="18">
        <f>IF(OR(Kosten!$B$23="",Kosten!$E$23=0,Mieter!$C26=""),0,Kosten!$B$23*IF(Kosten!$C$23="Fläche",Mieter!$L26,IF(Kosten!$C$23="Anteil",Mieter!$M26,Mieter!$N26))*IF(Kosten!$D$23="Heizung",Mieter!$K26,Mieter!$J26)/Kosten!$E$23)</f>
        <v/>
      </c>
      <c r="V26" s="18">
        <f>IF(OR(Kosten!$B$24="",Kosten!$E$24=0,Mieter!$C26=""),0,Kosten!$B$24*IF(Kosten!$C$24="Fläche",Mieter!$L26,IF(Kosten!$C$24="Anteil",Mieter!$M26,Mieter!$N26))*IF(Kosten!$D$24="Heizung",Mieter!$K26,Mieter!$J26)/Kosten!$E$24)</f>
        <v/>
      </c>
      <c r="W26" s="18">
        <f>IF(OR(Kosten!$B$25="",Kosten!$E$25=0,Mieter!$C26=""),0,Kosten!$B$25*IF(Kosten!$C$25="Fläche",Mieter!$L26,IF(Kosten!$C$25="Anteil",Mieter!$M26,Mieter!$N26))*IF(Kosten!$D$25="Heizung",Mieter!$K26,Mieter!$J26)/Kosten!$E$25)</f>
        <v/>
      </c>
      <c r="X26" s="18">
        <f>IF(OR(Kosten!$B$26="",Kosten!$E$26=0,Mieter!$C26=""),0,Kosten!$B$26*IF(Kosten!$C$26="Fläche",Mieter!$L26,IF(Kosten!$C$26="Anteil",Mieter!$M26,Mieter!$N26))*IF(Kosten!$D$26="Heizung",Mieter!$K26,Mieter!$J26)/Kosten!$E$26)</f>
        <v/>
      </c>
      <c r="Y26" s="18">
        <f>IF(OR(Kosten!$B$27="",Kosten!$E$27=0,Mieter!$C26=""),0,Kosten!$B$27*IF(Kosten!$C$27="Fläche",Mieter!$L26,IF(Kosten!$C$27="Anteil",Mieter!$M26,Mieter!$N26))*IF(Kosten!$D$27="Heizung",Mieter!$K26,Mieter!$J26)/Kosten!$E$27)</f>
        <v/>
      </c>
      <c r="Z26" s="18">
        <f>IF(OR(Kosten!$B$28="",Kosten!$E$28=0,Mieter!$C26=""),0,Kosten!$B$28*IF(Kosten!$C$28="Fläche",Mieter!$L26,IF(Kosten!$C$28="Anteil",Mieter!$M26,Mieter!$N26))*IF(Kosten!$D$28="Heizung",Mieter!$K26,Mieter!$J26)/Kosten!$E$28)</f>
        <v/>
      </c>
      <c r="AA26" s="18">
        <f>IF(OR(Kosten!$B$29="",Kosten!$E$29=0,Mieter!$C26=""),0,Kosten!$B$29*IF(Kosten!$C$29="Fläche",Mieter!$L26,IF(Kosten!$C$29="Anteil",Mieter!$M26,Mieter!$N26))*IF(Kosten!$D$29="Heizung",Mieter!$K26,Mieter!$J26)/Kosten!$E$29)</f>
        <v/>
      </c>
      <c r="AB26" s="18">
        <f>ROUND(SUM(C26:AA26)*20,0)/20</f>
        <v/>
      </c>
      <c r="AC26" s="18">
        <f>N(Mieter!F26)</f>
        <v/>
      </c>
      <c r="AD26" s="18">
        <f>AB26-AC26</f>
        <v/>
      </c>
    </row>
    <row r="27">
      <c r="A27" s="13">
        <f>Mieter!A27</f>
        <v/>
      </c>
      <c r="B27" s="22">
        <f>IF(Mieter!C27="","",Mieter!B27)</f>
        <v/>
      </c>
      <c r="C27" s="18">
        <f>IF(OR(Kosten!$B$5="",Kosten!$E$5=0,Mieter!$C27=""),0,Kosten!$B$5*IF(Kosten!$C$5="Fläche",Mieter!$L27,IF(Kosten!$C$5="Anteil",Mieter!$M27,Mieter!$N27))*IF(Kosten!$D$5="Heizung",Mieter!$K27,Mieter!$J27)/Kosten!$E$5)</f>
        <v/>
      </c>
      <c r="D27" s="18">
        <f>IF(OR(Kosten!$B$6="",Kosten!$E$6=0,Mieter!$C27=""),0,Kosten!$B$6*IF(Kosten!$C$6="Fläche",Mieter!$L27,IF(Kosten!$C$6="Anteil",Mieter!$M27,Mieter!$N27))*IF(Kosten!$D$6="Heizung",Mieter!$K27,Mieter!$J27)/Kosten!$E$6)</f>
        <v/>
      </c>
      <c r="E27" s="18">
        <f>IF(OR(Kosten!$B$7="",Kosten!$E$7=0,Mieter!$C27=""),0,Kosten!$B$7*IF(Kosten!$C$7="Fläche",Mieter!$L27,IF(Kosten!$C$7="Anteil",Mieter!$M27,Mieter!$N27))*IF(Kosten!$D$7="Heizung",Mieter!$K27,Mieter!$J27)/Kosten!$E$7)</f>
        <v/>
      </c>
      <c r="F27" s="18">
        <f>IF(OR(Kosten!$B$8="",Kosten!$E$8=0,Mieter!$C27=""),0,Kosten!$B$8*IF(Kosten!$C$8="Fläche",Mieter!$L27,IF(Kosten!$C$8="Anteil",Mieter!$M27,Mieter!$N27))*IF(Kosten!$D$8="Heizung",Mieter!$K27,Mieter!$J27)/Kosten!$E$8)</f>
        <v/>
      </c>
      <c r="G27" s="18">
        <f>IF(OR(Kosten!$B$9="",Kosten!$E$9=0,Mieter!$C27=""),0,Kosten!$B$9*IF(Kosten!$C$9="Fläche",Mieter!$L27,IF(Kosten!$C$9="Anteil",Mieter!$M27,Mieter!$N27))*IF(Kosten!$D$9="Heizung",Mieter!$K27,Mieter!$J27)/Kosten!$E$9)</f>
        <v/>
      </c>
      <c r="H27" s="18">
        <f>IF(OR(Kosten!$B$10="",Kosten!$E$10=0,Mieter!$C27=""),0,Kosten!$B$10*IF(Kosten!$C$10="Fläche",Mieter!$L27,IF(Kosten!$C$10="Anteil",Mieter!$M27,Mieter!$N27))*IF(Kosten!$D$10="Heizung",Mieter!$K27,Mieter!$J27)/Kosten!$E$10)</f>
        <v/>
      </c>
      <c r="I27" s="18">
        <f>IF(OR(Kosten!$B$11="",Kosten!$E$11=0,Mieter!$C27=""),0,Kosten!$B$11*IF(Kosten!$C$11="Fläche",Mieter!$L27,IF(Kosten!$C$11="Anteil",Mieter!$M27,Mieter!$N27))*IF(Kosten!$D$11="Heizung",Mieter!$K27,Mieter!$J27)/Kosten!$E$11)</f>
        <v/>
      </c>
      <c r="J27" s="18">
        <f>IF(OR(Kosten!$B$12="",Kosten!$E$12=0,Mieter!$C27=""),0,Kosten!$B$12*IF(Kosten!$C$12="Fläche",Mieter!$L27,IF(Kosten!$C$12="Anteil",Mieter!$M27,Mieter!$N27))*IF(Kosten!$D$12="Heizung",Mieter!$K27,Mieter!$J27)/Kosten!$E$12)</f>
        <v/>
      </c>
      <c r="K27" s="18">
        <f>IF(OR(Kosten!$B$13="",Kosten!$E$13=0,Mieter!$C27=""),0,Kosten!$B$13*IF(Kosten!$C$13="Fläche",Mieter!$L27,IF(Kosten!$C$13="Anteil",Mieter!$M27,Mieter!$N27))*IF(Kosten!$D$13="Heizung",Mieter!$K27,Mieter!$J27)/Kosten!$E$13)</f>
        <v/>
      </c>
      <c r="L27" s="18">
        <f>IF(OR(Kosten!$B$14="",Kosten!$E$14=0,Mieter!$C27=""),0,Kosten!$B$14*IF(Kosten!$C$14="Fläche",Mieter!$L27,IF(Kosten!$C$14="Anteil",Mieter!$M27,Mieter!$N27))*IF(Kosten!$D$14="Heizung",Mieter!$K27,Mieter!$J27)/Kosten!$E$14)</f>
        <v/>
      </c>
      <c r="M27" s="18">
        <f>IF(OR(Kosten!$B$15="",Kosten!$E$15=0,Mieter!$C27=""),0,Kosten!$B$15*IF(Kosten!$C$15="Fläche",Mieter!$L27,IF(Kosten!$C$15="Anteil",Mieter!$M27,Mieter!$N27))*IF(Kosten!$D$15="Heizung",Mieter!$K27,Mieter!$J27)/Kosten!$E$15)</f>
        <v/>
      </c>
      <c r="N27" s="18">
        <f>IF(OR(Kosten!$B$16="",Kosten!$E$16=0,Mieter!$C27=""),0,Kosten!$B$16*IF(Kosten!$C$16="Fläche",Mieter!$L27,IF(Kosten!$C$16="Anteil",Mieter!$M27,Mieter!$N27))*IF(Kosten!$D$16="Heizung",Mieter!$K27,Mieter!$J27)/Kosten!$E$16)</f>
        <v/>
      </c>
      <c r="O27" s="18">
        <f>IF(OR(Kosten!$B$17="",Kosten!$E$17=0,Mieter!$C27=""),0,Kosten!$B$17*IF(Kosten!$C$17="Fläche",Mieter!$L27,IF(Kosten!$C$17="Anteil",Mieter!$M27,Mieter!$N27))*IF(Kosten!$D$17="Heizung",Mieter!$K27,Mieter!$J27)/Kosten!$E$17)</f>
        <v/>
      </c>
      <c r="P27" s="18">
        <f>IF(OR(Kosten!$B$18="",Kosten!$E$18=0,Mieter!$C27=""),0,Kosten!$B$18*IF(Kosten!$C$18="Fläche",Mieter!$L27,IF(Kosten!$C$18="Anteil",Mieter!$M27,Mieter!$N27))*IF(Kosten!$D$18="Heizung",Mieter!$K27,Mieter!$J27)/Kosten!$E$18)</f>
        <v/>
      </c>
      <c r="Q27" s="18">
        <f>IF(OR(Kosten!$B$19="",Kosten!$E$19=0,Mieter!$C27=""),0,Kosten!$B$19*IF(Kosten!$C$19="Fläche",Mieter!$L27,IF(Kosten!$C$19="Anteil",Mieter!$M27,Mieter!$N27))*IF(Kosten!$D$19="Heizung",Mieter!$K27,Mieter!$J27)/Kosten!$E$19)</f>
        <v/>
      </c>
      <c r="R27" s="18">
        <f>IF(OR(Kosten!$B$20="",Kosten!$E$20=0,Mieter!$C27=""),0,Kosten!$B$20*IF(Kosten!$C$20="Fläche",Mieter!$L27,IF(Kosten!$C$20="Anteil",Mieter!$M27,Mieter!$N27))*IF(Kosten!$D$20="Heizung",Mieter!$K27,Mieter!$J27)/Kosten!$E$20)</f>
        <v/>
      </c>
      <c r="S27" s="18">
        <f>IF(OR(Kosten!$B$21="",Kosten!$E$21=0,Mieter!$C27=""),0,Kosten!$B$21*IF(Kosten!$C$21="Fläche",Mieter!$L27,IF(Kosten!$C$21="Anteil",Mieter!$M27,Mieter!$N27))*IF(Kosten!$D$21="Heizung",Mieter!$K27,Mieter!$J27)/Kosten!$E$21)</f>
        <v/>
      </c>
      <c r="T27" s="18">
        <f>IF(OR(Kosten!$B$22="",Kosten!$E$22=0,Mieter!$C27=""),0,Kosten!$B$22*IF(Kosten!$C$22="Fläche",Mieter!$L27,IF(Kosten!$C$22="Anteil",Mieter!$M27,Mieter!$N27))*IF(Kosten!$D$22="Heizung",Mieter!$K27,Mieter!$J27)/Kosten!$E$22)</f>
        <v/>
      </c>
      <c r="U27" s="18">
        <f>IF(OR(Kosten!$B$23="",Kosten!$E$23=0,Mieter!$C27=""),0,Kosten!$B$23*IF(Kosten!$C$23="Fläche",Mieter!$L27,IF(Kosten!$C$23="Anteil",Mieter!$M27,Mieter!$N27))*IF(Kosten!$D$23="Heizung",Mieter!$K27,Mieter!$J27)/Kosten!$E$23)</f>
        <v/>
      </c>
      <c r="V27" s="18">
        <f>IF(OR(Kosten!$B$24="",Kosten!$E$24=0,Mieter!$C27=""),0,Kosten!$B$24*IF(Kosten!$C$24="Fläche",Mieter!$L27,IF(Kosten!$C$24="Anteil",Mieter!$M27,Mieter!$N27))*IF(Kosten!$D$24="Heizung",Mieter!$K27,Mieter!$J27)/Kosten!$E$24)</f>
        <v/>
      </c>
      <c r="W27" s="18">
        <f>IF(OR(Kosten!$B$25="",Kosten!$E$25=0,Mieter!$C27=""),0,Kosten!$B$25*IF(Kosten!$C$25="Fläche",Mieter!$L27,IF(Kosten!$C$25="Anteil",Mieter!$M27,Mieter!$N27))*IF(Kosten!$D$25="Heizung",Mieter!$K27,Mieter!$J27)/Kosten!$E$25)</f>
        <v/>
      </c>
      <c r="X27" s="18">
        <f>IF(OR(Kosten!$B$26="",Kosten!$E$26=0,Mieter!$C27=""),0,Kosten!$B$26*IF(Kosten!$C$26="Fläche",Mieter!$L27,IF(Kosten!$C$26="Anteil",Mieter!$M27,Mieter!$N27))*IF(Kosten!$D$26="Heizung",Mieter!$K27,Mieter!$J27)/Kosten!$E$26)</f>
        <v/>
      </c>
      <c r="Y27" s="18">
        <f>IF(OR(Kosten!$B$27="",Kosten!$E$27=0,Mieter!$C27=""),0,Kosten!$B$27*IF(Kosten!$C$27="Fläche",Mieter!$L27,IF(Kosten!$C$27="Anteil",Mieter!$M27,Mieter!$N27))*IF(Kosten!$D$27="Heizung",Mieter!$K27,Mieter!$J27)/Kosten!$E$27)</f>
        <v/>
      </c>
      <c r="Z27" s="18">
        <f>IF(OR(Kosten!$B$28="",Kosten!$E$28=0,Mieter!$C27=""),0,Kosten!$B$28*IF(Kosten!$C$28="Fläche",Mieter!$L27,IF(Kosten!$C$28="Anteil",Mieter!$M27,Mieter!$N27))*IF(Kosten!$D$28="Heizung",Mieter!$K27,Mieter!$J27)/Kosten!$E$28)</f>
        <v/>
      </c>
      <c r="AA27" s="18">
        <f>IF(OR(Kosten!$B$29="",Kosten!$E$29=0,Mieter!$C27=""),0,Kosten!$B$29*IF(Kosten!$C$29="Fläche",Mieter!$L27,IF(Kosten!$C$29="Anteil",Mieter!$M27,Mieter!$N27))*IF(Kosten!$D$29="Heizung",Mieter!$K27,Mieter!$J27)/Kosten!$E$29)</f>
        <v/>
      </c>
      <c r="AB27" s="18">
        <f>ROUND(SUM(C27:AA27)*20,0)/20</f>
        <v/>
      </c>
      <c r="AC27" s="18">
        <f>N(Mieter!F27)</f>
        <v/>
      </c>
      <c r="AD27" s="18">
        <f>AB27-AC27</f>
        <v/>
      </c>
    </row>
    <row r="28">
      <c r="A28" s="13">
        <f>Mieter!A28</f>
        <v/>
      </c>
      <c r="B28" s="22">
        <f>IF(Mieter!C28="","",Mieter!B28)</f>
        <v/>
      </c>
      <c r="C28" s="18">
        <f>IF(OR(Kosten!$B$5="",Kosten!$E$5=0,Mieter!$C28=""),0,Kosten!$B$5*IF(Kosten!$C$5="Fläche",Mieter!$L28,IF(Kosten!$C$5="Anteil",Mieter!$M28,Mieter!$N28))*IF(Kosten!$D$5="Heizung",Mieter!$K28,Mieter!$J28)/Kosten!$E$5)</f>
        <v/>
      </c>
      <c r="D28" s="18">
        <f>IF(OR(Kosten!$B$6="",Kosten!$E$6=0,Mieter!$C28=""),0,Kosten!$B$6*IF(Kosten!$C$6="Fläche",Mieter!$L28,IF(Kosten!$C$6="Anteil",Mieter!$M28,Mieter!$N28))*IF(Kosten!$D$6="Heizung",Mieter!$K28,Mieter!$J28)/Kosten!$E$6)</f>
        <v/>
      </c>
      <c r="E28" s="18">
        <f>IF(OR(Kosten!$B$7="",Kosten!$E$7=0,Mieter!$C28=""),0,Kosten!$B$7*IF(Kosten!$C$7="Fläche",Mieter!$L28,IF(Kosten!$C$7="Anteil",Mieter!$M28,Mieter!$N28))*IF(Kosten!$D$7="Heizung",Mieter!$K28,Mieter!$J28)/Kosten!$E$7)</f>
        <v/>
      </c>
      <c r="F28" s="18">
        <f>IF(OR(Kosten!$B$8="",Kosten!$E$8=0,Mieter!$C28=""),0,Kosten!$B$8*IF(Kosten!$C$8="Fläche",Mieter!$L28,IF(Kosten!$C$8="Anteil",Mieter!$M28,Mieter!$N28))*IF(Kosten!$D$8="Heizung",Mieter!$K28,Mieter!$J28)/Kosten!$E$8)</f>
        <v/>
      </c>
      <c r="G28" s="18">
        <f>IF(OR(Kosten!$B$9="",Kosten!$E$9=0,Mieter!$C28=""),0,Kosten!$B$9*IF(Kosten!$C$9="Fläche",Mieter!$L28,IF(Kosten!$C$9="Anteil",Mieter!$M28,Mieter!$N28))*IF(Kosten!$D$9="Heizung",Mieter!$K28,Mieter!$J28)/Kosten!$E$9)</f>
        <v/>
      </c>
      <c r="H28" s="18">
        <f>IF(OR(Kosten!$B$10="",Kosten!$E$10=0,Mieter!$C28=""),0,Kosten!$B$10*IF(Kosten!$C$10="Fläche",Mieter!$L28,IF(Kosten!$C$10="Anteil",Mieter!$M28,Mieter!$N28))*IF(Kosten!$D$10="Heizung",Mieter!$K28,Mieter!$J28)/Kosten!$E$10)</f>
        <v/>
      </c>
      <c r="I28" s="18">
        <f>IF(OR(Kosten!$B$11="",Kosten!$E$11=0,Mieter!$C28=""),0,Kosten!$B$11*IF(Kosten!$C$11="Fläche",Mieter!$L28,IF(Kosten!$C$11="Anteil",Mieter!$M28,Mieter!$N28))*IF(Kosten!$D$11="Heizung",Mieter!$K28,Mieter!$J28)/Kosten!$E$11)</f>
        <v/>
      </c>
      <c r="J28" s="18">
        <f>IF(OR(Kosten!$B$12="",Kosten!$E$12=0,Mieter!$C28=""),0,Kosten!$B$12*IF(Kosten!$C$12="Fläche",Mieter!$L28,IF(Kosten!$C$12="Anteil",Mieter!$M28,Mieter!$N28))*IF(Kosten!$D$12="Heizung",Mieter!$K28,Mieter!$J28)/Kosten!$E$12)</f>
        <v/>
      </c>
      <c r="K28" s="18">
        <f>IF(OR(Kosten!$B$13="",Kosten!$E$13=0,Mieter!$C28=""),0,Kosten!$B$13*IF(Kosten!$C$13="Fläche",Mieter!$L28,IF(Kosten!$C$13="Anteil",Mieter!$M28,Mieter!$N28))*IF(Kosten!$D$13="Heizung",Mieter!$K28,Mieter!$J28)/Kosten!$E$13)</f>
        <v/>
      </c>
      <c r="L28" s="18">
        <f>IF(OR(Kosten!$B$14="",Kosten!$E$14=0,Mieter!$C28=""),0,Kosten!$B$14*IF(Kosten!$C$14="Fläche",Mieter!$L28,IF(Kosten!$C$14="Anteil",Mieter!$M28,Mieter!$N28))*IF(Kosten!$D$14="Heizung",Mieter!$K28,Mieter!$J28)/Kosten!$E$14)</f>
        <v/>
      </c>
      <c r="M28" s="18">
        <f>IF(OR(Kosten!$B$15="",Kosten!$E$15=0,Mieter!$C28=""),0,Kosten!$B$15*IF(Kosten!$C$15="Fläche",Mieter!$L28,IF(Kosten!$C$15="Anteil",Mieter!$M28,Mieter!$N28))*IF(Kosten!$D$15="Heizung",Mieter!$K28,Mieter!$J28)/Kosten!$E$15)</f>
        <v/>
      </c>
      <c r="N28" s="18">
        <f>IF(OR(Kosten!$B$16="",Kosten!$E$16=0,Mieter!$C28=""),0,Kosten!$B$16*IF(Kosten!$C$16="Fläche",Mieter!$L28,IF(Kosten!$C$16="Anteil",Mieter!$M28,Mieter!$N28))*IF(Kosten!$D$16="Heizung",Mieter!$K28,Mieter!$J28)/Kosten!$E$16)</f>
        <v/>
      </c>
      <c r="O28" s="18">
        <f>IF(OR(Kosten!$B$17="",Kosten!$E$17=0,Mieter!$C28=""),0,Kosten!$B$17*IF(Kosten!$C$17="Fläche",Mieter!$L28,IF(Kosten!$C$17="Anteil",Mieter!$M28,Mieter!$N28))*IF(Kosten!$D$17="Heizung",Mieter!$K28,Mieter!$J28)/Kosten!$E$17)</f>
        <v/>
      </c>
      <c r="P28" s="18">
        <f>IF(OR(Kosten!$B$18="",Kosten!$E$18=0,Mieter!$C28=""),0,Kosten!$B$18*IF(Kosten!$C$18="Fläche",Mieter!$L28,IF(Kosten!$C$18="Anteil",Mieter!$M28,Mieter!$N28))*IF(Kosten!$D$18="Heizung",Mieter!$K28,Mieter!$J28)/Kosten!$E$18)</f>
        <v/>
      </c>
      <c r="Q28" s="18">
        <f>IF(OR(Kosten!$B$19="",Kosten!$E$19=0,Mieter!$C28=""),0,Kosten!$B$19*IF(Kosten!$C$19="Fläche",Mieter!$L28,IF(Kosten!$C$19="Anteil",Mieter!$M28,Mieter!$N28))*IF(Kosten!$D$19="Heizung",Mieter!$K28,Mieter!$J28)/Kosten!$E$19)</f>
        <v/>
      </c>
      <c r="R28" s="18">
        <f>IF(OR(Kosten!$B$20="",Kosten!$E$20=0,Mieter!$C28=""),0,Kosten!$B$20*IF(Kosten!$C$20="Fläche",Mieter!$L28,IF(Kosten!$C$20="Anteil",Mieter!$M28,Mieter!$N28))*IF(Kosten!$D$20="Heizung",Mieter!$K28,Mieter!$J28)/Kosten!$E$20)</f>
        <v/>
      </c>
      <c r="S28" s="18">
        <f>IF(OR(Kosten!$B$21="",Kosten!$E$21=0,Mieter!$C28=""),0,Kosten!$B$21*IF(Kosten!$C$21="Fläche",Mieter!$L28,IF(Kosten!$C$21="Anteil",Mieter!$M28,Mieter!$N28))*IF(Kosten!$D$21="Heizung",Mieter!$K28,Mieter!$J28)/Kosten!$E$21)</f>
        <v/>
      </c>
      <c r="T28" s="18">
        <f>IF(OR(Kosten!$B$22="",Kosten!$E$22=0,Mieter!$C28=""),0,Kosten!$B$22*IF(Kosten!$C$22="Fläche",Mieter!$L28,IF(Kosten!$C$22="Anteil",Mieter!$M28,Mieter!$N28))*IF(Kosten!$D$22="Heizung",Mieter!$K28,Mieter!$J28)/Kosten!$E$22)</f>
        <v/>
      </c>
      <c r="U28" s="18">
        <f>IF(OR(Kosten!$B$23="",Kosten!$E$23=0,Mieter!$C28=""),0,Kosten!$B$23*IF(Kosten!$C$23="Fläche",Mieter!$L28,IF(Kosten!$C$23="Anteil",Mieter!$M28,Mieter!$N28))*IF(Kosten!$D$23="Heizung",Mieter!$K28,Mieter!$J28)/Kosten!$E$23)</f>
        <v/>
      </c>
      <c r="V28" s="18">
        <f>IF(OR(Kosten!$B$24="",Kosten!$E$24=0,Mieter!$C28=""),0,Kosten!$B$24*IF(Kosten!$C$24="Fläche",Mieter!$L28,IF(Kosten!$C$24="Anteil",Mieter!$M28,Mieter!$N28))*IF(Kosten!$D$24="Heizung",Mieter!$K28,Mieter!$J28)/Kosten!$E$24)</f>
        <v/>
      </c>
      <c r="W28" s="18">
        <f>IF(OR(Kosten!$B$25="",Kosten!$E$25=0,Mieter!$C28=""),0,Kosten!$B$25*IF(Kosten!$C$25="Fläche",Mieter!$L28,IF(Kosten!$C$25="Anteil",Mieter!$M28,Mieter!$N28))*IF(Kosten!$D$25="Heizung",Mieter!$K28,Mieter!$J28)/Kosten!$E$25)</f>
        <v/>
      </c>
      <c r="X28" s="18">
        <f>IF(OR(Kosten!$B$26="",Kosten!$E$26=0,Mieter!$C28=""),0,Kosten!$B$26*IF(Kosten!$C$26="Fläche",Mieter!$L28,IF(Kosten!$C$26="Anteil",Mieter!$M28,Mieter!$N28))*IF(Kosten!$D$26="Heizung",Mieter!$K28,Mieter!$J28)/Kosten!$E$26)</f>
        <v/>
      </c>
      <c r="Y28" s="18">
        <f>IF(OR(Kosten!$B$27="",Kosten!$E$27=0,Mieter!$C28=""),0,Kosten!$B$27*IF(Kosten!$C$27="Fläche",Mieter!$L28,IF(Kosten!$C$27="Anteil",Mieter!$M28,Mieter!$N28))*IF(Kosten!$D$27="Heizung",Mieter!$K28,Mieter!$J28)/Kosten!$E$27)</f>
        <v/>
      </c>
      <c r="Z28" s="18">
        <f>IF(OR(Kosten!$B$28="",Kosten!$E$28=0,Mieter!$C28=""),0,Kosten!$B$28*IF(Kosten!$C$28="Fläche",Mieter!$L28,IF(Kosten!$C$28="Anteil",Mieter!$M28,Mieter!$N28))*IF(Kosten!$D$28="Heizung",Mieter!$K28,Mieter!$J28)/Kosten!$E$28)</f>
        <v/>
      </c>
      <c r="AA28" s="18">
        <f>IF(OR(Kosten!$B$29="",Kosten!$E$29=0,Mieter!$C28=""),0,Kosten!$B$29*IF(Kosten!$C$29="Fläche",Mieter!$L28,IF(Kosten!$C$29="Anteil",Mieter!$M28,Mieter!$N28))*IF(Kosten!$D$29="Heizung",Mieter!$K28,Mieter!$J28)/Kosten!$E$29)</f>
        <v/>
      </c>
      <c r="AB28" s="18">
        <f>ROUND(SUM(C28:AA28)*20,0)/20</f>
        <v/>
      </c>
      <c r="AC28" s="18">
        <f>N(Mieter!F28)</f>
        <v/>
      </c>
      <c r="AD28" s="18">
        <f>AB28-AC28</f>
        <v/>
      </c>
    </row>
    <row r="29">
      <c r="A29" s="13">
        <f>Mieter!A29</f>
        <v/>
      </c>
      <c r="B29" s="22">
        <f>IF(Mieter!C29="","",Mieter!B29)</f>
        <v/>
      </c>
      <c r="C29" s="18">
        <f>IF(OR(Kosten!$B$5="",Kosten!$E$5=0,Mieter!$C29=""),0,Kosten!$B$5*IF(Kosten!$C$5="Fläche",Mieter!$L29,IF(Kosten!$C$5="Anteil",Mieter!$M29,Mieter!$N29))*IF(Kosten!$D$5="Heizung",Mieter!$K29,Mieter!$J29)/Kosten!$E$5)</f>
        <v/>
      </c>
      <c r="D29" s="18">
        <f>IF(OR(Kosten!$B$6="",Kosten!$E$6=0,Mieter!$C29=""),0,Kosten!$B$6*IF(Kosten!$C$6="Fläche",Mieter!$L29,IF(Kosten!$C$6="Anteil",Mieter!$M29,Mieter!$N29))*IF(Kosten!$D$6="Heizung",Mieter!$K29,Mieter!$J29)/Kosten!$E$6)</f>
        <v/>
      </c>
      <c r="E29" s="18">
        <f>IF(OR(Kosten!$B$7="",Kosten!$E$7=0,Mieter!$C29=""),0,Kosten!$B$7*IF(Kosten!$C$7="Fläche",Mieter!$L29,IF(Kosten!$C$7="Anteil",Mieter!$M29,Mieter!$N29))*IF(Kosten!$D$7="Heizung",Mieter!$K29,Mieter!$J29)/Kosten!$E$7)</f>
        <v/>
      </c>
      <c r="F29" s="18">
        <f>IF(OR(Kosten!$B$8="",Kosten!$E$8=0,Mieter!$C29=""),0,Kosten!$B$8*IF(Kosten!$C$8="Fläche",Mieter!$L29,IF(Kosten!$C$8="Anteil",Mieter!$M29,Mieter!$N29))*IF(Kosten!$D$8="Heizung",Mieter!$K29,Mieter!$J29)/Kosten!$E$8)</f>
        <v/>
      </c>
      <c r="G29" s="18">
        <f>IF(OR(Kosten!$B$9="",Kosten!$E$9=0,Mieter!$C29=""),0,Kosten!$B$9*IF(Kosten!$C$9="Fläche",Mieter!$L29,IF(Kosten!$C$9="Anteil",Mieter!$M29,Mieter!$N29))*IF(Kosten!$D$9="Heizung",Mieter!$K29,Mieter!$J29)/Kosten!$E$9)</f>
        <v/>
      </c>
      <c r="H29" s="18">
        <f>IF(OR(Kosten!$B$10="",Kosten!$E$10=0,Mieter!$C29=""),0,Kosten!$B$10*IF(Kosten!$C$10="Fläche",Mieter!$L29,IF(Kosten!$C$10="Anteil",Mieter!$M29,Mieter!$N29))*IF(Kosten!$D$10="Heizung",Mieter!$K29,Mieter!$J29)/Kosten!$E$10)</f>
        <v/>
      </c>
      <c r="I29" s="18">
        <f>IF(OR(Kosten!$B$11="",Kosten!$E$11=0,Mieter!$C29=""),0,Kosten!$B$11*IF(Kosten!$C$11="Fläche",Mieter!$L29,IF(Kosten!$C$11="Anteil",Mieter!$M29,Mieter!$N29))*IF(Kosten!$D$11="Heizung",Mieter!$K29,Mieter!$J29)/Kosten!$E$11)</f>
        <v/>
      </c>
      <c r="J29" s="18">
        <f>IF(OR(Kosten!$B$12="",Kosten!$E$12=0,Mieter!$C29=""),0,Kosten!$B$12*IF(Kosten!$C$12="Fläche",Mieter!$L29,IF(Kosten!$C$12="Anteil",Mieter!$M29,Mieter!$N29))*IF(Kosten!$D$12="Heizung",Mieter!$K29,Mieter!$J29)/Kosten!$E$12)</f>
        <v/>
      </c>
      <c r="K29" s="18">
        <f>IF(OR(Kosten!$B$13="",Kosten!$E$13=0,Mieter!$C29=""),0,Kosten!$B$13*IF(Kosten!$C$13="Fläche",Mieter!$L29,IF(Kosten!$C$13="Anteil",Mieter!$M29,Mieter!$N29))*IF(Kosten!$D$13="Heizung",Mieter!$K29,Mieter!$J29)/Kosten!$E$13)</f>
        <v/>
      </c>
      <c r="L29" s="18">
        <f>IF(OR(Kosten!$B$14="",Kosten!$E$14=0,Mieter!$C29=""),0,Kosten!$B$14*IF(Kosten!$C$14="Fläche",Mieter!$L29,IF(Kosten!$C$14="Anteil",Mieter!$M29,Mieter!$N29))*IF(Kosten!$D$14="Heizung",Mieter!$K29,Mieter!$J29)/Kosten!$E$14)</f>
        <v/>
      </c>
      <c r="M29" s="18">
        <f>IF(OR(Kosten!$B$15="",Kosten!$E$15=0,Mieter!$C29=""),0,Kosten!$B$15*IF(Kosten!$C$15="Fläche",Mieter!$L29,IF(Kosten!$C$15="Anteil",Mieter!$M29,Mieter!$N29))*IF(Kosten!$D$15="Heizung",Mieter!$K29,Mieter!$J29)/Kosten!$E$15)</f>
        <v/>
      </c>
      <c r="N29" s="18">
        <f>IF(OR(Kosten!$B$16="",Kosten!$E$16=0,Mieter!$C29=""),0,Kosten!$B$16*IF(Kosten!$C$16="Fläche",Mieter!$L29,IF(Kosten!$C$16="Anteil",Mieter!$M29,Mieter!$N29))*IF(Kosten!$D$16="Heizung",Mieter!$K29,Mieter!$J29)/Kosten!$E$16)</f>
        <v/>
      </c>
      <c r="O29" s="18">
        <f>IF(OR(Kosten!$B$17="",Kosten!$E$17=0,Mieter!$C29=""),0,Kosten!$B$17*IF(Kosten!$C$17="Fläche",Mieter!$L29,IF(Kosten!$C$17="Anteil",Mieter!$M29,Mieter!$N29))*IF(Kosten!$D$17="Heizung",Mieter!$K29,Mieter!$J29)/Kosten!$E$17)</f>
        <v/>
      </c>
      <c r="P29" s="18">
        <f>IF(OR(Kosten!$B$18="",Kosten!$E$18=0,Mieter!$C29=""),0,Kosten!$B$18*IF(Kosten!$C$18="Fläche",Mieter!$L29,IF(Kosten!$C$18="Anteil",Mieter!$M29,Mieter!$N29))*IF(Kosten!$D$18="Heizung",Mieter!$K29,Mieter!$J29)/Kosten!$E$18)</f>
        <v/>
      </c>
      <c r="Q29" s="18">
        <f>IF(OR(Kosten!$B$19="",Kosten!$E$19=0,Mieter!$C29=""),0,Kosten!$B$19*IF(Kosten!$C$19="Fläche",Mieter!$L29,IF(Kosten!$C$19="Anteil",Mieter!$M29,Mieter!$N29))*IF(Kosten!$D$19="Heizung",Mieter!$K29,Mieter!$J29)/Kosten!$E$19)</f>
        <v/>
      </c>
      <c r="R29" s="18">
        <f>IF(OR(Kosten!$B$20="",Kosten!$E$20=0,Mieter!$C29=""),0,Kosten!$B$20*IF(Kosten!$C$20="Fläche",Mieter!$L29,IF(Kosten!$C$20="Anteil",Mieter!$M29,Mieter!$N29))*IF(Kosten!$D$20="Heizung",Mieter!$K29,Mieter!$J29)/Kosten!$E$20)</f>
        <v/>
      </c>
      <c r="S29" s="18">
        <f>IF(OR(Kosten!$B$21="",Kosten!$E$21=0,Mieter!$C29=""),0,Kosten!$B$21*IF(Kosten!$C$21="Fläche",Mieter!$L29,IF(Kosten!$C$21="Anteil",Mieter!$M29,Mieter!$N29))*IF(Kosten!$D$21="Heizung",Mieter!$K29,Mieter!$J29)/Kosten!$E$21)</f>
        <v/>
      </c>
      <c r="T29" s="18">
        <f>IF(OR(Kosten!$B$22="",Kosten!$E$22=0,Mieter!$C29=""),0,Kosten!$B$22*IF(Kosten!$C$22="Fläche",Mieter!$L29,IF(Kosten!$C$22="Anteil",Mieter!$M29,Mieter!$N29))*IF(Kosten!$D$22="Heizung",Mieter!$K29,Mieter!$J29)/Kosten!$E$22)</f>
        <v/>
      </c>
      <c r="U29" s="18">
        <f>IF(OR(Kosten!$B$23="",Kosten!$E$23=0,Mieter!$C29=""),0,Kosten!$B$23*IF(Kosten!$C$23="Fläche",Mieter!$L29,IF(Kosten!$C$23="Anteil",Mieter!$M29,Mieter!$N29))*IF(Kosten!$D$23="Heizung",Mieter!$K29,Mieter!$J29)/Kosten!$E$23)</f>
        <v/>
      </c>
      <c r="V29" s="18">
        <f>IF(OR(Kosten!$B$24="",Kosten!$E$24=0,Mieter!$C29=""),0,Kosten!$B$24*IF(Kosten!$C$24="Fläche",Mieter!$L29,IF(Kosten!$C$24="Anteil",Mieter!$M29,Mieter!$N29))*IF(Kosten!$D$24="Heizung",Mieter!$K29,Mieter!$J29)/Kosten!$E$24)</f>
        <v/>
      </c>
      <c r="W29" s="18">
        <f>IF(OR(Kosten!$B$25="",Kosten!$E$25=0,Mieter!$C29=""),0,Kosten!$B$25*IF(Kosten!$C$25="Fläche",Mieter!$L29,IF(Kosten!$C$25="Anteil",Mieter!$M29,Mieter!$N29))*IF(Kosten!$D$25="Heizung",Mieter!$K29,Mieter!$J29)/Kosten!$E$25)</f>
        <v/>
      </c>
      <c r="X29" s="18">
        <f>IF(OR(Kosten!$B$26="",Kosten!$E$26=0,Mieter!$C29=""),0,Kosten!$B$26*IF(Kosten!$C$26="Fläche",Mieter!$L29,IF(Kosten!$C$26="Anteil",Mieter!$M29,Mieter!$N29))*IF(Kosten!$D$26="Heizung",Mieter!$K29,Mieter!$J29)/Kosten!$E$26)</f>
        <v/>
      </c>
      <c r="Y29" s="18">
        <f>IF(OR(Kosten!$B$27="",Kosten!$E$27=0,Mieter!$C29=""),0,Kosten!$B$27*IF(Kosten!$C$27="Fläche",Mieter!$L29,IF(Kosten!$C$27="Anteil",Mieter!$M29,Mieter!$N29))*IF(Kosten!$D$27="Heizung",Mieter!$K29,Mieter!$J29)/Kosten!$E$27)</f>
        <v/>
      </c>
      <c r="Z29" s="18">
        <f>IF(OR(Kosten!$B$28="",Kosten!$E$28=0,Mieter!$C29=""),0,Kosten!$B$28*IF(Kosten!$C$28="Fläche",Mieter!$L29,IF(Kosten!$C$28="Anteil",Mieter!$M29,Mieter!$N29))*IF(Kosten!$D$28="Heizung",Mieter!$K29,Mieter!$J29)/Kosten!$E$28)</f>
        <v/>
      </c>
      <c r="AA29" s="18">
        <f>IF(OR(Kosten!$B$29="",Kosten!$E$29=0,Mieter!$C29=""),0,Kosten!$B$29*IF(Kosten!$C$29="Fläche",Mieter!$L29,IF(Kosten!$C$29="Anteil",Mieter!$M29,Mieter!$N29))*IF(Kosten!$D$29="Heizung",Mieter!$K29,Mieter!$J29)/Kosten!$E$29)</f>
        <v/>
      </c>
      <c r="AB29" s="18">
        <f>ROUND(SUM(C29:AA29)*20,0)/20</f>
        <v/>
      </c>
      <c r="AC29" s="18">
        <f>N(Mieter!F29)</f>
        <v/>
      </c>
      <c r="AD29" s="18">
        <f>AB29-AC29</f>
        <v/>
      </c>
    </row>
    <row r="30">
      <c r="A30" s="13">
        <f>Mieter!A30</f>
        <v/>
      </c>
      <c r="B30" s="22">
        <f>IF(Mieter!C30="","",Mieter!B30)</f>
        <v/>
      </c>
      <c r="C30" s="18">
        <f>IF(OR(Kosten!$B$5="",Kosten!$E$5=0,Mieter!$C30=""),0,Kosten!$B$5*IF(Kosten!$C$5="Fläche",Mieter!$L30,IF(Kosten!$C$5="Anteil",Mieter!$M30,Mieter!$N30))*IF(Kosten!$D$5="Heizung",Mieter!$K30,Mieter!$J30)/Kosten!$E$5)</f>
        <v/>
      </c>
      <c r="D30" s="18">
        <f>IF(OR(Kosten!$B$6="",Kosten!$E$6=0,Mieter!$C30=""),0,Kosten!$B$6*IF(Kosten!$C$6="Fläche",Mieter!$L30,IF(Kosten!$C$6="Anteil",Mieter!$M30,Mieter!$N30))*IF(Kosten!$D$6="Heizung",Mieter!$K30,Mieter!$J30)/Kosten!$E$6)</f>
        <v/>
      </c>
      <c r="E30" s="18">
        <f>IF(OR(Kosten!$B$7="",Kosten!$E$7=0,Mieter!$C30=""),0,Kosten!$B$7*IF(Kosten!$C$7="Fläche",Mieter!$L30,IF(Kosten!$C$7="Anteil",Mieter!$M30,Mieter!$N30))*IF(Kosten!$D$7="Heizung",Mieter!$K30,Mieter!$J30)/Kosten!$E$7)</f>
        <v/>
      </c>
      <c r="F30" s="18">
        <f>IF(OR(Kosten!$B$8="",Kosten!$E$8=0,Mieter!$C30=""),0,Kosten!$B$8*IF(Kosten!$C$8="Fläche",Mieter!$L30,IF(Kosten!$C$8="Anteil",Mieter!$M30,Mieter!$N30))*IF(Kosten!$D$8="Heizung",Mieter!$K30,Mieter!$J30)/Kosten!$E$8)</f>
        <v/>
      </c>
      <c r="G30" s="18">
        <f>IF(OR(Kosten!$B$9="",Kosten!$E$9=0,Mieter!$C30=""),0,Kosten!$B$9*IF(Kosten!$C$9="Fläche",Mieter!$L30,IF(Kosten!$C$9="Anteil",Mieter!$M30,Mieter!$N30))*IF(Kosten!$D$9="Heizung",Mieter!$K30,Mieter!$J30)/Kosten!$E$9)</f>
        <v/>
      </c>
      <c r="H30" s="18">
        <f>IF(OR(Kosten!$B$10="",Kosten!$E$10=0,Mieter!$C30=""),0,Kosten!$B$10*IF(Kosten!$C$10="Fläche",Mieter!$L30,IF(Kosten!$C$10="Anteil",Mieter!$M30,Mieter!$N30))*IF(Kosten!$D$10="Heizung",Mieter!$K30,Mieter!$J30)/Kosten!$E$10)</f>
        <v/>
      </c>
      <c r="I30" s="18">
        <f>IF(OR(Kosten!$B$11="",Kosten!$E$11=0,Mieter!$C30=""),0,Kosten!$B$11*IF(Kosten!$C$11="Fläche",Mieter!$L30,IF(Kosten!$C$11="Anteil",Mieter!$M30,Mieter!$N30))*IF(Kosten!$D$11="Heizung",Mieter!$K30,Mieter!$J30)/Kosten!$E$11)</f>
        <v/>
      </c>
      <c r="J30" s="18">
        <f>IF(OR(Kosten!$B$12="",Kosten!$E$12=0,Mieter!$C30=""),0,Kosten!$B$12*IF(Kosten!$C$12="Fläche",Mieter!$L30,IF(Kosten!$C$12="Anteil",Mieter!$M30,Mieter!$N30))*IF(Kosten!$D$12="Heizung",Mieter!$K30,Mieter!$J30)/Kosten!$E$12)</f>
        <v/>
      </c>
      <c r="K30" s="18">
        <f>IF(OR(Kosten!$B$13="",Kosten!$E$13=0,Mieter!$C30=""),0,Kosten!$B$13*IF(Kosten!$C$13="Fläche",Mieter!$L30,IF(Kosten!$C$13="Anteil",Mieter!$M30,Mieter!$N30))*IF(Kosten!$D$13="Heizung",Mieter!$K30,Mieter!$J30)/Kosten!$E$13)</f>
        <v/>
      </c>
      <c r="L30" s="18">
        <f>IF(OR(Kosten!$B$14="",Kosten!$E$14=0,Mieter!$C30=""),0,Kosten!$B$14*IF(Kosten!$C$14="Fläche",Mieter!$L30,IF(Kosten!$C$14="Anteil",Mieter!$M30,Mieter!$N30))*IF(Kosten!$D$14="Heizung",Mieter!$K30,Mieter!$J30)/Kosten!$E$14)</f>
        <v/>
      </c>
      <c r="M30" s="18">
        <f>IF(OR(Kosten!$B$15="",Kosten!$E$15=0,Mieter!$C30=""),0,Kosten!$B$15*IF(Kosten!$C$15="Fläche",Mieter!$L30,IF(Kosten!$C$15="Anteil",Mieter!$M30,Mieter!$N30))*IF(Kosten!$D$15="Heizung",Mieter!$K30,Mieter!$J30)/Kosten!$E$15)</f>
        <v/>
      </c>
      <c r="N30" s="18">
        <f>IF(OR(Kosten!$B$16="",Kosten!$E$16=0,Mieter!$C30=""),0,Kosten!$B$16*IF(Kosten!$C$16="Fläche",Mieter!$L30,IF(Kosten!$C$16="Anteil",Mieter!$M30,Mieter!$N30))*IF(Kosten!$D$16="Heizung",Mieter!$K30,Mieter!$J30)/Kosten!$E$16)</f>
        <v/>
      </c>
      <c r="O30" s="18">
        <f>IF(OR(Kosten!$B$17="",Kosten!$E$17=0,Mieter!$C30=""),0,Kosten!$B$17*IF(Kosten!$C$17="Fläche",Mieter!$L30,IF(Kosten!$C$17="Anteil",Mieter!$M30,Mieter!$N30))*IF(Kosten!$D$17="Heizung",Mieter!$K30,Mieter!$J30)/Kosten!$E$17)</f>
        <v/>
      </c>
      <c r="P30" s="18">
        <f>IF(OR(Kosten!$B$18="",Kosten!$E$18=0,Mieter!$C30=""),0,Kosten!$B$18*IF(Kosten!$C$18="Fläche",Mieter!$L30,IF(Kosten!$C$18="Anteil",Mieter!$M30,Mieter!$N30))*IF(Kosten!$D$18="Heizung",Mieter!$K30,Mieter!$J30)/Kosten!$E$18)</f>
        <v/>
      </c>
      <c r="Q30" s="18">
        <f>IF(OR(Kosten!$B$19="",Kosten!$E$19=0,Mieter!$C30=""),0,Kosten!$B$19*IF(Kosten!$C$19="Fläche",Mieter!$L30,IF(Kosten!$C$19="Anteil",Mieter!$M30,Mieter!$N30))*IF(Kosten!$D$19="Heizung",Mieter!$K30,Mieter!$J30)/Kosten!$E$19)</f>
        <v/>
      </c>
      <c r="R30" s="18">
        <f>IF(OR(Kosten!$B$20="",Kosten!$E$20=0,Mieter!$C30=""),0,Kosten!$B$20*IF(Kosten!$C$20="Fläche",Mieter!$L30,IF(Kosten!$C$20="Anteil",Mieter!$M30,Mieter!$N30))*IF(Kosten!$D$20="Heizung",Mieter!$K30,Mieter!$J30)/Kosten!$E$20)</f>
        <v/>
      </c>
      <c r="S30" s="18">
        <f>IF(OR(Kosten!$B$21="",Kosten!$E$21=0,Mieter!$C30=""),0,Kosten!$B$21*IF(Kosten!$C$21="Fläche",Mieter!$L30,IF(Kosten!$C$21="Anteil",Mieter!$M30,Mieter!$N30))*IF(Kosten!$D$21="Heizung",Mieter!$K30,Mieter!$J30)/Kosten!$E$21)</f>
        <v/>
      </c>
      <c r="T30" s="18">
        <f>IF(OR(Kosten!$B$22="",Kosten!$E$22=0,Mieter!$C30=""),0,Kosten!$B$22*IF(Kosten!$C$22="Fläche",Mieter!$L30,IF(Kosten!$C$22="Anteil",Mieter!$M30,Mieter!$N30))*IF(Kosten!$D$22="Heizung",Mieter!$K30,Mieter!$J30)/Kosten!$E$22)</f>
        <v/>
      </c>
      <c r="U30" s="18">
        <f>IF(OR(Kosten!$B$23="",Kosten!$E$23=0,Mieter!$C30=""),0,Kosten!$B$23*IF(Kosten!$C$23="Fläche",Mieter!$L30,IF(Kosten!$C$23="Anteil",Mieter!$M30,Mieter!$N30))*IF(Kosten!$D$23="Heizung",Mieter!$K30,Mieter!$J30)/Kosten!$E$23)</f>
        <v/>
      </c>
      <c r="V30" s="18">
        <f>IF(OR(Kosten!$B$24="",Kosten!$E$24=0,Mieter!$C30=""),0,Kosten!$B$24*IF(Kosten!$C$24="Fläche",Mieter!$L30,IF(Kosten!$C$24="Anteil",Mieter!$M30,Mieter!$N30))*IF(Kosten!$D$24="Heizung",Mieter!$K30,Mieter!$J30)/Kosten!$E$24)</f>
        <v/>
      </c>
      <c r="W30" s="18">
        <f>IF(OR(Kosten!$B$25="",Kosten!$E$25=0,Mieter!$C30=""),0,Kosten!$B$25*IF(Kosten!$C$25="Fläche",Mieter!$L30,IF(Kosten!$C$25="Anteil",Mieter!$M30,Mieter!$N30))*IF(Kosten!$D$25="Heizung",Mieter!$K30,Mieter!$J30)/Kosten!$E$25)</f>
        <v/>
      </c>
      <c r="X30" s="18">
        <f>IF(OR(Kosten!$B$26="",Kosten!$E$26=0,Mieter!$C30=""),0,Kosten!$B$26*IF(Kosten!$C$26="Fläche",Mieter!$L30,IF(Kosten!$C$26="Anteil",Mieter!$M30,Mieter!$N30))*IF(Kosten!$D$26="Heizung",Mieter!$K30,Mieter!$J30)/Kosten!$E$26)</f>
        <v/>
      </c>
      <c r="Y30" s="18">
        <f>IF(OR(Kosten!$B$27="",Kosten!$E$27=0,Mieter!$C30=""),0,Kosten!$B$27*IF(Kosten!$C$27="Fläche",Mieter!$L30,IF(Kosten!$C$27="Anteil",Mieter!$M30,Mieter!$N30))*IF(Kosten!$D$27="Heizung",Mieter!$K30,Mieter!$J30)/Kosten!$E$27)</f>
        <v/>
      </c>
      <c r="Z30" s="18">
        <f>IF(OR(Kosten!$B$28="",Kosten!$E$28=0,Mieter!$C30=""),0,Kosten!$B$28*IF(Kosten!$C$28="Fläche",Mieter!$L30,IF(Kosten!$C$28="Anteil",Mieter!$M30,Mieter!$N30))*IF(Kosten!$D$28="Heizung",Mieter!$K30,Mieter!$J30)/Kosten!$E$28)</f>
        <v/>
      </c>
      <c r="AA30" s="18">
        <f>IF(OR(Kosten!$B$29="",Kosten!$E$29=0,Mieter!$C30=""),0,Kosten!$B$29*IF(Kosten!$C$29="Fläche",Mieter!$L30,IF(Kosten!$C$29="Anteil",Mieter!$M30,Mieter!$N30))*IF(Kosten!$D$29="Heizung",Mieter!$K30,Mieter!$J30)/Kosten!$E$29)</f>
        <v/>
      </c>
      <c r="AB30" s="18">
        <f>ROUND(SUM(C30:AA30)*20,0)/20</f>
        <v/>
      </c>
      <c r="AC30" s="18">
        <f>N(Mieter!F30)</f>
        <v/>
      </c>
      <c r="AD30" s="18">
        <f>AB30-AC30</f>
        <v/>
      </c>
    </row>
    <row r="31">
      <c r="A31" s="13">
        <f>Mieter!A31</f>
        <v/>
      </c>
      <c r="B31" s="22">
        <f>IF(Mieter!C31="","",Mieter!B31)</f>
        <v/>
      </c>
      <c r="C31" s="18">
        <f>IF(OR(Kosten!$B$5="",Kosten!$E$5=0,Mieter!$C31=""),0,Kosten!$B$5*IF(Kosten!$C$5="Fläche",Mieter!$L31,IF(Kosten!$C$5="Anteil",Mieter!$M31,Mieter!$N31))*IF(Kosten!$D$5="Heizung",Mieter!$K31,Mieter!$J31)/Kosten!$E$5)</f>
        <v/>
      </c>
      <c r="D31" s="18">
        <f>IF(OR(Kosten!$B$6="",Kosten!$E$6=0,Mieter!$C31=""),0,Kosten!$B$6*IF(Kosten!$C$6="Fläche",Mieter!$L31,IF(Kosten!$C$6="Anteil",Mieter!$M31,Mieter!$N31))*IF(Kosten!$D$6="Heizung",Mieter!$K31,Mieter!$J31)/Kosten!$E$6)</f>
        <v/>
      </c>
      <c r="E31" s="18">
        <f>IF(OR(Kosten!$B$7="",Kosten!$E$7=0,Mieter!$C31=""),0,Kosten!$B$7*IF(Kosten!$C$7="Fläche",Mieter!$L31,IF(Kosten!$C$7="Anteil",Mieter!$M31,Mieter!$N31))*IF(Kosten!$D$7="Heizung",Mieter!$K31,Mieter!$J31)/Kosten!$E$7)</f>
        <v/>
      </c>
      <c r="F31" s="18">
        <f>IF(OR(Kosten!$B$8="",Kosten!$E$8=0,Mieter!$C31=""),0,Kosten!$B$8*IF(Kosten!$C$8="Fläche",Mieter!$L31,IF(Kosten!$C$8="Anteil",Mieter!$M31,Mieter!$N31))*IF(Kosten!$D$8="Heizung",Mieter!$K31,Mieter!$J31)/Kosten!$E$8)</f>
        <v/>
      </c>
      <c r="G31" s="18">
        <f>IF(OR(Kosten!$B$9="",Kosten!$E$9=0,Mieter!$C31=""),0,Kosten!$B$9*IF(Kosten!$C$9="Fläche",Mieter!$L31,IF(Kosten!$C$9="Anteil",Mieter!$M31,Mieter!$N31))*IF(Kosten!$D$9="Heizung",Mieter!$K31,Mieter!$J31)/Kosten!$E$9)</f>
        <v/>
      </c>
      <c r="H31" s="18">
        <f>IF(OR(Kosten!$B$10="",Kosten!$E$10=0,Mieter!$C31=""),0,Kosten!$B$10*IF(Kosten!$C$10="Fläche",Mieter!$L31,IF(Kosten!$C$10="Anteil",Mieter!$M31,Mieter!$N31))*IF(Kosten!$D$10="Heizung",Mieter!$K31,Mieter!$J31)/Kosten!$E$10)</f>
        <v/>
      </c>
      <c r="I31" s="18">
        <f>IF(OR(Kosten!$B$11="",Kosten!$E$11=0,Mieter!$C31=""),0,Kosten!$B$11*IF(Kosten!$C$11="Fläche",Mieter!$L31,IF(Kosten!$C$11="Anteil",Mieter!$M31,Mieter!$N31))*IF(Kosten!$D$11="Heizung",Mieter!$K31,Mieter!$J31)/Kosten!$E$11)</f>
        <v/>
      </c>
      <c r="J31" s="18">
        <f>IF(OR(Kosten!$B$12="",Kosten!$E$12=0,Mieter!$C31=""),0,Kosten!$B$12*IF(Kosten!$C$12="Fläche",Mieter!$L31,IF(Kosten!$C$12="Anteil",Mieter!$M31,Mieter!$N31))*IF(Kosten!$D$12="Heizung",Mieter!$K31,Mieter!$J31)/Kosten!$E$12)</f>
        <v/>
      </c>
      <c r="K31" s="18">
        <f>IF(OR(Kosten!$B$13="",Kosten!$E$13=0,Mieter!$C31=""),0,Kosten!$B$13*IF(Kosten!$C$13="Fläche",Mieter!$L31,IF(Kosten!$C$13="Anteil",Mieter!$M31,Mieter!$N31))*IF(Kosten!$D$13="Heizung",Mieter!$K31,Mieter!$J31)/Kosten!$E$13)</f>
        <v/>
      </c>
      <c r="L31" s="18">
        <f>IF(OR(Kosten!$B$14="",Kosten!$E$14=0,Mieter!$C31=""),0,Kosten!$B$14*IF(Kosten!$C$14="Fläche",Mieter!$L31,IF(Kosten!$C$14="Anteil",Mieter!$M31,Mieter!$N31))*IF(Kosten!$D$14="Heizung",Mieter!$K31,Mieter!$J31)/Kosten!$E$14)</f>
        <v/>
      </c>
      <c r="M31" s="18">
        <f>IF(OR(Kosten!$B$15="",Kosten!$E$15=0,Mieter!$C31=""),0,Kosten!$B$15*IF(Kosten!$C$15="Fläche",Mieter!$L31,IF(Kosten!$C$15="Anteil",Mieter!$M31,Mieter!$N31))*IF(Kosten!$D$15="Heizung",Mieter!$K31,Mieter!$J31)/Kosten!$E$15)</f>
        <v/>
      </c>
      <c r="N31" s="18">
        <f>IF(OR(Kosten!$B$16="",Kosten!$E$16=0,Mieter!$C31=""),0,Kosten!$B$16*IF(Kosten!$C$16="Fläche",Mieter!$L31,IF(Kosten!$C$16="Anteil",Mieter!$M31,Mieter!$N31))*IF(Kosten!$D$16="Heizung",Mieter!$K31,Mieter!$J31)/Kosten!$E$16)</f>
        <v/>
      </c>
      <c r="O31" s="18">
        <f>IF(OR(Kosten!$B$17="",Kosten!$E$17=0,Mieter!$C31=""),0,Kosten!$B$17*IF(Kosten!$C$17="Fläche",Mieter!$L31,IF(Kosten!$C$17="Anteil",Mieter!$M31,Mieter!$N31))*IF(Kosten!$D$17="Heizung",Mieter!$K31,Mieter!$J31)/Kosten!$E$17)</f>
        <v/>
      </c>
      <c r="P31" s="18">
        <f>IF(OR(Kosten!$B$18="",Kosten!$E$18=0,Mieter!$C31=""),0,Kosten!$B$18*IF(Kosten!$C$18="Fläche",Mieter!$L31,IF(Kosten!$C$18="Anteil",Mieter!$M31,Mieter!$N31))*IF(Kosten!$D$18="Heizung",Mieter!$K31,Mieter!$J31)/Kosten!$E$18)</f>
        <v/>
      </c>
      <c r="Q31" s="18">
        <f>IF(OR(Kosten!$B$19="",Kosten!$E$19=0,Mieter!$C31=""),0,Kosten!$B$19*IF(Kosten!$C$19="Fläche",Mieter!$L31,IF(Kosten!$C$19="Anteil",Mieter!$M31,Mieter!$N31))*IF(Kosten!$D$19="Heizung",Mieter!$K31,Mieter!$J31)/Kosten!$E$19)</f>
        <v/>
      </c>
      <c r="R31" s="18">
        <f>IF(OR(Kosten!$B$20="",Kosten!$E$20=0,Mieter!$C31=""),0,Kosten!$B$20*IF(Kosten!$C$20="Fläche",Mieter!$L31,IF(Kosten!$C$20="Anteil",Mieter!$M31,Mieter!$N31))*IF(Kosten!$D$20="Heizung",Mieter!$K31,Mieter!$J31)/Kosten!$E$20)</f>
        <v/>
      </c>
      <c r="S31" s="18">
        <f>IF(OR(Kosten!$B$21="",Kosten!$E$21=0,Mieter!$C31=""),0,Kosten!$B$21*IF(Kosten!$C$21="Fläche",Mieter!$L31,IF(Kosten!$C$21="Anteil",Mieter!$M31,Mieter!$N31))*IF(Kosten!$D$21="Heizung",Mieter!$K31,Mieter!$J31)/Kosten!$E$21)</f>
        <v/>
      </c>
      <c r="T31" s="18">
        <f>IF(OR(Kosten!$B$22="",Kosten!$E$22=0,Mieter!$C31=""),0,Kosten!$B$22*IF(Kosten!$C$22="Fläche",Mieter!$L31,IF(Kosten!$C$22="Anteil",Mieter!$M31,Mieter!$N31))*IF(Kosten!$D$22="Heizung",Mieter!$K31,Mieter!$J31)/Kosten!$E$22)</f>
        <v/>
      </c>
      <c r="U31" s="18">
        <f>IF(OR(Kosten!$B$23="",Kosten!$E$23=0,Mieter!$C31=""),0,Kosten!$B$23*IF(Kosten!$C$23="Fläche",Mieter!$L31,IF(Kosten!$C$23="Anteil",Mieter!$M31,Mieter!$N31))*IF(Kosten!$D$23="Heizung",Mieter!$K31,Mieter!$J31)/Kosten!$E$23)</f>
        <v/>
      </c>
      <c r="V31" s="18">
        <f>IF(OR(Kosten!$B$24="",Kosten!$E$24=0,Mieter!$C31=""),0,Kosten!$B$24*IF(Kosten!$C$24="Fläche",Mieter!$L31,IF(Kosten!$C$24="Anteil",Mieter!$M31,Mieter!$N31))*IF(Kosten!$D$24="Heizung",Mieter!$K31,Mieter!$J31)/Kosten!$E$24)</f>
        <v/>
      </c>
      <c r="W31" s="18">
        <f>IF(OR(Kosten!$B$25="",Kosten!$E$25=0,Mieter!$C31=""),0,Kosten!$B$25*IF(Kosten!$C$25="Fläche",Mieter!$L31,IF(Kosten!$C$25="Anteil",Mieter!$M31,Mieter!$N31))*IF(Kosten!$D$25="Heizung",Mieter!$K31,Mieter!$J31)/Kosten!$E$25)</f>
        <v/>
      </c>
      <c r="X31" s="18">
        <f>IF(OR(Kosten!$B$26="",Kosten!$E$26=0,Mieter!$C31=""),0,Kosten!$B$26*IF(Kosten!$C$26="Fläche",Mieter!$L31,IF(Kosten!$C$26="Anteil",Mieter!$M31,Mieter!$N31))*IF(Kosten!$D$26="Heizung",Mieter!$K31,Mieter!$J31)/Kosten!$E$26)</f>
        <v/>
      </c>
      <c r="Y31" s="18">
        <f>IF(OR(Kosten!$B$27="",Kosten!$E$27=0,Mieter!$C31=""),0,Kosten!$B$27*IF(Kosten!$C$27="Fläche",Mieter!$L31,IF(Kosten!$C$27="Anteil",Mieter!$M31,Mieter!$N31))*IF(Kosten!$D$27="Heizung",Mieter!$K31,Mieter!$J31)/Kosten!$E$27)</f>
        <v/>
      </c>
      <c r="Z31" s="18">
        <f>IF(OR(Kosten!$B$28="",Kosten!$E$28=0,Mieter!$C31=""),0,Kosten!$B$28*IF(Kosten!$C$28="Fläche",Mieter!$L31,IF(Kosten!$C$28="Anteil",Mieter!$M31,Mieter!$N31))*IF(Kosten!$D$28="Heizung",Mieter!$K31,Mieter!$J31)/Kosten!$E$28)</f>
        <v/>
      </c>
      <c r="AA31" s="18">
        <f>IF(OR(Kosten!$B$29="",Kosten!$E$29=0,Mieter!$C31=""),0,Kosten!$B$29*IF(Kosten!$C$29="Fläche",Mieter!$L31,IF(Kosten!$C$29="Anteil",Mieter!$M31,Mieter!$N31))*IF(Kosten!$D$29="Heizung",Mieter!$K31,Mieter!$J31)/Kosten!$E$29)</f>
        <v/>
      </c>
      <c r="AB31" s="18">
        <f>ROUND(SUM(C31:AA31)*20,0)/20</f>
        <v/>
      </c>
      <c r="AC31" s="18">
        <f>N(Mieter!F31)</f>
        <v/>
      </c>
      <c r="AD31" s="18">
        <f>AB31-AC31</f>
        <v/>
      </c>
    </row>
    <row r="32">
      <c r="A32" s="13">
        <f>Mieter!A32</f>
        <v/>
      </c>
      <c r="B32" s="22">
        <f>IF(Mieter!C32="","",Mieter!B32)</f>
        <v/>
      </c>
      <c r="C32" s="18">
        <f>IF(OR(Kosten!$B$5="",Kosten!$E$5=0,Mieter!$C32=""),0,Kosten!$B$5*IF(Kosten!$C$5="Fläche",Mieter!$L32,IF(Kosten!$C$5="Anteil",Mieter!$M32,Mieter!$N32))*IF(Kosten!$D$5="Heizung",Mieter!$K32,Mieter!$J32)/Kosten!$E$5)</f>
        <v/>
      </c>
      <c r="D32" s="18">
        <f>IF(OR(Kosten!$B$6="",Kosten!$E$6=0,Mieter!$C32=""),0,Kosten!$B$6*IF(Kosten!$C$6="Fläche",Mieter!$L32,IF(Kosten!$C$6="Anteil",Mieter!$M32,Mieter!$N32))*IF(Kosten!$D$6="Heizung",Mieter!$K32,Mieter!$J32)/Kosten!$E$6)</f>
        <v/>
      </c>
      <c r="E32" s="18">
        <f>IF(OR(Kosten!$B$7="",Kosten!$E$7=0,Mieter!$C32=""),0,Kosten!$B$7*IF(Kosten!$C$7="Fläche",Mieter!$L32,IF(Kosten!$C$7="Anteil",Mieter!$M32,Mieter!$N32))*IF(Kosten!$D$7="Heizung",Mieter!$K32,Mieter!$J32)/Kosten!$E$7)</f>
        <v/>
      </c>
      <c r="F32" s="18">
        <f>IF(OR(Kosten!$B$8="",Kosten!$E$8=0,Mieter!$C32=""),0,Kosten!$B$8*IF(Kosten!$C$8="Fläche",Mieter!$L32,IF(Kosten!$C$8="Anteil",Mieter!$M32,Mieter!$N32))*IF(Kosten!$D$8="Heizung",Mieter!$K32,Mieter!$J32)/Kosten!$E$8)</f>
        <v/>
      </c>
      <c r="G32" s="18">
        <f>IF(OR(Kosten!$B$9="",Kosten!$E$9=0,Mieter!$C32=""),0,Kosten!$B$9*IF(Kosten!$C$9="Fläche",Mieter!$L32,IF(Kosten!$C$9="Anteil",Mieter!$M32,Mieter!$N32))*IF(Kosten!$D$9="Heizung",Mieter!$K32,Mieter!$J32)/Kosten!$E$9)</f>
        <v/>
      </c>
      <c r="H32" s="18">
        <f>IF(OR(Kosten!$B$10="",Kosten!$E$10=0,Mieter!$C32=""),0,Kosten!$B$10*IF(Kosten!$C$10="Fläche",Mieter!$L32,IF(Kosten!$C$10="Anteil",Mieter!$M32,Mieter!$N32))*IF(Kosten!$D$10="Heizung",Mieter!$K32,Mieter!$J32)/Kosten!$E$10)</f>
        <v/>
      </c>
      <c r="I32" s="18">
        <f>IF(OR(Kosten!$B$11="",Kosten!$E$11=0,Mieter!$C32=""),0,Kosten!$B$11*IF(Kosten!$C$11="Fläche",Mieter!$L32,IF(Kosten!$C$11="Anteil",Mieter!$M32,Mieter!$N32))*IF(Kosten!$D$11="Heizung",Mieter!$K32,Mieter!$J32)/Kosten!$E$11)</f>
        <v/>
      </c>
      <c r="J32" s="18">
        <f>IF(OR(Kosten!$B$12="",Kosten!$E$12=0,Mieter!$C32=""),0,Kosten!$B$12*IF(Kosten!$C$12="Fläche",Mieter!$L32,IF(Kosten!$C$12="Anteil",Mieter!$M32,Mieter!$N32))*IF(Kosten!$D$12="Heizung",Mieter!$K32,Mieter!$J32)/Kosten!$E$12)</f>
        <v/>
      </c>
      <c r="K32" s="18">
        <f>IF(OR(Kosten!$B$13="",Kosten!$E$13=0,Mieter!$C32=""),0,Kosten!$B$13*IF(Kosten!$C$13="Fläche",Mieter!$L32,IF(Kosten!$C$13="Anteil",Mieter!$M32,Mieter!$N32))*IF(Kosten!$D$13="Heizung",Mieter!$K32,Mieter!$J32)/Kosten!$E$13)</f>
        <v/>
      </c>
      <c r="L32" s="18">
        <f>IF(OR(Kosten!$B$14="",Kosten!$E$14=0,Mieter!$C32=""),0,Kosten!$B$14*IF(Kosten!$C$14="Fläche",Mieter!$L32,IF(Kosten!$C$14="Anteil",Mieter!$M32,Mieter!$N32))*IF(Kosten!$D$14="Heizung",Mieter!$K32,Mieter!$J32)/Kosten!$E$14)</f>
        <v/>
      </c>
      <c r="M32" s="18">
        <f>IF(OR(Kosten!$B$15="",Kosten!$E$15=0,Mieter!$C32=""),0,Kosten!$B$15*IF(Kosten!$C$15="Fläche",Mieter!$L32,IF(Kosten!$C$15="Anteil",Mieter!$M32,Mieter!$N32))*IF(Kosten!$D$15="Heizung",Mieter!$K32,Mieter!$J32)/Kosten!$E$15)</f>
        <v/>
      </c>
      <c r="N32" s="18">
        <f>IF(OR(Kosten!$B$16="",Kosten!$E$16=0,Mieter!$C32=""),0,Kosten!$B$16*IF(Kosten!$C$16="Fläche",Mieter!$L32,IF(Kosten!$C$16="Anteil",Mieter!$M32,Mieter!$N32))*IF(Kosten!$D$16="Heizung",Mieter!$K32,Mieter!$J32)/Kosten!$E$16)</f>
        <v/>
      </c>
      <c r="O32" s="18">
        <f>IF(OR(Kosten!$B$17="",Kosten!$E$17=0,Mieter!$C32=""),0,Kosten!$B$17*IF(Kosten!$C$17="Fläche",Mieter!$L32,IF(Kosten!$C$17="Anteil",Mieter!$M32,Mieter!$N32))*IF(Kosten!$D$17="Heizung",Mieter!$K32,Mieter!$J32)/Kosten!$E$17)</f>
        <v/>
      </c>
      <c r="P32" s="18">
        <f>IF(OR(Kosten!$B$18="",Kosten!$E$18=0,Mieter!$C32=""),0,Kosten!$B$18*IF(Kosten!$C$18="Fläche",Mieter!$L32,IF(Kosten!$C$18="Anteil",Mieter!$M32,Mieter!$N32))*IF(Kosten!$D$18="Heizung",Mieter!$K32,Mieter!$J32)/Kosten!$E$18)</f>
        <v/>
      </c>
      <c r="Q32" s="18">
        <f>IF(OR(Kosten!$B$19="",Kosten!$E$19=0,Mieter!$C32=""),0,Kosten!$B$19*IF(Kosten!$C$19="Fläche",Mieter!$L32,IF(Kosten!$C$19="Anteil",Mieter!$M32,Mieter!$N32))*IF(Kosten!$D$19="Heizung",Mieter!$K32,Mieter!$J32)/Kosten!$E$19)</f>
        <v/>
      </c>
      <c r="R32" s="18">
        <f>IF(OR(Kosten!$B$20="",Kosten!$E$20=0,Mieter!$C32=""),0,Kosten!$B$20*IF(Kosten!$C$20="Fläche",Mieter!$L32,IF(Kosten!$C$20="Anteil",Mieter!$M32,Mieter!$N32))*IF(Kosten!$D$20="Heizung",Mieter!$K32,Mieter!$J32)/Kosten!$E$20)</f>
        <v/>
      </c>
      <c r="S32" s="18">
        <f>IF(OR(Kosten!$B$21="",Kosten!$E$21=0,Mieter!$C32=""),0,Kosten!$B$21*IF(Kosten!$C$21="Fläche",Mieter!$L32,IF(Kosten!$C$21="Anteil",Mieter!$M32,Mieter!$N32))*IF(Kosten!$D$21="Heizung",Mieter!$K32,Mieter!$J32)/Kosten!$E$21)</f>
        <v/>
      </c>
      <c r="T32" s="18">
        <f>IF(OR(Kosten!$B$22="",Kosten!$E$22=0,Mieter!$C32=""),0,Kosten!$B$22*IF(Kosten!$C$22="Fläche",Mieter!$L32,IF(Kosten!$C$22="Anteil",Mieter!$M32,Mieter!$N32))*IF(Kosten!$D$22="Heizung",Mieter!$K32,Mieter!$J32)/Kosten!$E$22)</f>
        <v/>
      </c>
      <c r="U32" s="18">
        <f>IF(OR(Kosten!$B$23="",Kosten!$E$23=0,Mieter!$C32=""),0,Kosten!$B$23*IF(Kosten!$C$23="Fläche",Mieter!$L32,IF(Kosten!$C$23="Anteil",Mieter!$M32,Mieter!$N32))*IF(Kosten!$D$23="Heizung",Mieter!$K32,Mieter!$J32)/Kosten!$E$23)</f>
        <v/>
      </c>
      <c r="V32" s="18">
        <f>IF(OR(Kosten!$B$24="",Kosten!$E$24=0,Mieter!$C32=""),0,Kosten!$B$24*IF(Kosten!$C$24="Fläche",Mieter!$L32,IF(Kosten!$C$24="Anteil",Mieter!$M32,Mieter!$N32))*IF(Kosten!$D$24="Heizung",Mieter!$K32,Mieter!$J32)/Kosten!$E$24)</f>
        <v/>
      </c>
      <c r="W32" s="18">
        <f>IF(OR(Kosten!$B$25="",Kosten!$E$25=0,Mieter!$C32=""),0,Kosten!$B$25*IF(Kosten!$C$25="Fläche",Mieter!$L32,IF(Kosten!$C$25="Anteil",Mieter!$M32,Mieter!$N32))*IF(Kosten!$D$25="Heizung",Mieter!$K32,Mieter!$J32)/Kosten!$E$25)</f>
        <v/>
      </c>
      <c r="X32" s="18">
        <f>IF(OR(Kosten!$B$26="",Kosten!$E$26=0,Mieter!$C32=""),0,Kosten!$B$26*IF(Kosten!$C$26="Fläche",Mieter!$L32,IF(Kosten!$C$26="Anteil",Mieter!$M32,Mieter!$N32))*IF(Kosten!$D$26="Heizung",Mieter!$K32,Mieter!$J32)/Kosten!$E$26)</f>
        <v/>
      </c>
      <c r="Y32" s="18">
        <f>IF(OR(Kosten!$B$27="",Kosten!$E$27=0,Mieter!$C32=""),0,Kosten!$B$27*IF(Kosten!$C$27="Fläche",Mieter!$L32,IF(Kosten!$C$27="Anteil",Mieter!$M32,Mieter!$N32))*IF(Kosten!$D$27="Heizung",Mieter!$K32,Mieter!$J32)/Kosten!$E$27)</f>
        <v/>
      </c>
      <c r="Z32" s="18">
        <f>IF(OR(Kosten!$B$28="",Kosten!$E$28=0,Mieter!$C32=""),0,Kosten!$B$28*IF(Kosten!$C$28="Fläche",Mieter!$L32,IF(Kosten!$C$28="Anteil",Mieter!$M32,Mieter!$N32))*IF(Kosten!$D$28="Heizung",Mieter!$K32,Mieter!$J32)/Kosten!$E$28)</f>
        <v/>
      </c>
      <c r="AA32" s="18">
        <f>IF(OR(Kosten!$B$29="",Kosten!$E$29=0,Mieter!$C32=""),0,Kosten!$B$29*IF(Kosten!$C$29="Fläche",Mieter!$L32,IF(Kosten!$C$29="Anteil",Mieter!$M32,Mieter!$N32))*IF(Kosten!$D$29="Heizung",Mieter!$K32,Mieter!$J32)/Kosten!$E$29)</f>
        <v/>
      </c>
      <c r="AB32" s="18">
        <f>ROUND(SUM(C32:AA32)*20,0)/20</f>
        <v/>
      </c>
      <c r="AC32" s="18">
        <f>N(Mieter!F32)</f>
        <v/>
      </c>
      <c r="AD32" s="18">
        <f>AB32-AC32</f>
        <v/>
      </c>
    </row>
    <row r="33">
      <c r="A33" s="13">
        <f>Mieter!A33</f>
        <v/>
      </c>
      <c r="B33" s="22">
        <f>IF(Mieter!C33="","",Mieter!B33)</f>
        <v/>
      </c>
      <c r="C33" s="18">
        <f>IF(OR(Kosten!$B$5="",Kosten!$E$5=0,Mieter!$C33=""),0,Kosten!$B$5*IF(Kosten!$C$5="Fläche",Mieter!$L33,IF(Kosten!$C$5="Anteil",Mieter!$M33,Mieter!$N33))*IF(Kosten!$D$5="Heizung",Mieter!$K33,Mieter!$J33)/Kosten!$E$5)</f>
        <v/>
      </c>
      <c r="D33" s="18">
        <f>IF(OR(Kosten!$B$6="",Kosten!$E$6=0,Mieter!$C33=""),0,Kosten!$B$6*IF(Kosten!$C$6="Fläche",Mieter!$L33,IF(Kosten!$C$6="Anteil",Mieter!$M33,Mieter!$N33))*IF(Kosten!$D$6="Heizung",Mieter!$K33,Mieter!$J33)/Kosten!$E$6)</f>
        <v/>
      </c>
      <c r="E33" s="18">
        <f>IF(OR(Kosten!$B$7="",Kosten!$E$7=0,Mieter!$C33=""),0,Kosten!$B$7*IF(Kosten!$C$7="Fläche",Mieter!$L33,IF(Kosten!$C$7="Anteil",Mieter!$M33,Mieter!$N33))*IF(Kosten!$D$7="Heizung",Mieter!$K33,Mieter!$J33)/Kosten!$E$7)</f>
        <v/>
      </c>
      <c r="F33" s="18">
        <f>IF(OR(Kosten!$B$8="",Kosten!$E$8=0,Mieter!$C33=""),0,Kosten!$B$8*IF(Kosten!$C$8="Fläche",Mieter!$L33,IF(Kosten!$C$8="Anteil",Mieter!$M33,Mieter!$N33))*IF(Kosten!$D$8="Heizung",Mieter!$K33,Mieter!$J33)/Kosten!$E$8)</f>
        <v/>
      </c>
      <c r="G33" s="18">
        <f>IF(OR(Kosten!$B$9="",Kosten!$E$9=0,Mieter!$C33=""),0,Kosten!$B$9*IF(Kosten!$C$9="Fläche",Mieter!$L33,IF(Kosten!$C$9="Anteil",Mieter!$M33,Mieter!$N33))*IF(Kosten!$D$9="Heizung",Mieter!$K33,Mieter!$J33)/Kosten!$E$9)</f>
        <v/>
      </c>
      <c r="H33" s="18">
        <f>IF(OR(Kosten!$B$10="",Kosten!$E$10=0,Mieter!$C33=""),0,Kosten!$B$10*IF(Kosten!$C$10="Fläche",Mieter!$L33,IF(Kosten!$C$10="Anteil",Mieter!$M33,Mieter!$N33))*IF(Kosten!$D$10="Heizung",Mieter!$K33,Mieter!$J33)/Kosten!$E$10)</f>
        <v/>
      </c>
      <c r="I33" s="18">
        <f>IF(OR(Kosten!$B$11="",Kosten!$E$11=0,Mieter!$C33=""),0,Kosten!$B$11*IF(Kosten!$C$11="Fläche",Mieter!$L33,IF(Kosten!$C$11="Anteil",Mieter!$M33,Mieter!$N33))*IF(Kosten!$D$11="Heizung",Mieter!$K33,Mieter!$J33)/Kosten!$E$11)</f>
        <v/>
      </c>
      <c r="J33" s="18">
        <f>IF(OR(Kosten!$B$12="",Kosten!$E$12=0,Mieter!$C33=""),0,Kosten!$B$12*IF(Kosten!$C$12="Fläche",Mieter!$L33,IF(Kosten!$C$12="Anteil",Mieter!$M33,Mieter!$N33))*IF(Kosten!$D$12="Heizung",Mieter!$K33,Mieter!$J33)/Kosten!$E$12)</f>
        <v/>
      </c>
      <c r="K33" s="18">
        <f>IF(OR(Kosten!$B$13="",Kosten!$E$13=0,Mieter!$C33=""),0,Kosten!$B$13*IF(Kosten!$C$13="Fläche",Mieter!$L33,IF(Kosten!$C$13="Anteil",Mieter!$M33,Mieter!$N33))*IF(Kosten!$D$13="Heizung",Mieter!$K33,Mieter!$J33)/Kosten!$E$13)</f>
        <v/>
      </c>
      <c r="L33" s="18">
        <f>IF(OR(Kosten!$B$14="",Kosten!$E$14=0,Mieter!$C33=""),0,Kosten!$B$14*IF(Kosten!$C$14="Fläche",Mieter!$L33,IF(Kosten!$C$14="Anteil",Mieter!$M33,Mieter!$N33))*IF(Kosten!$D$14="Heizung",Mieter!$K33,Mieter!$J33)/Kosten!$E$14)</f>
        <v/>
      </c>
      <c r="M33" s="18">
        <f>IF(OR(Kosten!$B$15="",Kosten!$E$15=0,Mieter!$C33=""),0,Kosten!$B$15*IF(Kosten!$C$15="Fläche",Mieter!$L33,IF(Kosten!$C$15="Anteil",Mieter!$M33,Mieter!$N33))*IF(Kosten!$D$15="Heizung",Mieter!$K33,Mieter!$J33)/Kosten!$E$15)</f>
        <v/>
      </c>
      <c r="N33" s="18">
        <f>IF(OR(Kosten!$B$16="",Kosten!$E$16=0,Mieter!$C33=""),0,Kosten!$B$16*IF(Kosten!$C$16="Fläche",Mieter!$L33,IF(Kosten!$C$16="Anteil",Mieter!$M33,Mieter!$N33))*IF(Kosten!$D$16="Heizung",Mieter!$K33,Mieter!$J33)/Kosten!$E$16)</f>
        <v/>
      </c>
      <c r="O33" s="18">
        <f>IF(OR(Kosten!$B$17="",Kosten!$E$17=0,Mieter!$C33=""),0,Kosten!$B$17*IF(Kosten!$C$17="Fläche",Mieter!$L33,IF(Kosten!$C$17="Anteil",Mieter!$M33,Mieter!$N33))*IF(Kosten!$D$17="Heizung",Mieter!$K33,Mieter!$J33)/Kosten!$E$17)</f>
        <v/>
      </c>
      <c r="P33" s="18">
        <f>IF(OR(Kosten!$B$18="",Kosten!$E$18=0,Mieter!$C33=""),0,Kosten!$B$18*IF(Kosten!$C$18="Fläche",Mieter!$L33,IF(Kosten!$C$18="Anteil",Mieter!$M33,Mieter!$N33))*IF(Kosten!$D$18="Heizung",Mieter!$K33,Mieter!$J33)/Kosten!$E$18)</f>
        <v/>
      </c>
      <c r="Q33" s="18">
        <f>IF(OR(Kosten!$B$19="",Kosten!$E$19=0,Mieter!$C33=""),0,Kosten!$B$19*IF(Kosten!$C$19="Fläche",Mieter!$L33,IF(Kosten!$C$19="Anteil",Mieter!$M33,Mieter!$N33))*IF(Kosten!$D$19="Heizung",Mieter!$K33,Mieter!$J33)/Kosten!$E$19)</f>
        <v/>
      </c>
      <c r="R33" s="18">
        <f>IF(OR(Kosten!$B$20="",Kosten!$E$20=0,Mieter!$C33=""),0,Kosten!$B$20*IF(Kosten!$C$20="Fläche",Mieter!$L33,IF(Kosten!$C$20="Anteil",Mieter!$M33,Mieter!$N33))*IF(Kosten!$D$20="Heizung",Mieter!$K33,Mieter!$J33)/Kosten!$E$20)</f>
        <v/>
      </c>
      <c r="S33" s="18">
        <f>IF(OR(Kosten!$B$21="",Kosten!$E$21=0,Mieter!$C33=""),0,Kosten!$B$21*IF(Kosten!$C$21="Fläche",Mieter!$L33,IF(Kosten!$C$21="Anteil",Mieter!$M33,Mieter!$N33))*IF(Kosten!$D$21="Heizung",Mieter!$K33,Mieter!$J33)/Kosten!$E$21)</f>
        <v/>
      </c>
      <c r="T33" s="18">
        <f>IF(OR(Kosten!$B$22="",Kosten!$E$22=0,Mieter!$C33=""),0,Kosten!$B$22*IF(Kosten!$C$22="Fläche",Mieter!$L33,IF(Kosten!$C$22="Anteil",Mieter!$M33,Mieter!$N33))*IF(Kosten!$D$22="Heizung",Mieter!$K33,Mieter!$J33)/Kosten!$E$22)</f>
        <v/>
      </c>
      <c r="U33" s="18">
        <f>IF(OR(Kosten!$B$23="",Kosten!$E$23=0,Mieter!$C33=""),0,Kosten!$B$23*IF(Kosten!$C$23="Fläche",Mieter!$L33,IF(Kosten!$C$23="Anteil",Mieter!$M33,Mieter!$N33))*IF(Kosten!$D$23="Heizung",Mieter!$K33,Mieter!$J33)/Kosten!$E$23)</f>
        <v/>
      </c>
      <c r="V33" s="18">
        <f>IF(OR(Kosten!$B$24="",Kosten!$E$24=0,Mieter!$C33=""),0,Kosten!$B$24*IF(Kosten!$C$24="Fläche",Mieter!$L33,IF(Kosten!$C$24="Anteil",Mieter!$M33,Mieter!$N33))*IF(Kosten!$D$24="Heizung",Mieter!$K33,Mieter!$J33)/Kosten!$E$24)</f>
        <v/>
      </c>
      <c r="W33" s="18">
        <f>IF(OR(Kosten!$B$25="",Kosten!$E$25=0,Mieter!$C33=""),0,Kosten!$B$25*IF(Kosten!$C$25="Fläche",Mieter!$L33,IF(Kosten!$C$25="Anteil",Mieter!$M33,Mieter!$N33))*IF(Kosten!$D$25="Heizung",Mieter!$K33,Mieter!$J33)/Kosten!$E$25)</f>
        <v/>
      </c>
      <c r="X33" s="18">
        <f>IF(OR(Kosten!$B$26="",Kosten!$E$26=0,Mieter!$C33=""),0,Kosten!$B$26*IF(Kosten!$C$26="Fläche",Mieter!$L33,IF(Kosten!$C$26="Anteil",Mieter!$M33,Mieter!$N33))*IF(Kosten!$D$26="Heizung",Mieter!$K33,Mieter!$J33)/Kosten!$E$26)</f>
        <v/>
      </c>
      <c r="Y33" s="18">
        <f>IF(OR(Kosten!$B$27="",Kosten!$E$27=0,Mieter!$C33=""),0,Kosten!$B$27*IF(Kosten!$C$27="Fläche",Mieter!$L33,IF(Kosten!$C$27="Anteil",Mieter!$M33,Mieter!$N33))*IF(Kosten!$D$27="Heizung",Mieter!$K33,Mieter!$J33)/Kosten!$E$27)</f>
        <v/>
      </c>
      <c r="Z33" s="18">
        <f>IF(OR(Kosten!$B$28="",Kosten!$E$28=0,Mieter!$C33=""),0,Kosten!$B$28*IF(Kosten!$C$28="Fläche",Mieter!$L33,IF(Kosten!$C$28="Anteil",Mieter!$M33,Mieter!$N33))*IF(Kosten!$D$28="Heizung",Mieter!$K33,Mieter!$J33)/Kosten!$E$28)</f>
        <v/>
      </c>
      <c r="AA33" s="18">
        <f>IF(OR(Kosten!$B$29="",Kosten!$E$29=0,Mieter!$C33=""),0,Kosten!$B$29*IF(Kosten!$C$29="Fläche",Mieter!$L33,IF(Kosten!$C$29="Anteil",Mieter!$M33,Mieter!$N33))*IF(Kosten!$D$29="Heizung",Mieter!$K33,Mieter!$J33)/Kosten!$E$29)</f>
        <v/>
      </c>
      <c r="AB33" s="18">
        <f>ROUND(SUM(C33:AA33)*20,0)/20</f>
        <v/>
      </c>
      <c r="AC33" s="18">
        <f>N(Mieter!F33)</f>
        <v/>
      </c>
      <c r="AD33" s="18">
        <f>AB33-AC33</f>
        <v/>
      </c>
    </row>
    <row r="34">
      <c r="A34" s="13">
        <f>Mieter!A34</f>
        <v/>
      </c>
      <c r="B34" s="22">
        <f>IF(Mieter!C34="","",Mieter!B34)</f>
        <v/>
      </c>
      <c r="C34" s="18">
        <f>IF(OR(Kosten!$B$5="",Kosten!$E$5=0,Mieter!$C34=""),0,Kosten!$B$5*IF(Kosten!$C$5="Fläche",Mieter!$L34,IF(Kosten!$C$5="Anteil",Mieter!$M34,Mieter!$N34))*IF(Kosten!$D$5="Heizung",Mieter!$K34,Mieter!$J34)/Kosten!$E$5)</f>
        <v/>
      </c>
      <c r="D34" s="18">
        <f>IF(OR(Kosten!$B$6="",Kosten!$E$6=0,Mieter!$C34=""),0,Kosten!$B$6*IF(Kosten!$C$6="Fläche",Mieter!$L34,IF(Kosten!$C$6="Anteil",Mieter!$M34,Mieter!$N34))*IF(Kosten!$D$6="Heizung",Mieter!$K34,Mieter!$J34)/Kosten!$E$6)</f>
        <v/>
      </c>
      <c r="E34" s="18">
        <f>IF(OR(Kosten!$B$7="",Kosten!$E$7=0,Mieter!$C34=""),0,Kosten!$B$7*IF(Kosten!$C$7="Fläche",Mieter!$L34,IF(Kosten!$C$7="Anteil",Mieter!$M34,Mieter!$N34))*IF(Kosten!$D$7="Heizung",Mieter!$K34,Mieter!$J34)/Kosten!$E$7)</f>
        <v/>
      </c>
      <c r="F34" s="18">
        <f>IF(OR(Kosten!$B$8="",Kosten!$E$8=0,Mieter!$C34=""),0,Kosten!$B$8*IF(Kosten!$C$8="Fläche",Mieter!$L34,IF(Kosten!$C$8="Anteil",Mieter!$M34,Mieter!$N34))*IF(Kosten!$D$8="Heizung",Mieter!$K34,Mieter!$J34)/Kosten!$E$8)</f>
        <v/>
      </c>
      <c r="G34" s="18">
        <f>IF(OR(Kosten!$B$9="",Kosten!$E$9=0,Mieter!$C34=""),0,Kosten!$B$9*IF(Kosten!$C$9="Fläche",Mieter!$L34,IF(Kosten!$C$9="Anteil",Mieter!$M34,Mieter!$N34))*IF(Kosten!$D$9="Heizung",Mieter!$K34,Mieter!$J34)/Kosten!$E$9)</f>
        <v/>
      </c>
      <c r="H34" s="18">
        <f>IF(OR(Kosten!$B$10="",Kosten!$E$10=0,Mieter!$C34=""),0,Kosten!$B$10*IF(Kosten!$C$10="Fläche",Mieter!$L34,IF(Kosten!$C$10="Anteil",Mieter!$M34,Mieter!$N34))*IF(Kosten!$D$10="Heizung",Mieter!$K34,Mieter!$J34)/Kosten!$E$10)</f>
        <v/>
      </c>
      <c r="I34" s="18">
        <f>IF(OR(Kosten!$B$11="",Kosten!$E$11=0,Mieter!$C34=""),0,Kosten!$B$11*IF(Kosten!$C$11="Fläche",Mieter!$L34,IF(Kosten!$C$11="Anteil",Mieter!$M34,Mieter!$N34))*IF(Kosten!$D$11="Heizung",Mieter!$K34,Mieter!$J34)/Kosten!$E$11)</f>
        <v/>
      </c>
      <c r="J34" s="18">
        <f>IF(OR(Kosten!$B$12="",Kosten!$E$12=0,Mieter!$C34=""),0,Kosten!$B$12*IF(Kosten!$C$12="Fläche",Mieter!$L34,IF(Kosten!$C$12="Anteil",Mieter!$M34,Mieter!$N34))*IF(Kosten!$D$12="Heizung",Mieter!$K34,Mieter!$J34)/Kosten!$E$12)</f>
        <v/>
      </c>
      <c r="K34" s="18">
        <f>IF(OR(Kosten!$B$13="",Kosten!$E$13=0,Mieter!$C34=""),0,Kosten!$B$13*IF(Kosten!$C$13="Fläche",Mieter!$L34,IF(Kosten!$C$13="Anteil",Mieter!$M34,Mieter!$N34))*IF(Kosten!$D$13="Heizung",Mieter!$K34,Mieter!$J34)/Kosten!$E$13)</f>
        <v/>
      </c>
      <c r="L34" s="18">
        <f>IF(OR(Kosten!$B$14="",Kosten!$E$14=0,Mieter!$C34=""),0,Kosten!$B$14*IF(Kosten!$C$14="Fläche",Mieter!$L34,IF(Kosten!$C$14="Anteil",Mieter!$M34,Mieter!$N34))*IF(Kosten!$D$14="Heizung",Mieter!$K34,Mieter!$J34)/Kosten!$E$14)</f>
        <v/>
      </c>
      <c r="M34" s="18">
        <f>IF(OR(Kosten!$B$15="",Kosten!$E$15=0,Mieter!$C34=""),0,Kosten!$B$15*IF(Kosten!$C$15="Fläche",Mieter!$L34,IF(Kosten!$C$15="Anteil",Mieter!$M34,Mieter!$N34))*IF(Kosten!$D$15="Heizung",Mieter!$K34,Mieter!$J34)/Kosten!$E$15)</f>
        <v/>
      </c>
      <c r="N34" s="18">
        <f>IF(OR(Kosten!$B$16="",Kosten!$E$16=0,Mieter!$C34=""),0,Kosten!$B$16*IF(Kosten!$C$16="Fläche",Mieter!$L34,IF(Kosten!$C$16="Anteil",Mieter!$M34,Mieter!$N34))*IF(Kosten!$D$16="Heizung",Mieter!$K34,Mieter!$J34)/Kosten!$E$16)</f>
        <v/>
      </c>
      <c r="O34" s="18">
        <f>IF(OR(Kosten!$B$17="",Kosten!$E$17=0,Mieter!$C34=""),0,Kosten!$B$17*IF(Kosten!$C$17="Fläche",Mieter!$L34,IF(Kosten!$C$17="Anteil",Mieter!$M34,Mieter!$N34))*IF(Kosten!$D$17="Heizung",Mieter!$K34,Mieter!$J34)/Kosten!$E$17)</f>
        <v/>
      </c>
      <c r="P34" s="18">
        <f>IF(OR(Kosten!$B$18="",Kosten!$E$18=0,Mieter!$C34=""),0,Kosten!$B$18*IF(Kosten!$C$18="Fläche",Mieter!$L34,IF(Kosten!$C$18="Anteil",Mieter!$M34,Mieter!$N34))*IF(Kosten!$D$18="Heizung",Mieter!$K34,Mieter!$J34)/Kosten!$E$18)</f>
        <v/>
      </c>
      <c r="Q34" s="18">
        <f>IF(OR(Kosten!$B$19="",Kosten!$E$19=0,Mieter!$C34=""),0,Kosten!$B$19*IF(Kosten!$C$19="Fläche",Mieter!$L34,IF(Kosten!$C$19="Anteil",Mieter!$M34,Mieter!$N34))*IF(Kosten!$D$19="Heizung",Mieter!$K34,Mieter!$J34)/Kosten!$E$19)</f>
        <v/>
      </c>
      <c r="R34" s="18">
        <f>IF(OR(Kosten!$B$20="",Kosten!$E$20=0,Mieter!$C34=""),0,Kosten!$B$20*IF(Kosten!$C$20="Fläche",Mieter!$L34,IF(Kosten!$C$20="Anteil",Mieter!$M34,Mieter!$N34))*IF(Kosten!$D$20="Heizung",Mieter!$K34,Mieter!$J34)/Kosten!$E$20)</f>
        <v/>
      </c>
      <c r="S34" s="18">
        <f>IF(OR(Kosten!$B$21="",Kosten!$E$21=0,Mieter!$C34=""),0,Kosten!$B$21*IF(Kosten!$C$21="Fläche",Mieter!$L34,IF(Kosten!$C$21="Anteil",Mieter!$M34,Mieter!$N34))*IF(Kosten!$D$21="Heizung",Mieter!$K34,Mieter!$J34)/Kosten!$E$21)</f>
        <v/>
      </c>
      <c r="T34" s="18">
        <f>IF(OR(Kosten!$B$22="",Kosten!$E$22=0,Mieter!$C34=""),0,Kosten!$B$22*IF(Kosten!$C$22="Fläche",Mieter!$L34,IF(Kosten!$C$22="Anteil",Mieter!$M34,Mieter!$N34))*IF(Kosten!$D$22="Heizung",Mieter!$K34,Mieter!$J34)/Kosten!$E$22)</f>
        <v/>
      </c>
      <c r="U34" s="18">
        <f>IF(OR(Kosten!$B$23="",Kosten!$E$23=0,Mieter!$C34=""),0,Kosten!$B$23*IF(Kosten!$C$23="Fläche",Mieter!$L34,IF(Kosten!$C$23="Anteil",Mieter!$M34,Mieter!$N34))*IF(Kosten!$D$23="Heizung",Mieter!$K34,Mieter!$J34)/Kosten!$E$23)</f>
        <v/>
      </c>
      <c r="V34" s="18">
        <f>IF(OR(Kosten!$B$24="",Kosten!$E$24=0,Mieter!$C34=""),0,Kosten!$B$24*IF(Kosten!$C$24="Fläche",Mieter!$L34,IF(Kosten!$C$24="Anteil",Mieter!$M34,Mieter!$N34))*IF(Kosten!$D$24="Heizung",Mieter!$K34,Mieter!$J34)/Kosten!$E$24)</f>
        <v/>
      </c>
      <c r="W34" s="18">
        <f>IF(OR(Kosten!$B$25="",Kosten!$E$25=0,Mieter!$C34=""),0,Kosten!$B$25*IF(Kosten!$C$25="Fläche",Mieter!$L34,IF(Kosten!$C$25="Anteil",Mieter!$M34,Mieter!$N34))*IF(Kosten!$D$25="Heizung",Mieter!$K34,Mieter!$J34)/Kosten!$E$25)</f>
        <v/>
      </c>
      <c r="X34" s="18">
        <f>IF(OR(Kosten!$B$26="",Kosten!$E$26=0,Mieter!$C34=""),0,Kosten!$B$26*IF(Kosten!$C$26="Fläche",Mieter!$L34,IF(Kosten!$C$26="Anteil",Mieter!$M34,Mieter!$N34))*IF(Kosten!$D$26="Heizung",Mieter!$K34,Mieter!$J34)/Kosten!$E$26)</f>
        <v/>
      </c>
      <c r="Y34" s="18">
        <f>IF(OR(Kosten!$B$27="",Kosten!$E$27=0,Mieter!$C34=""),0,Kosten!$B$27*IF(Kosten!$C$27="Fläche",Mieter!$L34,IF(Kosten!$C$27="Anteil",Mieter!$M34,Mieter!$N34))*IF(Kosten!$D$27="Heizung",Mieter!$K34,Mieter!$J34)/Kosten!$E$27)</f>
        <v/>
      </c>
      <c r="Z34" s="18">
        <f>IF(OR(Kosten!$B$28="",Kosten!$E$28=0,Mieter!$C34=""),0,Kosten!$B$28*IF(Kosten!$C$28="Fläche",Mieter!$L34,IF(Kosten!$C$28="Anteil",Mieter!$M34,Mieter!$N34))*IF(Kosten!$D$28="Heizung",Mieter!$K34,Mieter!$J34)/Kosten!$E$28)</f>
        <v/>
      </c>
      <c r="AA34" s="18">
        <f>IF(OR(Kosten!$B$29="",Kosten!$E$29=0,Mieter!$C34=""),0,Kosten!$B$29*IF(Kosten!$C$29="Fläche",Mieter!$L34,IF(Kosten!$C$29="Anteil",Mieter!$M34,Mieter!$N34))*IF(Kosten!$D$29="Heizung",Mieter!$K34,Mieter!$J34)/Kosten!$E$29)</f>
        <v/>
      </c>
      <c r="AB34" s="18">
        <f>ROUND(SUM(C34:AA34)*20,0)/20</f>
        <v/>
      </c>
      <c r="AC34" s="18">
        <f>N(Mieter!F34)</f>
        <v/>
      </c>
      <c r="AD34" s="18">
        <f>AB34-AC34</f>
        <v/>
      </c>
    </row>
    <row r="35">
      <c r="A35" s="13">
        <f>Mieter!A35</f>
        <v/>
      </c>
      <c r="B35" s="22">
        <f>IF(Mieter!C35="","",Mieter!B35)</f>
        <v/>
      </c>
      <c r="C35" s="18">
        <f>IF(OR(Kosten!$B$5="",Kosten!$E$5=0,Mieter!$C35=""),0,Kosten!$B$5*IF(Kosten!$C$5="Fläche",Mieter!$L35,IF(Kosten!$C$5="Anteil",Mieter!$M35,Mieter!$N35))*IF(Kosten!$D$5="Heizung",Mieter!$K35,Mieter!$J35)/Kosten!$E$5)</f>
        <v/>
      </c>
      <c r="D35" s="18">
        <f>IF(OR(Kosten!$B$6="",Kosten!$E$6=0,Mieter!$C35=""),0,Kosten!$B$6*IF(Kosten!$C$6="Fläche",Mieter!$L35,IF(Kosten!$C$6="Anteil",Mieter!$M35,Mieter!$N35))*IF(Kosten!$D$6="Heizung",Mieter!$K35,Mieter!$J35)/Kosten!$E$6)</f>
        <v/>
      </c>
      <c r="E35" s="18">
        <f>IF(OR(Kosten!$B$7="",Kosten!$E$7=0,Mieter!$C35=""),0,Kosten!$B$7*IF(Kosten!$C$7="Fläche",Mieter!$L35,IF(Kosten!$C$7="Anteil",Mieter!$M35,Mieter!$N35))*IF(Kosten!$D$7="Heizung",Mieter!$K35,Mieter!$J35)/Kosten!$E$7)</f>
        <v/>
      </c>
      <c r="F35" s="18">
        <f>IF(OR(Kosten!$B$8="",Kosten!$E$8=0,Mieter!$C35=""),0,Kosten!$B$8*IF(Kosten!$C$8="Fläche",Mieter!$L35,IF(Kosten!$C$8="Anteil",Mieter!$M35,Mieter!$N35))*IF(Kosten!$D$8="Heizung",Mieter!$K35,Mieter!$J35)/Kosten!$E$8)</f>
        <v/>
      </c>
      <c r="G35" s="18">
        <f>IF(OR(Kosten!$B$9="",Kosten!$E$9=0,Mieter!$C35=""),0,Kosten!$B$9*IF(Kosten!$C$9="Fläche",Mieter!$L35,IF(Kosten!$C$9="Anteil",Mieter!$M35,Mieter!$N35))*IF(Kosten!$D$9="Heizung",Mieter!$K35,Mieter!$J35)/Kosten!$E$9)</f>
        <v/>
      </c>
      <c r="H35" s="18">
        <f>IF(OR(Kosten!$B$10="",Kosten!$E$10=0,Mieter!$C35=""),0,Kosten!$B$10*IF(Kosten!$C$10="Fläche",Mieter!$L35,IF(Kosten!$C$10="Anteil",Mieter!$M35,Mieter!$N35))*IF(Kosten!$D$10="Heizung",Mieter!$K35,Mieter!$J35)/Kosten!$E$10)</f>
        <v/>
      </c>
      <c r="I35" s="18">
        <f>IF(OR(Kosten!$B$11="",Kosten!$E$11=0,Mieter!$C35=""),0,Kosten!$B$11*IF(Kosten!$C$11="Fläche",Mieter!$L35,IF(Kosten!$C$11="Anteil",Mieter!$M35,Mieter!$N35))*IF(Kosten!$D$11="Heizung",Mieter!$K35,Mieter!$J35)/Kosten!$E$11)</f>
        <v/>
      </c>
      <c r="J35" s="18">
        <f>IF(OR(Kosten!$B$12="",Kosten!$E$12=0,Mieter!$C35=""),0,Kosten!$B$12*IF(Kosten!$C$12="Fläche",Mieter!$L35,IF(Kosten!$C$12="Anteil",Mieter!$M35,Mieter!$N35))*IF(Kosten!$D$12="Heizung",Mieter!$K35,Mieter!$J35)/Kosten!$E$12)</f>
        <v/>
      </c>
      <c r="K35" s="18">
        <f>IF(OR(Kosten!$B$13="",Kosten!$E$13=0,Mieter!$C35=""),0,Kosten!$B$13*IF(Kosten!$C$13="Fläche",Mieter!$L35,IF(Kosten!$C$13="Anteil",Mieter!$M35,Mieter!$N35))*IF(Kosten!$D$13="Heizung",Mieter!$K35,Mieter!$J35)/Kosten!$E$13)</f>
        <v/>
      </c>
      <c r="L35" s="18">
        <f>IF(OR(Kosten!$B$14="",Kosten!$E$14=0,Mieter!$C35=""),0,Kosten!$B$14*IF(Kosten!$C$14="Fläche",Mieter!$L35,IF(Kosten!$C$14="Anteil",Mieter!$M35,Mieter!$N35))*IF(Kosten!$D$14="Heizung",Mieter!$K35,Mieter!$J35)/Kosten!$E$14)</f>
        <v/>
      </c>
      <c r="M35" s="18">
        <f>IF(OR(Kosten!$B$15="",Kosten!$E$15=0,Mieter!$C35=""),0,Kosten!$B$15*IF(Kosten!$C$15="Fläche",Mieter!$L35,IF(Kosten!$C$15="Anteil",Mieter!$M35,Mieter!$N35))*IF(Kosten!$D$15="Heizung",Mieter!$K35,Mieter!$J35)/Kosten!$E$15)</f>
        <v/>
      </c>
      <c r="N35" s="18">
        <f>IF(OR(Kosten!$B$16="",Kosten!$E$16=0,Mieter!$C35=""),0,Kosten!$B$16*IF(Kosten!$C$16="Fläche",Mieter!$L35,IF(Kosten!$C$16="Anteil",Mieter!$M35,Mieter!$N35))*IF(Kosten!$D$16="Heizung",Mieter!$K35,Mieter!$J35)/Kosten!$E$16)</f>
        <v/>
      </c>
      <c r="O35" s="18">
        <f>IF(OR(Kosten!$B$17="",Kosten!$E$17=0,Mieter!$C35=""),0,Kosten!$B$17*IF(Kosten!$C$17="Fläche",Mieter!$L35,IF(Kosten!$C$17="Anteil",Mieter!$M35,Mieter!$N35))*IF(Kosten!$D$17="Heizung",Mieter!$K35,Mieter!$J35)/Kosten!$E$17)</f>
        <v/>
      </c>
      <c r="P35" s="18">
        <f>IF(OR(Kosten!$B$18="",Kosten!$E$18=0,Mieter!$C35=""),0,Kosten!$B$18*IF(Kosten!$C$18="Fläche",Mieter!$L35,IF(Kosten!$C$18="Anteil",Mieter!$M35,Mieter!$N35))*IF(Kosten!$D$18="Heizung",Mieter!$K35,Mieter!$J35)/Kosten!$E$18)</f>
        <v/>
      </c>
      <c r="Q35" s="18">
        <f>IF(OR(Kosten!$B$19="",Kosten!$E$19=0,Mieter!$C35=""),0,Kosten!$B$19*IF(Kosten!$C$19="Fläche",Mieter!$L35,IF(Kosten!$C$19="Anteil",Mieter!$M35,Mieter!$N35))*IF(Kosten!$D$19="Heizung",Mieter!$K35,Mieter!$J35)/Kosten!$E$19)</f>
        <v/>
      </c>
      <c r="R35" s="18">
        <f>IF(OR(Kosten!$B$20="",Kosten!$E$20=0,Mieter!$C35=""),0,Kosten!$B$20*IF(Kosten!$C$20="Fläche",Mieter!$L35,IF(Kosten!$C$20="Anteil",Mieter!$M35,Mieter!$N35))*IF(Kosten!$D$20="Heizung",Mieter!$K35,Mieter!$J35)/Kosten!$E$20)</f>
        <v/>
      </c>
      <c r="S35" s="18">
        <f>IF(OR(Kosten!$B$21="",Kosten!$E$21=0,Mieter!$C35=""),0,Kosten!$B$21*IF(Kosten!$C$21="Fläche",Mieter!$L35,IF(Kosten!$C$21="Anteil",Mieter!$M35,Mieter!$N35))*IF(Kosten!$D$21="Heizung",Mieter!$K35,Mieter!$J35)/Kosten!$E$21)</f>
        <v/>
      </c>
      <c r="T35" s="18">
        <f>IF(OR(Kosten!$B$22="",Kosten!$E$22=0,Mieter!$C35=""),0,Kosten!$B$22*IF(Kosten!$C$22="Fläche",Mieter!$L35,IF(Kosten!$C$22="Anteil",Mieter!$M35,Mieter!$N35))*IF(Kosten!$D$22="Heizung",Mieter!$K35,Mieter!$J35)/Kosten!$E$22)</f>
        <v/>
      </c>
      <c r="U35" s="18">
        <f>IF(OR(Kosten!$B$23="",Kosten!$E$23=0,Mieter!$C35=""),0,Kosten!$B$23*IF(Kosten!$C$23="Fläche",Mieter!$L35,IF(Kosten!$C$23="Anteil",Mieter!$M35,Mieter!$N35))*IF(Kosten!$D$23="Heizung",Mieter!$K35,Mieter!$J35)/Kosten!$E$23)</f>
        <v/>
      </c>
      <c r="V35" s="18">
        <f>IF(OR(Kosten!$B$24="",Kosten!$E$24=0,Mieter!$C35=""),0,Kosten!$B$24*IF(Kosten!$C$24="Fläche",Mieter!$L35,IF(Kosten!$C$24="Anteil",Mieter!$M35,Mieter!$N35))*IF(Kosten!$D$24="Heizung",Mieter!$K35,Mieter!$J35)/Kosten!$E$24)</f>
        <v/>
      </c>
      <c r="W35" s="18">
        <f>IF(OR(Kosten!$B$25="",Kosten!$E$25=0,Mieter!$C35=""),0,Kosten!$B$25*IF(Kosten!$C$25="Fläche",Mieter!$L35,IF(Kosten!$C$25="Anteil",Mieter!$M35,Mieter!$N35))*IF(Kosten!$D$25="Heizung",Mieter!$K35,Mieter!$J35)/Kosten!$E$25)</f>
        <v/>
      </c>
      <c r="X35" s="18">
        <f>IF(OR(Kosten!$B$26="",Kosten!$E$26=0,Mieter!$C35=""),0,Kosten!$B$26*IF(Kosten!$C$26="Fläche",Mieter!$L35,IF(Kosten!$C$26="Anteil",Mieter!$M35,Mieter!$N35))*IF(Kosten!$D$26="Heizung",Mieter!$K35,Mieter!$J35)/Kosten!$E$26)</f>
        <v/>
      </c>
      <c r="Y35" s="18">
        <f>IF(OR(Kosten!$B$27="",Kosten!$E$27=0,Mieter!$C35=""),0,Kosten!$B$27*IF(Kosten!$C$27="Fläche",Mieter!$L35,IF(Kosten!$C$27="Anteil",Mieter!$M35,Mieter!$N35))*IF(Kosten!$D$27="Heizung",Mieter!$K35,Mieter!$J35)/Kosten!$E$27)</f>
        <v/>
      </c>
      <c r="Z35" s="18">
        <f>IF(OR(Kosten!$B$28="",Kosten!$E$28=0,Mieter!$C35=""),0,Kosten!$B$28*IF(Kosten!$C$28="Fläche",Mieter!$L35,IF(Kosten!$C$28="Anteil",Mieter!$M35,Mieter!$N35))*IF(Kosten!$D$28="Heizung",Mieter!$K35,Mieter!$J35)/Kosten!$E$28)</f>
        <v/>
      </c>
      <c r="AA35" s="18">
        <f>IF(OR(Kosten!$B$29="",Kosten!$E$29=0,Mieter!$C35=""),0,Kosten!$B$29*IF(Kosten!$C$29="Fläche",Mieter!$L35,IF(Kosten!$C$29="Anteil",Mieter!$M35,Mieter!$N35))*IF(Kosten!$D$29="Heizung",Mieter!$K35,Mieter!$J35)/Kosten!$E$29)</f>
        <v/>
      </c>
      <c r="AB35" s="18">
        <f>ROUND(SUM(C35:AA35)*20,0)/20</f>
        <v/>
      </c>
      <c r="AC35" s="18">
        <f>N(Mieter!F35)</f>
        <v/>
      </c>
      <c r="AD35" s="18">
        <f>AB35-AC35</f>
        <v/>
      </c>
    </row>
    <row r="36">
      <c r="A36" s="13">
        <f>Mieter!A36</f>
        <v/>
      </c>
      <c r="B36" s="22">
        <f>IF(Mieter!C36="","",Mieter!B36)</f>
        <v/>
      </c>
      <c r="C36" s="18">
        <f>IF(OR(Kosten!$B$5="",Kosten!$E$5=0,Mieter!$C36=""),0,Kosten!$B$5*IF(Kosten!$C$5="Fläche",Mieter!$L36,IF(Kosten!$C$5="Anteil",Mieter!$M36,Mieter!$N36))*IF(Kosten!$D$5="Heizung",Mieter!$K36,Mieter!$J36)/Kosten!$E$5)</f>
        <v/>
      </c>
      <c r="D36" s="18">
        <f>IF(OR(Kosten!$B$6="",Kosten!$E$6=0,Mieter!$C36=""),0,Kosten!$B$6*IF(Kosten!$C$6="Fläche",Mieter!$L36,IF(Kosten!$C$6="Anteil",Mieter!$M36,Mieter!$N36))*IF(Kosten!$D$6="Heizung",Mieter!$K36,Mieter!$J36)/Kosten!$E$6)</f>
        <v/>
      </c>
      <c r="E36" s="18">
        <f>IF(OR(Kosten!$B$7="",Kosten!$E$7=0,Mieter!$C36=""),0,Kosten!$B$7*IF(Kosten!$C$7="Fläche",Mieter!$L36,IF(Kosten!$C$7="Anteil",Mieter!$M36,Mieter!$N36))*IF(Kosten!$D$7="Heizung",Mieter!$K36,Mieter!$J36)/Kosten!$E$7)</f>
        <v/>
      </c>
      <c r="F36" s="18">
        <f>IF(OR(Kosten!$B$8="",Kosten!$E$8=0,Mieter!$C36=""),0,Kosten!$B$8*IF(Kosten!$C$8="Fläche",Mieter!$L36,IF(Kosten!$C$8="Anteil",Mieter!$M36,Mieter!$N36))*IF(Kosten!$D$8="Heizung",Mieter!$K36,Mieter!$J36)/Kosten!$E$8)</f>
        <v/>
      </c>
      <c r="G36" s="18">
        <f>IF(OR(Kosten!$B$9="",Kosten!$E$9=0,Mieter!$C36=""),0,Kosten!$B$9*IF(Kosten!$C$9="Fläche",Mieter!$L36,IF(Kosten!$C$9="Anteil",Mieter!$M36,Mieter!$N36))*IF(Kosten!$D$9="Heizung",Mieter!$K36,Mieter!$J36)/Kosten!$E$9)</f>
        <v/>
      </c>
      <c r="H36" s="18">
        <f>IF(OR(Kosten!$B$10="",Kosten!$E$10=0,Mieter!$C36=""),0,Kosten!$B$10*IF(Kosten!$C$10="Fläche",Mieter!$L36,IF(Kosten!$C$10="Anteil",Mieter!$M36,Mieter!$N36))*IF(Kosten!$D$10="Heizung",Mieter!$K36,Mieter!$J36)/Kosten!$E$10)</f>
        <v/>
      </c>
      <c r="I36" s="18">
        <f>IF(OR(Kosten!$B$11="",Kosten!$E$11=0,Mieter!$C36=""),0,Kosten!$B$11*IF(Kosten!$C$11="Fläche",Mieter!$L36,IF(Kosten!$C$11="Anteil",Mieter!$M36,Mieter!$N36))*IF(Kosten!$D$11="Heizung",Mieter!$K36,Mieter!$J36)/Kosten!$E$11)</f>
        <v/>
      </c>
      <c r="J36" s="18">
        <f>IF(OR(Kosten!$B$12="",Kosten!$E$12=0,Mieter!$C36=""),0,Kosten!$B$12*IF(Kosten!$C$12="Fläche",Mieter!$L36,IF(Kosten!$C$12="Anteil",Mieter!$M36,Mieter!$N36))*IF(Kosten!$D$12="Heizung",Mieter!$K36,Mieter!$J36)/Kosten!$E$12)</f>
        <v/>
      </c>
      <c r="K36" s="18">
        <f>IF(OR(Kosten!$B$13="",Kosten!$E$13=0,Mieter!$C36=""),0,Kosten!$B$13*IF(Kosten!$C$13="Fläche",Mieter!$L36,IF(Kosten!$C$13="Anteil",Mieter!$M36,Mieter!$N36))*IF(Kosten!$D$13="Heizung",Mieter!$K36,Mieter!$J36)/Kosten!$E$13)</f>
        <v/>
      </c>
      <c r="L36" s="18">
        <f>IF(OR(Kosten!$B$14="",Kosten!$E$14=0,Mieter!$C36=""),0,Kosten!$B$14*IF(Kosten!$C$14="Fläche",Mieter!$L36,IF(Kosten!$C$14="Anteil",Mieter!$M36,Mieter!$N36))*IF(Kosten!$D$14="Heizung",Mieter!$K36,Mieter!$J36)/Kosten!$E$14)</f>
        <v/>
      </c>
      <c r="M36" s="18">
        <f>IF(OR(Kosten!$B$15="",Kosten!$E$15=0,Mieter!$C36=""),0,Kosten!$B$15*IF(Kosten!$C$15="Fläche",Mieter!$L36,IF(Kosten!$C$15="Anteil",Mieter!$M36,Mieter!$N36))*IF(Kosten!$D$15="Heizung",Mieter!$K36,Mieter!$J36)/Kosten!$E$15)</f>
        <v/>
      </c>
      <c r="N36" s="18">
        <f>IF(OR(Kosten!$B$16="",Kosten!$E$16=0,Mieter!$C36=""),0,Kosten!$B$16*IF(Kosten!$C$16="Fläche",Mieter!$L36,IF(Kosten!$C$16="Anteil",Mieter!$M36,Mieter!$N36))*IF(Kosten!$D$16="Heizung",Mieter!$K36,Mieter!$J36)/Kosten!$E$16)</f>
        <v/>
      </c>
      <c r="O36" s="18">
        <f>IF(OR(Kosten!$B$17="",Kosten!$E$17=0,Mieter!$C36=""),0,Kosten!$B$17*IF(Kosten!$C$17="Fläche",Mieter!$L36,IF(Kosten!$C$17="Anteil",Mieter!$M36,Mieter!$N36))*IF(Kosten!$D$17="Heizung",Mieter!$K36,Mieter!$J36)/Kosten!$E$17)</f>
        <v/>
      </c>
      <c r="P36" s="18">
        <f>IF(OR(Kosten!$B$18="",Kosten!$E$18=0,Mieter!$C36=""),0,Kosten!$B$18*IF(Kosten!$C$18="Fläche",Mieter!$L36,IF(Kosten!$C$18="Anteil",Mieter!$M36,Mieter!$N36))*IF(Kosten!$D$18="Heizung",Mieter!$K36,Mieter!$J36)/Kosten!$E$18)</f>
        <v/>
      </c>
      <c r="Q36" s="18">
        <f>IF(OR(Kosten!$B$19="",Kosten!$E$19=0,Mieter!$C36=""),0,Kosten!$B$19*IF(Kosten!$C$19="Fläche",Mieter!$L36,IF(Kosten!$C$19="Anteil",Mieter!$M36,Mieter!$N36))*IF(Kosten!$D$19="Heizung",Mieter!$K36,Mieter!$J36)/Kosten!$E$19)</f>
        <v/>
      </c>
      <c r="R36" s="18">
        <f>IF(OR(Kosten!$B$20="",Kosten!$E$20=0,Mieter!$C36=""),0,Kosten!$B$20*IF(Kosten!$C$20="Fläche",Mieter!$L36,IF(Kosten!$C$20="Anteil",Mieter!$M36,Mieter!$N36))*IF(Kosten!$D$20="Heizung",Mieter!$K36,Mieter!$J36)/Kosten!$E$20)</f>
        <v/>
      </c>
      <c r="S36" s="18">
        <f>IF(OR(Kosten!$B$21="",Kosten!$E$21=0,Mieter!$C36=""),0,Kosten!$B$21*IF(Kosten!$C$21="Fläche",Mieter!$L36,IF(Kosten!$C$21="Anteil",Mieter!$M36,Mieter!$N36))*IF(Kosten!$D$21="Heizung",Mieter!$K36,Mieter!$J36)/Kosten!$E$21)</f>
        <v/>
      </c>
      <c r="T36" s="18">
        <f>IF(OR(Kosten!$B$22="",Kosten!$E$22=0,Mieter!$C36=""),0,Kosten!$B$22*IF(Kosten!$C$22="Fläche",Mieter!$L36,IF(Kosten!$C$22="Anteil",Mieter!$M36,Mieter!$N36))*IF(Kosten!$D$22="Heizung",Mieter!$K36,Mieter!$J36)/Kosten!$E$22)</f>
        <v/>
      </c>
      <c r="U36" s="18">
        <f>IF(OR(Kosten!$B$23="",Kosten!$E$23=0,Mieter!$C36=""),0,Kosten!$B$23*IF(Kosten!$C$23="Fläche",Mieter!$L36,IF(Kosten!$C$23="Anteil",Mieter!$M36,Mieter!$N36))*IF(Kosten!$D$23="Heizung",Mieter!$K36,Mieter!$J36)/Kosten!$E$23)</f>
        <v/>
      </c>
      <c r="V36" s="18">
        <f>IF(OR(Kosten!$B$24="",Kosten!$E$24=0,Mieter!$C36=""),0,Kosten!$B$24*IF(Kosten!$C$24="Fläche",Mieter!$L36,IF(Kosten!$C$24="Anteil",Mieter!$M36,Mieter!$N36))*IF(Kosten!$D$24="Heizung",Mieter!$K36,Mieter!$J36)/Kosten!$E$24)</f>
        <v/>
      </c>
      <c r="W36" s="18">
        <f>IF(OR(Kosten!$B$25="",Kosten!$E$25=0,Mieter!$C36=""),0,Kosten!$B$25*IF(Kosten!$C$25="Fläche",Mieter!$L36,IF(Kosten!$C$25="Anteil",Mieter!$M36,Mieter!$N36))*IF(Kosten!$D$25="Heizung",Mieter!$K36,Mieter!$J36)/Kosten!$E$25)</f>
        <v/>
      </c>
      <c r="X36" s="18">
        <f>IF(OR(Kosten!$B$26="",Kosten!$E$26=0,Mieter!$C36=""),0,Kosten!$B$26*IF(Kosten!$C$26="Fläche",Mieter!$L36,IF(Kosten!$C$26="Anteil",Mieter!$M36,Mieter!$N36))*IF(Kosten!$D$26="Heizung",Mieter!$K36,Mieter!$J36)/Kosten!$E$26)</f>
        <v/>
      </c>
      <c r="Y36" s="18">
        <f>IF(OR(Kosten!$B$27="",Kosten!$E$27=0,Mieter!$C36=""),0,Kosten!$B$27*IF(Kosten!$C$27="Fläche",Mieter!$L36,IF(Kosten!$C$27="Anteil",Mieter!$M36,Mieter!$N36))*IF(Kosten!$D$27="Heizung",Mieter!$K36,Mieter!$J36)/Kosten!$E$27)</f>
        <v/>
      </c>
      <c r="Z36" s="18">
        <f>IF(OR(Kosten!$B$28="",Kosten!$E$28=0,Mieter!$C36=""),0,Kosten!$B$28*IF(Kosten!$C$28="Fläche",Mieter!$L36,IF(Kosten!$C$28="Anteil",Mieter!$M36,Mieter!$N36))*IF(Kosten!$D$28="Heizung",Mieter!$K36,Mieter!$J36)/Kosten!$E$28)</f>
        <v/>
      </c>
      <c r="AA36" s="18">
        <f>IF(OR(Kosten!$B$29="",Kosten!$E$29=0,Mieter!$C36=""),0,Kosten!$B$29*IF(Kosten!$C$29="Fläche",Mieter!$L36,IF(Kosten!$C$29="Anteil",Mieter!$M36,Mieter!$N36))*IF(Kosten!$D$29="Heizung",Mieter!$K36,Mieter!$J36)/Kosten!$E$29)</f>
        <v/>
      </c>
      <c r="AB36" s="18">
        <f>ROUND(SUM(C36:AA36)*20,0)/20</f>
        <v/>
      </c>
      <c r="AC36" s="18">
        <f>N(Mieter!F36)</f>
        <v/>
      </c>
      <c r="AD36" s="18">
        <f>AB36-AC36</f>
        <v/>
      </c>
    </row>
    <row r="37">
      <c r="A37" s="13">
        <f>Mieter!A37</f>
        <v/>
      </c>
      <c r="B37" s="22">
        <f>IF(Mieter!C37="","",Mieter!B37)</f>
        <v/>
      </c>
      <c r="C37" s="18">
        <f>IF(OR(Kosten!$B$5="",Kosten!$E$5=0,Mieter!$C37=""),0,Kosten!$B$5*IF(Kosten!$C$5="Fläche",Mieter!$L37,IF(Kosten!$C$5="Anteil",Mieter!$M37,Mieter!$N37))*IF(Kosten!$D$5="Heizung",Mieter!$K37,Mieter!$J37)/Kosten!$E$5)</f>
        <v/>
      </c>
      <c r="D37" s="18">
        <f>IF(OR(Kosten!$B$6="",Kosten!$E$6=0,Mieter!$C37=""),0,Kosten!$B$6*IF(Kosten!$C$6="Fläche",Mieter!$L37,IF(Kosten!$C$6="Anteil",Mieter!$M37,Mieter!$N37))*IF(Kosten!$D$6="Heizung",Mieter!$K37,Mieter!$J37)/Kosten!$E$6)</f>
        <v/>
      </c>
      <c r="E37" s="18">
        <f>IF(OR(Kosten!$B$7="",Kosten!$E$7=0,Mieter!$C37=""),0,Kosten!$B$7*IF(Kosten!$C$7="Fläche",Mieter!$L37,IF(Kosten!$C$7="Anteil",Mieter!$M37,Mieter!$N37))*IF(Kosten!$D$7="Heizung",Mieter!$K37,Mieter!$J37)/Kosten!$E$7)</f>
        <v/>
      </c>
      <c r="F37" s="18">
        <f>IF(OR(Kosten!$B$8="",Kosten!$E$8=0,Mieter!$C37=""),0,Kosten!$B$8*IF(Kosten!$C$8="Fläche",Mieter!$L37,IF(Kosten!$C$8="Anteil",Mieter!$M37,Mieter!$N37))*IF(Kosten!$D$8="Heizung",Mieter!$K37,Mieter!$J37)/Kosten!$E$8)</f>
        <v/>
      </c>
      <c r="G37" s="18">
        <f>IF(OR(Kosten!$B$9="",Kosten!$E$9=0,Mieter!$C37=""),0,Kosten!$B$9*IF(Kosten!$C$9="Fläche",Mieter!$L37,IF(Kosten!$C$9="Anteil",Mieter!$M37,Mieter!$N37))*IF(Kosten!$D$9="Heizung",Mieter!$K37,Mieter!$J37)/Kosten!$E$9)</f>
        <v/>
      </c>
      <c r="H37" s="18">
        <f>IF(OR(Kosten!$B$10="",Kosten!$E$10=0,Mieter!$C37=""),0,Kosten!$B$10*IF(Kosten!$C$10="Fläche",Mieter!$L37,IF(Kosten!$C$10="Anteil",Mieter!$M37,Mieter!$N37))*IF(Kosten!$D$10="Heizung",Mieter!$K37,Mieter!$J37)/Kosten!$E$10)</f>
        <v/>
      </c>
      <c r="I37" s="18">
        <f>IF(OR(Kosten!$B$11="",Kosten!$E$11=0,Mieter!$C37=""),0,Kosten!$B$11*IF(Kosten!$C$11="Fläche",Mieter!$L37,IF(Kosten!$C$11="Anteil",Mieter!$M37,Mieter!$N37))*IF(Kosten!$D$11="Heizung",Mieter!$K37,Mieter!$J37)/Kosten!$E$11)</f>
        <v/>
      </c>
      <c r="J37" s="18">
        <f>IF(OR(Kosten!$B$12="",Kosten!$E$12=0,Mieter!$C37=""),0,Kosten!$B$12*IF(Kosten!$C$12="Fläche",Mieter!$L37,IF(Kosten!$C$12="Anteil",Mieter!$M37,Mieter!$N37))*IF(Kosten!$D$12="Heizung",Mieter!$K37,Mieter!$J37)/Kosten!$E$12)</f>
        <v/>
      </c>
      <c r="K37" s="18">
        <f>IF(OR(Kosten!$B$13="",Kosten!$E$13=0,Mieter!$C37=""),0,Kosten!$B$13*IF(Kosten!$C$13="Fläche",Mieter!$L37,IF(Kosten!$C$13="Anteil",Mieter!$M37,Mieter!$N37))*IF(Kosten!$D$13="Heizung",Mieter!$K37,Mieter!$J37)/Kosten!$E$13)</f>
        <v/>
      </c>
      <c r="L37" s="18">
        <f>IF(OR(Kosten!$B$14="",Kosten!$E$14=0,Mieter!$C37=""),0,Kosten!$B$14*IF(Kosten!$C$14="Fläche",Mieter!$L37,IF(Kosten!$C$14="Anteil",Mieter!$M37,Mieter!$N37))*IF(Kosten!$D$14="Heizung",Mieter!$K37,Mieter!$J37)/Kosten!$E$14)</f>
        <v/>
      </c>
      <c r="M37" s="18">
        <f>IF(OR(Kosten!$B$15="",Kosten!$E$15=0,Mieter!$C37=""),0,Kosten!$B$15*IF(Kosten!$C$15="Fläche",Mieter!$L37,IF(Kosten!$C$15="Anteil",Mieter!$M37,Mieter!$N37))*IF(Kosten!$D$15="Heizung",Mieter!$K37,Mieter!$J37)/Kosten!$E$15)</f>
        <v/>
      </c>
      <c r="N37" s="18">
        <f>IF(OR(Kosten!$B$16="",Kosten!$E$16=0,Mieter!$C37=""),0,Kosten!$B$16*IF(Kosten!$C$16="Fläche",Mieter!$L37,IF(Kosten!$C$16="Anteil",Mieter!$M37,Mieter!$N37))*IF(Kosten!$D$16="Heizung",Mieter!$K37,Mieter!$J37)/Kosten!$E$16)</f>
        <v/>
      </c>
      <c r="O37" s="18">
        <f>IF(OR(Kosten!$B$17="",Kosten!$E$17=0,Mieter!$C37=""),0,Kosten!$B$17*IF(Kosten!$C$17="Fläche",Mieter!$L37,IF(Kosten!$C$17="Anteil",Mieter!$M37,Mieter!$N37))*IF(Kosten!$D$17="Heizung",Mieter!$K37,Mieter!$J37)/Kosten!$E$17)</f>
        <v/>
      </c>
      <c r="P37" s="18">
        <f>IF(OR(Kosten!$B$18="",Kosten!$E$18=0,Mieter!$C37=""),0,Kosten!$B$18*IF(Kosten!$C$18="Fläche",Mieter!$L37,IF(Kosten!$C$18="Anteil",Mieter!$M37,Mieter!$N37))*IF(Kosten!$D$18="Heizung",Mieter!$K37,Mieter!$J37)/Kosten!$E$18)</f>
        <v/>
      </c>
      <c r="Q37" s="18">
        <f>IF(OR(Kosten!$B$19="",Kosten!$E$19=0,Mieter!$C37=""),0,Kosten!$B$19*IF(Kosten!$C$19="Fläche",Mieter!$L37,IF(Kosten!$C$19="Anteil",Mieter!$M37,Mieter!$N37))*IF(Kosten!$D$19="Heizung",Mieter!$K37,Mieter!$J37)/Kosten!$E$19)</f>
        <v/>
      </c>
      <c r="R37" s="18">
        <f>IF(OR(Kosten!$B$20="",Kosten!$E$20=0,Mieter!$C37=""),0,Kosten!$B$20*IF(Kosten!$C$20="Fläche",Mieter!$L37,IF(Kosten!$C$20="Anteil",Mieter!$M37,Mieter!$N37))*IF(Kosten!$D$20="Heizung",Mieter!$K37,Mieter!$J37)/Kosten!$E$20)</f>
        <v/>
      </c>
      <c r="S37" s="18">
        <f>IF(OR(Kosten!$B$21="",Kosten!$E$21=0,Mieter!$C37=""),0,Kosten!$B$21*IF(Kosten!$C$21="Fläche",Mieter!$L37,IF(Kosten!$C$21="Anteil",Mieter!$M37,Mieter!$N37))*IF(Kosten!$D$21="Heizung",Mieter!$K37,Mieter!$J37)/Kosten!$E$21)</f>
        <v/>
      </c>
      <c r="T37" s="18">
        <f>IF(OR(Kosten!$B$22="",Kosten!$E$22=0,Mieter!$C37=""),0,Kosten!$B$22*IF(Kosten!$C$22="Fläche",Mieter!$L37,IF(Kosten!$C$22="Anteil",Mieter!$M37,Mieter!$N37))*IF(Kosten!$D$22="Heizung",Mieter!$K37,Mieter!$J37)/Kosten!$E$22)</f>
        <v/>
      </c>
      <c r="U37" s="18">
        <f>IF(OR(Kosten!$B$23="",Kosten!$E$23=0,Mieter!$C37=""),0,Kosten!$B$23*IF(Kosten!$C$23="Fläche",Mieter!$L37,IF(Kosten!$C$23="Anteil",Mieter!$M37,Mieter!$N37))*IF(Kosten!$D$23="Heizung",Mieter!$K37,Mieter!$J37)/Kosten!$E$23)</f>
        <v/>
      </c>
      <c r="V37" s="18">
        <f>IF(OR(Kosten!$B$24="",Kosten!$E$24=0,Mieter!$C37=""),0,Kosten!$B$24*IF(Kosten!$C$24="Fläche",Mieter!$L37,IF(Kosten!$C$24="Anteil",Mieter!$M37,Mieter!$N37))*IF(Kosten!$D$24="Heizung",Mieter!$K37,Mieter!$J37)/Kosten!$E$24)</f>
        <v/>
      </c>
      <c r="W37" s="18">
        <f>IF(OR(Kosten!$B$25="",Kosten!$E$25=0,Mieter!$C37=""),0,Kosten!$B$25*IF(Kosten!$C$25="Fläche",Mieter!$L37,IF(Kosten!$C$25="Anteil",Mieter!$M37,Mieter!$N37))*IF(Kosten!$D$25="Heizung",Mieter!$K37,Mieter!$J37)/Kosten!$E$25)</f>
        <v/>
      </c>
      <c r="X37" s="18">
        <f>IF(OR(Kosten!$B$26="",Kosten!$E$26=0,Mieter!$C37=""),0,Kosten!$B$26*IF(Kosten!$C$26="Fläche",Mieter!$L37,IF(Kosten!$C$26="Anteil",Mieter!$M37,Mieter!$N37))*IF(Kosten!$D$26="Heizung",Mieter!$K37,Mieter!$J37)/Kosten!$E$26)</f>
        <v/>
      </c>
      <c r="Y37" s="18">
        <f>IF(OR(Kosten!$B$27="",Kosten!$E$27=0,Mieter!$C37=""),0,Kosten!$B$27*IF(Kosten!$C$27="Fläche",Mieter!$L37,IF(Kosten!$C$27="Anteil",Mieter!$M37,Mieter!$N37))*IF(Kosten!$D$27="Heizung",Mieter!$K37,Mieter!$J37)/Kosten!$E$27)</f>
        <v/>
      </c>
      <c r="Z37" s="18">
        <f>IF(OR(Kosten!$B$28="",Kosten!$E$28=0,Mieter!$C37=""),0,Kosten!$B$28*IF(Kosten!$C$28="Fläche",Mieter!$L37,IF(Kosten!$C$28="Anteil",Mieter!$M37,Mieter!$N37))*IF(Kosten!$D$28="Heizung",Mieter!$K37,Mieter!$J37)/Kosten!$E$28)</f>
        <v/>
      </c>
      <c r="AA37" s="18">
        <f>IF(OR(Kosten!$B$29="",Kosten!$E$29=0,Mieter!$C37=""),0,Kosten!$B$29*IF(Kosten!$C$29="Fläche",Mieter!$L37,IF(Kosten!$C$29="Anteil",Mieter!$M37,Mieter!$N37))*IF(Kosten!$D$29="Heizung",Mieter!$K37,Mieter!$J37)/Kosten!$E$29)</f>
        <v/>
      </c>
      <c r="AB37" s="18">
        <f>ROUND(SUM(C37:AA37)*20,0)/20</f>
        <v/>
      </c>
      <c r="AC37" s="18">
        <f>N(Mieter!F37)</f>
        <v/>
      </c>
      <c r="AD37" s="18">
        <f>AB37-AC37</f>
        <v/>
      </c>
    </row>
    <row r="38">
      <c r="A38" s="13">
        <f>Mieter!A38</f>
        <v/>
      </c>
      <c r="B38" s="22">
        <f>IF(Mieter!C38="","",Mieter!B38)</f>
        <v/>
      </c>
      <c r="C38" s="18">
        <f>IF(OR(Kosten!$B$5="",Kosten!$E$5=0,Mieter!$C38=""),0,Kosten!$B$5*IF(Kosten!$C$5="Fläche",Mieter!$L38,IF(Kosten!$C$5="Anteil",Mieter!$M38,Mieter!$N38))*IF(Kosten!$D$5="Heizung",Mieter!$K38,Mieter!$J38)/Kosten!$E$5)</f>
        <v/>
      </c>
      <c r="D38" s="18">
        <f>IF(OR(Kosten!$B$6="",Kosten!$E$6=0,Mieter!$C38=""),0,Kosten!$B$6*IF(Kosten!$C$6="Fläche",Mieter!$L38,IF(Kosten!$C$6="Anteil",Mieter!$M38,Mieter!$N38))*IF(Kosten!$D$6="Heizung",Mieter!$K38,Mieter!$J38)/Kosten!$E$6)</f>
        <v/>
      </c>
      <c r="E38" s="18">
        <f>IF(OR(Kosten!$B$7="",Kosten!$E$7=0,Mieter!$C38=""),0,Kosten!$B$7*IF(Kosten!$C$7="Fläche",Mieter!$L38,IF(Kosten!$C$7="Anteil",Mieter!$M38,Mieter!$N38))*IF(Kosten!$D$7="Heizung",Mieter!$K38,Mieter!$J38)/Kosten!$E$7)</f>
        <v/>
      </c>
      <c r="F38" s="18">
        <f>IF(OR(Kosten!$B$8="",Kosten!$E$8=0,Mieter!$C38=""),0,Kosten!$B$8*IF(Kosten!$C$8="Fläche",Mieter!$L38,IF(Kosten!$C$8="Anteil",Mieter!$M38,Mieter!$N38))*IF(Kosten!$D$8="Heizung",Mieter!$K38,Mieter!$J38)/Kosten!$E$8)</f>
        <v/>
      </c>
      <c r="G38" s="18">
        <f>IF(OR(Kosten!$B$9="",Kosten!$E$9=0,Mieter!$C38=""),0,Kosten!$B$9*IF(Kosten!$C$9="Fläche",Mieter!$L38,IF(Kosten!$C$9="Anteil",Mieter!$M38,Mieter!$N38))*IF(Kosten!$D$9="Heizung",Mieter!$K38,Mieter!$J38)/Kosten!$E$9)</f>
        <v/>
      </c>
      <c r="H38" s="18">
        <f>IF(OR(Kosten!$B$10="",Kosten!$E$10=0,Mieter!$C38=""),0,Kosten!$B$10*IF(Kosten!$C$10="Fläche",Mieter!$L38,IF(Kosten!$C$10="Anteil",Mieter!$M38,Mieter!$N38))*IF(Kosten!$D$10="Heizung",Mieter!$K38,Mieter!$J38)/Kosten!$E$10)</f>
        <v/>
      </c>
      <c r="I38" s="18">
        <f>IF(OR(Kosten!$B$11="",Kosten!$E$11=0,Mieter!$C38=""),0,Kosten!$B$11*IF(Kosten!$C$11="Fläche",Mieter!$L38,IF(Kosten!$C$11="Anteil",Mieter!$M38,Mieter!$N38))*IF(Kosten!$D$11="Heizung",Mieter!$K38,Mieter!$J38)/Kosten!$E$11)</f>
        <v/>
      </c>
      <c r="J38" s="18">
        <f>IF(OR(Kosten!$B$12="",Kosten!$E$12=0,Mieter!$C38=""),0,Kosten!$B$12*IF(Kosten!$C$12="Fläche",Mieter!$L38,IF(Kosten!$C$12="Anteil",Mieter!$M38,Mieter!$N38))*IF(Kosten!$D$12="Heizung",Mieter!$K38,Mieter!$J38)/Kosten!$E$12)</f>
        <v/>
      </c>
      <c r="K38" s="18">
        <f>IF(OR(Kosten!$B$13="",Kosten!$E$13=0,Mieter!$C38=""),0,Kosten!$B$13*IF(Kosten!$C$13="Fläche",Mieter!$L38,IF(Kosten!$C$13="Anteil",Mieter!$M38,Mieter!$N38))*IF(Kosten!$D$13="Heizung",Mieter!$K38,Mieter!$J38)/Kosten!$E$13)</f>
        <v/>
      </c>
      <c r="L38" s="18">
        <f>IF(OR(Kosten!$B$14="",Kosten!$E$14=0,Mieter!$C38=""),0,Kosten!$B$14*IF(Kosten!$C$14="Fläche",Mieter!$L38,IF(Kosten!$C$14="Anteil",Mieter!$M38,Mieter!$N38))*IF(Kosten!$D$14="Heizung",Mieter!$K38,Mieter!$J38)/Kosten!$E$14)</f>
        <v/>
      </c>
      <c r="M38" s="18">
        <f>IF(OR(Kosten!$B$15="",Kosten!$E$15=0,Mieter!$C38=""),0,Kosten!$B$15*IF(Kosten!$C$15="Fläche",Mieter!$L38,IF(Kosten!$C$15="Anteil",Mieter!$M38,Mieter!$N38))*IF(Kosten!$D$15="Heizung",Mieter!$K38,Mieter!$J38)/Kosten!$E$15)</f>
        <v/>
      </c>
      <c r="N38" s="18">
        <f>IF(OR(Kosten!$B$16="",Kosten!$E$16=0,Mieter!$C38=""),0,Kosten!$B$16*IF(Kosten!$C$16="Fläche",Mieter!$L38,IF(Kosten!$C$16="Anteil",Mieter!$M38,Mieter!$N38))*IF(Kosten!$D$16="Heizung",Mieter!$K38,Mieter!$J38)/Kosten!$E$16)</f>
        <v/>
      </c>
      <c r="O38" s="18">
        <f>IF(OR(Kosten!$B$17="",Kosten!$E$17=0,Mieter!$C38=""),0,Kosten!$B$17*IF(Kosten!$C$17="Fläche",Mieter!$L38,IF(Kosten!$C$17="Anteil",Mieter!$M38,Mieter!$N38))*IF(Kosten!$D$17="Heizung",Mieter!$K38,Mieter!$J38)/Kosten!$E$17)</f>
        <v/>
      </c>
      <c r="P38" s="18">
        <f>IF(OR(Kosten!$B$18="",Kosten!$E$18=0,Mieter!$C38=""),0,Kosten!$B$18*IF(Kosten!$C$18="Fläche",Mieter!$L38,IF(Kosten!$C$18="Anteil",Mieter!$M38,Mieter!$N38))*IF(Kosten!$D$18="Heizung",Mieter!$K38,Mieter!$J38)/Kosten!$E$18)</f>
        <v/>
      </c>
      <c r="Q38" s="18">
        <f>IF(OR(Kosten!$B$19="",Kosten!$E$19=0,Mieter!$C38=""),0,Kosten!$B$19*IF(Kosten!$C$19="Fläche",Mieter!$L38,IF(Kosten!$C$19="Anteil",Mieter!$M38,Mieter!$N38))*IF(Kosten!$D$19="Heizung",Mieter!$K38,Mieter!$J38)/Kosten!$E$19)</f>
        <v/>
      </c>
      <c r="R38" s="18">
        <f>IF(OR(Kosten!$B$20="",Kosten!$E$20=0,Mieter!$C38=""),0,Kosten!$B$20*IF(Kosten!$C$20="Fläche",Mieter!$L38,IF(Kosten!$C$20="Anteil",Mieter!$M38,Mieter!$N38))*IF(Kosten!$D$20="Heizung",Mieter!$K38,Mieter!$J38)/Kosten!$E$20)</f>
        <v/>
      </c>
      <c r="S38" s="18">
        <f>IF(OR(Kosten!$B$21="",Kosten!$E$21=0,Mieter!$C38=""),0,Kosten!$B$21*IF(Kosten!$C$21="Fläche",Mieter!$L38,IF(Kosten!$C$21="Anteil",Mieter!$M38,Mieter!$N38))*IF(Kosten!$D$21="Heizung",Mieter!$K38,Mieter!$J38)/Kosten!$E$21)</f>
        <v/>
      </c>
      <c r="T38" s="18">
        <f>IF(OR(Kosten!$B$22="",Kosten!$E$22=0,Mieter!$C38=""),0,Kosten!$B$22*IF(Kosten!$C$22="Fläche",Mieter!$L38,IF(Kosten!$C$22="Anteil",Mieter!$M38,Mieter!$N38))*IF(Kosten!$D$22="Heizung",Mieter!$K38,Mieter!$J38)/Kosten!$E$22)</f>
        <v/>
      </c>
      <c r="U38" s="18">
        <f>IF(OR(Kosten!$B$23="",Kosten!$E$23=0,Mieter!$C38=""),0,Kosten!$B$23*IF(Kosten!$C$23="Fläche",Mieter!$L38,IF(Kosten!$C$23="Anteil",Mieter!$M38,Mieter!$N38))*IF(Kosten!$D$23="Heizung",Mieter!$K38,Mieter!$J38)/Kosten!$E$23)</f>
        <v/>
      </c>
      <c r="V38" s="18">
        <f>IF(OR(Kosten!$B$24="",Kosten!$E$24=0,Mieter!$C38=""),0,Kosten!$B$24*IF(Kosten!$C$24="Fläche",Mieter!$L38,IF(Kosten!$C$24="Anteil",Mieter!$M38,Mieter!$N38))*IF(Kosten!$D$24="Heizung",Mieter!$K38,Mieter!$J38)/Kosten!$E$24)</f>
        <v/>
      </c>
      <c r="W38" s="18">
        <f>IF(OR(Kosten!$B$25="",Kosten!$E$25=0,Mieter!$C38=""),0,Kosten!$B$25*IF(Kosten!$C$25="Fläche",Mieter!$L38,IF(Kosten!$C$25="Anteil",Mieter!$M38,Mieter!$N38))*IF(Kosten!$D$25="Heizung",Mieter!$K38,Mieter!$J38)/Kosten!$E$25)</f>
        <v/>
      </c>
      <c r="X38" s="18">
        <f>IF(OR(Kosten!$B$26="",Kosten!$E$26=0,Mieter!$C38=""),0,Kosten!$B$26*IF(Kosten!$C$26="Fläche",Mieter!$L38,IF(Kosten!$C$26="Anteil",Mieter!$M38,Mieter!$N38))*IF(Kosten!$D$26="Heizung",Mieter!$K38,Mieter!$J38)/Kosten!$E$26)</f>
        <v/>
      </c>
      <c r="Y38" s="18">
        <f>IF(OR(Kosten!$B$27="",Kosten!$E$27=0,Mieter!$C38=""),0,Kosten!$B$27*IF(Kosten!$C$27="Fläche",Mieter!$L38,IF(Kosten!$C$27="Anteil",Mieter!$M38,Mieter!$N38))*IF(Kosten!$D$27="Heizung",Mieter!$K38,Mieter!$J38)/Kosten!$E$27)</f>
        <v/>
      </c>
      <c r="Z38" s="18">
        <f>IF(OR(Kosten!$B$28="",Kosten!$E$28=0,Mieter!$C38=""),0,Kosten!$B$28*IF(Kosten!$C$28="Fläche",Mieter!$L38,IF(Kosten!$C$28="Anteil",Mieter!$M38,Mieter!$N38))*IF(Kosten!$D$28="Heizung",Mieter!$K38,Mieter!$J38)/Kosten!$E$28)</f>
        <v/>
      </c>
      <c r="AA38" s="18">
        <f>IF(OR(Kosten!$B$29="",Kosten!$E$29=0,Mieter!$C38=""),0,Kosten!$B$29*IF(Kosten!$C$29="Fläche",Mieter!$L38,IF(Kosten!$C$29="Anteil",Mieter!$M38,Mieter!$N38))*IF(Kosten!$D$29="Heizung",Mieter!$K38,Mieter!$J38)/Kosten!$E$29)</f>
        <v/>
      </c>
      <c r="AB38" s="18">
        <f>ROUND(SUM(C38:AA38)*20,0)/20</f>
        <v/>
      </c>
      <c r="AC38" s="18">
        <f>N(Mieter!F38)</f>
        <v/>
      </c>
      <c r="AD38" s="18">
        <f>AB38-AC38</f>
        <v/>
      </c>
    </row>
    <row r="39">
      <c r="A39" s="13">
        <f>Mieter!A39</f>
        <v/>
      </c>
      <c r="B39" s="22">
        <f>IF(Mieter!C39="","",Mieter!B39)</f>
        <v/>
      </c>
      <c r="C39" s="18">
        <f>IF(OR(Kosten!$B$5="",Kosten!$E$5=0,Mieter!$C39=""),0,Kosten!$B$5*IF(Kosten!$C$5="Fläche",Mieter!$L39,IF(Kosten!$C$5="Anteil",Mieter!$M39,Mieter!$N39))*IF(Kosten!$D$5="Heizung",Mieter!$K39,Mieter!$J39)/Kosten!$E$5)</f>
        <v/>
      </c>
      <c r="D39" s="18">
        <f>IF(OR(Kosten!$B$6="",Kosten!$E$6=0,Mieter!$C39=""),0,Kosten!$B$6*IF(Kosten!$C$6="Fläche",Mieter!$L39,IF(Kosten!$C$6="Anteil",Mieter!$M39,Mieter!$N39))*IF(Kosten!$D$6="Heizung",Mieter!$K39,Mieter!$J39)/Kosten!$E$6)</f>
        <v/>
      </c>
      <c r="E39" s="18">
        <f>IF(OR(Kosten!$B$7="",Kosten!$E$7=0,Mieter!$C39=""),0,Kosten!$B$7*IF(Kosten!$C$7="Fläche",Mieter!$L39,IF(Kosten!$C$7="Anteil",Mieter!$M39,Mieter!$N39))*IF(Kosten!$D$7="Heizung",Mieter!$K39,Mieter!$J39)/Kosten!$E$7)</f>
        <v/>
      </c>
      <c r="F39" s="18">
        <f>IF(OR(Kosten!$B$8="",Kosten!$E$8=0,Mieter!$C39=""),0,Kosten!$B$8*IF(Kosten!$C$8="Fläche",Mieter!$L39,IF(Kosten!$C$8="Anteil",Mieter!$M39,Mieter!$N39))*IF(Kosten!$D$8="Heizung",Mieter!$K39,Mieter!$J39)/Kosten!$E$8)</f>
        <v/>
      </c>
      <c r="G39" s="18">
        <f>IF(OR(Kosten!$B$9="",Kosten!$E$9=0,Mieter!$C39=""),0,Kosten!$B$9*IF(Kosten!$C$9="Fläche",Mieter!$L39,IF(Kosten!$C$9="Anteil",Mieter!$M39,Mieter!$N39))*IF(Kosten!$D$9="Heizung",Mieter!$K39,Mieter!$J39)/Kosten!$E$9)</f>
        <v/>
      </c>
      <c r="H39" s="18">
        <f>IF(OR(Kosten!$B$10="",Kosten!$E$10=0,Mieter!$C39=""),0,Kosten!$B$10*IF(Kosten!$C$10="Fläche",Mieter!$L39,IF(Kosten!$C$10="Anteil",Mieter!$M39,Mieter!$N39))*IF(Kosten!$D$10="Heizung",Mieter!$K39,Mieter!$J39)/Kosten!$E$10)</f>
        <v/>
      </c>
      <c r="I39" s="18">
        <f>IF(OR(Kosten!$B$11="",Kosten!$E$11=0,Mieter!$C39=""),0,Kosten!$B$11*IF(Kosten!$C$11="Fläche",Mieter!$L39,IF(Kosten!$C$11="Anteil",Mieter!$M39,Mieter!$N39))*IF(Kosten!$D$11="Heizung",Mieter!$K39,Mieter!$J39)/Kosten!$E$11)</f>
        <v/>
      </c>
      <c r="J39" s="18">
        <f>IF(OR(Kosten!$B$12="",Kosten!$E$12=0,Mieter!$C39=""),0,Kosten!$B$12*IF(Kosten!$C$12="Fläche",Mieter!$L39,IF(Kosten!$C$12="Anteil",Mieter!$M39,Mieter!$N39))*IF(Kosten!$D$12="Heizung",Mieter!$K39,Mieter!$J39)/Kosten!$E$12)</f>
        <v/>
      </c>
      <c r="K39" s="18">
        <f>IF(OR(Kosten!$B$13="",Kosten!$E$13=0,Mieter!$C39=""),0,Kosten!$B$13*IF(Kosten!$C$13="Fläche",Mieter!$L39,IF(Kosten!$C$13="Anteil",Mieter!$M39,Mieter!$N39))*IF(Kosten!$D$13="Heizung",Mieter!$K39,Mieter!$J39)/Kosten!$E$13)</f>
        <v/>
      </c>
      <c r="L39" s="18">
        <f>IF(OR(Kosten!$B$14="",Kosten!$E$14=0,Mieter!$C39=""),0,Kosten!$B$14*IF(Kosten!$C$14="Fläche",Mieter!$L39,IF(Kosten!$C$14="Anteil",Mieter!$M39,Mieter!$N39))*IF(Kosten!$D$14="Heizung",Mieter!$K39,Mieter!$J39)/Kosten!$E$14)</f>
        <v/>
      </c>
      <c r="M39" s="18">
        <f>IF(OR(Kosten!$B$15="",Kosten!$E$15=0,Mieter!$C39=""),0,Kosten!$B$15*IF(Kosten!$C$15="Fläche",Mieter!$L39,IF(Kosten!$C$15="Anteil",Mieter!$M39,Mieter!$N39))*IF(Kosten!$D$15="Heizung",Mieter!$K39,Mieter!$J39)/Kosten!$E$15)</f>
        <v/>
      </c>
      <c r="N39" s="18">
        <f>IF(OR(Kosten!$B$16="",Kosten!$E$16=0,Mieter!$C39=""),0,Kosten!$B$16*IF(Kosten!$C$16="Fläche",Mieter!$L39,IF(Kosten!$C$16="Anteil",Mieter!$M39,Mieter!$N39))*IF(Kosten!$D$16="Heizung",Mieter!$K39,Mieter!$J39)/Kosten!$E$16)</f>
        <v/>
      </c>
      <c r="O39" s="18">
        <f>IF(OR(Kosten!$B$17="",Kosten!$E$17=0,Mieter!$C39=""),0,Kosten!$B$17*IF(Kosten!$C$17="Fläche",Mieter!$L39,IF(Kosten!$C$17="Anteil",Mieter!$M39,Mieter!$N39))*IF(Kosten!$D$17="Heizung",Mieter!$K39,Mieter!$J39)/Kosten!$E$17)</f>
        <v/>
      </c>
      <c r="P39" s="18">
        <f>IF(OR(Kosten!$B$18="",Kosten!$E$18=0,Mieter!$C39=""),0,Kosten!$B$18*IF(Kosten!$C$18="Fläche",Mieter!$L39,IF(Kosten!$C$18="Anteil",Mieter!$M39,Mieter!$N39))*IF(Kosten!$D$18="Heizung",Mieter!$K39,Mieter!$J39)/Kosten!$E$18)</f>
        <v/>
      </c>
      <c r="Q39" s="18">
        <f>IF(OR(Kosten!$B$19="",Kosten!$E$19=0,Mieter!$C39=""),0,Kosten!$B$19*IF(Kosten!$C$19="Fläche",Mieter!$L39,IF(Kosten!$C$19="Anteil",Mieter!$M39,Mieter!$N39))*IF(Kosten!$D$19="Heizung",Mieter!$K39,Mieter!$J39)/Kosten!$E$19)</f>
        <v/>
      </c>
      <c r="R39" s="18">
        <f>IF(OR(Kosten!$B$20="",Kosten!$E$20=0,Mieter!$C39=""),0,Kosten!$B$20*IF(Kosten!$C$20="Fläche",Mieter!$L39,IF(Kosten!$C$20="Anteil",Mieter!$M39,Mieter!$N39))*IF(Kosten!$D$20="Heizung",Mieter!$K39,Mieter!$J39)/Kosten!$E$20)</f>
        <v/>
      </c>
      <c r="S39" s="18">
        <f>IF(OR(Kosten!$B$21="",Kosten!$E$21=0,Mieter!$C39=""),0,Kosten!$B$21*IF(Kosten!$C$21="Fläche",Mieter!$L39,IF(Kosten!$C$21="Anteil",Mieter!$M39,Mieter!$N39))*IF(Kosten!$D$21="Heizung",Mieter!$K39,Mieter!$J39)/Kosten!$E$21)</f>
        <v/>
      </c>
      <c r="T39" s="18">
        <f>IF(OR(Kosten!$B$22="",Kosten!$E$22=0,Mieter!$C39=""),0,Kosten!$B$22*IF(Kosten!$C$22="Fläche",Mieter!$L39,IF(Kosten!$C$22="Anteil",Mieter!$M39,Mieter!$N39))*IF(Kosten!$D$22="Heizung",Mieter!$K39,Mieter!$J39)/Kosten!$E$22)</f>
        <v/>
      </c>
      <c r="U39" s="18">
        <f>IF(OR(Kosten!$B$23="",Kosten!$E$23=0,Mieter!$C39=""),0,Kosten!$B$23*IF(Kosten!$C$23="Fläche",Mieter!$L39,IF(Kosten!$C$23="Anteil",Mieter!$M39,Mieter!$N39))*IF(Kosten!$D$23="Heizung",Mieter!$K39,Mieter!$J39)/Kosten!$E$23)</f>
        <v/>
      </c>
      <c r="V39" s="18">
        <f>IF(OR(Kosten!$B$24="",Kosten!$E$24=0,Mieter!$C39=""),0,Kosten!$B$24*IF(Kosten!$C$24="Fläche",Mieter!$L39,IF(Kosten!$C$24="Anteil",Mieter!$M39,Mieter!$N39))*IF(Kosten!$D$24="Heizung",Mieter!$K39,Mieter!$J39)/Kosten!$E$24)</f>
        <v/>
      </c>
      <c r="W39" s="18">
        <f>IF(OR(Kosten!$B$25="",Kosten!$E$25=0,Mieter!$C39=""),0,Kosten!$B$25*IF(Kosten!$C$25="Fläche",Mieter!$L39,IF(Kosten!$C$25="Anteil",Mieter!$M39,Mieter!$N39))*IF(Kosten!$D$25="Heizung",Mieter!$K39,Mieter!$J39)/Kosten!$E$25)</f>
        <v/>
      </c>
      <c r="X39" s="18">
        <f>IF(OR(Kosten!$B$26="",Kosten!$E$26=0,Mieter!$C39=""),0,Kosten!$B$26*IF(Kosten!$C$26="Fläche",Mieter!$L39,IF(Kosten!$C$26="Anteil",Mieter!$M39,Mieter!$N39))*IF(Kosten!$D$26="Heizung",Mieter!$K39,Mieter!$J39)/Kosten!$E$26)</f>
        <v/>
      </c>
      <c r="Y39" s="18">
        <f>IF(OR(Kosten!$B$27="",Kosten!$E$27=0,Mieter!$C39=""),0,Kosten!$B$27*IF(Kosten!$C$27="Fläche",Mieter!$L39,IF(Kosten!$C$27="Anteil",Mieter!$M39,Mieter!$N39))*IF(Kosten!$D$27="Heizung",Mieter!$K39,Mieter!$J39)/Kosten!$E$27)</f>
        <v/>
      </c>
      <c r="Z39" s="18">
        <f>IF(OR(Kosten!$B$28="",Kosten!$E$28=0,Mieter!$C39=""),0,Kosten!$B$28*IF(Kosten!$C$28="Fläche",Mieter!$L39,IF(Kosten!$C$28="Anteil",Mieter!$M39,Mieter!$N39))*IF(Kosten!$D$28="Heizung",Mieter!$K39,Mieter!$J39)/Kosten!$E$28)</f>
        <v/>
      </c>
      <c r="AA39" s="18">
        <f>IF(OR(Kosten!$B$29="",Kosten!$E$29=0,Mieter!$C39=""),0,Kosten!$B$29*IF(Kosten!$C$29="Fläche",Mieter!$L39,IF(Kosten!$C$29="Anteil",Mieter!$M39,Mieter!$N39))*IF(Kosten!$D$29="Heizung",Mieter!$K39,Mieter!$J39)/Kosten!$E$29)</f>
        <v/>
      </c>
      <c r="AB39" s="18">
        <f>ROUND(SUM(C39:AA39)*20,0)/20</f>
        <v/>
      </c>
      <c r="AC39" s="18">
        <f>N(Mieter!F39)</f>
        <v/>
      </c>
      <c r="AD39" s="18">
        <f>AB39-AC39</f>
        <v/>
      </c>
    </row>
    <row r="40">
      <c r="A40" s="13">
        <f>Mieter!A40</f>
        <v/>
      </c>
      <c r="B40" s="22">
        <f>IF(Mieter!C40="","",Mieter!B40)</f>
        <v/>
      </c>
      <c r="C40" s="18">
        <f>IF(OR(Kosten!$B$5="",Kosten!$E$5=0,Mieter!$C40=""),0,Kosten!$B$5*IF(Kosten!$C$5="Fläche",Mieter!$L40,IF(Kosten!$C$5="Anteil",Mieter!$M40,Mieter!$N40))*IF(Kosten!$D$5="Heizung",Mieter!$K40,Mieter!$J40)/Kosten!$E$5)</f>
        <v/>
      </c>
      <c r="D40" s="18">
        <f>IF(OR(Kosten!$B$6="",Kosten!$E$6=0,Mieter!$C40=""),0,Kosten!$B$6*IF(Kosten!$C$6="Fläche",Mieter!$L40,IF(Kosten!$C$6="Anteil",Mieter!$M40,Mieter!$N40))*IF(Kosten!$D$6="Heizung",Mieter!$K40,Mieter!$J40)/Kosten!$E$6)</f>
        <v/>
      </c>
      <c r="E40" s="18">
        <f>IF(OR(Kosten!$B$7="",Kosten!$E$7=0,Mieter!$C40=""),0,Kosten!$B$7*IF(Kosten!$C$7="Fläche",Mieter!$L40,IF(Kosten!$C$7="Anteil",Mieter!$M40,Mieter!$N40))*IF(Kosten!$D$7="Heizung",Mieter!$K40,Mieter!$J40)/Kosten!$E$7)</f>
        <v/>
      </c>
      <c r="F40" s="18">
        <f>IF(OR(Kosten!$B$8="",Kosten!$E$8=0,Mieter!$C40=""),0,Kosten!$B$8*IF(Kosten!$C$8="Fläche",Mieter!$L40,IF(Kosten!$C$8="Anteil",Mieter!$M40,Mieter!$N40))*IF(Kosten!$D$8="Heizung",Mieter!$K40,Mieter!$J40)/Kosten!$E$8)</f>
        <v/>
      </c>
      <c r="G40" s="18">
        <f>IF(OR(Kosten!$B$9="",Kosten!$E$9=0,Mieter!$C40=""),0,Kosten!$B$9*IF(Kosten!$C$9="Fläche",Mieter!$L40,IF(Kosten!$C$9="Anteil",Mieter!$M40,Mieter!$N40))*IF(Kosten!$D$9="Heizung",Mieter!$K40,Mieter!$J40)/Kosten!$E$9)</f>
        <v/>
      </c>
      <c r="H40" s="18">
        <f>IF(OR(Kosten!$B$10="",Kosten!$E$10=0,Mieter!$C40=""),0,Kosten!$B$10*IF(Kosten!$C$10="Fläche",Mieter!$L40,IF(Kosten!$C$10="Anteil",Mieter!$M40,Mieter!$N40))*IF(Kosten!$D$10="Heizung",Mieter!$K40,Mieter!$J40)/Kosten!$E$10)</f>
        <v/>
      </c>
      <c r="I40" s="18">
        <f>IF(OR(Kosten!$B$11="",Kosten!$E$11=0,Mieter!$C40=""),0,Kosten!$B$11*IF(Kosten!$C$11="Fläche",Mieter!$L40,IF(Kosten!$C$11="Anteil",Mieter!$M40,Mieter!$N40))*IF(Kosten!$D$11="Heizung",Mieter!$K40,Mieter!$J40)/Kosten!$E$11)</f>
        <v/>
      </c>
      <c r="J40" s="18">
        <f>IF(OR(Kosten!$B$12="",Kosten!$E$12=0,Mieter!$C40=""),0,Kosten!$B$12*IF(Kosten!$C$12="Fläche",Mieter!$L40,IF(Kosten!$C$12="Anteil",Mieter!$M40,Mieter!$N40))*IF(Kosten!$D$12="Heizung",Mieter!$K40,Mieter!$J40)/Kosten!$E$12)</f>
        <v/>
      </c>
      <c r="K40" s="18">
        <f>IF(OR(Kosten!$B$13="",Kosten!$E$13=0,Mieter!$C40=""),0,Kosten!$B$13*IF(Kosten!$C$13="Fläche",Mieter!$L40,IF(Kosten!$C$13="Anteil",Mieter!$M40,Mieter!$N40))*IF(Kosten!$D$13="Heizung",Mieter!$K40,Mieter!$J40)/Kosten!$E$13)</f>
        <v/>
      </c>
      <c r="L40" s="18">
        <f>IF(OR(Kosten!$B$14="",Kosten!$E$14=0,Mieter!$C40=""),0,Kosten!$B$14*IF(Kosten!$C$14="Fläche",Mieter!$L40,IF(Kosten!$C$14="Anteil",Mieter!$M40,Mieter!$N40))*IF(Kosten!$D$14="Heizung",Mieter!$K40,Mieter!$J40)/Kosten!$E$14)</f>
        <v/>
      </c>
      <c r="M40" s="18">
        <f>IF(OR(Kosten!$B$15="",Kosten!$E$15=0,Mieter!$C40=""),0,Kosten!$B$15*IF(Kosten!$C$15="Fläche",Mieter!$L40,IF(Kosten!$C$15="Anteil",Mieter!$M40,Mieter!$N40))*IF(Kosten!$D$15="Heizung",Mieter!$K40,Mieter!$J40)/Kosten!$E$15)</f>
        <v/>
      </c>
      <c r="N40" s="18">
        <f>IF(OR(Kosten!$B$16="",Kosten!$E$16=0,Mieter!$C40=""),0,Kosten!$B$16*IF(Kosten!$C$16="Fläche",Mieter!$L40,IF(Kosten!$C$16="Anteil",Mieter!$M40,Mieter!$N40))*IF(Kosten!$D$16="Heizung",Mieter!$K40,Mieter!$J40)/Kosten!$E$16)</f>
        <v/>
      </c>
      <c r="O40" s="18">
        <f>IF(OR(Kosten!$B$17="",Kosten!$E$17=0,Mieter!$C40=""),0,Kosten!$B$17*IF(Kosten!$C$17="Fläche",Mieter!$L40,IF(Kosten!$C$17="Anteil",Mieter!$M40,Mieter!$N40))*IF(Kosten!$D$17="Heizung",Mieter!$K40,Mieter!$J40)/Kosten!$E$17)</f>
        <v/>
      </c>
      <c r="P40" s="18">
        <f>IF(OR(Kosten!$B$18="",Kosten!$E$18=0,Mieter!$C40=""),0,Kosten!$B$18*IF(Kosten!$C$18="Fläche",Mieter!$L40,IF(Kosten!$C$18="Anteil",Mieter!$M40,Mieter!$N40))*IF(Kosten!$D$18="Heizung",Mieter!$K40,Mieter!$J40)/Kosten!$E$18)</f>
        <v/>
      </c>
      <c r="Q40" s="18">
        <f>IF(OR(Kosten!$B$19="",Kosten!$E$19=0,Mieter!$C40=""),0,Kosten!$B$19*IF(Kosten!$C$19="Fläche",Mieter!$L40,IF(Kosten!$C$19="Anteil",Mieter!$M40,Mieter!$N40))*IF(Kosten!$D$19="Heizung",Mieter!$K40,Mieter!$J40)/Kosten!$E$19)</f>
        <v/>
      </c>
      <c r="R40" s="18">
        <f>IF(OR(Kosten!$B$20="",Kosten!$E$20=0,Mieter!$C40=""),0,Kosten!$B$20*IF(Kosten!$C$20="Fläche",Mieter!$L40,IF(Kosten!$C$20="Anteil",Mieter!$M40,Mieter!$N40))*IF(Kosten!$D$20="Heizung",Mieter!$K40,Mieter!$J40)/Kosten!$E$20)</f>
        <v/>
      </c>
      <c r="S40" s="18">
        <f>IF(OR(Kosten!$B$21="",Kosten!$E$21=0,Mieter!$C40=""),0,Kosten!$B$21*IF(Kosten!$C$21="Fläche",Mieter!$L40,IF(Kosten!$C$21="Anteil",Mieter!$M40,Mieter!$N40))*IF(Kosten!$D$21="Heizung",Mieter!$K40,Mieter!$J40)/Kosten!$E$21)</f>
        <v/>
      </c>
      <c r="T40" s="18">
        <f>IF(OR(Kosten!$B$22="",Kosten!$E$22=0,Mieter!$C40=""),0,Kosten!$B$22*IF(Kosten!$C$22="Fläche",Mieter!$L40,IF(Kosten!$C$22="Anteil",Mieter!$M40,Mieter!$N40))*IF(Kosten!$D$22="Heizung",Mieter!$K40,Mieter!$J40)/Kosten!$E$22)</f>
        <v/>
      </c>
      <c r="U40" s="18">
        <f>IF(OR(Kosten!$B$23="",Kosten!$E$23=0,Mieter!$C40=""),0,Kosten!$B$23*IF(Kosten!$C$23="Fläche",Mieter!$L40,IF(Kosten!$C$23="Anteil",Mieter!$M40,Mieter!$N40))*IF(Kosten!$D$23="Heizung",Mieter!$K40,Mieter!$J40)/Kosten!$E$23)</f>
        <v/>
      </c>
      <c r="V40" s="18">
        <f>IF(OR(Kosten!$B$24="",Kosten!$E$24=0,Mieter!$C40=""),0,Kosten!$B$24*IF(Kosten!$C$24="Fläche",Mieter!$L40,IF(Kosten!$C$24="Anteil",Mieter!$M40,Mieter!$N40))*IF(Kosten!$D$24="Heizung",Mieter!$K40,Mieter!$J40)/Kosten!$E$24)</f>
        <v/>
      </c>
      <c r="W40" s="18">
        <f>IF(OR(Kosten!$B$25="",Kosten!$E$25=0,Mieter!$C40=""),0,Kosten!$B$25*IF(Kosten!$C$25="Fläche",Mieter!$L40,IF(Kosten!$C$25="Anteil",Mieter!$M40,Mieter!$N40))*IF(Kosten!$D$25="Heizung",Mieter!$K40,Mieter!$J40)/Kosten!$E$25)</f>
        <v/>
      </c>
      <c r="X40" s="18">
        <f>IF(OR(Kosten!$B$26="",Kosten!$E$26=0,Mieter!$C40=""),0,Kosten!$B$26*IF(Kosten!$C$26="Fläche",Mieter!$L40,IF(Kosten!$C$26="Anteil",Mieter!$M40,Mieter!$N40))*IF(Kosten!$D$26="Heizung",Mieter!$K40,Mieter!$J40)/Kosten!$E$26)</f>
        <v/>
      </c>
      <c r="Y40" s="18">
        <f>IF(OR(Kosten!$B$27="",Kosten!$E$27=0,Mieter!$C40=""),0,Kosten!$B$27*IF(Kosten!$C$27="Fläche",Mieter!$L40,IF(Kosten!$C$27="Anteil",Mieter!$M40,Mieter!$N40))*IF(Kosten!$D$27="Heizung",Mieter!$K40,Mieter!$J40)/Kosten!$E$27)</f>
        <v/>
      </c>
      <c r="Z40" s="18">
        <f>IF(OR(Kosten!$B$28="",Kosten!$E$28=0,Mieter!$C40=""),0,Kosten!$B$28*IF(Kosten!$C$28="Fläche",Mieter!$L40,IF(Kosten!$C$28="Anteil",Mieter!$M40,Mieter!$N40))*IF(Kosten!$D$28="Heizung",Mieter!$K40,Mieter!$J40)/Kosten!$E$28)</f>
        <v/>
      </c>
      <c r="AA40" s="18">
        <f>IF(OR(Kosten!$B$29="",Kosten!$E$29=0,Mieter!$C40=""),0,Kosten!$B$29*IF(Kosten!$C$29="Fläche",Mieter!$L40,IF(Kosten!$C$29="Anteil",Mieter!$M40,Mieter!$N40))*IF(Kosten!$D$29="Heizung",Mieter!$K40,Mieter!$J40)/Kosten!$E$29)</f>
        <v/>
      </c>
      <c r="AB40" s="18">
        <f>ROUND(SUM(C40:AA40)*20,0)/20</f>
        <v/>
      </c>
      <c r="AC40" s="18">
        <f>N(Mieter!F40)</f>
        <v/>
      </c>
      <c r="AD40" s="18">
        <f>AB40-AC40</f>
        <v/>
      </c>
    </row>
    <row r="41">
      <c r="A41" s="13">
        <f>Mieter!A41</f>
        <v/>
      </c>
      <c r="B41" s="22">
        <f>IF(Mieter!C41="","",Mieter!B41)</f>
        <v/>
      </c>
      <c r="C41" s="18">
        <f>IF(OR(Kosten!$B$5="",Kosten!$E$5=0,Mieter!$C41=""),0,Kosten!$B$5*IF(Kosten!$C$5="Fläche",Mieter!$L41,IF(Kosten!$C$5="Anteil",Mieter!$M41,Mieter!$N41))*IF(Kosten!$D$5="Heizung",Mieter!$K41,Mieter!$J41)/Kosten!$E$5)</f>
        <v/>
      </c>
      <c r="D41" s="18">
        <f>IF(OR(Kosten!$B$6="",Kosten!$E$6=0,Mieter!$C41=""),0,Kosten!$B$6*IF(Kosten!$C$6="Fläche",Mieter!$L41,IF(Kosten!$C$6="Anteil",Mieter!$M41,Mieter!$N41))*IF(Kosten!$D$6="Heizung",Mieter!$K41,Mieter!$J41)/Kosten!$E$6)</f>
        <v/>
      </c>
      <c r="E41" s="18">
        <f>IF(OR(Kosten!$B$7="",Kosten!$E$7=0,Mieter!$C41=""),0,Kosten!$B$7*IF(Kosten!$C$7="Fläche",Mieter!$L41,IF(Kosten!$C$7="Anteil",Mieter!$M41,Mieter!$N41))*IF(Kosten!$D$7="Heizung",Mieter!$K41,Mieter!$J41)/Kosten!$E$7)</f>
        <v/>
      </c>
      <c r="F41" s="18">
        <f>IF(OR(Kosten!$B$8="",Kosten!$E$8=0,Mieter!$C41=""),0,Kosten!$B$8*IF(Kosten!$C$8="Fläche",Mieter!$L41,IF(Kosten!$C$8="Anteil",Mieter!$M41,Mieter!$N41))*IF(Kosten!$D$8="Heizung",Mieter!$K41,Mieter!$J41)/Kosten!$E$8)</f>
        <v/>
      </c>
      <c r="G41" s="18">
        <f>IF(OR(Kosten!$B$9="",Kosten!$E$9=0,Mieter!$C41=""),0,Kosten!$B$9*IF(Kosten!$C$9="Fläche",Mieter!$L41,IF(Kosten!$C$9="Anteil",Mieter!$M41,Mieter!$N41))*IF(Kosten!$D$9="Heizung",Mieter!$K41,Mieter!$J41)/Kosten!$E$9)</f>
        <v/>
      </c>
      <c r="H41" s="18">
        <f>IF(OR(Kosten!$B$10="",Kosten!$E$10=0,Mieter!$C41=""),0,Kosten!$B$10*IF(Kosten!$C$10="Fläche",Mieter!$L41,IF(Kosten!$C$10="Anteil",Mieter!$M41,Mieter!$N41))*IF(Kosten!$D$10="Heizung",Mieter!$K41,Mieter!$J41)/Kosten!$E$10)</f>
        <v/>
      </c>
      <c r="I41" s="18">
        <f>IF(OR(Kosten!$B$11="",Kosten!$E$11=0,Mieter!$C41=""),0,Kosten!$B$11*IF(Kosten!$C$11="Fläche",Mieter!$L41,IF(Kosten!$C$11="Anteil",Mieter!$M41,Mieter!$N41))*IF(Kosten!$D$11="Heizung",Mieter!$K41,Mieter!$J41)/Kosten!$E$11)</f>
        <v/>
      </c>
      <c r="J41" s="18">
        <f>IF(OR(Kosten!$B$12="",Kosten!$E$12=0,Mieter!$C41=""),0,Kosten!$B$12*IF(Kosten!$C$12="Fläche",Mieter!$L41,IF(Kosten!$C$12="Anteil",Mieter!$M41,Mieter!$N41))*IF(Kosten!$D$12="Heizung",Mieter!$K41,Mieter!$J41)/Kosten!$E$12)</f>
        <v/>
      </c>
      <c r="K41" s="18">
        <f>IF(OR(Kosten!$B$13="",Kosten!$E$13=0,Mieter!$C41=""),0,Kosten!$B$13*IF(Kosten!$C$13="Fläche",Mieter!$L41,IF(Kosten!$C$13="Anteil",Mieter!$M41,Mieter!$N41))*IF(Kosten!$D$13="Heizung",Mieter!$K41,Mieter!$J41)/Kosten!$E$13)</f>
        <v/>
      </c>
      <c r="L41" s="18">
        <f>IF(OR(Kosten!$B$14="",Kosten!$E$14=0,Mieter!$C41=""),0,Kosten!$B$14*IF(Kosten!$C$14="Fläche",Mieter!$L41,IF(Kosten!$C$14="Anteil",Mieter!$M41,Mieter!$N41))*IF(Kosten!$D$14="Heizung",Mieter!$K41,Mieter!$J41)/Kosten!$E$14)</f>
        <v/>
      </c>
      <c r="M41" s="18">
        <f>IF(OR(Kosten!$B$15="",Kosten!$E$15=0,Mieter!$C41=""),0,Kosten!$B$15*IF(Kosten!$C$15="Fläche",Mieter!$L41,IF(Kosten!$C$15="Anteil",Mieter!$M41,Mieter!$N41))*IF(Kosten!$D$15="Heizung",Mieter!$K41,Mieter!$J41)/Kosten!$E$15)</f>
        <v/>
      </c>
      <c r="N41" s="18">
        <f>IF(OR(Kosten!$B$16="",Kosten!$E$16=0,Mieter!$C41=""),0,Kosten!$B$16*IF(Kosten!$C$16="Fläche",Mieter!$L41,IF(Kosten!$C$16="Anteil",Mieter!$M41,Mieter!$N41))*IF(Kosten!$D$16="Heizung",Mieter!$K41,Mieter!$J41)/Kosten!$E$16)</f>
        <v/>
      </c>
      <c r="O41" s="18">
        <f>IF(OR(Kosten!$B$17="",Kosten!$E$17=0,Mieter!$C41=""),0,Kosten!$B$17*IF(Kosten!$C$17="Fläche",Mieter!$L41,IF(Kosten!$C$17="Anteil",Mieter!$M41,Mieter!$N41))*IF(Kosten!$D$17="Heizung",Mieter!$K41,Mieter!$J41)/Kosten!$E$17)</f>
        <v/>
      </c>
      <c r="P41" s="18">
        <f>IF(OR(Kosten!$B$18="",Kosten!$E$18=0,Mieter!$C41=""),0,Kosten!$B$18*IF(Kosten!$C$18="Fläche",Mieter!$L41,IF(Kosten!$C$18="Anteil",Mieter!$M41,Mieter!$N41))*IF(Kosten!$D$18="Heizung",Mieter!$K41,Mieter!$J41)/Kosten!$E$18)</f>
        <v/>
      </c>
      <c r="Q41" s="18">
        <f>IF(OR(Kosten!$B$19="",Kosten!$E$19=0,Mieter!$C41=""),0,Kosten!$B$19*IF(Kosten!$C$19="Fläche",Mieter!$L41,IF(Kosten!$C$19="Anteil",Mieter!$M41,Mieter!$N41))*IF(Kosten!$D$19="Heizung",Mieter!$K41,Mieter!$J41)/Kosten!$E$19)</f>
        <v/>
      </c>
      <c r="R41" s="18">
        <f>IF(OR(Kosten!$B$20="",Kosten!$E$20=0,Mieter!$C41=""),0,Kosten!$B$20*IF(Kosten!$C$20="Fläche",Mieter!$L41,IF(Kosten!$C$20="Anteil",Mieter!$M41,Mieter!$N41))*IF(Kosten!$D$20="Heizung",Mieter!$K41,Mieter!$J41)/Kosten!$E$20)</f>
        <v/>
      </c>
      <c r="S41" s="18">
        <f>IF(OR(Kosten!$B$21="",Kosten!$E$21=0,Mieter!$C41=""),0,Kosten!$B$21*IF(Kosten!$C$21="Fläche",Mieter!$L41,IF(Kosten!$C$21="Anteil",Mieter!$M41,Mieter!$N41))*IF(Kosten!$D$21="Heizung",Mieter!$K41,Mieter!$J41)/Kosten!$E$21)</f>
        <v/>
      </c>
      <c r="T41" s="18">
        <f>IF(OR(Kosten!$B$22="",Kosten!$E$22=0,Mieter!$C41=""),0,Kosten!$B$22*IF(Kosten!$C$22="Fläche",Mieter!$L41,IF(Kosten!$C$22="Anteil",Mieter!$M41,Mieter!$N41))*IF(Kosten!$D$22="Heizung",Mieter!$K41,Mieter!$J41)/Kosten!$E$22)</f>
        <v/>
      </c>
      <c r="U41" s="18">
        <f>IF(OR(Kosten!$B$23="",Kosten!$E$23=0,Mieter!$C41=""),0,Kosten!$B$23*IF(Kosten!$C$23="Fläche",Mieter!$L41,IF(Kosten!$C$23="Anteil",Mieter!$M41,Mieter!$N41))*IF(Kosten!$D$23="Heizung",Mieter!$K41,Mieter!$J41)/Kosten!$E$23)</f>
        <v/>
      </c>
      <c r="V41" s="18">
        <f>IF(OR(Kosten!$B$24="",Kosten!$E$24=0,Mieter!$C41=""),0,Kosten!$B$24*IF(Kosten!$C$24="Fläche",Mieter!$L41,IF(Kosten!$C$24="Anteil",Mieter!$M41,Mieter!$N41))*IF(Kosten!$D$24="Heizung",Mieter!$K41,Mieter!$J41)/Kosten!$E$24)</f>
        <v/>
      </c>
      <c r="W41" s="18">
        <f>IF(OR(Kosten!$B$25="",Kosten!$E$25=0,Mieter!$C41=""),0,Kosten!$B$25*IF(Kosten!$C$25="Fläche",Mieter!$L41,IF(Kosten!$C$25="Anteil",Mieter!$M41,Mieter!$N41))*IF(Kosten!$D$25="Heizung",Mieter!$K41,Mieter!$J41)/Kosten!$E$25)</f>
        <v/>
      </c>
      <c r="X41" s="18">
        <f>IF(OR(Kosten!$B$26="",Kosten!$E$26=0,Mieter!$C41=""),0,Kosten!$B$26*IF(Kosten!$C$26="Fläche",Mieter!$L41,IF(Kosten!$C$26="Anteil",Mieter!$M41,Mieter!$N41))*IF(Kosten!$D$26="Heizung",Mieter!$K41,Mieter!$J41)/Kosten!$E$26)</f>
        <v/>
      </c>
      <c r="Y41" s="18">
        <f>IF(OR(Kosten!$B$27="",Kosten!$E$27=0,Mieter!$C41=""),0,Kosten!$B$27*IF(Kosten!$C$27="Fläche",Mieter!$L41,IF(Kosten!$C$27="Anteil",Mieter!$M41,Mieter!$N41))*IF(Kosten!$D$27="Heizung",Mieter!$K41,Mieter!$J41)/Kosten!$E$27)</f>
        <v/>
      </c>
      <c r="Z41" s="18">
        <f>IF(OR(Kosten!$B$28="",Kosten!$E$28=0,Mieter!$C41=""),0,Kosten!$B$28*IF(Kosten!$C$28="Fläche",Mieter!$L41,IF(Kosten!$C$28="Anteil",Mieter!$M41,Mieter!$N41))*IF(Kosten!$D$28="Heizung",Mieter!$K41,Mieter!$J41)/Kosten!$E$28)</f>
        <v/>
      </c>
      <c r="AA41" s="18">
        <f>IF(OR(Kosten!$B$29="",Kosten!$E$29=0,Mieter!$C41=""),0,Kosten!$B$29*IF(Kosten!$C$29="Fläche",Mieter!$L41,IF(Kosten!$C$29="Anteil",Mieter!$M41,Mieter!$N41))*IF(Kosten!$D$29="Heizung",Mieter!$K41,Mieter!$J41)/Kosten!$E$29)</f>
        <v/>
      </c>
      <c r="AB41" s="18">
        <f>ROUND(SUM(C41:AA41)*20,0)/20</f>
        <v/>
      </c>
      <c r="AC41" s="18">
        <f>N(Mieter!F41)</f>
        <v/>
      </c>
      <c r="AD41" s="18">
        <f>AB41-AC41</f>
        <v/>
      </c>
    </row>
    <row r="42">
      <c r="A42" s="13">
        <f>Mieter!A42</f>
        <v/>
      </c>
      <c r="B42" s="22">
        <f>IF(Mieter!C42="","",Mieter!B42)</f>
        <v/>
      </c>
      <c r="C42" s="18">
        <f>IF(OR(Kosten!$B$5="",Kosten!$E$5=0,Mieter!$C42=""),0,Kosten!$B$5*IF(Kosten!$C$5="Fläche",Mieter!$L42,IF(Kosten!$C$5="Anteil",Mieter!$M42,Mieter!$N42))*IF(Kosten!$D$5="Heizung",Mieter!$K42,Mieter!$J42)/Kosten!$E$5)</f>
        <v/>
      </c>
      <c r="D42" s="18">
        <f>IF(OR(Kosten!$B$6="",Kosten!$E$6=0,Mieter!$C42=""),0,Kosten!$B$6*IF(Kosten!$C$6="Fläche",Mieter!$L42,IF(Kosten!$C$6="Anteil",Mieter!$M42,Mieter!$N42))*IF(Kosten!$D$6="Heizung",Mieter!$K42,Mieter!$J42)/Kosten!$E$6)</f>
        <v/>
      </c>
      <c r="E42" s="18">
        <f>IF(OR(Kosten!$B$7="",Kosten!$E$7=0,Mieter!$C42=""),0,Kosten!$B$7*IF(Kosten!$C$7="Fläche",Mieter!$L42,IF(Kosten!$C$7="Anteil",Mieter!$M42,Mieter!$N42))*IF(Kosten!$D$7="Heizung",Mieter!$K42,Mieter!$J42)/Kosten!$E$7)</f>
        <v/>
      </c>
      <c r="F42" s="18">
        <f>IF(OR(Kosten!$B$8="",Kosten!$E$8=0,Mieter!$C42=""),0,Kosten!$B$8*IF(Kosten!$C$8="Fläche",Mieter!$L42,IF(Kosten!$C$8="Anteil",Mieter!$M42,Mieter!$N42))*IF(Kosten!$D$8="Heizung",Mieter!$K42,Mieter!$J42)/Kosten!$E$8)</f>
        <v/>
      </c>
      <c r="G42" s="18">
        <f>IF(OR(Kosten!$B$9="",Kosten!$E$9=0,Mieter!$C42=""),0,Kosten!$B$9*IF(Kosten!$C$9="Fläche",Mieter!$L42,IF(Kosten!$C$9="Anteil",Mieter!$M42,Mieter!$N42))*IF(Kosten!$D$9="Heizung",Mieter!$K42,Mieter!$J42)/Kosten!$E$9)</f>
        <v/>
      </c>
      <c r="H42" s="18">
        <f>IF(OR(Kosten!$B$10="",Kosten!$E$10=0,Mieter!$C42=""),0,Kosten!$B$10*IF(Kosten!$C$10="Fläche",Mieter!$L42,IF(Kosten!$C$10="Anteil",Mieter!$M42,Mieter!$N42))*IF(Kosten!$D$10="Heizung",Mieter!$K42,Mieter!$J42)/Kosten!$E$10)</f>
        <v/>
      </c>
      <c r="I42" s="18">
        <f>IF(OR(Kosten!$B$11="",Kosten!$E$11=0,Mieter!$C42=""),0,Kosten!$B$11*IF(Kosten!$C$11="Fläche",Mieter!$L42,IF(Kosten!$C$11="Anteil",Mieter!$M42,Mieter!$N42))*IF(Kosten!$D$11="Heizung",Mieter!$K42,Mieter!$J42)/Kosten!$E$11)</f>
        <v/>
      </c>
      <c r="J42" s="18">
        <f>IF(OR(Kosten!$B$12="",Kosten!$E$12=0,Mieter!$C42=""),0,Kosten!$B$12*IF(Kosten!$C$12="Fläche",Mieter!$L42,IF(Kosten!$C$12="Anteil",Mieter!$M42,Mieter!$N42))*IF(Kosten!$D$12="Heizung",Mieter!$K42,Mieter!$J42)/Kosten!$E$12)</f>
        <v/>
      </c>
      <c r="K42" s="18">
        <f>IF(OR(Kosten!$B$13="",Kosten!$E$13=0,Mieter!$C42=""),0,Kosten!$B$13*IF(Kosten!$C$13="Fläche",Mieter!$L42,IF(Kosten!$C$13="Anteil",Mieter!$M42,Mieter!$N42))*IF(Kosten!$D$13="Heizung",Mieter!$K42,Mieter!$J42)/Kosten!$E$13)</f>
        <v/>
      </c>
      <c r="L42" s="18">
        <f>IF(OR(Kosten!$B$14="",Kosten!$E$14=0,Mieter!$C42=""),0,Kosten!$B$14*IF(Kosten!$C$14="Fläche",Mieter!$L42,IF(Kosten!$C$14="Anteil",Mieter!$M42,Mieter!$N42))*IF(Kosten!$D$14="Heizung",Mieter!$K42,Mieter!$J42)/Kosten!$E$14)</f>
        <v/>
      </c>
      <c r="M42" s="18">
        <f>IF(OR(Kosten!$B$15="",Kosten!$E$15=0,Mieter!$C42=""),0,Kosten!$B$15*IF(Kosten!$C$15="Fläche",Mieter!$L42,IF(Kosten!$C$15="Anteil",Mieter!$M42,Mieter!$N42))*IF(Kosten!$D$15="Heizung",Mieter!$K42,Mieter!$J42)/Kosten!$E$15)</f>
        <v/>
      </c>
      <c r="N42" s="18">
        <f>IF(OR(Kosten!$B$16="",Kosten!$E$16=0,Mieter!$C42=""),0,Kosten!$B$16*IF(Kosten!$C$16="Fläche",Mieter!$L42,IF(Kosten!$C$16="Anteil",Mieter!$M42,Mieter!$N42))*IF(Kosten!$D$16="Heizung",Mieter!$K42,Mieter!$J42)/Kosten!$E$16)</f>
        <v/>
      </c>
      <c r="O42" s="18">
        <f>IF(OR(Kosten!$B$17="",Kosten!$E$17=0,Mieter!$C42=""),0,Kosten!$B$17*IF(Kosten!$C$17="Fläche",Mieter!$L42,IF(Kosten!$C$17="Anteil",Mieter!$M42,Mieter!$N42))*IF(Kosten!$D$17="Heizung",Mieter!$K42,Mieter!$J42)/Kosten!$E$17)</f>
        <v/>
      </c>
      <c r="P42" s="18">
        <f>IF(OR(Kosten!$B$18="",Kosten!$E$18=0,Mieter!$C42=""),0,Kosten!$B$18*IF(Kosten!$C$18="Fläche",Mieter!$L42,IF(Kosten!$C$18="Anteil",Mieter!$M42,Mieter!$N42))*IF(Kosten!$D$18="Heizung",Mieter!$K42,Mieter!$J42)/Kosten!$E$18)</f>
        <v/>
      </c>
      <c r="Q42" s="18">
        <f>IF(OR(Kosten!$B$19="",Kosten!$E$19=0,Mieter!$C42=""),0,Kosten!$B$19*IF(Kosten!$C$19="Fläche",Mieter!$L42,IF(Kosten!$C$19="Anteil",Mieter!$M42,Mieter!$N42))*IF(Kosten!$D$19="Heizung",Mieter!$K42,Mieter!$J42)/Kosten!$E$19)</f>
        <v/>
      </c>
      <c r="R42" s="18">
        <f>IF(OR(Kosten!$B$20="",Kosten!$E$20=0,Mieter!$C42=""),0,Kosten!$B$20*IF(Kosten!$C$20="Fläche",Mieter!$L42,IF(Kosten!$C$20="Anteil",Mieter!$M42,Mieter!$N42))*IF(Kosten!$D$20="Heizung",Mieter!$K42,Mieter!$J42)/Kosten!$E$20)</f>
        <v/>
      </c>
      <c r="S42" s="18">
        <f>IF(OR(Kosten!$B$21="",Kosten!$E$21=0,Mieter!$C42=""),0,Kosten!$B$21*IF(Kosten!$C$21="Fläche",Mieter!$L42,IF(Kosten!$C$21="Anteil",Mieter!$M42,Mieter!$N42))*IF(Kosten!$D$21="Heizung",Mieter!$K42,Mieter!$J42)/Kosten!$E$21)</f>
        <v/>
      </c>
      <c r="T42" s="18">
        <f>IF(OR(Kosten!$B$22="",Kosten!$E$22=0,Mieter!$C42=""),0,Kosten!$B$22*IF(Kosten!$C$22="Fläche",Mieter!$L42,IF(Kosten!$C$22="Anteil",Mieter!$M42,Mieter!$N42))*IF(Kosten!$D$22="Heizung",Mieter!$K42,Mieter!$J42)/Kosten!$E$22)</f>
        <v/>
      </c>
      <c r="U42" s="18">
        <f>IF(OR(Kosten!$B$23="",Kosten!$E$23=0,Mieter!$C42=""),0,Kosten!$B$23*IF(Kosten!$C$23="Fläche",Mieter!$L42,IF(Kosten!$C$23="Anteil",Mieter!$M42,Mieter!$N42))*IF(Kosten!$D$23="Heizung",Mieter!$K42,Mieter!$J42)/Kosten!$E$23)</f>
        <v/>
      </c>
      <c r="V42" s="18">
        <f>IF(OR(Kosten!$B$24="",Kosten!$E$24=0,Mieter!$C42=""),0,Kosten!$B$24*IF(Kosten!$C$24="Fläche",Mieter!$L42,IF(Kosten!$C$24="Anteil",Mieter!$M42,Mieter!$N42))*IF(Kosten!$D$24="Heizung",Mieter!$K42,Mieter!$J42)/Kosten!$E$24)</f>
        <v/>
      </c>
      <c r="W42" s="18">
        <f>IF(OR(Kosten!$B$25="",Kosten!$E$25=0,Mieter!$C42=""),0,Kosten!$B$25*IF(Kosten!$C$25="Fläche",Mieter!$L42,IF(Kosten!$C$25="Anteil",Mieter!$M42,Mieter!$N42))*IF(Kosten!$D$25="Heizung",Mieter!$K42,Mieter!$J42)/Kosten!$E$25)</f>
        <v/>
      </c>
      <c r="X42" s="18">
        <f>IF(OR(Kosten!$B$26="",Kosten!$E$26=0,Mieter!$C42=""),0,Kosten!$B$26*IF(Kosten!$C$26="Fläche",Mieter!$L42,IF(Kosten!$C$26="Anteil",Mieter!$M42,Mieter!$N42))*IF(Kosten!$D$26="Heizung",Mieter!$K42,Mieter!$J42)/Kosten!$E$26)</f>
        <v/>
      </c>
      <c r="Y42" s="18">
        <f>IF(OR(Kosten!$B$27="",Kosten!$E$27=0,Mieter!$C42=""),0,Kosten!$B$27*IF(Kosten!$C$27="Fläche",Mieter!$L42,IF(Kosten!$C$27="Anteil",Mieter!$M42,Mieter!$N42))*IF(Kosten!$D$27="Heizung",Mieter!$K42,Mieter!$J42)/Kosten!$E$27)</f>
        <v/>
      </c>
      <c r="Z42" s="18">
        <f>IF(OR(Kosten!$B$28="",Kosten!$E$28=0,Mieter!$C42=""),0,Kosten!$B$28*IF(Kosten!$C$28="Fläche",Mieter!$L42,IF(Kosten!$C$28="Anteil",Mieter!$M42,Mieter!$N42))*IF(Kosten!$D$28="Heizung",Mieter!$K42,Mieter!$J42)/Kosten!$E$28)</f>
        <v/>
      </c>
      <c r="AA42" s="18">
        <f>IF(OR(Kosten!$B$29="",Kosten!$E$29=0,Mieter!$C42=""),0,Kosten!$B$29*IF(Kosten!$C$29="Fläche",Mieter!$L42,IF(Kosten!$C$29="Anteil",Mieter!$M42,Mieter!$N42))*IF(Kosten!$D$29="Heizung",Mieter!$K42,Mieter!$J42)/Kosten!$E$29)</f>
        <v/>
      </c>
      <c r="AB42" s="18">
        <f>ROUND(SUM(C42:AA42)*20,0)/20</f>
        <v/>
      </c>
      <c r="AC42" s="18">
        <f>N(Mieter!F42)</f>
        <v/>
      </c>
      <c r="AD42" s="18">
        <f>AB42-AC42</f>
        <v/>
      </c>
    </row>
    <row r="43">
      <c r="A43" s="13">
        <f>Mieter!A43</f>
        <v/>
      </c>
      <c r="B43" s="22">
        <f>IF(Mieter!C43="","",Mieter!B43)</f>
        <v/>
      </c>
      <c r="C43" s="18">
        <f>IF(OR(Kosten!$B$5="",Kosten!$E$5=0,Mieter!$C43=""),0,Kosten!$B$5*IF(Kosten!$C$5="Fläche",Mieter!$L43,IF(Kosten!$C$5="Anteil",Mieter!$M43,Mieter!$N43))*IF(Kosten!$D$5="Heizung",Mieter!$K43,Mieter!$J43)/Kosten!$E$5)</f>
        <v/>
      </c>
      <c r="D43" s="18">
        <f>IF(OR(Kosten!$B$6="",Kosten!$E$6=0,Mieter!$C43=""),0,Kosten!$B$6*IF(Kosten!$C$6="Fläche",Mieter!$L43,IF(Kosten!$C$6="Anteil",Mieter!$M43,Mieter!$N43))*IF(Kosten!$D$6="Heizung",Mieter!$K43,Mieter!$J43)/Kosten!$E$6)</f>
        <v/>
      </c>
      <c r="E43" s="18">
        <f>IF(OR(Kosten!$B$7="",Kosten!$E$7=0,Mieter!$C43=""),0,Kosten!$B$7*IF(Kosten!$C$7="Fläche",Mieter!$L43,IF(Kosten!$C$7="Anteil",Mieter!$M43,Mieter!$N43))*IF(Kosten!$D$7="Heizung",Mieter!$K43,Mieter!$J43)/Kosten!$E$7)</f>
        <v/>
      </c>
      <c r="F43" s="18">
        <f>IF(OR(Kosten!$B$8="",Kosten!$E$8=0,Mieter!$C43=""),0,Kosten!$B$8*IF(Kosten!$C$8="Fläche",Mieter!$L43,IF(Kosten!$C$8="Anteil",Mieter!$M43,Mieter!$N43))*IF(Kosten!$D$8="Heizung",Mieter!$K43,Mieter!$J43)/Kosten!$E$8)</f>
        <v/>
      </c>
      <c r="G43" s="18">
        <f>IF(OR(Kosten!$B$9="",Kosten!$E$9=0,Mieter!$C43=""),0,Kosten!$B$9*IF(Kosten!$C$9="Fläche",Mieter!$L43,IF(Kosten!$C$9="Anteil",Mieter!$M43,Mieter!$N43))*IF(Kosten!$D$9="Heizung",Mieter!$K43,Mieter!$J43)/Kosten!$E$9)</f>
        <v/>
      </c>
      <c r="H43" s="18">
        <f>IF(OR(Kosten!$B$10="",Kosten!$E$10=0,Mieter!$C43=""),0,Kosten!$B$10*IF(Kosten!$C$10="Fläche",Mieter!$L43,IF(Kosten!$C$10="Anteil",Mieter!$M43,Mieter!$N43))*IF(Kosten!$D$10="Heizung",Mieter!$K43,Mieter!$J43)/Kosten!$E$10)</f>
        <v/>
      </c>
      <c r="I43" s="18">
        <f>IF(OR(Kosten!$B$11="",Kosten!$E$11=0,Mieter!$C43=""),0,Kosten!$B$11*IF(Kosten!$C$11="Fläche",Mieter!$L43,IF(Kosten!$C$11="Anteil",Mieter!$M43,Mieter!$N43))*IF(Kosten!$D$11="Heizung",Mieter!$K43,Mieter!$J43)/Kosten!$E$11)</f>
        <v/>
      </c>
      <c r="J43" s="18">
        <f>IF(OR(Kosten!$B$12="",Kosten!$E$12=0,Mieter!$C43=""),0,Kosten!$B$12*IF(Kosten!$C$12="Fläche",Mieter!$L43,IF(Kosten!$C$12="Anteil",Mieter!$M43,Mieter!$N43))*IF(Kosten!$D$12="Heizung",Mieter!$K43,Mieter!$J43)/Kosten!$E$12)</f>
        <v/>
      </c>
      <c r="K43" s="18">
        <f>IF(OR(Kosten!$B$13="",Kosten!$E$13=0,Mieter!$C43=""),0,Kosten!$B$13*IF(Kosten!$C$13="Fläche",Mieter!$L43,IF(Kosten!$C$13="Anteil",Mieter!$M43,Mieter!$N43))*IF(Kosten!$D$13="Heizung",Mieter!$K43,Mieter!$J43)/Kosten!$E$13)</f>
        <v/>
      </c>
      <c r="L43" s="18">
        <f>IF(OR(Kosten!$B$14="",Kosten!$E$14=0,Mieter!$C43=""),0,Kosten!$B$14*IF(Kosten!$C$14="Fläche",Mieter!$L43,IF(Kosten!$C$14="Anteil",Mieter!$M43,Mieter!$N43))*IF(Kosten!$D$14="Heizung",Mieter!$K43,Mieter!$J43)/Kosten!$E$14)</f>
        <v/>
      </c>
      <c r="M43" s="18">
        <f>IF(OR(Kosten!$B$15="",Kosten!$E$15=0,Mieter!$C43=""),0,Kosten!$B$15*IF(Kosten!$C$15="Fläche",Mieter!$L43,IF(Kosten!$C$15="Anteil",Mieter!$M43,Mieter!$N43))*IF(Kosten!$D$15="Heizung",Mieter!$K43,Mieter!$J43)/Kosten!$E$15)</f>
        <v/>
      </c>
      <c r="N43" s="18">
        <f>IF(OR(Kosten!$B$16="",Kosten!$E$16=0,Mieter!$C43=""),0,Kosten!$B$16*IF(Kosten!$C$16="Fläche",Mieter!$L43,IF(Kosten!$C$16="Anteil",Mieter!$M43,Mieter!$N43))*IF(Kosten!$D$16="Heizung",Mieter!$K43,Mieter!$J43)/Kosten!$E$16)</f>
        <v/>
      </c>
      <c r="O43" s="18">
        <f>IF(OR(Kosten!$B$17="",Kosten!$E$17=0,Mieter!$C43=""),0,Kosten!$B$17*IF(Kosten!$C$17="Fläche",Mieter!$L43,IF(Kosten!$C$17="Anteil",Mieter!$M43,Mieter!$N43))*IF(Kosten!$D$17="Heizung",Mieter!$K43,Mieter!$J43)/Kosten!$E$17)</f>
        <v/>
      </c>
      <c r="P43" s="18">
        <f>IF(OR(Kosten!$B$18="",Kosten!$E$18=0,Mieter!$C43=""),0,Kosten!$B$18*IF(Kosten!$C$18="Fläche",Mieter!$L43,IF(Kosten!$C$18="Anteil",Mieter!$M43,Mieter!$N43))*IF(Kosten!$D$18="Heizung",Mieter!$K43,Mieter!$J43)/Kosten!$E$18)</f>
        <v/>
      </c>
      <c r="Q43" s="18">
        <f>IF(OR(Kosten!$B$19="",Kosten!$E$19=0,Mieter!$C43=""),0,Kosten!$B$19*IF(Kosten!$C$19="Fläche",Mieter!$L43,IF(Kosten!$C$19="Anteil",Mieter!$M43,Mieter!$N43))*IF(Kosten!$D$19="Heizung",Mieter!$K43,Mieter!$J43)/Kosten!$E$19)</f>
        <v/>
      </c>
      <c r="R43" s="18">
        <f>IF(OR(Kosten!$B$20="",Kosten!$E$20=0,Mieter!$C43=""),0,Kosten!$B$20*IF(Kosten!$C$20="Fläche",Mieter!$L43,IF(Kosten!$C$20="Anteil",Mieter!$M43,Mieter!$N43))*IF(Kosten!$D$20="Heizung",Mieter!$K43,Mieter!$J43)/Kosten!$E$20)</f>
        <v/>
      </c>
      <c r="S43" s="18">
        <f>IF(OR(Kosten!$B$21="",Kosten!$E$21=0,Mieter!$C43=""),0,Kosten!$B$21*IF(Kosten!$C$21="Fläche",Mieter!$L43,IF(Kosten!$C$21="Anteil",Mieter!$M43,Mieter!$N43))*IF(Kosten!$D$21="Heizung",Mieter!$K43,Mieter!$J43)/Kosten!$E$21)</f>
        <v/>
      </c>
      <c r="T43" s="18">
        <f>IF(OR(Kosten!$B$22="",Kosten!$E$22=0,Mieter!$C43=""),0,Kosten!$B$22*IF(Kosten!$C$22="Fläche",Mieter!$L43,IF(Kosten!$C$22="Anteil",Mieter!$M43,Mieter!$N43))*IF(Kosten!$D$22="Heizung",Mieter!$K43,Mieter!$J43)/Kosten!$E$22)</f>
        <v/>
      </c>
      <c r="U43" s="18">
        <f>IF(OR(Kosten!$B$23="",Kosten!$E$23=0,Mieter!$C43=""),0,Kosten!$B$23*IF(Kosten!$C$23="Fläche",Mieter!$L43,IF(Kosten!$C$23="Anteil",Mieter!$M43,Mieter!$N43))*IF(Kosten!$D$23="Heizung",Mieter!$K43,Mieter!$J43)/Kosten!$E$23)</f>
        <v/>
      </c>
      <c r="V43" s="18">
        <f>IF(OR(Kosten!$B$24="",Kosten!$E$24=0,Mieter!$C43=""),0,Kosten!$B$24*IF(Kosten!$C$24="Fläche",Mieter!$L43,IF(Kosten!$C$24="Anteil",Mieter!$M43,Mieter!$N43))*IF(Kosten!$D$24="Heizung",Mieter!$K43,Mieter!$J43)/Kosten!$E$24)</f>
        <v/>
      </c>
      <c r="W43" s="18">
        <f>IF(OR(Kosten!$B$25="",Kosten!$E$25=0,Mieter!$C43=""),0,Kosten!$B$25*IF(Kosten!$C$25="Fläche",Mieter!$L43,IF(Kosten!$C$25="Anteil",Mieter!$M43,Mieter!$N43))*IF(Kosten!$D$25="Heizung",Mieter!$K43,Mieter!$J43)/Kosten!$E$25)</f>
        <v/>
      </c>
      <c r="X43" s="18">
        <f>IF(OR(Kosten!$B$26="",Kosten!$E$26=0,Mieter!$C43=""),0,Kosten!$B$26*IF(Kosten!$C$26="Fläche",Mieter!$L43,IF(Kosten!$C$26="Anteil",Mieter!$M43,Mieter!$N43))*IF(Kosten!$D$26="Heizung",Mieter!$K43,Mieter!$J43)/Kosten!$E$26)</f>
        <v/>
      </c>
      <c r="Y43" s="18">
        <f>IF(OR(Kosten!$B$27="",Kosten!$E$27=0,Mieter!$C43=""),0,Kosten!$B$27*IF(Kosten!$C$27="Fläche",Mieter!$L43,IF(Kosten!$C$27="Anteil",Mieter!$M43,Mieter!$N43))*IF(Kosten!$D$27="Heizung",Mieter!$K43,Mieter!$J43)/Kosten!$E$27)</f>
        <v/>
      </c>
      <c r="Z43" s="18">
        <f>IF(OR(Kosten!$B$28="",Kosten!$E$28=0,Mieter!$C43=""),0,Kosten!$B$28*IF(Kosten!$C$28="Fläche",Mieter!$L43,IF(Kosten!$C$28="Anteil",Mieter!$M43,Mieter!$N43))*IF(Kosten!$D$28="Heizung",Mieter!$K43,Mieter!$J43)/Kosten!$E$28)</f>
        <v/>
      </c>
      <c r="AA43" s="18">
        <f>IF(OR(Kosten!$B$29="",Kosten!$E$29=0,Mieter!$C43=""),0,Kosten!$B$29*IF(Kosten!$C$29="Fläche",Mieter!$L43,IF(Kosten!$C$29="Anteil",Mieter!$M43,Mieter!$N43))*IF(Kosten!$D$29="Heizung",Mieter!$K43,Mieter!$J43)/Kosten!$E$29)</f>
        <v/>
      </c>
      <c r="AB43" s="18">
        <f>ROUND(SUM(C43:AA43)*20,0)/20</f>
        <v/>
      </c>
      <c r="AC43" s="18">
        <f>N(Mieter!F43)</f>
        <v/>
      </c>
      <c r="AD43" s="18">
        <f>AB43-AC43</f>
        <v/>
      </c>
    </row>
    <row r="44">
      <c r="A44" s="13">
        <f>Mieter!A44</f>
        <v/>
      </c>
      <c r="B44" s="22">
        <f>IF(Mieter!C44="","",Mieter!B44)</f>
        <v/>
      </c>
      <c r="C44" s="18">
        <f>IF(OR(Kosten!$B$5="",Kosten!$E$5=0,Mieter!$C44=""),0,Kosten!$B$5*IF(Kosten!$C$5="Fläche",Mieter!$L44,IF(Kosten!$C$5="Anteil",Mieter!$M44,Mieter!$N44))*IF(Kosten!$D$5="Heizung",Mieter!$K44,Mieter!$J44)/Kosten!$E$5)</f>
        <v/>
      </c>
      <c r="D44" s="18">
        <f>IF(OR(Kosten!$B$6="",Kosten!$E$6=0,Mieter!$C44=""),0,Kosten!$B$6*IF(Kosten!$C$6="Fläche",Mieter!$L44,IF(Kosten!$C$6="Anteil",Mieter!$M44,Mieter!$N44))*IF(Kosten!$D$6="Heizung",Mieter!$K44,Mieter!$J44)/Kosten!$E$6)</f>
        <v/>
      </c>
      <c r="E44" s="18">
        <f>IF(OR(Kosten!$B$7="",Kosten!$E$7=0,Mieter!$C44=""),0,Kosten!$B$7*IF(Kosten!$C$7="Fläche",Mieter!$L44,IF(Kosten!$C$7="Anteil",Mieter!$M44,Mieter!$N44))*IF(Kosten!$D$7="Heizung",Mieter!$K44,Mieter!$J44)/Kosten!$E$7)</f>
        <v/>
      </c>
      <c r="F44" s="18">
        <f>IF(OR(Kosten!$B$8="",Kosten!$E$8=0,Mieter!$C44=""),0,Kosten!$B$8*IF(Kosten!$C$8="Fläche",Mieter!$L44,IF(Kosten!$C$8="Anteil",Mieter!$M44,Mieter!$N44))*IF(Kosten!$D$8="Heizung",Mieter!$K44,Mieter!$J44)/Kosten!$E$8)</f>
        <v/>
      </c>
      <c r="G44" s="18">
        <f>IF(OR(Kosten!$B$9="",Kosten!$E$9=0,Mieter!$C44=""),0,Kosten!$B$9*IF(Kosten!$C$9="Fläche",Mieter!$L44,IF(Kosten!$C$9="Anteil",Mieter!$M44,Mieter!$N44))*IF(Kosten!$D$9="Heizung",Mieter!$K44,Mieter!$J44)/Kosten!$E$9)</f>
        <v/>
      </c>
      <c r="H44" s="18">
        <f>IF(OR(Kosten!$B$10="",Kosten!$E$10=0,Mieter!$C44=""),0,Kosten!$B$10*IF(Kosten!$C$10="Fläche",Mieter!$L44,IF(Kosten!$C$10="Anteil",Mieter!$M44,Mieter!$N44))*IF(Kosten!$D$10="Heizung",Mieter!$K44,Mieter!$J44)/Kosten!$E$10)</f>
        <v/>
      </c>
      <c r="I44" s="18">
        <f>IF(OR(Kosten!$B$11="",Kosten!$E$11=0,Mieter!$C44=""),0,Kosten!$B$11*IF(Kosten!$C$11="Fläche",Mieter!$L44,IF(Kosten!$C$11="Anteil",Mieter!$M44,Mieter!$N44))*IF(Kosten!$D$11="Heizung",Mieter!$K44,Mieter!$J44)/Kosten!$E$11)</f>
        <v/>
      </c>
      <c r="J44" s="18">
        <f>IF(OR(Kosten!$B$12="",Kosten!$E$12=0,Mieter!$C44=""),0,Kosten!$B$12*IF(Kosten!$C$12="Fläche",Mieter!$L44,IF(Kosten!$C$12="Anteil",Mieter!$M44,Mieter!$N44))*IF(Kosten!$D$12="Heizung",Mieter!$K44,Mieter!$J44)/Kosten!$E$12)</f>
        <v/>
      </c>
      <c r="K44" s="18">
        <f>IF(OR(Kosten!$B$13="",Kosten!$E$13=0,Mieter!$C44=""),0,Kosten!$B$13*IF(Kosten!$C$13="Fläche",Mieter!$L44,IF(Kosten!$C$13="Anteil",Mieter!$M44,Mieter!$N44))*IF(Kosten!$D$13="Heizung",Mieter!$K44,Mieter!$J44)/Kosten!$E$13)</f>
        <v/>
      </c>
      <c r="L44" s="18">
        <f>IF(OR(Kosten!$B$14="",Kosten!$E$14=0,Mieter!$C44=""),0,Kosten!$B$14*IF(Kosten!$C$14="Fläche",Mieter!$L44,IF(Kosten!$C$14="Anteil",Mieter!$M44,Mieter!$N44))*IF(Kosten!$D$14="Heizung",Mieter!$K44,Mieter!$J44)/Kosten!$E$14)</f>
        <v/>
      </c>
      <c r="M44" s="18">
        <f>IF(OR(Kosten!$B$15="",Kosten!$E$15=0,Mieter!$C44=""),0,Kosten!$B$15*IF(Kosten!$C$15="Fläche",Mieter!$L44,IF(Kosten!$C$15="Anteil",Mieter!$M44,Mieter!$N44))*IF(Kosten!$D$15="Heizung",Mieter!$K44,Mieter!$J44)/Kosten!$E$15)</f>
        <v/>
      </c>
      <c r="N44" s="18">
        <f>IF(OR(Kosten!$B$16="",Kosten!$E$16=0,Mieter!$C44=""),0,Kosten!$B$16*IF(Kosten!$C$16="Fläche",Mieter!$L44,IF(Kosten!$C$16="Anteil",Mieter!$M44,Mieter!$N44))*IF(Kosten!$D$16="Heizung",Mieter!$K44,Mieter!$J44)/Kosten!$E$16)</f>
        <v/>
      </c>
      <c r="O44" s="18">
        <f>IF(OR(Kosten!$B$17="",Kosten!$E$17=0,Mieter!$C44=""),0,Kosten!$B$17*IF(Kosten!$C$17="Fläche",Mieter!$L44,IF(Kosten!$C$17="Anteil",Mieter!$M44,Mieter!$N44))*IF(Kosten!$D$17="Heizung",Mieter!$K44,Mieter!$J44)/Kosten!$E$17)</f>
        <v/>
      </c>
      <c r="P44" s="18">
        <f>IF(OR(Kosten!$B$18="",Kosten!$E$18=0,Mieter!$C44=""),0,Kosten!$B$18*IF(Kosten!$C$18="Fläche",Mieter!$L44,IF(Kosten!$C$18="Anteil",Mieter!$M44,Mieter!$N44))*IF(Kosten!$D$18="Heizung",Mieter!$K44,Mieter!$J44)/Kosten!$E$18)</f>
        <v/>
      </c>
      <c r="Q44" s="18">
        <f>IF(OR(Kosten!$B$19="",Kosten!$E$19=0,Mieter!$C44=""),0,Kosten!$B$19*IF(Kosten!$C$19="Fläche",Mieter!$L44,IF(Kosten!$C$19="Anteil",Mieter!$M44,Mieter!$N44))*IF(Kosten!$D$19="Heizung",Mieter!$K44,Mieter!$J44)/Kosten!$E$19)</f>
        <v/>
      </c>
      <c r="R44" s="18">
        <f>IF(OR(Kosten!$B$20="",Kosten!$E$20=0,Mieter!$C44=""),0,Kosten!$B$20*IF(Kosten!$C$20="Fläche",Mieter!$L44,IF(Kosten!$C$20="Anteil",Mieter!$M44,Mieter!$N44))*IF(Kosten!$D$20="Heizung",Mieter!$K44,Mieter!$J44)/Kosten!$E$20)</f>
        <v/>
      </c>
      <c r="S44" s="18">
        <f>IF(OR(Kosten!$B$21="",Kosten!$E$21=0,Mieter!$C44=""),0,Kosten!$B$21*IF(Kosten!$C$21="Fläche",Mieter!$L44,IF(Kosten!$C$21="Anteil",Mieter!$M44,Mieter!$N44))*IF(Kosten!$D$21="Heizung",Mieter!$K44,Mieter!$J44)/Kosten!$E$21)</f>
        <v/>
      </c>
      <c r="T44" s="18">
        <f>IF(OR(Kosten!$B$22="",Kosten!$E$22=0,Mieter!$C44=""),0,Kosten!$B$22*IF(Kosten!$C$22="Fläche",Mieter!$L44,IF(Kosten!$C$22="Anteil",Mieter!$M44,Mieter!$N44))*IF(Kosten!$D$22="Heizung",Mieter!$K44,Mieter!$J44)/Kosten!$E$22)</f>
        <v/>
      </c>
      <c r="U44" s="18">
        <f>IF(OR(Kosten!$B$23="",Kosten!$E$23=0,Mieter!$C44=""),0,Kosten!$B$23*IF(Kosten!$C$23="Fläche",Mieter!$L44,IF(Kosten!$C$23="Anteil",Mieter!$M44,Mieter!$N44))*IF(Kosten!$D$23="Heizung",Mieter!$K44,Mieter!$J44)/Kosten!$E$23)</f>
        <v/>
      </c>
      <c r="V44" s="18">
        <f>IF(OR(Kosten!$B$24="",Kosten!$E$24=0,Mieter!$C44=""),0,Kosten!$B$24*IF(Kosten!$C$24="Fläche",Mieter!$L44,IF(Kosten!$C$24="Anteil",Mieter!$M44,Mieter!$N44))*IF(Kosten!$D$24="Heizung",Mieter!$K44,Mieter!$J44)/Kosten!$E$24)</f>
        <v/>
      </c>
      <c r="W44" s="18">
        <f>IF(OR(Kosten!$B$25="",Kosten!$E$25=0,Mieter!$C44=""),0,Kosten!$B$25*IF(Kosten!$C$25="Fläche",Mieter!$L44,IF(Kosten!$C$25="Anteil",Mieter!$M44,Mieter!$N44))*IF(Kosten!$D$25="Heizung",Mieter!$K44,Mieter!$J44)/Kosten!$E$25)</f>
        <v/>
      </c>
      <c r="X44" s="18">
        <f>IF(OR(Kosten!$B$26="",Kosten!$E$26=0,Mieter!$C44=""),0,Kosten!$B$26*IF(Kosten!$C$26="Fläche",Mieter!$L44,IF(Kosten!$C$26="Anteil",Mieter!$M44,Mieter!$N44))*IF(Kosten!$D$26="Heizung",Mieter!$K44,Mieter!$J44)/Kosten!$E$26)</f>
        <v/>
      </c>
      <c r="Y44" s="18">
        <f>IF(OR(Kosten!$B$27="",Kosten!$E$27=0,Mieter!$C44=""),0,Kosten!$B$27*IF(Kosten!$C$27="Fläche",Mieter!$L44,IF(Kosten!$C$27="Anteil",Mieter!$M44,Mieter!$N44))*IF(Kosten!$D$27="Heizung",Mieter!$K44,Mieter!$J44)/Kosten!$E$27)</f>
        <v/>
      </c>
      <c r="Z44" s="18">
        <f>IF(OR(Kosten!$B$28="",Kosten!$E$28=0,Mieter!$C44=""),0,Kosten!$B$28*IF(Kosten!$C$28="Fläche",Mieter!$L44,IF(Kosten!$C$28="Anteil",Mieter!$M44,Mieter!$N44))*IF(Kosten!$D$28="Heizung",Mieter!$K44,Mieter!$J44)/Kosten!$E$28)</f>
        <v/>
      </c>
      <c r="AA44" s="18">
        <f>IF(OR(Kosten!$B$29="",Kosten!$E$29=0,Mieter!$C44=""),0,Kosten!$B$29*IF(Kosten!$C$29="Fläche",Mieter!$L44,IF(Kosten!$C$29="Anteil",Mieter!$M44,Mieter!$N44))*IF(Kosten!$D$29="Heizung",Mieter!$K44,Mieter!$J44)/Kosten!$E$29)</f>
        <v/>
      </c>
      <c r="AB44" s="18">
        <f>ROUND(SUM(C44:AA44)*20,0)/20</f>
        <v/>
      </c>
      <c r="AC44" s="18">
        <f>N(Mieter!F44)</f>
        <v/>
      </c>
      <c r="AD44" s="18">
        <f>AB44-AC44</f>
        <v/>
      </c>
    </row>
    <row r="45">
      <c r="B45" s="6" t="inlineStr">
        <is>
          <t>Summe Mieter</t>
        </is>
      </c>
      <c r="C45" s="18">
        <f>SUM(C5:C44)</f>
        <v/>
      </c>
      <c r="D45" s="18">
        <f>SUM(D5:D44)</f>
        <v/>
      </c>
      <c r="E45" s="18">
        <f>SUM(E5:E44)</f>
        <v/>
      </c>
      <c r="F45" s="18">
        <f>SUM(F5:F44)</f>
        <v/>
      </c>
      <c r="G45" s="18">
        <f>SUM(G5:G44)</f>
        <v/>
      </c>
      <c r="H45" s="18">
        <f>SUM(H5:H44)</f>
        <v/>
      </c>
      <c r="I45" s="18">
        <f>SUM(I5:I44)</f>
        <v/>
      </c>
      <c r="J45" s="18">
        <f>SUM(J5:J44)</f>
        <v/>
      </c>
      <c r="K45" s="18">
        <f>SUM(K5:K44)</f>
        <v/>
      </c>
      <c r="L45" s="18">
        <f>SUM(L5:L44)</f>
        <v/>
      </c>
      <c r="M45" s="18">
        <f>SUM(M5:M44)</f>
        <v/>
      </c>
      <c r="N45" s="18">
        <f>SUM(N5:N44)</f>
        <v/>
      </c>
      <c r="O45" s="18">
        <f>SUM(O5:O44)</f>
        <v/>
      </c>
      <c r="P45" s="18">
        <f>SUM(P5:P44)</f>
        <v/>
      </c>
      <c r="Q45" s="18">
        <f>SUM(Q5:Q44)</f>
        <v/>
      </c>
      <c r="R45" s="18">
        <f>SUM(R5:R44)</f>
        <v/>
      </c>
      <c r="S45" s="18">
        <f>SUM(S5:S44)</f>
        <v/>
      </c>
      <c r="T45" s="18">
        <f>SUM(T5:T44)</f>
        <v/>
      </c>
      <c r="U45" s="18">
        <f>SUM(U5:U44)</f>
        <v/>
      </c>
      <c r="V45" s="18">
        <f>SUM(V5:V44)</f>
        <v/>
      </c>
      <c r="W45" s="18">
        <f>SUM(W5:W44)</f>
        <v/>
      </c>
      <c r="X45" s="18">
        <f>SUM(X5:X44)</f>
        <v/>
      </c>
      <c r="Y45" s="18">
        <f>SUM(Y5:Y44)</f>
        <v/>
      </c>
      <c r="Z45" s="18">
        <f>SUM(Z5:Z44)</f>
        <v/>
      </c>
      <c r="AA45" s="18">
        <f>SUM(AA5:AA44)</f>
        <v/>
      </c>
      <c r="AB45" s="18">
        <f>SUM(AB5:AB44)</f>
        <v/>
      </c>
    </row>
    <row r="46">
      <c r="B46" s="6" t="inlineStr">
        <is>
          <t>Leerstand / Eigentümer</t>
        </is>
      </c>
      <c r="C46" s="18">
        <f>N(Kosten!B5)-C45</f>
        <v/>
      </c>
      <c r="D46" s="18">
        <f>N(Kosten!B6)-D45</f>
        <v/>
      </c>
      <c r="E46" s="18">
        <f>N(Kosten!B7)-E45</f>
        <v/>
      </c>
      <c r="F46" s="18">
        <f>N(Kosten!B8)-F45</f>
        <v/>
      </c>
      <c r="G46" s="18">
        <f>N(Kosten!B9)-G45</f>
        <v/>
      </c>
      <c r="H46" s="18">
        <f>N(Kosten!B10)-H45</f>
        <v/>
      </c>
      <c r="I46" s="18">
        <f>N(Kosten!B11)-I45</f>
        <v/>
      </c>
      <c r="J46" s="18">
        <f>N(Kosten!B12)-J45</f>
        <v/>
      </c>
      <c r="K46" s="18">
        <f>N(Kosten!B13)-K45</f>
        <v/>
      </c>
      <c r="L46" s="18">
        <f>N(Kosten!B14)-L45</f>
        <v/>
      </c>
      <c r="M46" s="18">
        <f>N(Kosten!B15)-M45</f>
        <v/>
      </c>
      <c r="N46" s="18">
        <f>N(Kosten!B16)-N45</f>
        <v/>
      </c>
      <c r="O46" s="18">
        <f>N(Kosten!B17)-O45</f>
        <v/>
      </c>
      <c r="P46" s="18">
        <f>N(Kosten!B18)-P45</f>
        <v/>
      </c>
      <c r="Q46" s="18">
        <f>N(Kosten!B19)-Q45</f>
        <v/>
      </c>
      <c r="R46" s="18">
        <f>N(Kosten!B20)-R45</f>
        <v/>
      </c>
      <c r="S46" s="18">
        <f>N(Kosten!B21)-S45</f>
        <v/>
      </c>
      <c r="T46" s="18">
        <f>N(Kosten!B22)-T45</f>
        <v/>
      </c>
      <c r="U46" s="18">
        <f>N(Kosten!B23)-U45</f>
        <v/>
      </c>
      <c r="V46" s="18">
        <f>N(Kosten!B24)-V45</f>
        <v/>
      </c>
      <c r="W46" s="18">
        <f>N(Kosten!B25)-W45</f>
        <v/>
      </c>
      <c r="X46" s="18">
        <f>N(Kosten!B26)-X45</f>
        <v/>
      </c>
      <c r="Y46" s="18">
        <f>N(Kosten!B27)-Y45</f>
        <v/>
      </c>
      <c r="Z46" s="18">
        <f>N(Kosten!B28)-Z45</f>
        <v/>
      </c>
      <c r="AA46" s="18">
        <f>N(Kosten!B29)-AA45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I42"/>
  <sheetViews>
    <sheetView workbookViewId="0">
      <selection activeCell="A1" sqref="A1"/>
    </sheetView>
  </sheetViews>
  <sheetFormatPr baseColWidth="8" defaultRowHeight="15"/>
  <cols>
    <col width="34" customWidth="1" min="1" max="1"/>
    <col width="14" customWidth="1" min="2" max="2"/>
    <col width="11" customWidth="1" min="3" max="3"/>
    <col width="11" customWidth="1" min="4" max="4"/>
    <col width="22" customWidth="1" min="5" max="5"/>
    <col width="11" customWidth="1" min="6" max="6"/>
    <col width="15" customWidth="1" min="7" max="7"/>
    <col width="2" customWidth="1" min="8" max="8"/>
    <col width="34" customWidth="1" min="9" max="9"/>
  </cols>
  <sheetData>
    <row r="1">
      <c r="A1" s="1" t="inlineStr">
        <is>
          <t>Heiz- und Nebenkostenabrechnung</t>
        </is>
      </c>
      <c r="I1" s="19" t="inlineStr">
        <is>
          <t>Mieter-Nr. wählen (wird nicht gedruckt):</t>
        </is>
      </c>
    </row>
    <row r="2">
      <c r="I2" s="10" t="n">
        <v>1</v>
      </c>
    </row>
    <row r="3">
      <c r="A3" s="6" t="inlineStr">
        <is>
          <t>Liegenschaft</t>
        </is>
      </c>
      <c r="B3" s="4">
        <f>Stammdaten!B4</f>
        <v/>
      </c>
    </row>
    <row r="4">
      <c r="A4" s="6" t="inlineStr">
        <is>
          <t>Vermieter</t>
        </is>
      </c>
      <c r="B4" s="4">
        <f>Stammdaten!B5</f>
        <v/>
      </c>
    </row>
    <row r="5">
      <c r="A5" s="6" t="inlineStr">
        <is>
          <t>Mieter</t>
        </is>
      </c>
      <c r="B5" s="4">
        <f>INDEX(Mieter!$B$5:$B$44,MATCH($I$2,Mieter!$A$5:$A$44,0))</f>
        <v/>
      </c>
    </row>
    <row r="6">
      <c r="A6" s="6" t="inlineStr">
        <is>
          <t>Einheit</t>
        </is>
      </c>
      <c r="B6" s="4">
        <f>INDEX(Mieter!$C$5:$C$44,MATCH($I$2,Mieter!$A$5:$A$44,0))&amp;" · "&amp;IFERROR(INDEX(Stammdaten!$B$22:$B$51,MATCH(INDEX(Mieter!$C$5:$C$44,MATCH($I$2,Mieter!$A$5:$A$44,0)),Stammdaten!$A$22:$A$51,0)),"")</f>
        <v/>
      </c>
    </row>
    <row r="7">
      <c r="A7" s="6" t="inlineStr">
        <is>
          <t>Abrechnungsperiode</t>
        </is>
      </c>
      <c r="B7" s="4">
        <f>TEXT(Stammdaten!B6,"DD.MM.YYYY")&amp;" – "&amp;TEXT(Stammdaten!B7,"DD.MM.YYYY")</f>
        <v/>
      </c>
    </row>
    <row r="8">
      <c r="A8" s="6" t="inlineStr">
        <is>
          <t>Ihre Mietdauer in der Periode</t>
        </is>
      </c>
      <c r="B8" s="4">
        <f>TEXT(INDEX(Mieter!$G$5:$G$44,MATCH($I$2,Mieter!$A$5:$A$44,0)),"DD.MM.YYYY")&amp;" – "&amp;TEXT(INDEX(Mieter!$H$5:$H$44,MATCH($I$2,Mieter!$A$5:$A$44,0)),"DD.MM.YYYY")&amp;" ("&amp;INDEX(Mieter!$I$5:$I$44,MATCH($I$2,Mieter!$A$5:$A$44,0))&amp;" Tage)"</f>
        <v/>
      </c>
    </row>
    <row r="10">
      <c r="A10" s="8" t="inlineStr">
        <is>
          <t>Kostenart</t>
        </is>
      </c>
      <c r="B10" s="8" t="inlineStr">
        <is>
          <t>Gesamtkosten CHF</t>
        </is>
      </c>
      <c r="C10" s="8" t="inlineStr">
        <is>
          <t>Schlüssel</t>
        </is>
      </c>
      <c r="D10" s="8" t="inlineStr">
        <is>
          <t>Verteilung</t>
        </is>
      </c>
      <c r="E10" s="8" t="inlineStr">
        <is>
          <t>Ihr Anteil am Schlüssel</t>
        </is>
      </c>
      <c r="F10" s="8" t="inlineStr">
        <is>
          <t>Zeitanteil</t>
        </is>
      </c>
      <c r="G10" s="8" t="inlineStr">
        <is>
          <t>Ihr Betrag CHF</t>
        </is>
      </c>
    </row>
    <row r="11">
      <c r="A11" s="4">
        <f>IF(Kosten!A5="","",Kosten!A5)</f>
        <v/>
      </c>
      <c r="B11" s="23">
        <f>IF(Kosten!A5="","",Kosten!B5)</f>
        <v/>
      </c>
      <c r="C11" s="4">
        <f>IF(Kosten!A5="","",Kosten!C5)</f>
        <v/>
      </c>
      <c r="D11" s="4">
        <f>IF(Kosten!A5="","",Kosten!D5)</f>
        <v/>
      </c>
      <c r="E11" s="4">
        <f>IF(OR(Kosten!A5="",Kosten!E5=0),"",TEXT(IF(Kosten!C5="Fläche",INDEX(Mieter!$L$5:$L$44,MATCH($I$2,Mieter!$A$5:$A$44,0)),IF(Kosten!C5="Anteil",INDEX(Mieter!$M$5:$M$44,MATCH($I$2,Mieter!$A$5:$A$44,0)),INDEX(Mieter!$N$5:$N$44,MATCH($I$2,Mieter!$A$5:$A$44,0)))),"0.##")&amp;" / "&amp;TEXT(Kosten!E5,"0.##"))</f>
        <v/>
      </c>
      <c r="F11" s="24">
        <f>IF(Kosten!A5="","",IF(Kosten!D5="Heizung",INDEX(Mieter!$K$5:$K$44,MATCH($I$2,Mieter!$A$5:$A$44,0)),INDEX(Mieter!$J$5:$J$44,MATCH($I$2,Mieter!$A$5:$A$44,0))))</f>
        <v/>
      </c>
      <c r="G11" s="23">
        <f>IF(Kosten!A5="","",INDEX(Verteilung!C$5:C$44,MATCH($I$2,Mieter!$A$5:$A$44,0)))</f>
        <v/>
      </c>
    </row>
    <row r="12">
      <c r="A12" s="4">
        <f>IF(Kosten!A6="","",Kosten!A6)</f>
        <v/>
      </c>
      <c r="B12" s="23">
        <f>IF(Kosten!A6="","",Kosten!B6)</f>
        <v/>
      </c>
      <c r="C12" s="4">
        <f>IF(Kosten!A6="","",Kosten!C6)</f>
        <v/>
      </c>
      <c r="D12" s="4">
        <f>IF(Kosten!A6="","",Kosten!D6)</f>
        <v/>
      </c>
      <c r="E12" s="4">
        <f>IF(OR(Kosten!A6="",Kosten!E6=0),"",TEXT(IF(Kosten!C6="Fläche",INDEX(Mieter!$L$5:$L$44,MATCH($I$2,Mieter!$A$5:$A$44,0)),IF(Kosten!C6="Anteil",INDEX(Mieter!$M$5:$M$44,MATCH($I$2,Mieter!$A$5:$A$44,0)),INDEX(Mieter!$N$5:$N$44,MATCH($I$2,Mieter!$A$5:$A$44,0)))),"0.##")&amp;" / "&amp;TEXT(Kosten!E6,"0.##"))</f>
        <v/>
      </c>
      <c r="F12" s="24">
        <f>IF(Kosten!A6="","",IF(Kosten!D6="Heizung",INDEX(Mieter!$K$5:$K$44,MATCH($I$2,Mieter!$A$5:$A$44,0)),INDEX(Mieter!$J$5:$J$44,MATCH($I$2,Mieter!$A$5:$A$44,0))))</f>
        <v/>
      </c>
      <c r="G12" s="23">
        <f>IF(Kosten!A6="","",INDEX(Verteilung!D$5:D$44,MATCH($I$2,Mieter!$A$5:$A$44,0)))</f>
        <v/>
      </c>
    </row>
    <row r="13">
      <c r="A13" s="4">
        <f>IF(Kosten!A7="","",Kosten!A7)</f>
        <v/>
      </c>
      <c r="B13" s="23">
        <f>IF(Kosten!A7="","",Kosten!B7)</f>
        <v/>
      </c>
      <c r="C13" s="4">
        <f>IF(Kosten!A7="","",Kosten!C7)</f>
        <v/>
      </c>
      <c r="D13" s="4">
        <f>IF(Kosten!A7="","",Kosten!D7)</f>
        <v/>
      </c>
      <c r="E13" s="4">
        <f>IF(OR(Kosten!A7="",Kosten!E7=0),"",TEXT(IF(Kosten!C7="Fläche",INDEX(Mieter!$L$5:$L$44,MATCH($I$2,Mieter!$A$5:$A$44,0)),IF(Kosten!C7="Anteil",INDEX(Mieter!$M$5:$M$44,MATCH($I$2,Mieter!$A$5:$A$44,0)),INDEX(Mieter!$N$5:$N$44,MATCH($I$2,Mieter!$A$5:$A$44,0)))),"0.##")&amp;" / "&amp;TEXT(Kosten!E7,"0.##"))</f>
        <v/>
      </c>
      <c r="F13" s="24">
        <f>IF(Kosten!A7="","",IF(Kosten!D7="Heizung",INDEX(Mieter!$K$5:$K$44,MATCH($I$2,Mieter!$A$5:$A$44,0)),INDEX(Mieter!$J$5:$J$44,MATCH($I$2,Mieter!$A$5:$A$44,0))))</f>
        <v/>
      </c>
      <c r="G13" s="23">
        <f>IF(Kosten!A7="","",INDEX(Verteilung!E$5:E$44,MATCH($I$2,Mieter!$A$5:$A$44,0)))</f>
        <v/>
      </c>
    </row>
    <row r="14">
      <c r="A14" s="4">
        <f>IF(Kosten!A8="","",Kosten!A8)</f>
        <v/>
      </c>
      <c r="B14" s="23">
        <f>IF(Kosten!A8="","",Kosten!B8)</f>
        <v/>
      </c>
      <c r="C14" s="4">
        <f>IF(Kosten!A8="","",Kosten!C8)</f>
        <v/>
      </c>
      <c r="D14" s="4">
        <f>IF(Kosten!A8="","",Kosten!D8)</f>
        <v/>
      </c>
      <c r="E14" s="4">
        <f>IF(OR(Kosten!A8="",Kosten!E8=0),"",TEXT(IF(Kosten!C8="Fläche",INDEX(Mieter!$L$5:$L$44,MATCH($I$2,Mieter!$A$5:$A$44,0)),IF(Kosten!C8="Anteil",INDEX(Mieter!$M$5:$M$44,MATCH($I$2,Mieter!$A$5:$A$44,0)),INDEX(Mieter!$N$5:$N$44,MATCH($I$2,Mieter!$A$5:$A$44,0)))),"0.##")&amp;" / "&amp;TEXT(Kosten!E8,"0.##"))</f>
        <v/>
      </c>
      <c r="F14" s="24">
        <f>IF(Kosten!A8="","",IF(Kosten!D8="Heizung",INDEX(Mieter!$K$5:$K$44,MATCH($I$2,Mieter!$A$5:$A$44,0)),INDEX(Mieter!$J$5:$J$44,MATCH($I$2,Mieter!$A$5:$A$44,0))))</f>
        <v/>
      </c>
      <c r="G14" s="23">
        <f>IF(Kosten!A8="","",INDEX(Verteilung!F$5:F$44,MATCH($I$2,Mieter!$A$5:$A$44,0)))</f>
        <v/>
      </c>
    </row>
    <row r="15">
      <c r="A15" s="4">
        <f>IF(Kosten!A9="","",Kosten!A9)</f>
        <v/>
      </c>
      <c r="B15" s="23">
        <f>IF(Kosten!A9="","",Kosten!B9)</f>
        <v/>
      </c>
      <c r="C15" s="4">
        <f>IF(Kosten!A9="","",Kosten!C9)</f>
        <v/>
      </c>
      <c r="D15" s="4">
        <f>IF(Kosten!A9="","",Kosten!D9)</f>
        <v/>
      </c>
      <c r="E15" s="4">
        <f>IF(OR(Kosten!A9="",Kosten!E9=0),"",TEXT(IF(Kosten!C9="Fläche",INDEX(Mieter!$L$5:$L$44,MATCH($I$2,Mieter!$A$5:$A$44,0)),IF(Kosten!C9="Anteil",INDEX(Mieter!$M$5:$M$44,MATCH($I$2,Mieter!$A$5:$A$44,0)),INDEX(Mieter!$N$5:$N$44,MATCH($I$2,Mieter!$A$5:$A$44,0)))),"0.##")&amp;" / "&amp;TEXT(Kosten!E9,"0.##"))</f>
        <v/>
      </c>
      <c r="F15" s="24">
        <f>IF(Kosten!A9="","",IF(Kosten!D9="Heizung",INDEX(Mieter!$K$5:$K$44,MATCH($I$2,Mieter!$A$5:$A$44,0)),INDEX(Mieter!$J$5:$J$44,MATCH($I$2,Mieter!$A$5:$A$44,0))))</f>
        <v/>
      </c>
      <c r="G15" s="23">
        <f>IF(Kosten!A9="","",INDEX(Verteilung!G$5:G$44,MATCH($I$2,Mieter!$A$5:$A$44,0)))</f>
        <v/>
      </c>
    </row>
    <row r="16">
      <c r="A16" s="4">
        <f>IF(Kosten!A10="","",Kosten!A10)</f>
        <v/>
      </c>
      <c r="B16" s="23">
        <f>IF(Kosten!A10="","",Kosten!B10)</f>
        <v/>
      </c>
      <c r="C16" s="4">
        <f>IF(Kosten!A10="","",Kosten!C10)</f>
        <v/>
      </c>
      <c r="D16" s="4">
        <f>IF(Kosten!A10="","",Kosten!D10)</f>
        <v/>
      </c>
      <c r="E16" s="4">
        <f>IF(OR(Kosten!A10="",Kosten!E10=0),"",TEXT(IF(Kosten!C10="Fläche",INDEX(Mieter!$L$5:$L$44,MATCH($I$2,Mieter!$A$5:$A$44,0)),IF(Kosten!C10="Anteil",INDEX(Mieter!$M$5:$M$44,MATCH($I$2,Mieter!$A$5:$A$44,0)),INDEX(Mieter!$N$5:$N$44,MATCH($I$2,Mieter!$A$5:$A$44,0)))),"0.##")&amp;" / "&amp;TEXT(Kosten!E10,"0.##"))</f>
        <v/>
      </c>
      <c r="F16" s="24">
        <f>IF(Kosten!A10="","",IF(Kosten!D10="Heizung",INDEX(Mieter!$K$5:$K$44,MATCH($I$2,Mieter!$A$5:$A$44,0)),INDEX(Mieter!$J$5:$J$44,MATCH($I$2,Mieter!$A$5:$A$44,0))))</f>
        <v/>
      </c>
      <c r="G16" s="23">
        <f>IF(Kosten!A10="","",INDEX(Verteilung!H$5:H$44,MATCH($I$2,Mieter!$A$5:$A$44,0)))</f>
        <v/>
      </c>
    </row>
    <row r="17">
      <c r="A17" s="4">
        <f>IF(Kosten!A11="","",Kosten!A11)</f>
        <v/>
      </c>
      <c r="B17" s="23">
        <f>IF(Kosten!A11="","",Kosten!B11)</f>
        <v/>
      </c>
      <c r="C17" s="4">
        <f>IF(Kosten!A11="","",Kosten!C11)</f>
        <v/>
      </c>
      <c r="D17" s="4">
        <f>IF(Kosten!A11="","",Kosten!D11)</f>
        <v/>
      </c>
      <c r="E17" s="4">
        <f>IF(OR(Kosten!A11="",Kosten!E11=0),"",TEXT(IF(Kosten!C11="Fläche",INDEX(Mieter!$L$5:$L$44,MATCH($I$2,Mieter!$A$5:$A$44,0)),IF(Kosten!C11="Anteil",INDEX(Mieter!$M$5:$M$44,MATCH($I$2,Mieter!$A$5:$A$44,0)),INDEX(Mieter!$N$5:$N$44,MATCH($I$2,Mieter!$A$5:$A$44,0)))),"0.##")&amp;" / "&amp;TEXT(Kosten!E11,"0.##"))</f>
        <v/>
      </c>
      <c r="F17" s="24">
        <f>IF(Kosten!A11="","",IF(Kosten!D11="Heizung",INDEX(Mieter!$K$5:$K$44,MATCH($I$2,Mieter!$A$5:$A$44,0)),INDEX(Mieter!$J$5:$J$44,MATCH($I$2,Mieter!$A$5:$A$44,0))))</f>
        <v/>
      </c>
      <c r="G17" s="23">
        <f>IF(Kosten!A11="","",INDEX(Verteilung!I$5:I$44,MATCH($I$2,Mieter!$A$5:$A$44,0)))</f>
        <v/>
      </c>
    </row>
    <row r="18">
      <c r="A18" s="4">
        <f>IF(Kosten!A12="","",Kosten!A12)</f>
        <v/>
      </c>
      <c r="B18" s="23">
        <f>IF(Kosten!A12="","",Kosten!B12)</f>
        <v/>
      </c>
      <c r="C18" s="4">
        <f>IF(Kosten!A12="","",Kosten!C12)</f>
        <v/>
      </c>
      <c r="D18" s="4">
        <f>IF(Kosten!A12="","",Kosten!D12)</f>
        <v/>
      </c>
      <c r="E18" s="4">
        <f>IF(OR(Kosten!A12="",Kosten!E12=0),"",TEXT(IF(Kosten!C12="Fläche",INDEX(Mieter!$L$5:$L$44,MATCH($I$2,Mieter!$A$5:$A$44,0)),IF(Kosten!C12="Anteil",INDEX(Mieter!$M$5:$M$44,MATCH($I$2,Mieter!$A$5:$A$44,0)),INDEX(Mieter!$N$5:$N$44,MATCH($I$2,Mieter!$A$5:$A$44,0)))),"0.##")&amp;" / "&amp;TEXT(Kosten!E12,"0.##"))</f>
        <v/>
      </c>
      <c r="F18" s="24">
        <f>IF(Kosten!A12="","",IF(Kosten!D12="Heizung",INDEX(Mieter!$K$5:$K$44,MATCH($I$2,Mieter!$A$5:$A$44,0)),INDEX(Mieter!$J$5:$J$44,MATCH($I$2,Mieter!$A$5:$A$44,0))))</f>
        <v/>
      </c>
      <c r="G18" s="23">
        <f>IF(Kosten!A12="","",INDEX(Verteilung!J$5:J$44,MATCH($I$2,Mieter!$A$5:$A$44,0)))</f>
        <v/>
      </c>
    </row>
    <row r="19">
      <c r="A19" s="4">
        <f>IF(Kosten!A13="","",Kosten!A13)</f>
        <v/>
      </c>
      <c r="B19" s="23">
        <f>IF(Kosten!A13="","",Kosten!B13)</f>
        <v/>
      </c>
      <c r="C19" s="4">
        <f>IF(Kosten!A13="","",Kosten!C13)</f>
        <v/>
      </c>
      <c r="D19" s="4">
        <f>IF(Kosten!A13="","",Kosten!D13)</f>
        <v/>
      </c>
      <c r="E19" s="4">
        <f>IF(OR(Kosten!A13="",Kosten!E13=0),"",TEXT(IF(Kosten!C13="Fläche",INDEX(Mieter!$L$5:$L$44,MATCH($I$2,Mieter!$A$5:$A$44,0)),IF(Kosten!C13="Anteil",INDEX(Mieter!$M$5:$M$44,MATCH($I$2,Mieter!$A$5:$A$44,0)),INDEX(Mieter!$N$5:$N$44,MATCH($I$2,Mieter!$A$5:$A$44,0)))),"0.##")&amp;" / "&amp;TEXT(Kosten!E13,"0.##"))</f>
        <v/>
      </c>
      <c r="F19" s="24">
        <f>IF(Kosten!A13="","",IF(Kosten!D13="Heizung",INDEX(Mieter!$K$5:$K$44,MATCH($I$2,Mieter!$A$5:$A$44,0)),INDEX(Mieter!$J$5:$J$44,MATCH($I$2,Mieter!$A$5:$A$44,0))))</f>
        <v/>
      </c>
      <c r="G19" s="23">
        <f>IF(Kosten!A13="","",INDEX(Verteilung!K$5:K$44,MATCH($I$2,Mieter!$A$5:$A$44,0)))</f>
        <v/>
      </c>
    </row>
    <row r="20">
      <c r="A20" s="4">
        <f>IF(Kosten!A14="","",Kosten!A14)</f>
        <v/>
      </c>
      <c r="B20" s="23">
        <f>IF(Kosten!A14="","",Kosten!B14)</f>
        <v/>
      </c>
      <c r="C20" s="4">
        <f>IF(Kosten!A14="","",Kosten!C14)</f>
        <v/>
      </c>
      <c r="D20" s="4">
        <f>IF(Kosten!A14="","",Kosten!D14)</f>
        <v/>
      </c>
      <c r="E20" s="4">
        <f>IF(OR(Kosten!A14="",Kosten!E14=0),"",TEXT(IF(Kosten!C14="Fläche",INDEX(Mieter!$L$5:$L$44,MATCH($I$2,Mieter!$A$5:$A$44,0)),IF(Kosten!C14="Anteil",INDEX(Mieter!$M$5:$M$44,MATCH($I$2,Mieter!$A$5:$A$44,0)),INDEX(Mieter!$N$5:$N$44,MATCH($I$2,Mieter!$A$5:$A$44,0)))),"0.##")&amp;" / "&amp;TEXT(Kosten!E14,"0.##"))</f>
        <v/>
      </c>
      <c r="F20" s="24">
        <f>IF(Kosten!A14="","",IF(Kosten!D14="Heizung",INDEX(Mieter!$K$5:$K$44,MATCH($I$2,Mieter!$A$5:$A$44,0)),INDEX(Mieter!$J$5:$J$44,MATCH($I$2,Mieter!$A$5:$A$44,0))))</f>
        <v/>
      </c>
      <c r="G20" s="23">
        <f>IF(Kosten!A14="","",INDEX(Verteilung!L$5:L$44,MATCH($I$2,Mieter!$A$5:$A$44,0)))</f>
        <v/>
      </c>
    </row>
    <row r="21">
      <c r="A21" s="4">
        <f>IF(Kosten!A15="","",Kosten!A15)</f>
        <v/>
      </c>
      <c r="B21" s="23">
        <f>IF(Kosten!A15="","",Kosten!B15)</f>
        <v/>
      </c>
      <c r="C21" s="4">
        <f>IF(Kosten!A15="","",Kosten!C15)</f>
        <v/>
      </c>
      <c r="D21" s="4">
        <f>IF(Kosten!A15="","",Kosten!D15)</f>
        <v/>
      </c>
      <c r="E21" s="4">
        <f>IF(OR(Kosten!A15="",Kosten!E15=0),"",TEXT(IF(Kosten!C15="Fläche",INDEX(Mieter!$L$5:$L$44,MATCH($I$2,Mieter!$A$5:$A$44,0)),IF(Kosten!C15="Anteil",INDEX(Mieter!$M$5:$M$44,MATCH($I$2,Mieter!$A$5:$A$44,0)),INDEX(Mieter!$N$5:$N$44,MATCH($I$2,Mieter!$A$5:$A$44,0)))),"0.##")&amp;" / "&amp;TEXT(Kosten!E15,"0.##"))</f>
        <v/>
      </c>
      <c r="F21" s="24">
        <f>IF(Kosten!A15="","",IF(Kosten!D15="Heizung",INDEX(Mieter!$K$5:$K$44,MATCH($I$2,Mieter!$A$5:$A$44,0)),INDEX(Mieter!$J$5:$J$44,MATCH($I$2,Mieter!$A$5:$A$44,0))))</f>
        <v/>
      </c>
      <c r="G21" s="23">
        <f>IF(Kosten!A15="","",INDEX(Verteilung!M$5:M$44,MATCH($I$2,Mieter!$A$5:$A$44,0)))</f>
        <v/>
      </c>
    </row>
    <row r="22">
      <c r="A22" s="4">
        <f>IF(Kosten!A16="","",Kosten!A16)</f>
        <v/>
      </c>
      <c r="B22" s="23">
        <f>IF(Kosten!A16="","",Kosten!B16)</f>
        <v/>
      </c>
      <c r="C22" s="4">
        <f>IF(Kosten!A16="","",Kosten!C16)</f>
        <v/>
      </c>
      <c r="D22" s="4">
        <f>IF(Kosten!A16="","",Kosten!D16)</f>
        <v/>
      </c>
      <c r="E22" s="4">
        <f>IF(OR(Kosten!A16="",Kosten!E16=0),"",TEXT(IF(Kosten!C16="Fläche",INDEX(Mieter!$L$5:$L$44,MATCH($I$2,Mieter!$A$5:$A$44,0)),IF(Kosten!C16="Anteil",INDEX(Mieter!$M$5:$M$44,MATCH($I$2,Mieter!$A$5:$A$44,0)),INDEX(Mieter!$N$5:$N$44,MATCH($I$2,Mieter!$A$5:$A$44,0)))),"0.##")&amp;" / "&amp;TEXT(Kosten!E16,"0.##"))</f>
        <v/>
      </c>
      <c r="F22" s="24">
        <f>IF(Kosten!A16="","",IF(Kosten!D16="Heizung",INDEX(Mieter!$K$5:$K$44,MATCH($I$2,Mieter!$A$5:$A$44,0)),INDEX(Mieter!$J$5:$J$44,MATCH($I$2,Mieter!$A$5:$A$44,0))))</f>
        <v/>
      </c>
      <c r="G22" s="23">
        <f>IF(Kosten!A16="","",INDEX(Verteilung!N$5:N$44,MATCH($I$2,Mieter!$A$5:$A$44,0)))</f>
        <v/>
      </c>
    </row>
    <row r="23">
      <c r="A23" s="4">
        <f>IF(Kosten!A17="","",Kosten!A17)</f>
        <v/>
      </c>
      <c r="B23" s="23">
        <f>IF(Kosten!A17="","",Kosten!B17)</f>
        <v/>
      </c>
      <c r="C23" s="4">
        <f>IF(Kosten!A17="","",Kosten!C17)</f>
        <v/>
      </c>
      <c r="D23" s="4">
        <f>IF(Kosten!A17="","",Kosten!D17)</f>
        <v/>
      </c>
      <c r="E23" s="4">
        <f>IF(OR(Kosten!A17="",Kosten!E17=0),"",TEXT(IF(Kosten!C17="Fläche",INDEX(Mieter!$L$5:$L$44,MATCH($I$2,Mieter!$A$5:$A$44,0)),IF(Kosten!C17="Anteil",INDEX(Mieter!$M$5:$M$44,MATCH($I$2,Mieter!$A$5:$A$44,0)),INDEX(Mieter!$N$5:$N$44,MATCH($I$2,Mieter!$A$5:$A$44,0)))),"0.##")&amp;" / "&amp;TEXT(Kosten!E17,"0.##"))</f>
        <v/>
      </c>
      <c r="F23" s="24">
        <f>IF(Kosten!A17="","",IF(Kosten!D17="Heizung",INDEX(Mieter!$K$5:$K$44,MATCH($I$2,Mieter!$A$5:$A$44,0)),INDEX(Mieter!$J$5:$J$44,MATCH($I$2,Mieter!$A$5:$A$44,0))))</f>
        <v/>
      </c>
      <c r="G23" s="23">
        <f>IF(Kosten!A17="","",INDEX(Verteilung!O$5:O$44,MATCH($I$2,Mieter!$A$5:$A$44,0)))</f>
        <v/>
      </c>
    </row>
    <row r="24">
      <c r="A24" s="4">
        <f>IF(Kosten!A18="","",Kosten!A18)</f>
        <v/>
      </c>
      <c r="B24" s="23">
        <f>IF(Kosten!A18="","",Kosten!B18)</f>
        <v/>
      </c>
      <c r="C24" s="4">
        <f>IF(Kosten!A18="","",Kosten!C18)</f>
        <v/>
      </c>
      <c r="D24" s="4">
        <f>IF(Kosten!A18="","",Kosten!D18)</f>
        <v/>
      </c>
      <c r="E24" s="4">
        <f>IF(OR(Kosten!A18="",Kosten!E18=0),"",TEXT(IF(Kosten!C18="Fläche",INDEX(Mieter!$L$5:$L$44,MATCH($I$2,Mieter!$A$5:$A$44,0)),IF(Kosten!C18="Anteil",INDEX(Mieter!$M$5:$M$44,MATCH($I$2,Mieter!$A$5:$A$44,0)),INDEX(Mieter!$N$5:$N$44,MATCH($I$2,Mieter!$A$5:$A$44,0)))),"0.##")&amp;" / "&amp;TEXT(Kosten!E18,"0.##"))</f>
        <v/>
      </c>
      <c r="F24" s="24">
        <f>IF(Kosten!A18="","",IF(Kosten!D18="Heizung",INDEX(Mieter!$K$5:$K$44,MATCH($I$2,Mieter!$A$5:$A$44,0)),INDEX(Mieter!$J$5:$J$44,MATCH($I$2,Mieter!$A$5:$A$44,0))))</f>
        <v/>
      </c>
      <c r="G24" s="23">
        <f>IF(Kosten!A18="","",INDEX(Verteilung!P$5:P$44,MATCH($I$2,Mieter!$A$5:$A$44,0)))</f>
        <v/>
      </c>
    </row>
    <row r="25">
      <c r="A25" s="4">
        <f>IF(Kosten!A19="","",Kosten!A19)</f>
        <v/>
      </c>
      <c r="B25" s="23">
        <f>IF(Kosten!A19="","",Kosten!B19)</f>
        <v/>
      </c>
      <c r="C25" s="4">
        <f>IF(Kosten!A19="","",Kosten!C19)</f>
        <v/>
      </c>
      <c r="D25" s="4">
        <f>IF(Kosten!A19="","",Kosten!D19)</f>
        <v/>
      </c>
      <c r="E25" s="4">
        <f>IF(OR(Kosten!A19="",Kosten!E19=0),"",TEXT(IF(Kosten!C19="Fläche",INDEX(Mieter!$L$5:$L$44,MATCH($I$2,Mieter!$A$5:$A$44,0)),IF(Kosten!C19="Anteil",INDEX(Mieter!$M$5:$M$44,MATCH($I$2,Mieter!$A$5:$A$44,0)),INDEX(Mieter!$N$5:$N$44,MATCH($I$2,Mieter!$A$5:$A$44,0)))),"0.##")&amp;" / "&amp;TEXT(Kosten!E19,"0.##"))</f>
        <v/>
      </c>
      <c r="F25" s="24">
        <f>IF(Kosten!A19="","",IF(Kosten!D19="Heizung",INDEX(Mieter!$K$5:$K$44,MATCH($I$2,Mieter!$A$5:$A$44,0)),INDEX(Mieter!$J$5:$J$44,MATCH($I$2,Mieter!$A$5:$A$44,0))))</f>
        <v/>
      </c>
      <c r="G25" s="23">
        <f>IF(Kosten!A19="","",INDEX(Verteilung!Q$5:Q$44,MATCH($I$2,Mieter!$A$5:$A$44,0)))</f>
        <v/>
      </c>
    </row>
    <row r="26">
      <c r="A26" s="4">
        <f>IF(Kosten!A20="","",Kosten!A20)</f>
        <v/>
      </c>
      <c r="B26" s="23">
        <f>IF(Kosten!A20="","",Kosten!B20)</f>
        <v/>
      </c>
      <c r="C26" s="4">
        <f>IF(Kosten!A20="","",Kosten!C20)</f>
        <v/>
      </c>
      <c r="D26" s="4">
        <f>IF(Kosten!A20="","",Kosten!D20)</f>
        <v/>
      </c>
      <c r="E26" s="4">
        <f>IF(OR(Kosten!A20="",Kosten!E20=0),"",TEXT(IF(Kosten!C20="Fläche",INDEX(Mieter!$L$5:$L$44,MATCH($I$2,Mieter!$A$5:$A$44,0)),IF(Kosten!C20="Anteil",INDEX(Mieter!$M$5:$M$44,MATCH($I$2,Mieter!$A$5:$A$44,0)),INDEX(Mieter!$N$5:$N$44,MATCH($I$2,Mieter!$A$5:$A$44,0)))),"0.##")&amp;" / "&amp;TEXT(Kosten!E20,"0.##"))</f>
        <v/>
      </c>
      <c r="F26" s="24">
        <f>IF(Kosten!A20="","",IF(Kosten!D20="Heizung",INDEX(Mieter!$K$5:$K$44,MATCH($I$2,Mieter!$A$5:$A$44,0)),INDEX(Mieter!$J$5:$J$44,MATCH($I$2,Mieter!$A$5:$A$44,0))))</f>
        <v/>
      </c>
      <c r="G26" s="23">
        <f>IF(Kosten!A20="","",INDEX(Verteilung!R$5:R$44,MATCH($I$2,Mieter!$A$5:$A$44,0)))</f>
        <v/>
      </c>
    </row>
    <row r="27">
      <c r="A27" s="4">
        <f>IF(Kosten!A21="","",Kosten!A21)</f>
        <v/>
      </c>
      <c r="B27" s="23">
        <f>IF(Kosten!A21="","",Kosten!B21)</f>
        <v/>
      </c>
      <c r="C27" s="4">
        <f>IF(Kosten!A21="","",Kosten!C21)</f>
        <v/>
      </c>
      <c r="D27" s="4">
        <f>IF(Kosten!A21="","",Kosten!D21)</f>
        <v/>
      </c>
      <c r="E27" s="4">
        <f>IF(OR(Kosten!A21="",Kosten!E21=0),"",TEXT(IF(Kosten!C21="Fläche",INDEX(Mieter!$L$5:$L$44,MATCH($I$2,Mieter!$A$5:$A$44,0)),IF(Kosten!C21="Anteil",INDEX(Mieter!$M$5:$M$44,MATCH($I$2,Mieter!$A$5:$A$44,0)),INDEX(Mieter!$N$5:$N$44,MATCH($I$2,Mieter!$A$5:$A$44,0)))),"0.##")&amp;" / "&amp;TEXT(Kosten!E21,"0.##"))</f>
        <v/>
      </c>
      <c r="F27" s="24">
        <f>IF(Kosten!A21="","",IF(Kosten!D21="Heizung",INDEX(Mieter!$K$5:$K$44,MATCH($I$2,Mieter!$A$5:$A$44,0)),INDEX(Mieter!$J$5:$J$44,MATCH($I$2,Mieter!$A$5:$A$44,0))))</f>
        <v/>
      </c>
      <c r="G27" s="23">
        <f>IF(Kosten!A21="","",INDEX(Verteilung!S$5:S$44,MATCH($I$2,Mieter!$A$5:$A$44,0)))</f>
        <v/>
      </c>
    </row>
    <row r="28">
      <c r="A28" s="4">
        <f>IF(Kosten!A22="","",Kosten!A22)</f>
        <v/>
      </c>
      <c r="B28" s="23">
        <f>IF(Kosten!A22="","",Kosten!B22)</f>
        <v/>
      </c>
      <c r="C28" s="4">
        <f>IF(Kosten!A22="","",Kosten!C22)</f>
        <v/>
      </c>
      <c r="D28" s="4">
        <f>IF(Kosten!A22="","",Kosten!D22)</f>
        <v/>
      </c>
      <c r="E28" s="4">
        <f>IF(OR(Kosten!A22="",Kosten!E22=0),"",TEXT(IF(Kosten!C22="Fläche",INDEX(Mieter!$L$5:$L$44,MATCH($I$2,Mieter!$A$5:$A$44,0)),IF(Kosten!C22="Anteil",INDEX(Mieter!$M$5:$M$44,MATCH($I$2,Mieter!$A$5:$A$44,0)),INDEX(Mieter!$N$5:$N$44,MATCH($I$2,Mieter!$A$5:$A$44,0)))),"0.##")&amp;" / "&amp;TEXT(Kosten!E22,"0.##"))</f>
        <v/>
      </c>
      <c r="F28" s="24">
        <f>IF(Kosten!A22="","",IF(Kosten!D22="Heizung",INDEX(Mieter!$K$5:$K$44,MATCH($I$2,Mieter!$A$5:$A$44,0)),INDEX(Mieter!$J$5:$J$44,MATCH($I$2,Mieter!$A$5:$A$44,0))))</f>
        <v/>
      </c>
      <c r="G28" s="23">
        <f>IF(Kosten!A22="","",INDEX(Verteilung!T$5:T$44,MATCH($I$2,Mieter!$A$5:$A$44,0)))</f>
        <v/>
      </c>
    </row>
    <row r="29">
      <c r="A29" s="4">
        <f>IF(Kosten!A23="","",Kosten!A23)</f>
        <v/>
      </c>
      <c r="B29" s="23">
        <f>IF(Kosten!A23="","",Kosten!B23)</f>
        <v/>
      </c>
      <c r="C29" s="4">
        <f>IF(Kosten!A23="","",Kosten!C23)</f>
        <v/>
      </c>
      <c r="D29" s="4">
        <f>IF(Kosten!A23="","",Kosten!D23)</f>
        <v/>
      </c>
      <c r="E29" s="4">
        <f>IF(OR(Kosten!A23="",Kosten!E23=0),"",TEXT(IF(Kosten!C23="Fläche",INDEX(Mieter!$L$5:$L$44,MATCH($I$2,Mieter!$A$5:$A$44,0)),IF(Kosten!C23="Anteil",INDEX(Mieter!$M$5:$M$44,MATCH($I$2,Mieter!$A$5:$A$44,0)),INDEX(Mieter!$N$5:$N$44,MATCH($I$2,Mieter!$A$5:$A$44,0)))),"0.##")&amp;" / "&amp;TEXT(Kosten!E23,"0.##"))</f>
        <v/>
      </c>
      <c r="F29" s="24">
        <f>IF(Kosten!A23="","",IF(Kosten!D23="Heizung",INDEX(Mieter!$K$5:$K$44,MATCH($I$2,Mieter!$A$5:$A$44,0)),INDEX(Mieter!$J$5:$J$44,MATCH($I$2,Mieter!$A$5:$A$44,0))))</f>
        <v/>
      </c>
      <c r="G29" s="23">
        <f>IF(Kosten!A23="","",INDEX(Verteilung!U$5:U$44,MATCH($I$2,Mieter!$A$5:$A$44,0)))</f>
        <v/>
      </c>
    </row>
    <row r="30">
      <c r="A30" s="4">
        <f>IF(Kosten!A24="","",Kosten!A24)</f>
        <v/>
      </c>
      <c r="B30" s="23">
        <f>IF(Kosten!A24="","",Kosten!B24)</f>
        <v/>
      </c>
      <c r="C30" s="4">
        <f>IF(Kosten!A24="","",Kosten!C24)</f>
        <v/>
      </c>
      <c r="D30" s="4">
        <f>IF(Kosten!A24="","",Kosten!D24)</f>
        <v/>
      </c>
      <c r="E30" s="4">
        <f>IF(OR(Kosten!A24="",Kosten!E24=0),"",TEXT(IF(Kosten!C24="Fläche",INDEX(Mieter!$L$5:$L$44,MATCH($I$2,Mieter!$A$5:$A$44,0)),IF(Kosten!C24="Anteil",INDEX(Mieter!$M$5:$M$44,MATCH($I$2,Mieter!$A$5:$A$44,0)),INDEX(Mieter!$N$5:$N$44,MATCH($I$2,Mieter!$A$5:$A$44,0)))),"0.##")&amp;" / "&amp;TEXT(Kosten!E24,"0.##"))</f>
        <v/>
      </c>
      <c r="F30" s="24">
        <f>IF(Kosten!A24="","",IF(Kosten!D24="Heizung",INDEX(Mieter!$K$5:$K$44,MATCH($I$2,Mieter!$A$5:$A$44,0)),INDEX(Mieter!$J$5:$J$44,MATCH($I$2,Mieter!$A$5:$A$44,0))))</f>
        <v/>
      </c>
      <c r="G30" s="23">
        <f>IF(Kosten!A24="","",INDEX(Verteilung!V$5:V$44,MATCH($I$2,Mieter!$A$5:$A$44,0)))</f>
        <v/>
      </c>
    </row>
    <row r="31">
      <c r="A31" s="4">
        <f>IF(Kosten!A25="","",Kosten!A25)</f>
        <v/>
      </c>
      <c r="B31" s="23">
        <f>IF(Kosten!A25="","",Kosten!B25)</f>
        <v/>
      </c>
      <c r="C31" s="4">
        <f>IF(Kosten!A25="","",Kosten!C25)</f>
        <v/>
      </c>
      <c r="D31" s="4">
        <f>IF(Kosten!A25="","",Kosten!D25)</f>
        <v/>
      </c>
      <c r="E31" s="4">
        <f>IF(OR(Kosten!A25="",Kosten!E25=0),"",TEXT(IF(Kosten!C25="Fläche",INDEX(Mieter!$L$5:$L$44,MATCH($I$2,Mieter!$A$5:$A$44,0)),IF(Kosten!C25="Anteil",INDEX(Mieter!$M$5:$M$44,MATCH($I$2,Mieter!$A$5:$A$44,0)),INDEX(Mieter!$N$5:$N$44,MATCH($I$2,Mieter!$A$5:$A$44,0)))),"0.##")&amp;" / "&amp;TEXT(Kosten!E25,"0.##"))</f>
        <v/>
      </c>
      <c r="F31" s="24">
        <f>IF(Kosten!A25="","",IF(Kosten!D25="Heizung",INDEX(Mieter!$K$5:$K$44,MATCH($I$2,Mieter!$A$5:$A$44,0)),INDEX(Mieter!$J$5:$J$44,MATCH($I$2,Mieter!$A$5:$A$44,0))))</f>
        <v/>
      </c>
      <c r="G31" s="23">
        <f>IF(Kosten!A25="","",INDEX(Verteilung!W$5:W$44,MATCH($I$2,Mieter!$A$5:$A$44,0)))</f>
        <v/>
      </c>
    </row>
    <row r="32">
      <c r="A32" s="4">
        <f>IF(Kosten!A26="","",Kosten!A26)</f>
        <v/>
      </c>
      <c r="B32" s="23">
        <f>IF(Kosten!A26="","",Kosten!B26)</f>
        <v/>
      </c>
      <c r="C32" s="4">
        <f>IF(Kosten!A26="","",Kosten!C26)</f>
        <v/>
      </c>
      <c r="D32" s="4">
        <f>IF(Kosten!A26="","",Kosten!D26)</f>
        <v/>
      </c>
      <c r="E32" s="4">
        <f>IF(OR(Kosten!A26="",Kosten!E26=0),"",TEXT(IF(Kosten!C26="Fläche",INDEX(Mieter!$L$5:$L$44,MATCH($I$2,Mieter!$A$5:$A$44,0)),IF(Kosten!C26="Anteil",INDEX(Mieter!$M$5:$M$44,MATCH($I$2,Mieter!$A$5:$A$44,0)),INDEX(Mieter!$N$5:$N$44,MATCH($I$2,Mieter!$A$5:$A$44,0)))),"0.##")&amp;" / "&amp;TEXT(Kosten!E26,"0.##"))</f>
        <v/>
      </c>
      <c r="F32" s="24">
        <f>IF(Kosten!A26="","",IF(Kosten!D26="Heizung",INDEX(Mieter!$K$5:$K$44,MATCH($I$2,Mieter!$A$5:$A$44,0)),INDEX(Mieter!$J$5:$J$44,MATCH($I$2,Mieter!$A$5:$A$44,0))))</f>
        <v/>
      </c>
      <c r="G32" s="23">
        <f>IF(Kosten!A26="","",INDEX(Verteilung!X$5:X$44,MATCH($I$2,Mieter!$A$5:$A$44,0)))</f>
        <v/>
      </c>
    </row>
    <row r="33">
      <c r="A33" s="4">
        <f>IF(Kosten!A27="","",Kosten!A27)</f>
        <v/>
      </c>
      <c r="B33" s="23">
        <f>IF(Kosten!A27="","",Kosten!B27)</f>
        <v/>
      </c>
      <c r="C33" s="4">
        <f>IF(Kosten!A27="","",Kosten!C27)</f>
        <v/>
      </c>
      <c r="D33" s="4">
        <f>IF(Kosten!A27="","",Kosten!D27)</f>
        <v/>
      </c>
      <c r="E33" s="4">
        <f>IF(OR(Kosten!A27="",Kosten!E27=0),"",TEXT(IF(Kosten!C27="Fläche",INDEX(Mieter!$L$5:$L$44,MATCH($I$2,Mieter!$A$5:$A$44,0)),IF(Kosten!C27="Anteil",INDEX(Mieter!$M$5:$M$44,MATCH($I$2,Mieter!$A$5:$A$44,0)),INDEX(Mieter!$N$5:$N$44,MATCH($I$2,Mieter!$A$5:$A$44,0)))),"0.##")&amp;" / "&amp;TEXT(Kosten!E27,"0.##"))</f>
        <v/>
      </c>
      <c r="F33" s="24">
        <f>IF(Kosten!A27="","",IF(Kosten!D27="Heizung",INDEX(Mieter!$K$5:$K$44,MATCH($I$2,Mieter!$A$5:$A$44,0)),INDEX(Mieter!$J$5:$J$44,MATCH($I$2,Mieter!$A$5:$A$44,0))))</f>
        <v/>
      </c>
      <c r="G33" s="23">
        <f>IF(Kosten!A27="","",INDEX(Verteilung!Y$5:Y$44,MATCH($I$2,Mieter!$A$5:$A$44,0)))</f>
        <v/>
      </c>
    </row>
    <row r="34">
      <c r="A34" s="4">
        <f>IF(Kosten!A28="","",Kosten!A28)</f>
        <v/>
      </c>
      <c r="B34" s="23">
        <f>IF(Kosten!A28="","",Kosten!B28)</f>
        <v/>
      </c>
      <c r="C34" s="4">
        <f>IF(Kosten!A28="","",Kosten!C28)</f>
        <v/>
      </c>
      <c r="D34" s="4">
        <f>IF(Kosten!A28="","",Kosten!D28)</f>
        <v/>
      </c>
      <c r="E34" s="4">
        <f>IF(OR(Kosten!A28="",Kosten!E28=0),"",TEXT(IF(Kosten!C28="Fläche",INDEX(Mieter!$L$5:$L$44,MATCH($I$2,Mieter!$A$5:$A$44,0)),IF(Kosten!C28="Anteil",INDEX(Mieter!$M$5:$M$44,MATCH($I$2,Mieter!$A$5:$A$44,0)),INDEX(Mieter!$N$5:$N$44,MATCH($I$2,Mieter!$A$5:$A$44,0)))),"0.##")&amp;" / "&amp;TEXT(Kosten!E28,"0.##"))</f>
        <v/>
      </c>
      <c r="F34" s="24">
        <f>IF(Kosten!A28="","",IF(Kosten!D28="Heizung",INDEX(Mieter!$K$5:$K$44,MATCH($I$2,Mieter!$A$5:$A$44,0)),INDEX(Mieter!$J$5:$J$44,MATCH($I$2,Mieter!$A$5:$A$44,0))))</f>
        <v/>
      </c>
      <c r="G34" s="23">
        <f>IF(Kosten!A28="","",INDEX(Verteilung!Z$5:Z$44,MATCH($I$2,Mieter!$A$5:$A$44,0)))</f>
        <v/>
      </c>
    </row>
    <row r="35">
      <c r="A35" s="4">
        <f>IF(Kosten!A29="","",Kosten!A29)</f>
        <v/>
      </c>
      <c r="B35" s="23">
        <f>IF(Kosten!A29="","",Kosten!B29)</f>
        <v/>
      </c>
      <c r="C35" s="4">
        <f>IF(Kosten!A29="","",Kosten!C29)</f>
        <v/>
      </c>
      <c r="D35" s="4">
        <f>IF(Kosten!A29="","",Kosten!D29)</f>
        <v/>
      </c>
      <c r="E35" s="4">
        <f>IF(OR(Kosten!A29="",Kosten!E29=0),"",TEXT(IF(Kosten!C29="Fläche",INDEX(Mieter!$L$5:$L$44,MATCH($I$2,Mieter!$A$5:$A$44,0)),IF(Kosten!C29="Anteil",INDEX(Mieter!$M$5:$M$44,MATCH($I$2,Mieter!$A$5:$A$44,0)),INDEX(Mieter!$N$5:$N$44,MATCH($I$2,Mieter!$A$5:$A$44,0)))),"0.##")&amp;" / "&amp;TEXT(Kosten!E29,"0.##"))</f>
        <v/>
      </c>
      <c r="F35" s="24">
        <f>IF(Kosten!A29="","",IF(Kosten!D29="Heizung",INDEX(Mieter!$K$5:$K$44,MATCH($I$2,Mieter!$A$5:$A$44,0)),INDEX(Mieter!$J$5:$J$44,MATCH($I$2,Mieter!$A$5:$A$44,0))))</f>
        <v/>
      </c>
      <c r="G35" s="23">
        <f>IF(Kosten!A29="","",INDEX(Verteilung!AA$5:AA$44,MATCH($I$2,Mieter!$A$5:$A$44,0)))</f>
        <v/>
      </c>
    </row>
    <row r="37">
      <c r="E37" s="6" t="inlineStr">
        <is>
          <t>Total Ihr Anteil (gerundet auf 5 Rp.)</t>
        </is>
      </c>
      <c r="G37" s="25">
        <f>INDEX(Verteilung!AB$5:AB$44,MATCH($I$2,Mieter!$A$5:$A$44,0))</f>
        <v/>
      </c>
    </row>
    <row r="38">
      <c r="E38" s="4" t="inlineStr">
        <is>
          <t>abzüglich Akontozahlungen</t>
        </is>
      </c>
      <c r="G38" s="25">
        <f>-INDEX(Verteilung!AC$5:AC$44,MATCH($I$2,Mieter!$A$5:$A$44,0))</f>
        <v/>
      </c>
    </row>
    <row r="39">
      <c r="E39" s="3">
        <f>IF(INDEX(Verteilung!AD$5:AD$44,MATCH($I$2,Mieter!$A$5:$A$44,0))&gt;=0,"Nachzahlung zu Ihren Lasten","Guthaben zu Ihren Gunsten")</f>
        <v/>
      </c>
      <c r="G39" s="26">
        <f>ABS(INDEX(Verteilung!AD$5:AD$44,MATCH($I$2,Mieter!$A$5:$A$44,0)))</f>
        <v/>
      </c>
    </row>
    <row r="41">
      <c r="A41" s="19" t="inlineStr">
        <is>
          <t>Die Belege können Sie nach Vereinbarung einsehen (Art. 257b Abs. 2 OR). Einwände bitte innert 30 Tagen schriftlich.</t>
        </is>
      </c>
    </row>
    <row r="42">
      <c r="A42" s="19" t="inlineStr">
        <is>
          <t>Nachzahlung zahlbar innert 30 Tagen. Ein Guthaben wird mit der nächsten Miete verrechnet oder überwiesen.</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I2" showDropDown="0" showInputMessage="0" showErrorMessage="0" allowBlank="0" type="whole" operator="between">
      <formula1>1</formula1>
      <formula2>40</formula2>
    </dataValidation>
  </dataValidations>
  <pageMargins left="0.75" right="0.75" top="1" bottom="1" header="0.5" footer="0.5"/>
  <pageSetup orientation="portrait" fitToHeight="1" fitToWidth="1"/>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2" customWidth="1" min="1" max="1"/>
    <col width="18" customWidth="1" min="2" max="2"/>
  </cols>
  <sheetData>
    <row r="1">
      <c r="A1" s="1" t="inlineStr">
        <is>
          <t>Kontrolle</t>
        </is>
      </c>
    </row>
    <row r="2">
      <c r="A2" s="2" t="inlineStr">
        <is>
          <t>Jeder Franken muss entweder einem Mieter oder dem Leerstand zugeordnet sein.</t>
        </is>
      </c>
    </row>
    <row r="4">
      <c r="A4" s="6" t="inlineStr">
        <is>
          <t>Total Kosten</t>
        </is>
      </c>
      <c r="B4" s="18">
        <f>Kosten!B30</f>
        <v/>
      </c>
    </row>
    <row r="5">
      <c r="A5" s="6" t="inlineStr">
        <is>
          <t>Verteilt an Mieter (ungerundet)</t>
        </is>
      </c>
      <c r="B5" s="18">
        <f>SUM(Verteilung!C45:AA45)</f>
        <v/>
      </c>
    </row>
    <row r="6">
      <c r="A6" s="6" t="inlineStr">
        <is>
          <t>Leerstand / Eigentümer</t>
        </is>
      </c>
      <c r="B6" s="18">
        <f>SUM(Verteilung!C46:AA46)</f>
        <v/>
      </c>
    </row>
    <row r="7">
      <c r="A7" s="6" t="inlineStr">
        <is>
          <t>Differenz (muss 0 sein)</t>
        </is>
      </c>
      <c r="B7" s="18">
        <f>ROUND(B4-B5-B6,2)</f>
        <v/>
      </c>
    </row>
    <row r="8">
      <c r="A8" s="6" t="inlineStr">
        <is>
          <t>Summe Monatsgewichte (soll 1000)</t>
        </is>
      </c>
      <c r="B8" s="13">
        <f>Stammdaten!E17</f>
        <v/>
      </c>
    </row>
    <row r="9">
      <c r="A9" s="6" t="inlineStr">
        <is>
          <t>Kostenzeilen ohne Schlüssel/Verteilung</t>
        </is>
      </c>
      <c r="B9" s="13">
        <f>SUMPRODUCT((Kosten!B5:B29&lt;&gt;"")*((Kosten!C5:C29="")+(Kosten!D5:D29="")))</f>
        <v/>
      </c>
    </row>
    <row r="10">
      <c r="A10" s="6" t="inlineStr">
        <is>
          <t>Mieterzeilen mit unbekannter Einheit</t>
        </is>
      </c>
      <c r="B10" s="13">
        <f>SUMPRODUCT((Mieter!C5:C44&lt;&gt;"")*(Mieter!L5:L44+Mieter!N5:N44=0))</f>
        <v/>
      </c>
    </row>
    <row r="11">
      <c r="A11" s="6" t="inlineStr">
        <is>
          <t>Überlappende Mietverhältnisse (Tage &gt; Periode je Einheit)</t>
        </is>
      </c>
      <c r="B11" s="13">
        <f>SUMPRODUCT(--(SUMIF(Mieter!C5:C44,Stammdaten!A22:A51,Mieter!I5:I44)&gt;Stammdaten!B8))</f>
        <v/>
      </c>
    </row>
    <row r="12">
      <c r="A12" s="6" t="inlineStr">
        <is>
          <t>Mietende vor Mietbeginn</t>
        </is>
      </c>
      <c r="B12" s="13">
        <f>SUMPRODUCT((Mieter!C5:C44&lt;&gt;"")*(Mieter!D5:D44&lt;&gt;"")*(Mieter!E5:E44&lt;&gt;"")*(Mieter!E5:E44&lt;Mieter!D5:D44))</f>
        <v/>
      </c>
    </row>
    <row r="13">
      <c r="A13" s="6" t="inlineStr">
        <is>
          <t>Kostenarten mit Schlüssel-Total 0 (z.B. keine Anteile erfasst)</t>
        </is>
      </c>
      <c r="B13" s="13">
        <f>SUMPRODUCT((Kosten!B5:B29&lt;&gt;"")*(Kosten!C5:C29&lt;&gt;"")*(Kosten!E5:E29=0))</f>
        <v/>
      </c>
    </row>
    <row r="15">
      <c r="A15" s="3" t="inlineStr">
        <is>
          <t>Status</t>
        </is>
      </c>
      <c r="B15" s="22">
        <f>IF(AND(B7=0,B8=1000,B9=0,B10=0,B11=0,B12=0,B13=0),"OK","Bitte prüfen")</f>
        <v/>
      </c>
    </row>
  </sheetData>
  <sheetProtection selectLockedCells="0" selectUnlockedCells="0" sheet="1" objects="0" insertRows="1" insertHyperlinks="1" autoFilter="1" scenarios="0" formatColumns="0" deleteColumns="1" insertColumns="1" pivotTables="1" deleteRows="1" formatCells="1" formatRows="0" sort="1"/>
  <conditionalFormatting sqref="B15">
    <cfRule type="expression" priority="1" dxfId="1">
      <formula>B15="OK"</formula>
    </cfRule>
    <cfRule type="expression" priority="2" dxfId="0">
      <formula>B15&lt;&gt;"OK"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2026-10-07T06:25:40Z</dcterms:created>
  <dcterms:modified xmlns:dcterms="http://purl.org/dc/terms/" xmlns:xsi="http://www.w3.org/2001/XMLSchema-instance" xsi:type="dcterms:W3CDTF">2026-10-07T06:25:40Z</dcterms:modified>
</cp:coreProperties>
</file>