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Einstellungen" sheetId="2" state="visible" r:id="rId2"/>
    <sheet xmlns:r="http://schemas.openxmlformats.org/officeDocument/2006/relationships" name="Wechsel"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1F4E79"/>
      <sz val="16"/>
    </font>
    <font>
      <name val="Arial"/>
      <b val="1"/>
      <color rgb="001A1A1A"/>
      <sz val="11"/>
    </font>
    <font>
      <name val="Arial"/>
      <color rgb="001A1A1A"/>
      <sz val="10"/>
    </font>
    <font>
      <name val="Arial"/>
      <b val="1"/>
      <color rgb="001F4E79"/>
      <sz val="11"/>
    </font>
    <font>
      <name val="Arial"/>
      <b val="1"/>
      <color rgb="00FFFFFF"/>
      <sz val="9"/>
    </font>
    <font>
      <name val="Arial"/>
      <i val="1"/>
      <color rgb="001A1A1A"/>
      <sz val="9"/>
    </font>
    <font>
      <name val="Arial"/>
      <i val="1"/>
      <color rgb="001A1A1A"/>
      <sz val="8"/>
    </font>
    <font>
      <name val="Arial"/>
      <color rgb="00888888"/>
      <sz val="8"/>
    </font>
    <font>
      <name val="Arial"/>
      <b val="1"/>
      <color rgb="001A1A1A"/>
      <sz val="10"/>
    </font>
  </fonts>
  <fills count="5">
    <fill>
      <patternFill/>
    </fill>
    <fill>
      <patternFill patternType="gray125"/>
    </fill>
    <fill>
      <patternFill patternType="solid">
        <fgColor rgb="001F4E79"/>
      </patternFill>
    </fill>
    <fill>
      <patternFill patternType="solid">
        <fgColor rgb="00FFF8DC"/>
      </patternFill>
    </fill>
    <fill>
      <patternFill patternType="solid">
        <fgColor rgb="00EAF1F8"/>
      </patternFill>
    </fill>
  </fills>
  <borders count="2">
    <border>
      <left/>
      <right/>
      <top/>
      <bottom/>
      <diagonal/>
    </border>
    <border>
      <left style="thin">
        <color rgb="00BFC9D3"/>
      </left>
      <right style="thin">
        <color rgb="00BFC9D3"/>
      </right>
      <top style="thin">
        <color rgb="00BFC9D3"/>
      </top>
      <bottom style="thin">
        <color rgb="00BFC9D3"/>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3" fillId="3" borderId="1" applyProtection="1" pivotButton="0" quotePrefix="0" xfId="0">
      <protection locked="0" hidden="0"/>
    </xf>
    <xf numFmtId="164" fontId="3" fillId="3" borderId="1" applyProtection="1" pivotButton="0" quotePrefix="0" xfId="0">
      <protection locked="0" hidden="0"/>
    </xf>
    <xf numFmtId="0" fontId="6" fillId="0" borderId="0" pivotButton="0" quotePrefix="0" xfId="0"/>
    <xf numFmtId="164" fontId="3" fillId="4" borderId="1" pivotButton="0" quotePrefix="0" xfId="0"/>
    <xf numFmtId="0" fontId="7" fillId="0" borderId="0" pivotButton="0" quotePrefix="0" xfId="0"/>
    <xf numFmtId="1" fontId="3" fillId="3" borderId="1" applyProtection="1" pivotButton="0" quotePrefix="0" xfId="0">
      <protection locked="0" hidden="0"/>
    </xf>
    <xf numFmtId="4" fontId="3" fillId="3" borderId="1" applyProtection="1" pivotButton="0" quotePrefix="0" xfId="0">
      <protection locked="0" hidden="0"/>
    </xf>
    <xf numFmtId="1" fontId="3" fillId="4" borderId="1" pivotButton="0" quotePrefix="0" xfId="0"/>
    <xf numFmtId="4" fontId="3" fillId="4" borderId="1" pivotButton="0" quotePrefix="0" xfId="0"/>
    <xf numFmtId="0" fontId="3" fillId="4" borderId="1" pivotButton="0" quotePrefix="0" xfId="0"/>
    <xf numFmtId="164" fontId="8" fillId="0" borderId="0" pivotButton="0" quotePrefix="0" xfId="0"/>
    <xf numFmtId="0" fontId="9" fillId="0" borderId="0" pivotButton="0" quotePrefix="0" xfId="0"/>
  </cellXfs>
  <cellStyles count="1">
    <cellStyle name="Normal" xfId="0" builtinId="0" hidden="0"/>
  </cellStyles>
  <dxfs count="2">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Mieterwechsel- und Fristenplaner Schweiz</t>
        </is>
      </c>
    </row>
    <row r="3">
      <c r="A3" s="2" t="inlineStr">
        <is>
          <t>So gehen Sie vor</t>
        </is>
      </c>
    </row>
    <row r="4">
      <c r="A4" s="3" t="inlineStr">
        <is>
          <t>1. «Einstellungen»: ortsübliche Kündigungstermine Ihrer Gemeinde bzw. Ihres Mietvertrags ankreuzen und Feiertage eintragen.</t>
        </is>
      </c>
    </row>
    <row r="5">
      <c r="A5" s="3" t="inlineStr">
        <is>
          <t>2. «Wechsel»: pro Kündigung eine Zeile. Der Planer rechnet das Ende des Mietverhältnisses, alle Fristen, den Leerstand und dessen Kosten.</t>
        </is>
      </c>
    </row>
    <row r="6">
      <c r="A6" s="3" t="inlineStr">
        <is>
          <t>3. Erledigte Schritte mit «x» markieren. Spalte «Nächste Frist» zeigt, was als Nächstes fällig ist (rot = überfällig, gelb = innert 7 Tagen).</t>
        </is>
      </c>
    </row>
    <row r="7">
      <c r="A7" s="3" t="inlineStr"/>
    </row>
    <row r="8">
      <c r="A8" s="2" t="inlineStr">
        <is>
          <t>Rechtliche Hinweise (ohne Gewähr, ersetzt keine Rechtsberatung)</t>
        </is>
      </c>
    </row>
    <row r="9">
      <c r="A9" s="3" t="inlineStr">
        <is>
          <t>• Wohnungen: Kündigungsfrist mindestens 3 Monate auf einen ortsüblichen Termin (Art. 266c OR). Der Mietvertrag kann längere Fristen oder andere Termine vorsehen – dann diese eintragen.</t>
        </is>
      </c>
    </row>
    <row r="10">
      <c r="A10" s="3" t="inlineStr">
        <is>
          <t>• Massgebend ist der Eingang der Kündigung beim Empfänger, nicht der Versand.</t>
        </is>
      </c>
    </row>
    <row r="11">
      <c r="A11" s="3" t="inlineStr">
        <is>
          <t>• Kündigung durch den Vermieter nur mit amtlichem Formular (Art. 266l OR), bei Familienwohnungen separat an beide Ehegatten (Art. 266n OR).</t>
        </is>
      </c>
    </row>
    <row r="12">
      <c r="A12" s="3" t="inlineStr">
        <is>
          <t>• Ausserterminliche Kündigung: Mieter wird frei, wenn er einen zumutbaren Nachmieter stellt (Art. 264 OR). Dann «vereinbartes Ende» eintragen.</t>
        </is>
      </c>
    </row>
    <row r="13">
      <c r="A13" s="3" t="inlineStr">
        <is>
          <t>• Mängel bei der Rückgabe sofort rügen (Art. 267a OR). Der Planer setzt dafür 2 Werktage nach der Abnahme.</t>
        </is>
      </c>
    </row>
    <row r="14">
      <c r="A14" s="3" t="inlineStr">
        <is>
          <t>• Mietkaution: Ohne Forderung innert eines Jahres nach Mietende kann der Mieter die Kaution bei der Bank herausverlangen (Art. 257e Abs. 3 OR).</t>
        </is>
      </c>
    </row>
    <row r="15">
      <c r="A15" s="3" t="inlineStr">
        <is>
          <t>• Fällt das Mietende auf ein Wochenende oder einen Feiertag, findet die Rückgabe am nächsten Werktag statt.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6" customWidth="1" min="1" max="1"/>
    <col width="14" customWidth="1" min="2" max="2"/>
    <col width="14" customWidth="1" min="4" max="4"/>
  </cols>
  <sheetData>
    <row r="1">
      <c r="A1" s="1" t="inlineStr">
        <is>
          <t>Einstellungen</t>
        </is>
      </c>
    </row>
    <row r="3">
      <c r="A3" s="4" t="inlineStr">
        <is>
          <t>Kündigungstermine (Monatsende)</t>
        </is>
      </c>
      <c r="D3" s="4" t="inlineStr">
        <is>
          <t>Feiertage (für Werktagsrechnung)</t>
        </is>
      </c>
    </row>
    <row r="4">
      <c r="A4" s="5" t="inlineStr">
        <is>
          <t>Monat</t>
        </is>
      </c>
      <c r="B4" s="5" t="inlineStr">
        <is>
          <t>Termin? (x)</t>
        </is>
      </c>
      <c r="D4" s="5" t="inlineStr">
        <is>
          <t>Datum</t>
        </is>
      </c>
    </row>
    <row r="5">
      <c r="A5" s="3" t="inlineStr">
        <is>
          <t>Januar</t>
        </is>
      </c>
      <c r="B5" s="6" t="n"/>
      <c r="D5" s="7" t="n"/>
    </row>
    <row r="6">
      <c r="A6" s="3" t="inlineStr">
        <is>
          <t>Februar</t>
        </is>
      </c>
      <c r="B6" s="6" t="n"/>
      <c r="D6" s="7" t="n"/>
    </row>
    <row r="7">
      <c r="A7" s="3" t="inlineStr">
        <is>
          <t>März</t>
        </is>
      </c>
      <c r="B7" s="6" t="inlineStr">
        <is>
          <t>x</t>
        </is>
      </c>
      <c r="D7" s="7" t="n"/>
    </row>
    <row r="8">
      <c r="A8" s="3" t="inlineStr">
        <is>
          <t>April</t>
        </is>
      </c>
      <c r="B8" s="6" t="n"/>
      <c r="D8" s="7" t="n"/>
    </row>
    <row r="9">
      <c r="A9" s="3" t="inlineStr">
        <is>
          <t>Mai</t>
        </is>
      </c>
      <c r="B9" s="6" t="n"/>
      <c r="D9" s="7" t="n"/>
    </row>
    <row r="10">
      <c r="A10" s="3" t="inlineStr">
        <is>
          <t>Juni</t>
        </is>
      </c>
      <c r="B10" s="6" t="inlineStr">
        <is>
          <t>x</t>
        </is>
      </c>
      <c r="D10" s="7" t="n"/>
    </row>
    <row r="11">
      <c r="A11" s="3" t="inlineStr">
        <is>
          <t>Juli</t>
        </is>
      </c>
      <c r="B11" s="6" t="n"/>
      <c r="D11" s="7" t="n"/>
    </row>
    <row r="12">
      <c r="A12" s="3" t="inlineStr">
        <is>
          <t>August</t>
        </is>
      </c>
      <c r="B12" s="6" t="n"/>
      <c r="D12" s="7" t="n"/>
    </row>
    <row r="13">
      <c r="A13" s="3" t="inlineStr">
        <is>
          <t>September</t>
        </is>
      </c>
      <c r="B13" s="6" t="inlineStr">
        <is>
          <t>x</t>
        </is>
      </c>
      <c r="D13" s="7" t="n"/>
    </row>
    <row r="14">
      <c r="A14" s="3" t="inlineStr">
        <is>
          <t>Oktober</t>
        </is>
      </c>
      <c r="B14" s="6" t="n"/>
      <c r="D14" s="7" t="n"/>
    </row>
    <row r="15">
      <c r="A15" s="3" t="inlineStr">
        <is>
          <t>November</t>
        </is>
      </c>
      <c r="B15" s="6" t="n"/>
      <c r="D15" s="7" t="n"/>
    </row>
    <row r="16">
      <c r="A16" s="3" t="inlineStr">
        <is>
          <t>Dezember</t>
        </is>
      </c>
      <c r="B16" s="6" t="n"/>
      <c r="D16" s="7" t="n"/>
    </row>
    <row r="17">
      <c r="D17" s="7" t="n"/>
    </row>
    <row r="18">
      <c r="A18" s="8" t="inlineStr">
        <is>
          <t>Voreinstellung: Ende März, Juni, September (verbreitet). Viele Städte (z.B. Zürich) erlauben jedes Monatsende ausser Dezember. Massgebend sind Gemeinde und Mietvertrag.</t>
        </is>
      </c>
      <c r="D18" s="7" t="n"/>
    </row>
    <row r="19">
      <c r="D19" s="7" t="n"/>
    </row>
    <row r="20">
      <c r="D20" s="7" t="n"/>
    </row>
    <row r="21">
      <c r="D21" s="7" t="n"/>
    </row>
    <row r="22">
      <c r="D22" s="7" t="n"/>
    </row>
    <row r="23">
      <c r="D23" s="7" t="n"/>
    </row>
    <row r="24">
      <c r="D24" s="7" t="n"/>
    </row>
    <row r="25">
      <c r="D25" s="7" t="n"/>
    </row>
    <row r="26">
      <c r="D26" s="7" t="n"/>
    </row>
    <row r="27">
      <c r="D27" s="7" t="n"/>
    </row>
    <row r="28">
      <c r="D28" s="7" t="n"/>
    </row>
    <row r="29">
      <c r="D29" s="7" t="n"/>
    </row>
    <row r="30">
      <c r="D30" s="7" t="n"/>
    </row>
    <row r="31">
      <c r="D31" s="7" t="n"/>
    </row>
    <row r="32">
      <c r="D32" s="7" t="n"/>
    </row>
    <row r="33">
      <c r="D33" s="7" t="n"/>
    </row>
    <row r="34">
      <c r="D34"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4" customWidth="1" min="3" max="3"/>
    <col width="12" customWidth="1" min="4" max="4"/>
    <col width="8" customWidth="1" min="5" max="5"/>
    <col width="13" customWidth="1" min="6" max="6"/>
    <col width="13" customWidth="1" min="7" max="7"/>
    <col width="12" customWidth="1" min="8" max="8"/>
    <col width="12" customWidth="1" min="9" max="9"/>
    <col width="9" customWidth="1" min="10" max="10"/>
    <col width="12" customWidth="1" min="11" max="11"/>
    <col width="12" customWidth="1" min="12" max="12"/>
    <col width="4" customWidth="1" min="13" max="13"/>
    <col width="12" customWidth="1" min="14" max="14"/>
    <col width="4" customWidth="1" min="15" max="15"/>
    <col width="12" customWidth="1" min="16" max="16"/>
    <col width="4" customWidth="1" min="17" max="17"/>
    <col width="12" customWidth="1" min="18" max="18"/>
    <col width="4" customWidth="1" min="19" max="19"/>
    <col width="13" customWidth="1" min="20" max="20"/>
    <col width="4" customWidth="1" min="21" max="21"/>
    <col width="12" customWidth="1" min="22" max="22"/>
    <col width="7" customWidth="1" min="23" max="23"/>
    <col width="46" customWidth="1" min="24" max="24"/>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s>
  <sheetData>
    <row r="1">
      <c r="A1" s="1" t="inlineStr">
        <is>
          <t>Mieterwechsel</t>
        </is>
      </c>
    </row>
    <row r="2">
      <c r="A2" t="inlineStr">
        <is>
          <t>Heute:</t>
        </is>
      </c>
      <c r="B2" s="9">
        <f>TODAY()</f>
        <v/>
      </c>
    </row>
    <row r="3">
      <c r="AA3" s="10" t="inlineStr">
        <is>
          <t>Hilfsspalten (Kandidaten Mietende, offene Fristen)</t>
        </is>
      </c>
    </row>
    <row r="4" ht="42" customHeight="1">
      <c r="A4" s="5" t="inlineStr">
        <is>
          <t>Einheit</t>
        </is>
      </c>
      <c r="B4" s="5" t="inlineStr">
        <is>
          <t>Mieter bisher</t>
        </is>
      </c>
      <c r="C4" s="5" t="inlineStr">
        <is>
          <t>Kündigung durch</t>
        </is>
      </c>
      <c r="D4" s="5" t="inlineStr">
        <is>
          <t>Eingang Kündigung</t>
        </is>
      </c>
      <c r="E4" s="5" t="inlineStr">
        <is>
          <t>Frist (Monate)</t>
        </is>
      </c>
      <c r="F4" s="5" t="inlineStr">
        <is>
          <t>Vereinbartes Ende (optional)</t>
        </is>
      </c>
      <c r="G4" s="5" t="inlineStr">
        <is>
          <t>Ende Mietverhältnis</t>
        </is>
      </c>
      <c r="H4" s="5" t="inlineStr">
        <is>
          <t>Nettomiete / Monat CHF</t>
        </is>
      </c>
      <c r="I4" s="5" t="inlineStr">
        <is>
          <t>Neuer Mieter ab</t>
        </is>
      </c>
      <c r="J4" s="5" t="inlineStr">
        <is>
          <t>Leerstand Tage</t>
        </is>
      </c>
      <c r="K4" s="5" t="inlineStr">
        <is>
          <t>Leerstandskosten CHF</t>
        </is>
      </c>
      <c r="L4" s="5" t="inlineStr">
        <is>
          <t>Nachmieter suchen ab</t>
        </is>
      </c>
      <c r="M4" s="5" t="inlineStr">
        <is>
          <t>erl.</t>
        </is>
      </c>
      <c r="N4" s="5" t="inlineStr">
        <is>
          <t>Vorabnahme</t>
        </is>
      </c>
      <c r="O4" s="5" t="inlineStr">
        <is>
          <t>erl.</t>
        </is>
      </c>
      <c r="P4" s="5" t="inlineStr">
        <is>
          <t>Abnahme / Übergabe</t>
        </is>
      </c>
      <c r="Q4" s="5" t="inlineStr">
        <is>
          <t>erl.</t>
        </is>
      </c>
      <c r="R4" s="5" t="inlineStr">
        <is>
          <t>Mängelrüge bis</t>
        </is>
      </c>
      <c r="S4" s="5" t="inlineStr">
        <is>
          <t>erl.</t>
        </is>
      </c>
      <c r="T4" s="5" t="inlineStr">
        <is>
          <t>Kaution: Forderung bis</t>
        </is>
      </c>
      <c r="U4" s="5" t="inlineStr">
        <is>
          <t>erl.</t>
        </is>
      </c>
      <c r="V4" s="5" t="inlineStr">
        <is>
          <t>Nächste Frist</t>
        </is>
      </c>
      <c r="W4" s="5" t="inlineStr">
        <is>
          <t>Tage bis</t>
        </is>
      </c>
      <c r="X4" s="5" t="inlineStr">
        <is>
          <t>Hinweis</t>
        </is>
      </c>
    </row>
    <row r="5">
      <c r="A5" s="6" t="n"/>
      <c r="B5" s="6" t="n"/>
      <c r="C5" s="6" t="n"/>
      <c r="D5" s="7" t="n"/>
      <c r="E5" s="11" t="n"/>
      <c r="F5" s="7" t="n"/>
      <c r="G5" s="9">
        <f>IF(F5&lt;&gt;"",F5,IF(D5&lt;&gt;"",IF(COUNT(AA5:AX5)=0,"",MIN(AA5:AX5)),""))</f>
        <v/>
      </c>
      <c r="H5" s="12" t="n"/>
      <c r="I5" s="7" t="n"/>
      <c r="J5" s="13">
        <f>IF(OR(G5="",I5=""),"",MAX(0,I5-G5-1))</f>
        <v/>
      </c>
      <c r="K5" s="14">
        <f>IF(OR(J5="",H5=""),"",ROUND(H5*12/365*J5,2))</f>
        <v/>
      </c>
      <c r="L5" s="9">
        <f>IF(D5&lt;&gt;"",D5,"")</f>
        <v/>
      </c>
      <c r="M5" s="6" t="n"/>
      <c r="N5" s="9">
        <f>IF(G5="","",WORKDAY(G5,-10,Einstellungen!$D$5:$D$34))</f>
        <v/>
      </c>
      <c r="O5" s="6" t="n"/>
      <c r="P5" s="9">
        <f>IF(G5="","",WORKDAY(G5-1,1,Einstellungen!$D$5:$D$34))</f>
        <v/>
      </c>
      <c r="Q5" s="6" t="n"/>
      <c r="R5" s="9">
        <f>IF(P5="","",WORKDAY(P5,2,Einstellungen!$D$5:$D$34))</f>
        <v/>
      </c>
      <c r="S5" s="6" t="n"/>
      <c r="T5" s="9">
        <f>IF(G5="","",EDATE(G5,12))</f>
        <v/>
      </c>
      <c r="U5" s="6" t="n"/>
      <c r="V5" s="9">
        <f>IF(COUNT(AY5:BC5)=0,"",MIN(AY5:BC5))</f>
        <v/>
      </c>
      <c r="W5" s="13">
        <f>IF(V5="","",V5-$B$2)</f>
        <v/>
      </c>
      <c r="X5" s="15">
        <f>IF(C5="Vermieter","Amtliches Formular verwendet? Bei Familienwohnung an beide Ehegatten.",IF(C5="Ausserterminlich","Nachmieter zumutbar? Vereinbartes Ende eintragen.",IF(AND(G5&lt;&gt;"",I5=""),"Noch kein Nachmieter.","")))</f>
        <v/>
      </c>
      <c r="AA5" s="16">
        <f>IF(D5&lt;&gt;"",IF(OR(COUNTIF(Einstellungen!$B$5:$B$16,"x")=0,INDEX(Einstellungen!$B$5:$B$16,MONTH(EOMONTH(D5,IF(E5="",3,E5)+0)))="x"),EOMONTH(D5,IF(E5="",3,E5)+0),""),"")</f>
        <v/>
      </c>
      <c r="AB5" s="16">
        <f>IF(D5&lt;&gt;"",IF(OR(COUNTIF(Einstellungen!$B$5:$B$16,"x")=0,INDEX(Einstellungen!$B$5:$B$16,MONTH(EOMONTH(D5,IF(E5="",3,E5)+1)))="x"),EOMONTH(D5,IF(E5="",3,E5)+1),""),"")</f>
        <v/>
      </c>
      <c r="AC5" s="16">
        <f>IF(D5&lt;&gt;"",IF(OR(COUNTIF(Einstellungen!$B$5:$B$16,"x")=0,INDEX(Einstellungen!$B$5:$B$16,MONTH(EOMONTH(D5,IF(E5="",3,E5)+2)))="x"),EOMONTH(D5,IF(E5="",3,E5)+2),""),"")</f>
        <v/>
      </c>
      <c r="AD5" s="16">
        <f>IF(D5&lt;&gt;"",IF(OR(COUNTIF(Einstellungen!$B$5:$B$16,"x")=0,INDEX(Einstellungen!$B$5:$B$16,MONTH(EOMONTH(D5,IF(E5="",3,E5)+3)))="x"),EOMONTH(D5,IF(E5="",3,E5)+3),""),"")</f>
        <v/>
      </c>
      <c r="AE5" s="16">
        <f>IF(D5&lt;&gt;"",IF(OR(COUNTIF(Einstellungen!$B$5:$B$16,"x")=0,INDEX(Einstellungen!$B$5:$B$16,MONTH(EOMONTH(D5,IF(E5="",3,E5)+4)))="x"),EOMONTH(D5,IF(E5="",3,E5)+4),""),"")</f>
        <v/>
      </c>
      <c r="AF5" s="16">
        <f>IF(D5&lt;&gt;"",IF(OR(COUNTIF(Einstellungen!$B$5:$B$16,"x")=0,INDEX(Einstellungen!$B$5:$B$16,MONTH(EOMONTH(D5,IF(E5="",3,E5)+5)))="x"),EOMONTH(D5,IF(E5="",3,E5)+5),""),"")</f>
        <v/>
      </c>
      <c r="AG5" s="16">
        <f>IF(D5&lt;&gt;"",IF(OR(COUNTIF(Einstellungen!$B$5:$B$16,"x")=0,INDEX(Einstellungen!$B$5:$B$16,MONTH(EOMONTH(D5,IF(E5="",3,E5)+6)))="x"),EOMONTH(D5,IF(E5="",3,E5)+6),""),"")</f>
        <v/>
      </c>
      <c r="AH5" s="16">
        <f>IF(D5&lt;&gt;"",IF(OR(COUNTIF(Einstellungen!$B$5:$B$16,"x")=0,INDEX(Einstellungen!$B$5:$B$16,MONTH(EOMONTH(D5,IF(E5="",3,E5)+7)))="x"),EOMONTH(D5,IF(E5="",3,E5)+7),""),"")</f>
        <v/>
      </c>
      <c r="AI5" s="16">
        <f>IF(D5&lt;&gt;"",IF(OR(COUNTIF(Einstellungen!$B$5:$B$16,"x")=0,INDEX(Einstellungen!$B$5:$B$16,MONTH(EOMONTH(D5,IF(E5="",3,E5)+8)))="x"),EOMONTH(D5,IF(E5="",3,E5)+8),""),"")</f>
        <v/>
      </c>
      <c r="AJ5" s="16">
        <f>IF(D5&lt;&gt;"",IF(OR(COUNTIF(Einstellungen!$B$5:$B$16,"x")=0,INDEX(Einstellungen!$B$5:$B$16,MONTH(EOMONTH(D5,IF(E5="",3,E5)+9)))="x"),EOMONTH(D5,IF(E5="",3,E5)+9),""),"")</f>
        <v/>
      </c>
      <c r="AK5" s="16">
        <f>IF(D5&lt;&gt;"",IF(OR(COUNTIF(Einstellungen!$B$5:$B$16,"x")=0,INDEX(Einstellungen!$B$5:$B$16,MONTH(EOMONTH(D5,IF(E5="",3,E5)+10)))="x"),EOMONTH(D5,IF(E5="",3,E5)+10),""),"")</f>
        <v/>
      </c>
      <c r="AL5" s="16">
        <f>IF(D5&lt;&gt;"",IF(OR(COUNTIF(Einstellungen!$B$5:$B$16,"x")=0,INDEX(Einstellungen!$B$5:$B$16,MONTH(EOMONTH(D5,IF(E5="",3,E5)+11)))="x"),EOMONTH(D5,IF(E5="",3,E5)+11),""),"")</f>
        <v/>
      </c>
      <c r="AM5" s="16">
        <f>IF(D5&lt;&gt;"",IF(OR(COUNTIF(Einstellungen!$B$5:$B$16,"x")=0,INDEX(Einstellungen!$B$5:$B$16,MONTH(EOMONTH(D5,IF(E5="",3,E5)+12)))="x"),EOMONTH(D5,IF(E5="",3,E5)+12),""),"")</f>
        <v/>
      </c>
      <c r="AN5" s="16">
        <f>IF(D5&lt;&gt;"",IF(OR(COUNTIF(Einstellungen!$B$5:$B$16,"x")=0,INDEX(Einstellungen!$B$5:$B$16,MONTH(EOMONTH(D5,IF(E5="",3,E5)+13)))="x"),EOMONTH(D5,IF(E5="",3,E5)+13),""),"")</f>
        <v/>
      </c>
      <c r="AO5" s="16">
        <f>IF(D5&lt;&gt;"",IF(OR(COUNTIF(Einstellungen!$B$5:$B$16,"x")=0,INDEX(Einstellungen!$B$5:$B$16,MONTH(EOMONTH(D5,IF(E5="",3,E5)+14)))="x"),EOMONTH(D5,IF(E5="",3,E5)+14),""),"")</f>
        <v/>
      </c>
      <c r="AP5" s="16">
        <f>IF(D5&lt;&gt;"",IF(OR(COUNTIF(Einstellungen!$B$5:$B$16,"x")=0,INDEX(Einstellungen!$B$5:$B$16,MONTH(EOMONTH(D5,IF(E5="",3,E5)+15)))="x"),EOMONTH(D5,IF(E5="",3,E5)+15),""),"")</f>
        <v/>
      </c>
      <c r="AQ5" s="16">
        <f>IF(D5&lt;&gt;"",IF(OR(COUNTIF(Einstellungen!$B$5:$B$16,"x")=0,INDEX(Einstellungen!$B$5:$B$16,MONTH(EOMONTH(D5,IF(E5="",3,E5)+16)))="x"),EOMONTH(D5,IF(E5="",3,E5)+16),""),"")</f>
        <v/>
      </c>
      <c r="AR5" s="16">
        <f>IF(D5&lt;&gt;"",IF(OR(COUNTIF(Einstellungen!$B$5:$B$16,"x")=0,INDEX(Einstellungen!$B$5:$B$16,MONTH(EOMONTH(D5,IF(E5="",3,E5)+17)))="x"),EOMONTH(D5,IF(E5="",3,E5)+17),""),"")</f>
        <v/>
      </c>
      <c r="AS5" s="16">
        <f>IF(D5&lt;&gt;"",IF(OR(COUNTIF(Einstellungen!$B$5:$B$16,"x")=0,INDEX(Einstellungen!$B$5:$B$16,MONTH(EOMONTH(D5,IF(E5="",3,E5)+18)))="x"),EOMONTH(D5,IF(E5="",3,E5)+18),""),"")</f>
        <v/>
      </c>
      <c r="AT5" s="16">
        <f>IF(D5&lt;&gt;"",IF(OR(COUNTIF(Einstellungen!$B$5:$B$16,"x")=0,INDEX(Einstellungen!$B$5:$B$16,MONTH(EOMONTH(D5,IF(E5="",3,E5)+19)))="x"),EOMONTH(D5,IF(E5="",3,E5)+19),""),"")</f>
        <v/>
      </c>
      <c r="AU5" s="16">
        <f>IF(D5&lt;&gt;"",IF(OR(COUNTIF(Einstellungen!$B$5:$B$16,"x")=0,INDEX(Einstellungen!$B$5:$B$16,MONTH(EOMONTH(D5,IF(E5="",3,E5)+20)))="x"),EOMONTH(D5,IF(E5="",3,E5)+20),""),"")</f>
        <v/>
      </c>
      <c r="AV5" s="16">
        <f>IF(D5&lt;&gt;"",IF(OR(COUNTIF(Einstellungen!$B$5:$B$16,"x")=0,INDEX(Einstellungen!$B$5:$B$16,MONTH(EOMONTH(D5,IF(E5="",3,E5)+21)))="x"),EOMONTH(D5,IF(E5="",3,E5)+21),""),"")</f>
        <v/>
      </c>
      <c r="AW5" s="16">
        <f>IF(D5&lt;&gt;"",IF(OR(COUNTIF(Einstellungen!$B$5:$B$16,"x")=0,INDEX(Einstellungen!$B$5:$B$16,MONTH(EOMONTH(D5,IF(E5="",3,E5)+22)))="x"),EOMONTH(D5,IF(E5="",3,E5)+22),""),"")</f>
        <v/>
      </c>
      <c r="AX5" s="16">
        <f>IF(D5&lt;&gt;"",IF(OR(COUNTIF(Einstellungen!$B$5:$B$16,"x")=0,INDEX(Einstellungen!$B$5:$B$16,MONTH(EOMONTH(D5,IF(E5="",3,E5)+23)))="x"),EOMONTH(D5,IF(E5="",3,E5)+23),""),"")</f>
        <v/>
      </c>
      <c r="AY5" s="16">
        <f>IF(AND(L5&lt;&gt;"",M5=""),L5,"")</f>
        <v/>
      </c>
      <c r="AZ5" s="16">
        <f>IF(AND(N5&lt;&gt;"",O5=""),N5,"")</f>
        <v/>
      </c>
      <c r="BA5" s="16">
        <f>IF(AND(P5&lt;&gt;"",Q5=""),P5,"")</f>
        <v/>
      </c>
      <c r="BB5" s="16">
        <f>IF(AND(R5&lt;&gt;"",S5=""),R5,"")</f>
        <v/>
      </c>
      <c r="BC5" s="16">
        <f>IF(AND(T5&lt;&gt;"",U5=""),T5,"")</f>
        <v/>
      </c>
    </row>
    <row r="6">
      <c r="A6" s="6" t="n"/>
      <c r="B6" s="6" t="n"/>
      <c r="C6" s="6" t="n"/>
      <c r="D6" s="7" t="n"/>
      <c r="E6" s="11" t="n"/>
      <c r="F6" s="7" t="n"/>
      <c r="G6" s="9">
        <f>IF(F6&lt;&gt;"",F6,IF(D6&lt;&gt;"",IF(COUNT(AA6:AX6)=0,"",MIN(AA6:AX6)),""))</f>
        <v/>
      </c>
      <c r="H6" s="12" t="n"/>
      <c r="I6" s="7" t="n"/>
      <c r="J6" s="13">
        <f>IF(OR(G6="",I6=""),"",MAX(0,I6-G6-1))</f>
        <v/>
      </c>
      <c r="K6" s="14">
        <f>IF(OR(J6="",H6=""),"",ROUND(H6*12/365*J6,2))</f>
        <v/>
      </c>
      <c r="L6" s="9">
        <f>IF(D6&lt;&gt;"",D6,"")</f>
        <v/>
      </c>
      <c r="M6" s="6" t="n"/>
      <c r="N6" s="9">
        <f>IF(G6="","",WORKDAY(G6,-10,Einstellungen!$D$5:$D$34))</f>
        <v/>
      </c>
      <c r="O6" s="6" t="n"/>
      <c r="P6" s="9">
        <f>IF(G6="","",WORKDAY(G6-1,1,Einstellungen!$D$5:$D$34))</f>
        <v/>
      </c>
      <c r="Q6" s="6" t="n"/>
      <c r="R6" s="9">
        <f>IF(P6="","",WORKDAY(P6,2,Einstellungen!$D$5:$D$34))</f>
        <v/>
      </c>
      <c r="S6" s="6" t="n"/>
      <c r="T6" s="9">
        <f>IF(G6="","",EDATE(G6,12))</f>
        <v/>
      </c>
      <c r="U6" s="6" t="n"/>
      <c r="V6" s="9">
        <f>IF(COUNT(AY6:BC6)=0,"",MIN(AY6:BC6))</f>
        <v/>
      </c>
      <c r="W6" s="13">
        <f>IF(V6="","",V6-$B$2)</f>
        <v/>
      </c>
      <c r="X6" s="15">
        <f>IF(C6="Vermieter","Amtliches Formular verwendet? Bei Familienwohnung an beide Ehegatten.",IF(C6="Ausserterminlich","Nachmieter zumutbar? Vereinbartes Ende eintragen.",IF(AND(G6&lt;&gt;"",I6=""),"Noch kein Nachmieter.","")))</f>
        <v/>
      </c>
      <c r="AA6" s="16">
        <f>IF(D6&lt;&gt;"",IF(OR(COUNTIF(Einstellungen!$B$5:$B$16,"x")=0,INDEX(Einstellungen!$B$5:$B$16,MONTH(EOMONTH(D6,IF(E6="",3,E6)+0)))="x"),EOMONTH(D6,IF(E6="",3,E6)+0),""),"")</f>
        <v/>
      </c>
      <c r="AB6" s="16">
        <f>IF(D6&lt;&gt;"",IF(OR(COUNTIF(Einstellungen!$B$5:$B$16,"x")=0,INDEX(Einstellungen!$B$5:$B$16,MONTH(EOMONTH(D6,IF(E6="",3,E6)+1)))="x"),EOMONTH(D6,IF(E6="",3,E6)+1),""),"")</f>
        <v/>
      </c>
      <c r="AC6" s="16">
        <f>IF(D6&lt;&gt;"",IF(OR(COUNTIF(Einstellungen!$B$5:$B$16,"x")=0,INDEX(Einstellungen!$B$5:$B$16,MONTH(EOMONTH(D6,IF(E6="",3,E6)+2)))="x"),EOMONTH(D6,IF(E6="",3,E6)+2),""),"")</f>
        <v/>
      </c>
      <c r="AD6" s="16">
        <f>IF(D6&lt;&gt;"",IF(OR(COUNTIF(Einstellungen!$B$5:$B$16,"x")=0,INDEX(Einstellungen!$B$5:$B$16,MONTH(EOMONTH(D6,IF(E6="",3,E6)+3)))="x"),EOMONTH(D6,IF(E6="",3,E6)+3),""),"")</f>
        <v/>
      </c>
      <c r="AE6" s="16">
        <f>IF(D6&lt;&gt;"",IF(OR(COUNTIF(Einstellungen!$B$5:$B$16,"x")=0,INDEX(Einstellungen!$B$5:$B$16,MONTH(EOMONTH(D6,IF(E6="",3,E6)+4)))="x"),EOMONTH(D6,IF(E6="",3,E6)+4),""),"")</f>
        <v/>
      </c>
      <c r="AF6" s="16">
        <f>IF(D6&lt;&gt;"",IF(OR(COUNTIF(Einstellungen!$B$5:$B$16,"x")=0,INDEX(Einstellungen!$B$5:$B$16,MONTH(EOMONTH(D6,IF(E6="",3,E6)+5)))="x"),EOMONTH(D6,IF(E6="",3,E6)+5),""),"")</f>
        <v/>
      </c>
      <c r="AG6" s="16">
        <f>IF(D6&lt;&gt;"",IF(OR(COUNTIF(Einstellungen!$B$5:$B$16,"x")=0,INDEX(Einstellungen!$B$5:$B$16,MONTH(EOMONTH(D6,IF(E6="",3,E6)+6)))="x"),EOMONTH(D6,IF(E6="",3,E6)+6),""),"")</f>
        <v/>
      </c>
      <c r="AH6" s="16">
        <f>IF(D6&lt;&gt;"",IF(OR(COUNTIF(Einstellungen!$B$5:$B$16,"x")=0,INDEX(Einstellungen!$B$5:$B$16,MONTH(EOMONTH(D6,IF(E6="",3,E6)+7)))="x"),EOMONTH(D6,IF(E6="",3,E6)+7),""),"")</f>
        <v/>
      </c>
      <c r="AI6" s="16">
        <f>IF(D6&lt;&gt;"",IF(OR(COUNTIF(Einstellungen!$B$5:$B$16,"x")=0,INDEX(Einstellungen!$B$5:$B$16,MONTH(EOMONTH(D6,IF(E6="",3,E6)+8)))="x"),EOMONTH(D6,IF(E6="",3,E6)+8),""),"")</f>
        <v/>
      </c>
      <c r="AJ6" s="16">
        <f>IF(D6&lt;&gt;"",IF(OR(COUNTIF(Einstellungen!$B$5:$B$16,"x")=0,INDEX(Einstellungen!$B$5:$B$16,MONTH(EOMONTH(D6,IF(E6="",3,E6)+9)))="x"),EOMONTH(D6,IF(E6="",3,E6)+9),""),"")</f>
        <v/>
      </c>
      <c r="AK6" s="16">
        <f>IF(D6&lt;&gt;"",IF(OR(COUNTIF(Einstellungen!$B$5:$B$16,"x")=0,INDEX(Einstellungen!$B$5:$B$16,MONTH(EOMONTH(D6,IF(E6="",3,E6)+10)))="x"),EOMONTH(D6,IF(E6="",3,E6)+10),""),"")</f>
        <v/>
      </c>
      <c r="AL6" s="16">
        <f>IF(D6&lt;&gt;"",IF(OR(COUNTIF(Einstellungen!$B$5:$B$16,"x")=0,INDEX(Einstellungen!$B$5:$B$16,MONTH(EOMONTH(D6,IF(E6="",3,E6)+11)))="x"),EOMONTH(D6,IF(E6="",3,E6)+11),""),"")</f>
        <v/>
      </c>
      <c r="AM6" s="16">
        <f>IF(D6&lt;&gt;"",IF(OR(COUNTIF(Einstellungen!$B$5:$B$16,"x")=0,INDEX(Einstellungen!$B$5:$B$16,MONTH(EOMONTH(D6,IF(E6="",3,E6)+12)))="x"),EOMONTH(D6,IF(E6="",3,E6)+12),""),"")</f>
        <v/>
      </c>
      <c r="AN6" s="16">
        <f>IF(D6&lt;&gt;"",IF(OR(COUNTIF(Einstellungen!$B$5:$B$16,"x")=0,INDEX(Einstellungen!$B$5:$B$16,MONTH(EOMONTH(D6,IF(E6="",3,E6)+13)))="x"),EOMONTH(D6,IF(E6="",3,E6)+13),""),"")</f>
        <v/>
      </c>
      <c r="AO6" s="16">
        <f>IF(D6&lt;&gt;"",IF(OR(COUNTIF(Einstellungen!$B$5:$B$16,"x")=0,INDEX(Einstellungen!$B$5:$B$16,MONTH(EOMONTH(D6,IF(E6="",3,E6)+14)))="x"),EOMONTH(D6,IF(E6="",3,E6)+14),""),"")</f>
        <v/>
      </c>
      <c r="AP6" s="16">
        <f>IF(D6&lt;&gt;"",IF(OR(COUNTIF(Einstellungen!$B$5:$B$16,"x")=0,INDEX(Einstellungen!$B$5:$B$16,MONTH(EOMONTH(D6,IF(E6="",3,E6)+15)))="x"),EOMONTH(D6,IF(E6="",3,E6)+15),""),"")</f>
        <v/>
      </c>
      <c r="AQ6" s="16">
        <f>IF(D6&lt;&gt;"",IF(OR(COUNTIF(Einstellungen!$B$5:$B$16,"x")=0,INDEX(Einstellungen!$B$5:$B$16,MONTH(EOMONTH(D6,IF(E6="",3,E6)+16)))="x"),EOMONTH(D6,IF(E6="",3,E6)+16),""),"")</f>
        <v/>
      </c>
      <c r="AR6" s="16">
        <f>IF(D6&lt;&gt;"",IF(OR(COUNTIF(Einstellungen!$B$5:$B$16,"x")=0,INDEX(Einstellungen!$B$5:$B$16,MONTH(EOMONTH(D6,IF(E6="",3,E6)+17)))="x"),EOMONTH(D6,IF(E6="",3,E6)+17),""),"")</f>
        <v/>
      </c>
      <c r="AS6" s="16">
        <f>IF(D6&lt;&gt;"",IF(OR(COUNTIF(Einstellungen!$B$5:$B$16,"x")=0,INDEX(Einstellungen!$B$5:$B$16,MONTH(EOMONTH(D6,IF(E6="",3,E6)+18)))="x"),EOMONTH(D6,IF(E6="",3,E6)+18),""),"")</f>
        <v/>
      </c>
      <c r="AT6" s="16">
        <f>IF(D6&lt;&gt;"",IF(OR(COUNTIF(Einstellungen!$B$5:$B$16,"x")=0,INDEX(Einstellungen!$B$5:$B$16,MONTH(EOMONTH(D6,IF(E6="",3,E6)+19)))="x"),EOMONTH(D6,IF(E6="",3,E6)+19),""),"")</f>
        <v/>
      </c>
      <c r="AU6" s="16">
        <f>IF(D6&lt;&gt;"",IF(OR(COUNTIF(Einstellungen!$B$5:$B$16,"x")=0,INDEX(Einstellungen!$B$5:$B$16,MONTH(EOMONTH(D6,IF(E6="",3,E6)+20)))="x"),EOMONTH(D6,IF(E6="",3,E6)+20),""),"")</f>
        <v/>
      </c>
      <c r="AV6" s="16">
        <f>IF(D6&lt;&gt;"",IF(OR(COUNTIF(Einstellungen!$B$5:$B$16,"x")=0,INDEX(Einstellungen!$B$5:$B$16,MONTH(EOMONTH(D6,IF(E6="",3,E6)+21)))="x"),EOMONTH(D6,IF(E6="",3,E6)+21),""),"")</f>
        <v/>
      </c>
      <c r="AW6" s="16">
        <f>IF(D6&lt;&gt;"",IF(OR(COUNTIF(Einstellungen!$B$5:$B$16,"x")=0,INDEX(Einstellungen!$B$5:$B$16,MONTH(EOMONTH(D6,IF(E6="",3,E6)+22)))="x"),EOMONTH(D6,IF(E6="",3,E6)+22),""),"")</f>
        <v/>
      </c>
      <c r="AX6" s="16">
        <f>IF(D6&lt;&gt;"",IF(OR(COUNTIF(Einstellungen!$B$5:$B$16,"x")=0,INDEX(Einstellungen!$B$5:$B$16,MONTH(EOMONTH(D6,IF(E6="",3,E6)+23)))="x"),EOMONTH(D6,IF(E6="",3,E6)+23),""),"")</f>
        <v/>
      </c>
      <c r="AY6" s="16">
        <f>IF(AND(L6&lt;&gt;"",M6=""),L6,"")</f>
        <v/>
      </c>
      <c r="AZ6" s="16">
        <f>IF(AND(N6&lt;&gt;"",O6=""),N6,"")</f>
        <v/>
      </c>
      <c r="BA6" s="16">
        <f>IF(AND(P6&lt;&gt;"",Q6=""),P6,"")</f>
        <v/>
      </c>
      <c r="BB6" s="16">
        <f>IF(AND(R6&lt;&gt;"",S6=""),R6,"")</f>
        <v/>
      </c>
      <c r="BC6" s="16">
        <f>IF(AND(T6&lt;&gt;"",U6=""),T6,"")</f>
        <v/>
      </c>
    </row>
    <row r="7">
      <c r="A7" s="6" t="n"/>
      <c r="B7" s="6" t="n"/>
      <c r="C7" s="6" t="n"/>
      <c r="D7" s="7" t="n"/>
      <c r="E7" s="11" t="n"/>
      <c r="F7" s="7" t="n"/>
      <c r="G7" s="9">
        <f>IF(F7&lt;&gt;"",F7,IF(D7&lt;&gt;"",IF(COUNT(AA7:AX7)=0,"",MIN(AA7:AX7)),""))</f>
        <v/>
      </c>
      <c r="H7" s="12" t="n"/>
      <c r="I7" s="7" t="n"/>
      <c r="J7" s="13">
        <f>IF(OR(G7="",I7=""),"",MAX(0,I7-G7-1))</f>
        <v/>
      </c>
      <c r="K7" s="14">
        <f>IF(OR(J7="",H7=""),"",ROUND(H7*12/365*J7,2))</f>
        <v/>
      </c>
      <c r="L7" s="9">
        <f>IF(D7&lt;&gt;"",D7,"")</f>
        <v/>
      </c>
      <c r="M7" s="6" t="n"/>
      <c r="N7" s="9">
        <f>IF(G7="","",WORKDAY(G7,-10,Einstellungen!$D$5:$D$34))</f>
        <v/>
      </c>
      <c r="O7" s="6" t="n"/>
      <c r="P7" s="9">
        <f>IF(G7="","",WORKDAY(G7-1,1,Einstellungen!$D$5:$D$34))</f>
        <v/>
      </c>
      <c r="Q7" s="6" t="n"/>
      <c r="R7" s="9">
        <f>IF(P7="","",WORKDAY(P7,2,Einstellungen!$D$5:$D$34))</f>
        <v/>
      </c>
      <c r="S7" s="6" t="n"/>
      <c r="T7" s="9">
        <f>IF(G7="","",EDATE(G7,12))</f>
        <v/>
      </c>
      <c r="U7" s="6" t="n"/>
      <c r="V7" s="9">
        <f>IF(COUNT(AY7:BC7)=0,"",MIN(AY7:BC7))</f>
        <v/>
      </c>
      <c r="W7" s="13">
        <f>IF(V7="","",V7-$B$2)</f>
        <v/>
      </c>
      <c r="X7" s="15">
        <f>IF(C7="Vermieter","Amtliches Formular verwendet? Bei Familienwohnung an beide Ehegatten.",IF(C7="Ausserterminlich","Nachmieter zumutbar? Vereinbartes Ende eintragen.",IF(AND(G7&lt;&gt;"",I7=""),"Noch kein Nachmieter.","")))</f>
        <v/>
      </c>
      <c r="AA7" s="16">
        <f>IF(D7&lt;&gt;"",IF(OR(COUNTIF(Einstellungen!$B$5:$B$16,"x")=0,INDEX(Einstellungen!$B$5:$B$16,MONTH(EOMONTH(D7,IF(E7="",3,E7)+0)))="x"),EOMONTH(D7,IF(E7="",3,E7)+0),""),"")</f>
        <v/>
      </c>
      <c r="AB7" s="16">
        <f>IF(D7&lt;&gt;"",IF(OR(COUNTIF(Einstellungen!$B$5:$B$16,"x")=0,INDEX(Einstellungen!$B$5:$B$16,MONTH(EOMONTH(D7,IF(E7="",3,E7)+1)))="x"),EOMONTH(D7,IF(E7="",3,E7)+1),""),"")</f>
        <v/>
      </c>
      <c r="AC7" s="16">
        <f>IF(D7&lt;&gt;"",IF(OR(COUNTIF(Einstellungen!$B$5:$B$16,"x")=0,INDEX(Einstellungen!$B$5:$B$16,MONTH(EOMONTH(D7,IF(E7="",3,E7)+2)))="x"),EOMONTH(D7,IF(E7="",3,E7)+2),""),"")</f>
        <v/>
      </c>
      <c r="AD7" s="16">
        <f>IF(D7&lt;&gt;"",IF(OR(COUNTIF(Einstellungen!$B$5:$B$16,"x")=0,INDEX(Einstellungen!$B$5:$B$16,MONTH(EOMONTH(D7,IF(E7="",3,E7)+3)))="x"),EOMONTH(D7,IF(E7="",3,E7)+3),""),"")</f>
        <v/>
      </c>
      <c r="AE7" s="16">
        <f>IF(D7&lt;&gt;"",IF(OR(COUNTIF(Einstellungen!$B$5:$B$16,"x")=0,INDEX(Einstellungen!$B$5:$B$16,MONTH(EOMONTH(D7,IF(E7="",3,E7)+4)))="x"),EOMONTH(D7,IF(E7="",3,E7)+4),""),"")</f>
        <v/>
      </c>
      <c r="AF7" s="16">
        <f>IF(D7&lt;&gt;"",IF(OR(COUNTIF(Einstellungen!$B$5:$B$16,"x")=0,INDEX(Einstellungen!$B$5:$B$16,MONTH(EOMONTH(D7,IF(E7="",3,E7)+5)))="x"),EOMONTH(D7,IF(E7="",3,E7)+5),""),"")</f>
        <v/>
      </c>
      <c r="AG7" s="16">
        <f>IF(D7&lt;&gt;"",IF(OR(COUNTIF(Einstellungen!$B$5:$B$16,"x")=0,INDEX(Einstellungen!$B$5:$B$16,MONTH(EOMONTH(D7,IF(E7="",3,E7)+6)))="x"),EOMONTH(D7,IF(E7="",3,E7)+6),""),"")</f>
        <v/>
      </c>
      <c r="AH7" s="16">
        <f>IF(D7&lt;&gt;"",IF(OR(COUNTIF(Einstellungen!$B$5:$B$16,"x")=0,INDEX(Einstellungen!$B$5:$B$16,MONTH(EOMONTH(D7,IF(E7="",3,E7)+7)))="x"),EOMONTH(D7,IF(E7="",3,E7)+7),""),"")</f>
        <v/>
      </c>
      <c r="AI7" s="16">
        <f>IF(D7&lt;&gt;"",IF(OR(COUNTIF(Einstellungen!$B$5:$B$16,"x")=0,INDEX(Einstellungen!$B$5:$B$16,MONTH(EOMONTH(D7,IF(E7="",3,E7)+8)))="x"),EOMONTH(D7,IF(E7="",3,E7)+8),""),"")</f>
        <v/>
      </c>
      <c r="AJ7" s="16">
        <f>IF(D7&lt;&gt;"",IF(OR(COUNTIF(Einstellungen!$B$5:$B$16,"x")=0,INDEX(Einstellungen!$B$5:$B$16,MONTH(EOMONTH(D7,IF(E7="",3,E7)+9)))="x"),EOMONTH(D7,IF(E7="",3,E7)+9),""),"")</f>
        <v/>
      </c>
      <c r="AK7" s="16">
        <f>IF(D7&lt;&gt;"",IF(OR(COUNTIF(Einstellungen!$B$5:$B$16,"x")=0,INDEX(Einstellungen!$B$5:$B$16,MONTH(EOMONTH(D7,IF(E7="",3,E7)+10)))="x"),EOMONTH(D7,IF(E7="",3,E7)+10),""),"")</f>
        <v/>
      </c>
      <c r="AL7" s="16">
        <f>IF(D7&lt;&gt;"",IF(OR(COUNTIF(Einstellungen!$B$5:$B$16,"x")=0,INDEX(Einstellungen!$B$5:$B$16,MONTH(EOMONTH(D7,IF(E7="",3,E7)+11)))="x"),EOMONTH(D7,IF(E7="",3,E7)+11),""),"")</f>
        <v/>
      </c>
      <c r="AM7" s="16">
        <f>IF(D7&lt;&gt;"",IF(OR(COUNTIF(Einstellungen!$B$5:$B$16,"x")=0,INDEX(Einstellungen!$B$5:$B$16,MONTH(EOMONTH(D7,IF(E7="",3,E7)+12)))="x"),EOMONTH(D7,IF(E7="",3,E7)+12),""),"")</f>
        <v/>
      </c>
      <c r="AN7" s="16">
        <f>IF(D7&lt;&gt;"",IF(OR(COUNTIF(Einstellungen!$B$5:$B$16,"x")=0,INDEX(Einstellungen!$B$5:$B$16,MONTH(EOMONTH(D7,IF(E7="",3,E7)+13)))="x"),EOMONTH(D7,IF(E7="",3,E7)+13),""),"")</f>
        <v/>
      </c>
      <c r="AO7" s="16">
        <f>IF(D7&lt;&gt;"",IF(OR(COUNTIF(Einstellungen!$B$5:$B$16,"x")=0,INDEX(Einstellungen!$B$5:$B$16,MONTH(EOMONTH(D7,IF(E7="",3,E7)+14)))="x"),EOMONTH(D7,IF(E7="",3,E7)+14),""),"")</f>
        <v/>
      </c>
      <c r="AP7" s="16">
        <f>IF(D7&lt;&gt;"",IF(OR(COUNTIF(Einstellungen!$B$5:$B$16,"x")=0,INDEX(Einstellungen!$B$5:$B$16,MONTH(EOMONTH(D7,IF(E7="",3,E7)+15)))="x"),EOMONTH(D7,IF(E7="",3,E7)+15),""),"")</f>
        <v/>
      </c>
      <c r="AQ7" s="16">
        <f>IF(D7&lt;&gt;"",IF(OR(COUNTIF(Einstellungen!$B$5:$B$16,"x")=0,INDEX(Einstellungen!$B$5:$B$16,MONTH(EOMONTH(D7,IF(E7="",3,E7)+16)))="x"),EOMONTH(D7,IF(E7="",3,E7)+16),""),"")</f>
        <v/>
      </c>
      <c r="AR7" s="16">
        <f>IF(D7&lt;&gt;"",IF(OR(COUNTIF(Einstellungen!$B$5:$B$16,"x")=0,INDEX(Einstellungen!$B$5:$B$16,MONTH(EOMONTH(D7,IF(E7="",3,E7)+17)))="x"),EOMONTH(D7,IF(E7="",3,E7)+17),""),"")</f>
        <v/>
      </c>
      <c r="AS7" s="16">
        <f>IF(D7&lt;&gt;"",IF(OR(COUNTIF(Einstellungen!$B$5:$B$16,"x")=0,INDEX(Einstellungen!$B$5:$B$16,MONTH(EOMONTH(D7,IF(E7="",3,E7)+18)))="x"),EOMONTH(D7,IF(E7="",3,E7)+18),""),"")</f>
        <v/>
      </c>
      <c r="AT7" s="16">
        <f>IF(D7&lt;&gt;"",IF(OR(COUNTIF(Einstellungen!$B$5:$B$16,"x")=0,INDEX(Einstellungen!$B$5:$B$16,MONTH(EOMONTH(D7,IF(E7="",3,E7)+19)))="x"),EOMONTH(D7,IF(E7="",3,E7)+19),""),"")</f>
        <v/>
      </c>
      <c r="AU7" s="16">
        <f>IF(D7&lt;&gt;"",IF(OR(COUNTIF(Einstellungen!$B$5:$B$16,"x")=0,INDEX(Einstellungen!$B$5:$B$16,MONTH(EOMONTH(D7,IF(E7="",3,E7)+20)))="x"),EOMONTH(D7,IF(E7="",3,E7)+20),""),"")</f>
        <v/>
      </c>
      <c r="AV7" s="16">
        <f>IF(D7&lt;&gt;"",IF(OR(COUNTIF(Einstellungen!$B$5:$B$16,"x")=0,INDEX(Einstellungen!$B$5:$B$16,MONTH(EOMONTH(D7,IF(E7="",3,E7)+21)))="x"),EOMONTH(D7,IF(E7="",3,E7)+21),""),"")</f>
        <v/>
      </c>
      <c r="AW7" s="16">
        <f>IF(D7&lt;&gt;"",IF(OR(COUNTIF(Einstellungen!$B$5:$B$16,"x")=0,INDEX(Einstellungen!$B$5:$B$16,MONTH(EOMONTH(D7,IF(E7="",3,E7)+22)))="x"),EOMONTH(D7,IF(E7="",3,E7)+22),""),"")</f>
        <v/>
      </c>
      <c r="AX7" s="16">
        <f>IF(D7&lt;&gt;"",IF(OR(COUNTIF(Einstellungen!$B$5:$B$16,"x")=0,INDEX(Einstellungen!$B$5:$B$16,MONTH(EOMONTH(D7,IF(E7="",3,E7)+23)))="x"),EOMONTH(D7,IF(E7="",3,E7)+23),""),"")</f>
        <v/>
      </c>
      <c r="AY7" s="16">
        <f>IF(AND(L7&lt;&gt;"",M7=""),L7,"")</f>
        <v/>
      </c>
      <c r="AZ7" s="16">
        <f>IF(AND(N7&lt;&gt;"",O7=""),N7,"")</f>
        <v/>
      </c>
      <c r="BA7" s="16">
        <f>IF(AND(P7&lt;&gt;"",Q7=""),P7,"")</f>
        <v/>
      </c>
      <c r="BB7" s="16">
        <f>IF(AND(R7&lt;&gt;"",S7=""),R7,"")</f>
        <v/>
      </c>
      <c r="BC7" s="16">
        <f>IF(AND(T7&lt;&gt;"",U7=""),T7,"")</f>
        <v/>
      </c>
    </row>
    <row r="8">
      <c r="A8" s="6" t="n"/>
      <c r="B8" s="6" t="n"/>
      <c r="C8" s="6" t="n"/>
      <c r="D8" s="7" t="n"/>
      <c r="E8" s="11" t="n"/>
      <c r="F8" s="7" t="n"/>
      <c r="G8" s="9">
        <f>IF(F8&lt;&gt;"",F8,IF(D8&lt;&gt;"",IF(COUNT(AA8:AX8)=0,"",MIN(AA8:AX8)),""))</f>
        <v/>
      </c>
      <c r="H8" s="12" t="n"/>
      <c r="I8" s="7" t="n"/>
      <c r="J8" s="13">
        <f>IF(OR(G8="",I8=""),"",MAX(0,I8-G8-1))</f>
        <v/>
      </c>
      <c r="K8" s="14">
        <f>IF(OR(J8="",H8=""),"",ROUND(H8*12/365*J8,2))</f>
        <v/>
      </c>
      <c r="L8" s="9">
        <f>IF(D8&lt;&gt;"",D8,"")</f>
        <v/>
      </c>
      <c r="M8" s="6" t="n"/>
      <c r="N8" s="9">
        <f>IF(G8="","",WORKDAY(G8,-10,Einstellungen!$D$5:$D$34))</f>
        <v/>
      </c>
      <c r="O8" s="6" t="n"/>
      <c r="P8" s="9">
        <f>IF(G8="","",WORKDAY(G8-1,1,Einstellungen!$D$5:$D$34))</f>
        <v/>
      </c>
      <c r="Q8" s="6" t="n"/>
      <c r="R8" s="9">
        <f>IF(P8="","",WORKDAY(P8,2,Einstellungen!$D$5:$D$34))</f>
        <v/>
      </c>
      <c r="S8" s="6" t="n"/>
      <c r="T8" s="9">
        <f>IF(G8="","",EDATE(G8,12))</f>
        <v/>
      </c>
      <c r="U8" s="6" t="n"/>
      <c r="V8" s="9">
        <f>IF(COUNT(AY8:BC8)=0,"",MIN(AY8:BC8))</f>
        <v/>
      </c>
      <c r="W8" s="13">
        <f>IF(V8="","",V8-$B$2)</f>
        <v/>
      </c>
      <c r="X8" s="15">
        <f>IF(C8="Vermieter","Amtliches Formular verwendet? Bei Familienwohnung an beide Ehegatten.",IF(C8="Ausserterminlich","Nachmieter zumutbar? Vereinbartes Ende eintragen.",IF(AND(G8&lt;&gt;"",I8=""),"Noch kein Nachmieter.","")))</f>
        <v/>
      </c>
      <c r="AA8" s="16">
        <f>IF(D8&lt;&gt;"",IF(OR(COUNTIF(Einstellungen!$B$5:$B$16,"x")=0,INDEX(Einstellungen!$B$5:$B$16,MONTH(EOMONTH(D8,IF(E8="",3,E8)+0)))="x"),EOMONTH(D8,IF(E8="",3,E8)+0),""),"")</f>
        <v/>
      </c>
      <c r="AB8" s="16">
        <f>IF(D8&lt;&gt;"",IF(OR(COUNTIF(Einstellungen!$B$5:$B$16,"x")=0,INDEX(Einstellungen!$B$5:$B$16,MONTH(EOMONTH(D8,IF(E8="",3,E8)+1)))="x"),EOMONTH(D8,IF(E8="",3,E8)+1),""),"")</f>
        <v/>
      </c>
      <c r="AC8" s="16">
        <f>IF(D8&lt;&gt;"",IF(OR(COUNTIF(Einstellungen!$B$5:$B$16,"x")=0,INDEX(Einstellungen!$B$5:$B$16,MONTH(EOMONTH(D8,IF(E8="",3,E8)+2)))="x"),EOMONTH(D8,IF(E8="",3,E8)+2),""),"")</f>
        <v/>
      </c>
      <c r="AD8" s="16">
        <f>IF(D8&lt;&gt;"",IF(OR(COUNTIF(Einstellungen!$B$5:$B$16,"x")=0,INDEX(Einstellungen!$B$5:$B$16,MONTH(EOMONTH(D8,IF(E8="",3,E8)+3)))="x"),EOMONTH(D8,IF(E8="",3,E8)+3),""),"")</f>
        <v/>
      </c>
      <c r="AE8" s="16">
        <f>IF(D8&lt;&gt;"",IF(OR(COUNTIF(Einstellungen!$B$5:$B$16,"x")=0,INDEX(Einstellungen!$B$5:$B$16,MONTH(EOMONTH(D8,IF(E8="",3,E8)+4)))="x"),EOMONTH(D8,IF(E8="",3,E8)+4),""),"")</f>
        <v/>
      </c>
      <c r="AF8" s="16">
        <f>IF(D8&lt;&gt;"",IF(OR(COUNTIF(Einstellungen!$B$5:$B$16,"x")=0,INDEX(Einstellungen!$B$5:$B$16,MONTH(EOMONTH(D8,IF(E8="",3,E8)+5)))="x"),EOMONTH(D8,IF(E8="",3,E8)+5),""),"")</f>
        <v/>
      </c>
      <c r="AG8" s="16">
        <f>IF(D8&lt;&gt;"",IF(OR(COUNTIF(Einstellungen!$B$5:$B$16,"x")=0,INDEX(Einstellungen!$B$5:$B$16,MONTH(EOMONTH(D8,IF(E8="",3,E8)+6)))="x"),EOMONTH(D8,IF(E8="",3,E8)+6),""),"")</f>
        <v/>
      </c>
      <c r="AH8" s="16">
        <f>IF(D8&lt;&gt;"",IF(OR(COUNTIF(Einstellungen!$B$5:$B$16,"x")=0,INDEX(Einstellungen!$B$5:$B$16,MONTH(EOMONTH(D8,IF(E8="",3,E8)+7)))="x"),EOMONTH(D8,IF(E8="",3,E8)+7),""),"")</f>
        <v/>
      </c>
      <c r="AI8" s="16">
        <f>IF(D8&lt;&gt;"",IF(OR(COUNTIF(Einstellungen!$B$5:$B$16,"x")=0,INDEX(Einstellungen!$B$5:$B$16,MONTH(EOMONTH(D8,IF(E8="",3,E8)+8)))="x"),EOMONTH(D8,IF(E8="",3,E8)+8),""),"")</f>
        <v/>
      </c>
      <c r="AJ8" s="16">
        <f>IF(D8&lt;&gt;"",IF(OR(COUNTIF(Einstellungen!$B$5:$B$16,"x")=0,INDEX(Einstellungen!$B$5:$B$16,MONTH(EOMONTH(D8,IF(E8="",3,E8)+9)))="x"),EOMONTH(D8,IF(E8="",3,E8)+9),""),"")</f>
        <v/>
      </c>
      <c r="AK8" s="16">
        <f>IF(D8&lt;&gt;"",IF(OR(COUNTIF(Einstellungen!$B$5:$B$16,"x")=0,INDEX(Einstellungen!$B$5:$B$16,MONTH(EOMONTH(D8,IF(E8="",3,E8)+10)))="x"),EOMONTH(D8,IF(E8="",3,E8)+10),""),"")</f>
        <v/>
      </c>
      <c r="AL8" s="16">
        <f>IF(D8&lt;&gt;"",IF(OR(COUNTIF(Einstellungen!$B$5:$B$16,"x")=0,INDEX(Einstellungen!$B$5:$B$16,MONTH(EOMONTH(D8,IF(E8="",3,E8)+11)))="x"),EOMONTH(D8,IF(E8="",3,E8)+11),""),"")</f>
        <v/>
      </c>
      <c r="AM8" s="16">
        <f>IF(D8&lt;&gt;"",IF(OR(COUNTIF(Einstellungen!$B$5:$B$16,"x")=0,INDEX(Einstellungen!$B$5:$B$16,MONTH(EOMONTH(D8,IF(E8="",3,E8)+12)))="x"),EOMONTH(D8,IF(E8="",3,E8)+12),""),"")</f>
        <v/>
      </c>
      <c r="AN8" s="16">
        <f>IF(D8&lt;&gt;"",IF(OR(COUNTIF(Einstellungen!$B$5:$B$16,"x")=0,INDEX(Einstellungen!$B$5:$B$16,MONTH(EOMONTH(D8,IF(E8="",3,E8)+13)))="x"),EOMONTH(D8,IF(E8="",3,E8)+13),""),"")</f>
        <v/>
      </c>
      <c r="AO8" s="16">
        <f>IF(D8&lt;&gt;"",IF(OR(COUNTIF(Einstellungen!$B$5:$B$16,"x")=0,INDEX(Einstellungen!$B$5:$B$16,MONTH(EOMONTH(D8,IF(E8="",3,E8)+14)))="x"),EOMONTH(D8,IF(E8="",3,E8)+14),""),"")</f>
        <v/>
      </c>
      <c r="AP8" s="16">
        <f>IF(D8&lt;&gt;"",IF(OR(COUNTIF(Einstellungen!$B$5:$B$16,"x")=0,INDEX(Einstellungen!$B$5:$B$16,MONTH(EOMONTH(D8,IF(E8="",3,E8)+15)))="x"),EOMONTH(D8,IF(E8="",3,E8)+15),""),"")</f>
        <v/>
      </c>
      <c r="AQ8" s="16">
        <f>IF(D8&lt;&gt;"",IF(OR(COUNTIF(Einstellungen!$B$5:$B$16,"x")=0,INDEX(Einstellungen!$B$5:$B$16,MONTH(EOMONTH(D8,IF(E8="",3,E8)+16)))="x"),EOMONTH(D8,IF(E8="",3,E8)+16),""),"")</f>
        <v/>
      </c>
      <c r="AR8" s="16">
        <f>IF(D8&lt;&gt;"",IF(OR(COUNTIF(Einstellungen!$B$5:$B$16,"x")=0,INDEX(Einstellungen!$B$5:$B$16,MONTH(EOMONTH(D8,IF(E8="",3,E8)+17)))="x"),EOMONTH(D8,IF(E8="",3,E8)+17),""),"")</f>
        <v/>
      </c>
      <c r="AS8" s="16">
        <f>IF(D8&lt;&gt;"",IF(OR(COUNTIF(Einstellungen!$B$5:$B$16,"x")=0,INDEX(Einstellungen!$B$5:$B$16,MONTH(EOMONTH(D8,IF(E8="",3,E8)+18)))="x"),EOMONTH(D8,IF(E8="",3,E8)+18),""),"")</f>
        <v/>
      </c>
      <c r="AT8" s="16">
        <f>IF(D8&lt;&gt;"",IF(OR(COUNTIF(Einstellungen!$B$5:$B$16,"x")=0,INDEX(Einstellungen!$B$5:$B$16,MONTH(EOMONTH(D8,IF(E8="",3,E8)+19)))="x"),EOMONTH(D8,IF(E8="",3,E8)+19),""),"")</f>
        <v/>
      </c>
      <c r="AU8" s="16">
        <f>IF(D8&lt;&gt;"",IF(OR(COUNTIF(Einstellungen!$B$5:$B$16,"x")=0,INDEX(Einstellungen!$B$5:$B$16,MONTH(EOMONTH(D8,IF(E8="",3,E8)+20)))="x"),EOMONTH(D8,IF(E8="",3,E8)+20),""),"")</f>
        <v/>
      </c>
      <c r="AV8" s="16">
        <f>IF(D8&lt;&gt;"",IF(OR(COUNTIF(Einstellungen!$B$5:$B$16,"x")=0,INDEX(Einstellungen!$B$5:$B$16,MONTH(EOMONTH(D8,IF(E8="",3,E8)+21)))="x"),EOMONTH(D8,IF(E8="",3,E8)+21),""),"")</f>
        <v/>
      </c>
      <c r="AW8" s="16">
        <f>IF(D8&lt;&gt;"",IF(OR(COUNTIF(Einstellungen!$B$5:$B$16,"x")=0,INDEX(Einstellungen!$B$5:$B$16,MONTH(EOMONTH(D8,IF(E8="",3,E8)+22)))="x"),EOMONTH(D8,IF(E8="",3,E8)+22),""),"")</f>
        <v/>
      </c>
      <c r="AX8" s="16">
        <f>IF(D8&lt;&gt;"",IF(OR(COUNTIF(Einstellungen!$B$5:$B$16,"x")=0,INDEX(Einstellungen!$B$5:$B$16,MONTH(EOMONTH(D8,IF(E8="",3,E8)+23)))="x"),EOMONTH(D8,IF(E8="",3,E8)+23),""),"")</f>
        <v/>
      </c>
      <c r="AY8" s="16">
        <f>IF(AND(L8&lt;&gt;"",M8=""),L8,"")</f>
        <v/>
      </c>
      <c r="AZ8" s="16">
        <f>IF(AND(N8&lt;&gt;"",O8=""),N8,"")</f>
        <v/>
      </c>
      <c r="BA8" s="16">
        <f>IF(AND(P8&lt;&gt;"",Q8=""),P8,"")</f>
        <v/>
      </c>
      <c r="BB8" s="16">
        <f>IF(AND(R8&lt;&gt;"",S8=""),R8,"")</f>
        <v/>
      </c>
      <c r="BC8" s="16">
        <f>IF(AND(T8&lt;&gt;"",U8=""),T8,"")</f>
        <v/>
      </c>
    </row>
    <row r="9">
      <c r="A9" s="6" t="n"/>
      <c r="B9" s="6" t="n"/>
      <c r="C9" s="6" t="n"/>
      <c r="D9" s="7" t="n"/>
      <c r="E9" s="11" t="n"/>
      <c r="F9" s="7" t="n"/>
      <c r="G9" s="9">
        <f>IF(F9&lt;&gt;"",F9,IF(D9&lt;&gt;"",IF(COUNT(AA9:AX9)=0,"",MIN(AA9:AX9)),""))</f>
        <v/>
      </c>
      <c r="H9" s="12" t="n"/>
      <c r="I9" s="7" t="n"/>
      <c r="J9" s="13">
        <f>IF(OR(G9="",I9=""),"",MAX(0,I9-G9-1))</f>
        <v/>
      </c>
      <c r="K9" s="14">
        <f>IF(OR(J9="",H9=""),"",ROUND(H9*12/365*J9,2))</f>
        <v/>
      </c>
      <c r="L9" s="9">
        <f>IF(D9&lt;&gt;"",D9,"")</f>
        <v/>
      </c>
      <c r="M9" s="6" t="n"/>
      <c r="N9" s="9">
        <f>IF(G9="","",WORKDAY(G9,-10,Einstellungen!$D$5:$D$34))</f>
        <v/>
      </c>
      <c r="O9" s="6" t="n"/>
      <c r="P9" s="9">
        <f>IF(G9="","",WORKDAY(G9-1,1,Einstellungen!$D$5:$D$34))</f>
        <v/>
      </c>
      <c r="Q9" s="6" t="n"/>
      <c r="R9" s="9">
        <f>IF(P9="","",WORKDAY(P9,2,Einstellungen!$D$5:$D$34))</f>
        <v/>
      </c>
      <c r="S9" s="6" t="n"/>
      <c r="T9" s="9">
        <f>IF(G9="","",EDATE(G9,12))</f>
        <v/>
      </c>
      <c r="U9" s="6" t="n"/>
      <c r="V9" s="9">
        <f>IF(COUNT(AY9:BC9)=0,"",MIN(AY9:BC9))</f>
        <v/>
      </c>
      <c r="W9" s="13">
        <f>IF(V9="","",V9-$B$2)</f>
        <v/>
      </c>
      <c r="X9" s="15">
        <f>IF(C9="Vermieter","Amtliches Formular verwendet? Bei Familienwohnung an beide Ehegatten.",IF(C9="Ausserterminlich","Nachmieter zumutbar? Vereinbartes Ende eintragen.",IF(AND(G9&lt;&gt;"",I9=""),"Noch kein Nachmieter.","")))</f>
        <v/>
      </c>
      <c r="AA9" s="16">
        <f>IF(D9&lt;&gt;"",IF(OR(COUNTIF(Einstellungen!$B$5:$B$16,"x")=0,INDEX(Einstellungen!$B$5:$B$16,MONTH(EOMONTH(D9,IF(E9="",3,E9)+0)))="x"),EOMONTH(D9,IF(E9="",3,E9)+0),""),"")</f>
        <v/>
      </c>
      <c r="AB9" s="16">
        <f>IF(D9&lt;&gt;"",IF(OR(COUNTIF(Einstellungen!$B$5:$B$16,"x")=0,INDEX(Einstellungen!$B$5:$B$16,MONTH(EOMONTH(D9,IF(E9="",3,E9)+1)))="x"),EOMONTH(D9,IF(E9="",3,E9)+1),""),"")</f>
        <v/>
      </c>
      <c r="AC9" s="16">
        <f>IF(D9&lt;&gt;"",IF(OR(COUNTIF(Einstellungen!$B$5:$B$16,"x")=0,INDEX(Einstellungen!$B$5:$B$16,MONTH(EOMONTH(D9,IF(E9="",3,E9)+2)))="x"),EOMONTH(D9,IF(E9="",3,E9)+2),""),"")</f>
        <v/>
      </c>
      <c r="AD9" s="16">
        <f>IF(D9&lt;&gt;"",IF(OR(COUNTIF(Einstellungen!$B$5:$B$16,"x")=0,INDEX(Einstellungen!$B$5:$B$16,MONTH(EOMONTH(D9,IF(E9="",3,E9)+3)))="x"),EOMONTH(D9,IF(E9="",3,E9)+3),""),"")</f>
        <v/>
      </c>
      <c r="AE9" s="16">
        <f>IF(D9&lt;&gt;"",IF(OR(COUNTIF(Einstellungen!$B$5:$B$16,"x")=0,INDEX(Einstellungen!$B$5:$B$16,MONTH(EOMONTH(D9,IF(E9="",3,E9)+4)))="x"),EOMONTH(D9,IF(E9="",3,E9)+4),""),"")</f>
        <v/>
      </c>
      <c r="AF9" s="16">
        <f>IF(D9&lt;&gt;"",IF(OR(COUNTIF(Einstellungen!$B$5:$B$16,"x")=0,INDEX(Einstellungen!$B$5:$B$16,MONTH(EOMONTH(D9,IF(E9="",3,E9)+5)))="x"),EOMONTH(D9,IF(E9="",3,E9)+5),""),"")</f>
        <v/>
      </c>
      <c r="AG9" s="16">
        <f>IF(D9&lt;&gt;"",IF(OR(COUNTIF(Einstellungen!$B$5:$B$16,"x")=0,INDEX(Einstellungen!$B$5:$B$16,MONTH(EOMONTH(D9,IF(E9="",3,E9)+6)))="x"),EOMONTH(D9,IF(E9="",3,E9)+6),""),"")</f>
        <v/>
      </c>
      <c r="AH9" s="16">
        <f>IF(D9&lt;&gt;"",IF(OR(COUNTIF(Einstellungen!$B$5:$B$16,"x")=0,INDEX(Einstellungen!$B$5:$B$16,MONTH(EOMONTH(D9,IF(E9="",3,E9)+7)))="x"),EOMONTH(D9,IF(E9="",3,E9)+7),""),"")</f>
        <v/>
      </c>
      <c r="AI9" s="16">
        <f>IF(D9&lt;&gt;"",IF(OR(COUNTIF(Einstellungen!$B$5:$B$16,"x")=0,INDEX(Einstellungen!$B$5:$B$16,MONTH(EOMONTH(D9,IF(E9="",3,E9)+8)))="x"),EOMONTH(D9,IF(E9="",3,E9)+8),""),"")</f>
        <v/>
      </c>
      <c r="AJ9" s="16">
        <f>IF(D9&lt;&gt;"",IF(OR(COUNTIF(Einstellungen!$B$5:$B$16,"x")=0,INDEX(Einstellungen!$B$5:$B$16,MONTH(EOMONTH(D9,IF(E9="",3,E9)+9)))="x"),EOMONTH(D9,IF(E9="",3,E9)+9),""),"")</f>
        <v/>
      </c>
      <c r="AK9" s="16">
        <f>IF(D9&lt;&gt;"",IF(OR(COUNTIF(Einstellungen!$B$5:$B$16,"x")=0,INDEX(Einstellungen!$B$5:$B$16,MONTH(EOMONTH(D9,IF(E9="",3,E9)+10)))="x"),EOMONTH(D9,IF(E9="",3,E9)+10),""),"")</f>
        <v/>
      </c>
      <c r="AL9" s="16">
        <f>IF(D9&lt;&gt;"",IF(OR(COUNTIF(Einstellungen!$B$5:$B$16,"x")=0,INDEX(Einstellungen!$B$5:$B$16,MONTH(EOMONTH(D9,IF(E9="",3,E9)+11)))="x"),EOMONTH(D9,IF(E9="",3,E9)+11),""),"")</f>
        <v/>
      </c>
      <c r="AM9" s="16">
        <f>IF(D9&lt;&gt;"",IF(OR(COUNTIF(Einstellungen!$B$5:$B$16,"x")=0,INDEX(Einstellungen!$B$5:$B$16,MONTH(EOMONTH(D9,IF(E9="",3,E9)+12)))="x"),EOMONTH(D9,IF(E9="",3,E9)+12),""),"")</f>
        <v/>
      </c>
      <c r="AN9" s="16">
        <f>IF(D9&lt;&gt;"",IF(OR(COUNTIF(Einstellungen!$B$5:$B$16,"x")=0,INDEX(Einstellungen!$B$5:$B$16,MONTH(EOMONTH(D9,IF(E9="",3,E9)+13)))="x"),EOMONTH(D9,IF(E9="",3,E9)+13),""),"")</f>
        <v/>
      </c>
      <c r="AO9" s="16">
        <f>IF(D9&lt;&gt;"",IF(OR(COUNTIF(Einstellungen!$B$5:$B$16,"x")=0,INDEX(Einstellungen!$B$5:$B$16,MONTH(EOMONTH(D9,IF(E9="",3,E9)+14)))="x"),EOMONTH(D9,IF(E9="",3,E9)+14),""),"")</f>
        <v/>
      </c>
      <c r="AP9" s="16">
        <f>IF(D9&lt;&gt;"",IF(OR(COUNTIF(Einstellungen!$B$5:$B$16,"x")=0,INDEX(Einstellungen!$B$5:$B$16,MONTH(EOMONTH(D9,IF(E9="",3,E9)+15)))="x"),EOMONTH(D9,IF(E9="",3,E9)+15),""),"")</f>
        <v/>
      </c>
      <c r="AQ9" s="16">
        <f>IF(D9&lt;&gt;"",IF(OR(COUNTIF(Einstellungen!$B$5:$B$16,"x")=0,INDEX(Einstellungen!$B$5:$B$16,MONTH(EOMONTH(D9,IF(E9="",3,E9)+16)))="x"),EOMONTH(D9,IF(E9="",3,E9)+16),""),"")</f>
        <v/>
      </c>
      <c r="AR9" s="16">
        <f>IF(D9&lt;&gt;"",IF(OR(COUNTIF(Einstellungen!$B$5:$B$16,"x")=0,INDEX(Einstellungen!$B$5:$B$16,MONTH(EOMONTH(D9,IF(E9="",3,E9)+17)))="x"),EOMONTH(D9,IF(E9="",3,E9)+17),""),"")</f>
        <v/>
      </c>
      <c r="AS9" s="16">
        <f>IF(D9&lt;&gt;"",IF(OR(COUNTIF(Einstellungen!$B$5:$B$16,"x")=0,INDEX(Einstellungen!$B$5:$B$16,MONTH(EOMONTH(D9,IF(E9="",3,E9)+18)))="x"),EOMONTH(D9,IF(E9="",3,E9)+18),""),"")</f>
        <v/>
      </c>
      <c r="AT9" s="16">
        <f>IF(D9&lt;&gt;"",IF(OR(COUNTIF(Einstellungen!$B$5:$B$16,"x")=0,INDEX(Einstellungen!$B$5:$B$16,MONTH(EOMONTH(D9,IF(E9="",3,E9)+19)))="x"),EOMONTH(D9,IF(E9="",3,E9)+19),""),"")</f>
        <v/>
      </c>
      <c r="AU9" s="16">
        <f>IF(D9&lt;&gt;"",IF(OR(COUNTIF(Einstellungen!$B$5:$B$16,"x")=0,INDEX(Einstellungen!$B$5:$B$16,MONTH(EOMONTH(D9,IF(E9="",3,E9)+20)))="x"),EOMONTH(D9,IF(E9="",3,E9)+20),""),"")</f>
        <v/>
      </c>
      <c r="AV9" s="16">
        <f>IF(D9&lt;&gt;"",IF(OR(COUNTIF(Einstellungen!$B$5:$B$16,"x")=0,INDEX(Einstellungen!$B$5:$B$16,MONTH(EOMONTH(D9,IF(E9="",3,E9)+21)))="x"),EOMONTH(D9,IF(E9="",3,E9)+21),""),"")</f>
        <v/>
      </c>
      <c r="AW9" s="16">
        <f>IF(D9&lt;&gt;"",IF(OR(COUNTIF(Einstellungen!$B$5:$B$16,"x")=0,INDEX(Einstellungen!$B$5:$B$16,MONTH(EOMONTH(D9,IF(E9="",3,E9)+22)))="x"),EOMONTH(D9,IF(E9="",3,E9)+22),""),"")</f>
        <v/>
      </c>
      <c r="AX9" s="16">
        <f>IF(D9&lt;&gt;"",IF(OR(COUNTIF(Einstellungen!$B$5:$B$16,"x")=0,INDEX(Einstellungen!$B$5:$B$16,MONTH(EOMONTH(D9,IF(E9="",3,E9)+23)))="x"),EOMONTH(D9,IF(E9="",3,E9)+23),""),"")</f>
        <v/>
      </c>
      <c r="AY9" s="16">
        <f>IF(AND(L9&lt;&gt;"",M9=""),L9,"")</f>
        <v/>
      </c>
      <c r="AZ9" s="16">
        <f>IF(AND(N9&lt;&gt;"",O9=""),N9,"")</f>
        <v/>
      </c>
      <c r="BA9" s="16">
        <f>IF(AND(P9&lt;&gt;"",Q9=""),P9,"")</f>
        <v/>
      </c>
      <c r="BB9" s="16">
        <f>IF(AND(R9&lt;&gt;"",S9=""),R9,"")</f>
        <v/>
      </c>
      <c r="BC9" s="16">
        <f>IF(AND(T9&lt;&gt;"",U9=""),T9,"")</f>
        <v/>
      </c>
    </row>
    <row r="10">
      <c r="A10" s="6" t="n"/>
      <c r="B10" s="6" t="n"/>
      <c r="C10" s="6" t="n"/>
      <c r="D10" s="7" t="n"/>
      <c r="E10" s="11" t="n"/>
      <c r="F10" s="7" t="n"/>
      <c r="G10" s="9">
        <f>IF(F10&lt;&gt;"",F10,IF(D10&lt;&gt;"",IF(COUNT(AA10:AX10)=0,"",MIN(AA10:AX10)),""))</f>
        <v/>
      </c>
      <c r="H10" s="12" t="n"/>
      <c r="I10" s="7" t="n"/>
      <c r="J10" s="13">
        <f>IF(OR(G10="",I10=""),"",MAX(0,I10-G10-1))</f>
        <v/>
      </c>
      <c r="K10" s="14">
        <f>IF(OR(J10="",H10=""),"",ROUND(H10*12/365*J10,2))</f>
        <v/>
      </c>
      <c r="L10" s="9">
        <f>IF(D10&lt;&gt;"",D10,"")</f>
        <v/>
      </c>
      <c r="M10" s="6" t="n"/>
      <c r="N10" s="9">
        <f>IF(G10="","",WORKDAY(G10,-10,Einstellungen!$D$5:$D$34))</f>
        <v/>
      </c>
      <c r="O10" s="6" t="n"/>
      <c r="P10" s="9">
        <f>IF(G10="","",WORKDAY(G10-1,1,Einstellungen!$D$5:$D$34))</f>
        <v/>
      </c>
      <c r="Q10" s="6" t="n"/>
      <c r="R10" s="9">
        <f>IF(P10="","",WORKDAY(P10,2,Einstellungen!$D$5:$D$34))</f>
        <v/>
      </c>
      <c r="S10" s="6" t="n"/>
      <c r="T10" s="9">
        <f>IF(G10="","",EDATE(G10,12))</f>
        <v/>
      </c>
      <c r="U10" s="6" t="n"/>
      <c r="V10" s="9">
        <f>IF(COUNT(AY10:BC10)=0,"",MIN(AY10:BC10))</f>
        <v/>
      </c>
      <c r="W10" s="13">
        <f>IF(V10="","",V10-$B$2)</f>
        <v/>
      </c>
      <c r="X10" s="15">
        <f>IF(C10="Vermieter","Amtliches Formular verwendet? Bei Familienwohnung an beide Ehegatten.",IF(C10="Ausserterminlich","Nachmieter zumutbar? Vereinbartes Ende eintragen.",IF(AND(G10&lt;&gt;"",I10=""),"Noch kein Nachmieter.","")))</f>
        <v/>
      </c>
      <c r="AA10" s="16">
        <f>IF(D10&lt;&gt;"",IF(OR(COUNTIF(Einstellungen!$B$5:$B$16,"x")=0,INDEX(Einstellungen!$B$5:$B$16,MONTH(EOMONTH(D10,IF(E10="",3,E10)+0)))="x"),EOMONTH(D10,IF(E10="",3,E10)+0),""),"")</f>
        <v/>
      </c>
      <c r="AB10" s="16">
        <f>IF(D10&lt;&gt;"",IF(OR(COUNTIF(Einstellungen!$B$5:$B$16,"x")=0,INDEX(Einstellungen!$B$5:$B$16,MONTH(EOMONTH(D10,IF(E10="",3,E10)+1)))="x"),EOMONTH(D10,IF(E10="",3,E10)+1),""),"")</f>
        <v/>
      </c>
      <c r="AC10" s="16">
        <f>IF(D10&lt;&gt;"",IF(OR(COUNTIF(Einstellungen!$B$5:$B$16,"x")=0,INDEX(Einstellungen!$B$5:$B$16,MONTH(EOMONTH(D10,IF(E10="",3,E10)+2)))="x"),EOMONTH(D10,IF(E10="",3,E10)+2),""),"")</f>
        <v/>
      </c>
      <c r="AD10" s="16">
        <f>IF(D10&lt;&gt;"",IF(OR(COUNTIF(Einstellungen!$B$5:$B$16,"x")=0,INDEX(Einstellungen!$B$5:$B$16,MONTH(EOMONTH(D10,IF(E10="",3,E10)+3)))="x"),EOMONTH(D10,IF(E10="",3,E10)+3),""),"")</f>
        <v/>
      </c>
      <c r="AE10" s="16">
        <f>IF(D10&lt;&gt;"",IF(OR(COUNTIF(Einstellungen!$B$5:$B$16,"x")=0,INDEX(Einstellungen!$B$5:$B$16,MONTH(EOMONTH(D10,IF(E10="",3,E10)+4)))="x"),EOMONTH(D10,IF(E10="",3,E10)+4),""),"")</f>
        <v/>
      </c>
      <c r="AF10" s="16">
        <f>IF(D10&lt;&gt;"",IF(OR(COUNTIF(Einstellungen!$B$5:$B$16,"x")=0,INDEX(Einstellungen!$B$5:$B$16,MONTH(EOMONTH(D10,IF(E10="",3,E10)+5)))="x"),EOMONTH(D10,IF(E10="",3,E10)+5),""),"")</f>
        <v/>
      </c>
      <c r="AG10" s="16">
        <f>IF(D10&lt;&gt;"",IF(OR(COUNTIF(Einstellungen!$B$5:$B$16,"x")=0,INDEX(Einstellungen!$B$5:$B$16,MONTH(EOMONTH(D10,IF(E10="",3,E10)+6)))="x"),EOMONTH(D10,IF(E10="",3,E10)+6),""),"")</f>
        <v/>
      </c>
      <c r="AH10" s="16">
        <f>IF(D10&lt;&gt;"",IF(OR(COUNTIF(Einstellungen!$B$5:$B$16,"x")=0,INDEX(Einstellungen!$B$5:$B$16,MONTH(EOMONTH(D10,IF(E10="",3,E10)+7)))="x"),EOMONTH(D10,IF(E10="",3,E10)+7),""),"")</f>
        <v/>
      </c>
      <c r="AI10" s="16">
        <f>IF(D10&lt;&gt;"",IF(OR(COUNTIF(Einstellungen!$B$5:$B$16,"x")=0,INDEX(Einstellungen!$B$5:$B$16,MONTH(EOMONTH(D10,IF(E10="",3,E10)+8)))="x"),EOMONTH(D10,IF(E10="",3,E10)+8),""),"")</f>
        <v/>
      </c>
      <c r="AJ10" s="16">
        <f>IF(D10&lt;&gt;"",IF(OR(COUNTIF(Einstellungen!$B$5:$B$16,"x")=0,INDEX(Einstellungen!$B$5:$B$16,MONTH(EOMONTH(D10,IF(E10="",3,E10)+9)))="x"),EOMONTH(D10,IF(E10="",3,E10)+9),""),"")</f>
        <v/>
      </c>
      <c r="AK10" s="16">
        <f>IF(D10&lt;&gt;"",IF(OR(COUNTIF(Einstellungen!$B$5:$B$16,"x")=0,INDEX(Einstellungen!$B$5:$B$16,MONTH(EOMONTH(D10,IF(E10="",3,E10)+10)))="x"),EOMONTH(D10,IF(E10="",3,E10)+10),""),"")</f>
        <v/>
      </c>
      <c r="AL10" s="16">
        <f>IF(D10&lt;&gt;"",IF(OR(COUNTIF(Einstellungen!$B$5:$B$16,"x")=0,INDEX(Einstellungen!$B$5:$B$16,MONTH(EOMONTH(D10,IF(E10="",3,E10)+11)))="x"),EOMONTH(D10,IF(E10="",3,E10)+11),""),"")</f>
        <v/>
      </c>
      <c r="AM10" s="16">
        <f>IF(D10&lt;&gt;"",IF(OR(COUNTIF(Einstellungen!$B$5:$B$16,"x")=0,INDEX(Einstellungen!$B$5:$B$16,MONTH(EOMONTH(D10,IF(E10="",3,E10)+12)))="x"),EOMONTH(D10,IF(E10="",3,E10)+12),""),"")</f>
        <v/>
      </c>
      <c r="AN10" s="16">
        <f>IF(D10&lt;&gt;"",IF(OR(COUNTIF(Einstellungen!$B$5:$B$16,"x")=0,INDEX(Einstellungen!$B$5:$B$16,MONTH(EOMONTH(D10,IF(E10="",3,E10)+13)))="x"),EOMONTH(D10,IF(E10="",3,E10)+13),""),"")</f>
        <v/>
      </c>
      <c r="AO10" s="16">
        <f>IF(D10&lt;&gt;"",IF(OR(COUNTIF(Einstellungen!$B$5:$B$16,"x")=0,INDEX(Einstellungen!$B$5:$B$16,MONTH(EOMONTH(D10,IF(E10="",3,E10)+14)))="x"),EOMONTH(D10,IF(E10="",3,E10)+14),""),"")</f>
        <v/>
      </c>
      <c r="AP10" s="16">
        <f>IF(D10&lt;&gt;"",IF(OR(COUNTIF(Einstellungen!$B$5:$B$16,"x")=0,INDEX(Einstellungen!$B$5:$B$16,MONTH(EOMONTH(D10,IF(E10="",3,E10)+15)))="x"),EOMONTH(D10,IF(E10="",3,E10)+15),""),"")</f>
        <v/>
      </c>
      <c r="AQ10" s="16">
        <f>IF(D10&lt;&gt;"",IF(OR(COUNTIF(Einstellungen!$B$5:$B$16,"x")=0,INDEX(Einstellungen!$B$5:$B$16,MONTH(EOMONTH(D10,IF(E10="",3,E10)+16)))="x"),EOMONTH(D10,IF(E10="",3,E10)+16),""),"")</f>
        <v/>
      </c>
      <c r="AR10" s="16">
        <f>IF(D10&lt;&gt;"",IF(OR(COUNTIF(Einstellungen!$B$5:$B$16,"x")=0,INDEX(Einstellungen!$B$5:$B$16,MONTH(EOMONTH(D10,IF(E10="",3,E10)+17)))="x"),EOMONTH(D10,IF(E10="",3,E10)+17),""),"")</f>
        <v/>
      </c>
      <c r="AS10" s="16">
        <f>IF(D10&lt;&gt;"",IF(OR(COUNTIF(Einstellungen!$B$5:$B$16,"x")=0,INDEX(Einstellungen!$B$5:$B$16,MONTH(EOMONTH(D10,IF(E10="",3,E10)+18)))="x"),EOMONTH(D10,IF(E10="",3,E10)+18),""),"")</f>
        <v/>
      </c>
      <c r="AT10" s="16">
        <f>IF(D10&lt;&gt;"",IF(OR(COUNTIF(Einstellungen!$B$5:$B$16,"x")=0,INDEX(Einstellungen!$B$5:$B$16,MONTH(EOMONTH(D10,IF(E10="",3,E10)+19)))="x"),EOMONTH(D10,IF(E10="",3,E10)+19),""),"")</f>
        <v/>
      </c>
      <c r="AU10" s="16">
        <f>IF(D10&lt;&gt;"",IF(OR(COUNTIF(Einstellungen!$B$5:$B$16,"x")=0,INDEX(Einstellungen!$B$5:$B$16,MONTH(EOMONTH(D10,IF(E10="",3,E10)+20)))="x"),EOMONTH(D10,IF(E10="",3,E10)+20),""),"")</f>
        <v/>
      </c>
      <c r="AV10" s="16">
        <f>IF(D10&lt;&gt;"",IF(OR(COUNTIF(Einstellungen!$B$5:$B$16,"x")=0,INDEX(Einstellungen!$B$5:$B$16,MONTH(EOMONTH(D10,IF(E10="",3,E10)+21)))="x"),EOMONTH(D10,IF(E10="",3,E10)+21),""),"")</f>
        <v/>
      </c>
      <c r="AW10" s="16">
        <f>IF(D10&lt;&gt;"",IF(OR(COUNTIF(Einstellungen!$B$5:$B$16,"x")=0,INDEX(Einstellungen!$B$5:$B$16,MONTH(EOMONTH(D10,IF(E10="",3,E10)+22)))="x"),EOMONTH(D10,IF(E10="",3,E10)+22),""),"")</f>
        <v/>
      </c>
      <c r="AX10" s="16">
        <f>IF(D10&lt;&gt;"",IF(OR(COUNTIF(Einstellungen!$B$5:$B$16,"x")=0,INDEX(Einstellungen!$B$5:$B$16,MONTH(EOMONTH(D10,IF(E10="",3,E10)+23)))="x"),EOMONTH(D10,IF(E10="",3,E10)+23),""),"")</f>
        <v/>
      </c>
      <c r="AY10" s="16">
        <f>IF(AND(L10&lt;&gt;"",M10=""),L10,"")</f>
        <v/>
      </c>
      <c r="AZ10" s="16">
        <f>IF(AND(N10&lt;&gt;"",O10=""),N10,"")</f>
        <v/>
      </c>
      <c r="BA10" s="16">
        <f>IF(AND(P10&lt;&gt;"",Q10=""),P10,"")</f>
        <v/>
      </c>
      <c r="BB10" s="16">
        <f>IF(AND(R10&lt;&gt;"",S10=""),R10,"")</f>
        <v/>
      </c>
      <c r="BC10" s="16">
        <f>IF(AND(T10&lt;&gt;"",U10=""),T10,"")</f>
        <v/>
      </c>
    </row>
    <row r="11">
      <c r="A11" s="6" t="n"/>
      <c r="B11" s="6" t="n"/>
      <c r="C11" s="6" t="n"/>
      <c r="D11" s="7" t="n"/>
      <c r="E11" s="11" t="n"/>
      <c r="F11" s="7" t="n"/>
      <c r="G11" s="9">
        <f>IF(F11&lt;&gt;"",F11,IF(D11&lt;&gt;"",IF(COUNT(AA11:AX11)=0,"",MIN(AA11:AX11)),""))</f>
        <v/>
      </c>
      <c r="H11" s="12" t="n"/>
      <c r="I11" s="7" t="n"/>
      <c r="J11" s="13">
        <f>IF(OR(G11="",I11=""),"",MAX(0,I11-G11-1))</f>
        <v/>
      </c>
      <c r="K11" s="14">
        <f>IF(OR(J11="",H11=""),"",ROUND(H11*12/365*J11,2))</f>
        <v/>
      </c>
      <c r="L11" s="9">
        <f>IF(D11&lt;&gt;"",D11,"")</f>
        <v/>
      </c>
      <c r="M11" s="6" t="n"/>
      <c r="N11" s="9">
        <f>IF(G11="","",WORKDAY(G11,-10,Einstellungen!$D$5:$D$34))</f>
        <v/>
      </c>
      <c r="O11" s="6" t="n"/>
      <c r="P11" s="9">
        <f>IF(G11="","",WORKDAY(G11-1,1,Einstellungen!$D$5:$D$34))</f>
        <v/>
      </c>
      <c r="Q11" s="6" t="n"/>
      <c r="R11" s="9">
        <f>IF(P11="","",WORKDAY(P11,2,Einstellungen!$D$5:$D$34))</f>
        <v/>
      </c>
      <c r="S11" s="6" t="n"/>
      <c r="T11" s="9">
        <f>IF(G11="","",EDATE(G11,12))</f>
        <v/>
      </c>
      <c r="U11" s="6" t="n"/>
      <c r="V11" s="9">
        <f>IF(COUNT(AY11:BC11)=0,"",MIN(AY11:BC11))</f>
        <v/>
      </c>
      <c r="W11" s="13">
        <f>IF(V11="","",V11-$B$2)</f>
        <v/>
      </c>
      <c r="X11" s="15">
        <f>IF(C11="Vermieter","Amtliches Formular verwendet? Bei Familienwohnung an beide Ehegatten.",IF(C11="Ausserterminlich","Nachmieter zumutbar? Vereinbartes Ende eintragen.",IF(AND(G11&lt;&gt;"",I11=""),"Noch kein Nachmieter.","")))</f>
        <v/>
      </c>
      <c r="AA11" s="16">
        <f>IF(D11&lt;&gt;"",IF(OR(COUNTIF(Einstellungen!$B$5:$B$16,"x")=0,INDEX(Einstellungen!$B$5:$B$16,MONTH(EOMONTH(D11,IF(E11="",3,E11)+0)))="x"),EOMONTH(D11,IF(E11="",3,E11)+0),""),"")</f>
        <v/>
      </c>
      <c r="AB11" s="16">
        <f>IF(D11&lt;&gt;"",IF(OR(COUNTIF(Einstellungen!$B$5:$B$16,"x")=0,INDEX(Einstellungen!$B$5:$B$16,MONTH(EOMONTH(D11,IF(E11="",3,E11)+1)))="x"),EOMONTH(D11,IF(E11="",3,E11)+1),""),"")</f>
        <v/>
      </c>
      <c r="AC11" s="16">
        <f>IF(D11&lt;&gt;"",IF(OR(COUNTIF(Einstellungen!$B$5:$B$16,"x")=0,INDEX(Einstellungen!$B$5:$B$16,MONTH(EOMONTH(D11,IF(E11="",3,E11)+2)))="x"),EOMONTH(D11,IF(E11="",3,E11)+2),""),"")</f>
        <v/>
      </c>
      <c r="AD11" s="16">
        <f>IF(D11&lt;&gt;"",IF(OR(COUNTIF(Einstellungen!$B$5:$B$16,"x")=0,INDEX(Einstellungen!$B$5:$B$16,MONTH(EOMONTH(D11,IF(E11="",3,E11)+3)))="x"),EOMONTH(D11,IF(E11="",3,E11)+3),""),"")</f>
        <v/>
      </c>
      <c r="AE11" s="16">
        <f>IF(D11&lt;&gt;"",IF(OR(COUNTIF(Einstellungen!$B$5:$B$16,"x")=0,INDEX(Einstellungen!$B$5:$B$16,MONTH(EOMONTH(D11,IF(E11="",3,E11)+4)))="x"),EOMONTH(D11,IF(E11="",3,E11)+4),""),"")</f>
        <v/>
      </c>
      <c r="AF11" s="16">
        <f>IF(D11&lt;&gt;"",IF(OR(COUNTIF(Einstellungen!$B$5:$B$16,"x")=0,INDEX(Einstellungen!$B$5:$B$16,MONTH(EOMONTH(D11,IF(E11="",3,E11)+5)))="x"),EOMONTH(D11,IF(E11="",3,E11)+5),""),"")</f>
        <v/>
      </c>
      <c r="AG11" s="16">
        <f>IF(D11&lt;&gt;"",IF(OR(COUNTIF(Einstellungen!$B$5:$B$16,"x")=0,INDEX(Einstellungen!$B$5:$B$16,MONTH(EOMONTH(D11,IF(E11="",3,E11)+6)))="x"),EOMONTH(D11,IF(E11="",3,E11)+6),""),"")</f>
        <v/>
      </c>
      <c r="AH11" s="16">
        <f>IF(D11&lt;&gt;"",IF(OR(COUNTIF(Einstellungen!$B$5:$B$16,"x")=0,INDEX(Einstellungen!$B$5:$B$16,MONTH(EOMONTH(D11,IF(E11="",3,E11)+7)))="x"),EOMONTH(D11,IF(E11="",3,E11)+7),""),"")</f>
        <v/>
      </c>
      <c r="AI11" s="16">
        <f>IF(D11&lt;&gt;"",IF(OR(COUNTIF(Einstellungen!$B$5:$B$16,"x")=0,INDEX(Einstellungen!$B$5:$B$16,MONTH(EOMONTH(D11,IF(E11="",3,E11)+8)))="x"),EOMONTH(D11,IF(E11="",3,E11)+8),""),"")</f>
        <v/>
      </c>
      <c r="AJ11" s="16">
        <f>IF(D11&lt;&gt;"",IF(OR(COUNTIF(Einstellungen!$B$5:$B$16,"x")=0,INDEX(Einstellungen!$B$5:$B$16,MONTH(EOMONTH(D11,IF(E11="",3,E11)+9)))="x"),EOMONTH(D11,IF(E11="",3,E11)+9),""),"")</f>
        <v/>
      </c>
      <c r="AK11" s="16">
        <f>IF(D11&lt;&gt;"",IF(OR(COUNTIF(Einstellungen!$B$5:$B$16,"x")=0,INDEX(Einstellungen!$B$5:$B$16,MONTH(EOMONTH(D11,IF(E11="",3,E11)+10)))="x"),EOMONTH(D11,IF(E11="",3,E11)+10),""),"")</f>
        <v/>
      </c>
      <c r="AL11" s="16">
        <f>IF(D11&lt;&gt;"",IF(OR(COUNTIF(Einstellungen!$B$5:$B$16,"x")=0,INDEX(Einstellungen!$B$5:$B$16,MONTH(EOMONTH(D11,IF(E11="",3,E11)+11)))="x"),EOMONTH(D11,IF(E11="",3,E11)+11),""),"")</f>
        <v/>
      </c>
      <c r="AM11" s="16">
        <f>IF(D11&lt;&gt;"",IF(OR(COUNTIF(Einstellungen!$B$5:$B$16,"x")=0,INDEX(Einstellungen!$B$5:$B$16,MONTH(EOMONTH(D11,IF(E11="",3,E11)+12)))="x"),EOMONTH(D11,IF(E11="",3,E11)+12),""),"")</f>
        <v/>
      </c>
      <c r="AN11" s="16">
        <f>IF(D11&lt;&gt;"",IF(OR(COUNTIF(Einstellungen!$B$5:$B$16,"x")=0,INDEX(Einstellungen!$B$5:$B$16,MONTH(EOMONTH(D11,IF(E11="",3,E11)+13)))="x"),EOMONTH(D11,IF(E11="",3,E11)+13),""),"")</f>
        <v/>
      </c>
      <c r="AO11" s="16">
        <f>IF(D11&lt;&gt;"",IF(OR(COUNTIF(Einstellungen!$B$5:$B$16,"x")=0,INDEX(Einstellungen!$B$5:$B$16,MONTH(EOMONTH(D11,IF(E11="",3,E11)+14)))="x"),EOMONTH(D11,IF(E11="",3,E11)+14),""),"")</f>
        <v/>
      </c>
      <c r="AP11" s="16">
        <f>IF(D11&lt;&gt;"",IF(OR(COUNTIF(Einstellungen!$B$5:$B$16,"x")=0,INDEX(Einstellungen!$B$5:$B$16,MONTH(EOMONTH(D11,IF(E11="",3,E11)+15)))="x"),EOMONTH(D11,IF(E11="",3,E11)+15),""),"")</f>
        <v/>
      </c>
      <c r="AQ11" s="16">
        <f>IF(D11&lt;&gt;"",IF(OR(COUNTIF(Einstellungen!$B$5:$B$16,"x")=0,INDEX(Einstellungen!$B$5:$B$16,MONTH(EOMONTH(D11,IF(E11="",3,E11)+16)))="x"),EOMONTH(D11,IF(E11="",3,E11)+16),""),"")</f>
        <v/>
      </c>
      <c r="AR11" s="16">
        <f>IF(D11&lt;&gt;"",IF(OR(COUNTIF(Einstellungen!$B$5:$B$16,"x")=0,INDEX(Einstellungen!$B$5:$B$16,MONTH(EOMONTH(D11,IF(E11="",3,E11)+17)))="x"),EOMONTH(D11,IF(E11="",3,E11)+17),""),"")</f>
        <v/>
      </c>
      <c r="AS11" s="16">
        <f>IF(D11&lt;&gt;"",IF(OR(COUNTIF(Einstellungen!$B$5:$B$16,"x")=0,INDEX(Einstellungen!$B$5:$B$16,MONTH(EOMONTH(D11,IF(E11="",3,E11)+18)))="x"),EOMONTH(D11,IF(E11="",3,E11)+18),""),"")</f>
        <v/>
      </c>
      <c r="AT11" s="16">
        <f>IF(D11&lt;&gt;"",IF(OR(COUNTIF(Einstellungen!$B$5:$B$16,"x")=0,INDEX(Einstellungen!$B$5:$B$16,MONTH(EOMONTH(D11,IF(E11="",3,E11)+19)))="x"),EOMONTH(D11,IF(E11="",3,E11)+19),""),"")</f>
        <v/>
      </c>
      <c r="AU11" s="16">
        <f>IF(D11&lt;&gt;"",IF(OR(COUNTIF(Einstellungen!$B$5:$B$16,"x")=0,INDEX(Einstellungen!$B$5:$B$16,MONTH(EOMONTH(D11,IF(E11="",3,E11)+20)))="x"),EOMONTH(D11,IF(E11="",3,E11)+20),""),"")</f>
        <v/>
      </c>
      <c r="AV11" s="16">
        <f>IF(D11&lt;&gt;"",IF(OR(COUNTIF(Einstellungen!$B$5:$B$16,"x")=0,INDEX(Einstellungen!$B$5:$B$16,MONTH(EOMONTH(D11,IF(E11="",3,E11)+21)))="x"),EOMONTH(D11,IF(E11="",3,E11)+21),""),"")</f>
        <v/>
      </c>
      <c r="AW11" s="16">
        <f>IF(D11&lt;&gt;"",IF(OR(COUNTIF(Einstellungen!$B$5:$B$16,"x")=0,INDEX(Einstellungen!$B$5:$B$16,MONTH(EOMONTH(D11,IF(E11="",3,E11)+22)))="x"),EOMONTH(D11,IF(E11="",3,E11)+22),""),"")</f>
        <v/>
      </c>
      <c r="AX11" s="16">
        <f>IF(D11&lt;&gt;"",IF(OR(COUNTIF(Einstellungen!$B$5:$B$16,"x")=0,INDEX(Einstellungen!$B$5:$B$16,MONTH(EOMONTH(D11,IF(E11="",3,E11)+23)))="x"),EOMONTH(D11,IF(E11="",3,E11)+23),""),"")</f>
        <v/>
      </c>
      <c r="AY11" s="16">
        <f>IF(AND(L11&lt;&gt;"",M11=""),L11,"")</f>
        <v/>
      </c>
      <c r="AZ11" s="16">
        <f>IF(AND(N11&lt;&gt;"",O11=""),N11,"")</f>
        <v/>
      </c>
      <c r="BA11" s="16">
        <f>IF(AND(P11&lt;&gt;"",Q11=""),P11,"")</f>
        <v/>
      </c>
      <c r="BB11" s="16">
        <f>IF(AND(R11&lt;&gt;"",S11=""),R11,"")</f>
        <v/>
      </c>
      <c r="BC11" s="16">
        <f>IF(AND(T11&lt;&gt;"",U11=""),T11,"")</f>
        <v/>
      </c>
    </row>
    <row r="12">
      <c r="A12" s="6" t="n"/>
      <c r="B12" s="6" t="n"/>
      <c r="C12" s="6" t="n"/>
      <c r="D12" s="7" t="n"/>
      <c r="E12" s="11" t="n"/>
      <c r="F12" s="7" t="n"/>
      <c r="G12" s="9">
        <f>IF(F12&lt;&gt;"",F12,IF(D12&lt;&gt;"",IF(COUNT(AA12:AX12)=0,"",MIN(AA12:AX12)),""))</f>
        <v/>
      </c>
      <c r="H12" s="12" t="n"/>
      <c r="I12" s="7" t="n"/>
      <c r="J12" s="13">
        <f>IF(OR(G12="",I12=""),"",MAX(0,I12-G12-1))</f>
        <v/>
      </c>
      <c r="K12" s="14">
        <f>IF(OR(J12="",H12=""),"",ROUND(H12*12/365*J12,2))</f>
        <v/>
      </c>
      <c r="L12" s="9">
        <f>IF(D12&lt;&gt;"",D12,"")</f>
        <v/>
      </c>
      <c r="M12" s="6" t="n"/>
      <c r="N12" s="9">
        <f>IF(G12="","",WORKDAY(G12,-10,Einstellungen!$D$5:$D$34))</f>
        <v/>
      </c>
      <c r="O12" s="6" t="n"/>
      <c r="P12" s="9">
        <f>IF(G12="","",WORKDAY(G12-1,1,Einstellungen!$D$5:$D$34))</f>
        <v/>
      </c>
      <c r="Q12" s="6" t="n"/>
      <c r="R12" s="9">
        <f>IF(P12="","",WORKDAY(P12,2,Einstellungen!$D$5:$D$34))</f>
        <v/>
      </c>
      <c r="S12" s="6" t="n"/>
      <c r="T12" s="9">
        <f>IF(G12="","",EDATE(G12,12))</f>
        <v/>
      </c>
      <c r="U12" s="6" t="n"/>
      <c r="V12" s="9">
        <f>IF(COUNT(AY12:BC12)=0,"",MIN(AY12:BC12))</f>
        <v/>
      </c>
      <c r="W12" s="13">
        <f>IF(V12="","",V12-$B$2)</f>
        <v/>
      </c>
      <c r="X12" s="15">
        <f>IF(C12="Vermieter","Amtliches Formular verwendet? Bei Familienwohnung an beide Ehegatten.",IF(C12="Ausserterminlich","Nachmieter zumutbar? Vereinbartes Ende eintragen.",IF(AND(G12&lt;&gt;"",I12=""),"Noch kein Nachmieter.","")))</f>
        <v/>
      </c>
      <c r="AA12" s="16">
        <f>IF(D12&lt;&gt;"",IF(OR(COUNTIF(Einstellungen!$B$5:$B$16,"x")=0,INDEX(Einstellungen!$B$5:$B$16,MONTH(EOMONTH(D12,IF(E12="",3,E12)+0)))="x"),EOMONTH(D12,IF(E12="",3,E12)+0),""),"")</f>
        <v/>
      </c>
      <c r="AB12" s="16">
        <f>IF(D12&lt;&gt;"",IF(OR(COUNTIF(Einstellungen!$B$5:$B$16,"x")=0,INDEX(Einstellungen!$B$5:$B$16,MONTH(EOMONTH(D12,IF(E12="",3,E12)+1)))="x"),EOMONTH(D12,IF(E12="",3,E12)+1),""),"")</f>
        <v/>
      </c>
      <c r="AC12" s="16">
        <f>IF(D12&lt;&gt;"",IF(OR(COUNTIF(Einstellungen!$B$5:$B$16,"x")=0,INDEX(Einstellungen!$B$5:$B$16,MONTH(EOMONTH(D12,IF(E12="",3,E12)+2)))="x"),EOMONTH(D12,IF(E12="",3,E12)+2),""),"")</f>
        <v/>
      </c>
      <c r="AD12" s="16">
        <f>IF(D12&lt;&gt;"",IF(OR(COUNTIF(Einstellungen!$B$5:$B$16,"x")=0,INDEX(Einstellungen!$B$5:$B$16,MONTH(EOMONTH(D12,IF(E12="",3,E12)+3)))="x"),EOMONTH(D12,IF(E12="",3,E12)+3),""),"")</f>
        <v/>
      </c>
      <c r="AE12" s="16">
        <f>IF(D12&lt;&gt;"",IF(OR(COUNTIF(Einstellungen!$B$5:$B$16,"x")=0,INDEX(Einstellungen!$B$5:$B$16,MONTH(EOMONTH(D12,IF(E12="",3,E12)+4)))="x"),EOMONTH(D12,IF(E12="",3,E12)+4),""),"")</f>
        <v/>
      </c>
      <c r="AF12" s="16">
        <f>IF(D12&lt;&gt;"",IF(OR(COUNTIF(Einstellungen!$B$5:$B$16,"x")=0,INDEX(Einstellungen!$B$5:$B$16,MONTH(EOMONTH(D12,IF(E12="",3,E12)+5)))="x"),EOMONTH(D12,IF(E12="",3,E12)+5),""),"")</f>
        <v/>
      </c>
      <c r="AG12" s="16">
        <f>IF(D12&lt;&gt;"",IF(OR(COUNTIF(Einstellungen!$B$5:$B$16,"x")=0,INDEX(Einstellungen!$B$5:$B$16,MONTH(EOMONTH(D12,IF(E12="",3,E12)+6)))="x"),EOMONTH(D12,IF(E12="",3,E12)+6),""),"")</f>
        <v/>
      </c>
      <c r="AH12" s="16">
        <f>IF(D12&lt;&gt;"",IF(OR(COUNTIF(Einstellungen!$B$5:$B$16,"x")=0,INDEX(Einstellungen!$B$5:$B$16,MONTH(EOMONTH(D12,IF(E12="",3,E12)+7)))="x"),EOMONTH(D12,IF(E12="",3,E12)+7),""),"")</f>
        <v/>
      </c>
      <c r="AI12" s="16">
        <f>IF(D12&lt;&gt;"",IF(OR(COUNTIF(Einstellungen!$B$5:$B$16,"x")=0,INDEX(Einstellungen!$B$5:$B$16,MONTH(EOMONTH(D12,IF(E12="",3,E12)+8)))="x"),EOMONTH(D12,IF(E12="",3,E12)+8),""),"")</f>
        <v/>
      </c>
      <c r="AJ12" s="16">
        <f>IF(D12&lt;&gt;"",IF(OR(COUNTIF(Einstellungen!$B$5:$B$16,"x")=0,INDEX(Einstellungen!$B$5:$B$16,MONTH(EOMONTH(D12,IF(E12="",3,E12)+9)))="x"),EOMONTH(D12,IF(E12="",3,E12)+9),""),"")</f>
        <v/>
      </c>
      <c r="AK12" s="16">
        <f>IF(D12&lt;&gt;"",IF(OR(COUNTIF(Einstellungen!$B$5:$B$16,"x")=0,INDEX(Einstellungen!$B$5:$B$16,MONTH(EOMONTH(D12,IF(E12="",3,E12)+10)))="x"),EOMONTH(D12,IF(E12="",3,E12)+10),""),"")</f>
        <v/>
      </c>
      <c r="AL12" s="16">
        <f>IF(D12&lt;&gt;"",IF(OR(COUNTIF(Einstellungen!$B$5:$B$16,"x")=0,INDEX(Einstellungen!$B$5:$B$16,MONTH(EOMONTH(D12,IF(E12="",3,E12)+11)))="x"),EOMONTH(D12,IF(E12="",3,E12)+11),""),"")</f>
        <v/>
      </c>
      <c r="AM12" s="16">
        <f>IF(D12&lt;&gt;"",IF(OR(COUNTIF(Einstellungen!$B$5:$B$16,"x")=0,INDEX(Einstellungen!$B$5:$B$16,MONTH(EOMONTH(D12,IF(E12="",3,E12)+12)))="x"),EOMONTH(D12,IF(E12="",3,E12)+12),""),"")</f>
        <v/>
      </c>
      <c r="AN12" s="16">
        <f>IF(D12&lt;&gt;"",IF(OR(COUNTIF(Einstellungen!$B$5:$B$16,"x")=0,INDEX(Einstellungen!$B$5:$B$16,MONTH(EOMONTH(D12,IF(E12="",3,E12)+13)))="x"),EOMONTH(D12,IF(E12="",3,E12)+13),""),"")</f>
        <v/>
      </c>
      <c r="AO12" s="16">
        <f>IF(D12&lt;&gt;"",IF(OR(COUNTIF(Einstellungen!$B$5:$B$16,"x")=0,INDEX(Einstellungen!$B$5:$B$16,MONTH(EOMONTH(D12,IF(E12="",3,E12)+14)))="x"),EOMONTH(D12,IF(E12="",3,E12)+14),""),"")</f>
        <v/>
      </c>
      <c r="AP12" s="16">
        <f>IF(D12&lt;&gt;"",IF(OR(COUNTIF(Einstellungen!$B$5:$B$16,"x")=0,INDEX(Einstellungen!$B$5:$B$16,MONTH(EOMONTH(D12,IF(E12="",3,E12)+15)))="x"),EOMONTH(D12,IF(E12="",3,E12)+15),""),"")</f>
        <v/>
      </c>
      <c r="AQ12" s="16">
        <f>IF(D12&lt;&gt;"",IF(OR(COUNTIF(Einstellungen!$B$5:$B$16,"x")=0,INDEX(Einstellungen!$B$5:$B$16,MONTH(EOMONTH(D12,IF(E12="",3,E12)+16)))="x"),EOMONTH(D12,IF(E12="",3,E12)+16),""),"")</f>
        <v/>
      </c>
      <c r="AR12" s="16">
        <f>IF(D12&lt;&gt;"",IF(OR(COUNTIF(Einstellungen!$B$5:$B$16,"x")=0,INDEX(Einstellungen!$B$5:$B$16,MONTH(EOMONTH(D12,IF(E12="",3,E12)+17)))="x"),EOMONTH(D12,IF(E12="",3,E12)+17),""),"")</f>
        <v/>
      </c>
      <c r="AS12" s="16">
        <f>IF(D12&lt;&gt;"",IF(OR(COUNTIF(Einstellungen!$B$5:$B$16,"x")=0,INDEX(Einstellungen!$B$5:$B$16,MONTH(EOMONTH(D12,IF(E12="",3,E12)+18)))="x"),EOMONTH(D12,IF(E12="",3,E12)+18),""),"")</f>
        <v/>
      </c>
      <c r="AT12" s="16">
        <f>IF(D12&lt;&gt;"",IF(OR(COUNTIF(Einstellungen!$B$5:$B$16,"x")=0,INDEX(Einstellungen!$B$5:$B$16,MONTH(EOMONTH(D12,IF(E12="",3,E12)+19)))="x"),EOMONTH(D12,IF(E12="",3,E12)+19),""),"")</f>
        <v/>
      </c>
      <c r="AU12" s="16">
        <f>IF(D12&lt;&gt;"",IF(OR(COUNTIF(Einstellungen!$B$5:$B$16,"x")=0,INDEX(Einstellungen!$B$5:$B$16,MONTH(EOMONTH(D12,IF(E12="",3,E12)+20)))="x"),EOMONTH(D12,IF(E12="",3,E12)+20),""),"")</f>
        <v/>
      </c>
      <c r="AV12" s="16">
        <f>IF(D12&lt;&gt;"",IF(OR(COUNTIF(Einstellungen!$B$5:$B$16,"x")=0,INDEX(Einstellungen!$B$5:$B$16,MONTH(EOMONTH(D12,IF(E12="",3,E12)+21)))="x"),EOMONTH(D12,IF(E12="",3,E12)+21),""),"")</f>
        <v/>
      </c>
      <c r="AW12" s="16">
        <f>IF(D12&lt;&gt;"",IF(OR(COUNTIF(Einstellungen!$B$5:$B$16,"x")=0,INDEX(Einstellungen!$B$5:$B$16,MONTH(EOMONTH(D12,IF(E12="",3,E12)+22)))="x"),EOMONTH(D12,IF(E12="",3,E12)+22),""),"")</f>
        <v/>
      </c>
      <c r="AX12" s="16">
        <f>IF(D12&lt;&gt;"",IF(OR(COUNTIF(Einstellungen!$B$5:$B$16,"x")=0,INDEX(Einstellungen!$B$5:$B$16,MONTH(EOMONTH(D12,IF(E12="",3,E12)+23)))="x"),EOMONTH(D12,IF(E12="",3,E12)+23),""),"")</f>
        <v/>
      </c>
      <c r="AY12" s="16">
        <f>IF(AND(L12&lt;&gt;"",M12=""),L12,"")</f>
        <v/>
      </c>
      <c r="AZ12" s="16">
        <f>IF(AND(N12&lt;&gt;"",O12=""),N12,"")</f>
        <v/>
      </c>
      <c r="BA12" s="16">
        <f>IF(AND(P12&lt;&gt;"",Q12=""),P12,"")</f>
        <v/>
      </c>
      <c r="BB12" s="16">
        <f>IF(AND(R12&lt;&gt;"",S12=""),R12,"")</f>
        <v/>
      </c>
      <c r="BC12" s="16">
        <f>IF(AND(T12&lt;&gt;"",U12=""),T12,"")</f>
        <v/>
      </c>
    </row>
    <row r="13">
      <c r="A13" s="6" t="n"/>
      <c r="B13" s="6" t="n"/>
      <c r="C13" s="6" t="n"/>
      <c r="D13" s="7" t="n"/>
      <c r="E13" s="11" t="n"/>
      <c r="F13" s="7" t="n"/>
      <c r="G13" s="9">
        <f>IF(F13&lt;&gt;"",F13,IF(D13&lt;&gt;"",IF(COUNT(AA13:AX13)=0,"",MIN(AA13:AX13)),""))</f>
        <v/>
      </c>
      <c r="H13" s="12" t="n"/>
      <c r="I13" s="7" t="n"/>
      <c r="J13" s="13">
        <f>IF(OR(G13="",I13=""),"",MAX(0,I13-G13-1))</f>
        <v/>
      </c>
      <c r="K13" s="14">
        <f>IF(OR(J13="",H13=""),"",ROUND(H13*12/365*J13,2))</f>
        <v/>
      </c>
      <c r="L13" s="9">
        <f>IF(D13&lt;&gt;"",D13,"")</f>
        <v/>
      </c>
      <c r="M13" s="6" t="n"/>
      <c r="N13" s="9">
        <f>IF(G13="","",WORKDAY(G13,-10,Einstellungen!$D$5:$D$34))</f>
        <v/>
      </c>
      <c r="O13" s="6" t="n"/>
      <c r="P13" s="9">
        <f>IF(G13="","",WORKDAY(G13-1,1,Einstellungen!$D$5:$D$34))</f>
        <v/>
      </c>
      <c r="Q13" s="6" t="n"/>
      <c r="R13" s="9">
        <f>IF(P13="","",WORKDAY(P13,2,Einstellungen!$D$5:$D$34))</f>
        <v/>
      </c>
      <c r="S13" s="6" t="n"/>
      <c r="T13" s="9">
        <f>IF(G13="","",EDATE(G13,12))</f>
        <v/>
      </c>
      <c r="U13" s="6" t="n"/>
      <c r="V13" s="9">
        <f>IF(COUNT(AY13:BC13)=0,"",MIN(AY13:BC13))</f>
        <v/>
      </c>
      <c r="W13" s="13">
        <f>IF(V13="","",V13-$B$2)</f>
        <v/>
      </c>
      <c r="X13" s="15">
        <f>IF(C13="Vermieter","Amtliches Formular verwendet? Bei Familienwohnung an beide Ehegatten.",IF(C13="Ausserterminlich","Nachmieter zumutbar? Vereinbartes Ende eintragen.",IF(AND(G13&lt;&gt;"",I13=""),"Noch kein Nachmieter.","")))</f>
        <v/>
      </c>
      <c r="AA13" s="16">
        <f>IF(D13&lt;&gt;"",IF(OR(COUNTIF(Einstellungen!$B$5:$B$16,"x")=0,INDEX(Einstellungen!$B$5:$B$16,MONTH(EOMONTH(D13,IF(E13="",3,E13)+0)))="x"),EOMONTH(D13,IF(E13="",3,E13)+0),""),"")</f>
        <v/>
      </c>
      <c r="AB13" s="16">
        <f>IF(D13&lt;&gt;"",IF(OR(COUNTIF(Einstellungen!$B$5:$B$16,"x")=0,INDEX(Einstellungen!$B$5:$B$16,MONTH(EOMONTH(D13,IF(E13="",3,E13)+1)))="x"),EOMONTH(D13,IF(E13="",3,E13)+1),""),"")</f>
        <v/>
      </c>
      <c r="AC13" s="16">
        <f>IF(D13&lt;&gt;"",IF(OR(COUNTIF(Einstellungen!$B$5:$B$16,"x")=0,INDEX(Einstellungen!$B$5:$B$16,MONTH(EOMONTH(D13,IF(E13="",3,E13)+2)))="x"),EOMONTH(D13,IF(E13="",3,E13)+2),""),"")</f>
        <v/>
      </c>
      <c r="AD13" s="16">
        <f>IF(D13&lt;&gt;"",IF(OR(COUNTIF(Einstellungen!$B$5:$B$16,"x")=0,INDEX(Einstellungen!$B$5:$B$16,MONTH(EOMONTH(D13,IF(E13="",3,E13)+3)))="x"),EOMONTH(D13,IF(E13="",3,E13)+3),""),"")</f>
        <v/>
      </c>
      <c r="AE13" s="16">
        <f>IF(D13&lt;&gt;"",IF(OR(COUNTIF(Einstellungen!$B$5:$B$16,"x")=0,INDEX(Einstellungen!$B$5:$B$16,MONTH(EOMONTH(D13,IF(E13="",3,E13)+4)))="x"),EOMONTH(D13,IF(E13="",3,E13)+4),""),"")</f>
        <v/>
      </c>
      <c r="AF13" s="16">
        <f>IF(D13&lt;&gt;"",IF(OR(COUNTIF(Einstellungen!$B$5:$B$16,"x")=0,INDEX(Einstellungen!$B$5:$B$16,MONTH(EOMONTH(D13,IF(E13="",3,E13)+5)))="x"),EOMONTH(D13,IF(E13="",3,E13)+5),""),"")</f>
        <v/>
      </c>
      <c r="AG13" s="16">
        <f>IF(D13&lt;&gt;"",IF(OR(COUNTIF(Einstellungen!$B$5:$B$16,"x")=0,INDEX(Einstellungen!$B$5:$B$16,MONTH(EOMONTH(D13,IF(E13="",3,E13)+6)))="x"),EOMONTH(D13,IF(E13="",3,E13)+6),""),"")</f>
        <v/>
      </c>
      <c r="AH13" s="16">
        <f>IF(D13&lt;&gt;"",IF(OR(COUNTIF(Einstellungen!$B$5:$B$16,"x")=0,INDEX(Einstellungen!$B$5:$B$16,MONTH(EOMONTH(D13,IF(E13="",3,E13)+7)))="x"),EOMONTH(D13,IF(E13="",3,E13)+7),""),"")</f>
        <v/>
      </c>
      <c r="AI13" s="16">
        <f>IF(D13&lt;&gt;"",IF(OR(COUNTIF(Einstellungen!$B$5:$B$16,"x")=0,INDEX(Einstellungen!$B$5:$B$16,MONTH(EOMONTH(D13,IF(E13="",3,E13)+8)))="x"),EOMONTH(D13,IF(E13="",3,E13)+8),""),"")</f>
        <v/>
      </c>
      <c r="AJ13" s="16">
        <f>IF(D13&lt;&gt;"",IF(OR(COUNTIF(Einstellungen!$B$5:$B$16,"x")=0,INDEX(Einstellungen!$B$5:$B$16,MONTH(EOMONTH(D13,IF(E13="",3,E13)+9)))="x"),EOMONTH(D13,IF(E13="",3,E13)+9),""),"")</f>
        <v/>
      </c>
      <c r="AK13" s="16">
        <f>IF(D13&lt;&gt;"",IF(OR(COUNTIF(Einstellungen!$B$5:$B$16,"x")=0,INDEX(Einstellungen!$B$5:$B$16,MONTH(EOMONTH(D13,IF(E13="",3,E13)+10)))="x"),EOMONTH(D13,IF(E13="",3,E13)+10),""),"")</f>
        <v/>
      </c>
      <c r="AL13" s="16">
        <f>IF(D13&lt;&gt;"",IF(OR(COUNTIF(Einstellungen!$B$5:$B$16,"x")=0,INDEX(Einstellungen!$B$5:$B$16,MONTH(EOMONTH(D13,IF(E13="",3,E13)+11)))="x"),EOMONTH(D13,IF(E13="",3,E13)+11),""),"")</f>
        <v/>
      </c>
      <c r="AM13" s="16">
        <f>IF(D13&lt;&gt;"",IF(OR(COUNTIF(Einstellungen!$B$5:$B$16,"x")=0,INDEX(Einstellungen!$B$5:$B$16,MONTH(EOMONTH(D13,IF(E13="",3,E13)+12)))="x"),EOMONTH(D13,IF(E13="",3,E13)+12),""),"")</f>
        <v/>
      </c>
      <c r="AN13" s="16">
        <f>IF(D13&lt;&gt;"",IF(OR(COUNTIF(Einstellungen!$B$5:$B$16,"x")=0,INDEX(Einstellungen!$B$5:$B$16,MONTH(EOMONTH(D13,IF(E13="",3,E13)+13)))="x"),EOMONTH(D13,IF(E13="",3,E13)+13),""),"")</f>
        <v/>
      </c>
      <c r="AO13" s="16">
        <f>IF(D13&lt;&gt;"",IF(OR(COUNTIF(Einstellungen!$B$5:$B$16,"x")=0,INDEX(Einstellungen!$B$5:$B$16,MONTH(EOMONTH(D13,IF(E13="",3,E13)+14)))="x"),EOMONTH(D13,IF(E13="",3,E13)+14),""),"")</f>
        <v/>
      </c>
      <c r="AP13" s="16">
        <f>IF(D13&lt;&gt;"",IF(OR(COUNTIF(Einstellungen!$B$5:$B$16,"x")=0,INDEX(Einstellungen!$B$5:$B$16,MONTH(EOMONTH(D13,IF(E13="",3,E13)+15)))="x"),EOMONTH(D13,IF(E13="",3,E13)+15),""),"")</f>
        <v/>
      </c>
      <c r="AQ13" s="16">
        <f>IF(D13&lt;&gt;"",IF(OR(COUNTIF(Einstellungen!$B$5:$B$16,"x")=0,INDEX(Einstellungen!$B$5:$B$16,MONTH(EOMONTH(D13,IF(E13="",3,E13)+16)))="x"),EOMONTH(D13,IF(E13="",3,E13)+16),""),"")</f>
        <v/>
      </c>
      <c r="AR13" s="16">
        <f>IF(D13&lt;&gt;"",IF(OR(COUNTIF(Einstellungen!$B$5:$B$16,"x")=0,INDEX(Einstellungen!$B$5:$B$16,MONTH(EOMONTH(D13,IF(E13="",3,E13)+17)))="x"),EOMONTH(D13,IF(E13="",3,E13)+17),""),"")</f>
        <v/>
      </c>
      <c r="AS13" s="16">
        <f>IF(D13&lt;&gt;"",IF(OR(COUNTIF(Einstellungen!$B$5:$B$16,"x")=0,INDEX(Einstellungen!$B$5:$B$16,MONTH(EOMONTH(D13,IF(E13="",3,E13)+18)))="x"),EOMONTH(D13,IF(E13="",3,E13)+18),""),"")</f>
        <v/>
      </c>
      <c r="AT13" s="16">
        <f>IF(D13&lt;&gt;"",IF(OR(COUNTIF(Einstellungen!$B$5:$B$16,"x")=0,INDEX(Einstellungen!$B$5:$B$16,MONTH(EOMONTH(D13,IF(E13="",3,E13)+19)))="x"),EOMONTH(D13,IF(E13="",3,E13)+19),""),"")</f>
        <v/>
      </c>
      <c r="AU13" s="16">
        <f>IF(D13&lt;&gt;"",IF(OR(COUNTIF(Einstellungen!$B$5:$B$16,"x")=0,INDEX(Einstellungen!$B$5:$B$16,MONTH(EOMONTH(D13,IF(E13="",3,E13)+20)))="x"),EOMONTH(D13,IF(E13="",3,E13)+20),""),"")</f>
        <v/>
      </c>
      <c r="AV13" s="16">
        <f>IF(D13&lt;&gt;"",IF(OR(COUNTIF(Einstellungen!$B$5:$B$16,"x")=0,INDEX(Einstellungen!$B$5:$B$16,MONTH(EOMONTH(D13,IF(E13="",3,E13)+21)))="x"),EOMONTH(D13,IF(E13="",3,E13)+21),""),"")</f>
        <v/>
      </c>
      <c r="AW13" s="16">
        <f>IF(D13&lt;&gt;"",IF(OR(COUNTIF(Einstellungen!$B$5:$B$16,"x")=0,INDEX(Einstellungen!$B$5:$B$16,MONTH(EOMONTH(D13,IF(E13="",3,E13)+22)))="x"),EOMONTH(D13,IF(E13="",3,E13)+22),""),"")</f>
        <v/>
      </c>
      <c r="AX13" s="16">
        <f>IF(D13&lt;&gt;"",IF(OR(COUNTIF(Einstellungen!$B$5:$B$16,"x")=0,INDEX(Einstellungen!$B$5:$B$16,MONTH(EOMONTH(D13,IF(E13="",3,E13)+23)))="x"),EOMONTH(D13,IF(E13="",3,E13)+23),""),"")</f>
        <v/>
      </c>
      <c r="AY13" s="16">
        <f>IF(AND(L13&lt;&gt;"",M13=""),L13,"")</f>
        <v/>
      </c>
      <c r="AZ13" s="16">
        <f>IF(AND(N13&lt;&gt;"",O13=""),N13,"")</f>
        <v/>
      </c>
      <c r="BA13" s="16">
        <f>IF(AND(P13&lt;&gt;"",Q13=""),P13,"")</f>
        <v/>
      </c>
      <c r="BB13" s="16">
        <f>IF(AND(R13&lt;&gt;"",S13=""),R13,"")</f>
        <v/>
      </c>
      <c r="BC13" s="16">
        <f>IF(AND(T13&lt;&gt;"",U13=""),T13,"")</f>
        <v/>
      </c>
    </row>
    <row r="14">
      <c r="A14" s="6" t="n"/>
      <c r="B14" s="6" t="n"/>
      <c r="C14" s="6" t="n"/>
      <c r="D14" s="7" t="n"/>
      <c r="E14" s="11" t="n"/>
      <c r="F14" s="7" t="n"/>
      <c r="G14" s="9">
        <f>IF(F14&lt;&gt;"",F14,IF(D14&lt;&gt;"",IF(COUNT(AA14:AX14)=0,"",MIN(AA14:AX14)),""))</f>
        <v/>
      </c>
      <c r="H14" s="12" t="n"/>
      <c r="I14" s="7" t="n"/>
      <c r="J14" s="13">
        <f>IF(OR(G14="",I14=""),"",MAX(0,I14-G14-1))</f>
        <v/>
      </c>
      <c r="K14" s="14">
        <f>IF(OR(J14="",H14=""),"",ROUND(H14*12/365*J14,2))</f>
        <v/>
      </c>
      <c r="L14" s="9">
        <f>IF(D14&lt;&gt;"",D14,"")</f>
        <v/>
      </c>
      <c r="M14" s="6" t="n"/>
      <c r="N14" s="9">
        <f>IF(G14="","",WORKDAY(G14,-10,Einstellungen!$D$5:$D$34))</f>
        <v/>
      </c>
      <c r="O14" s="6" t="n"/>
      <c r="P14" s="9">
        <f>IF(G14="","",WORKDAY(G14-1,1,Einstellungen!$D$5:$D$34))</f>
        <v/>
      </c>
      <c r="Q14" s="6" t="n"/>
      <c r="R14" s="9">
        <f>IF(P14="","",WORKDAY(P14,2,Einstellungen!$D$5:$D$34))</f>
        <v/>
      </c>
      <c r="S14" s="6" t="n"/>
      <c r="T14" s="9">
        <f>IF(G14="","",EDATE(G14,12))</f>
        <v/>
      </c>
      <c r="U14" s="6" t="n"/>
      <c r="V14" s="9">
        <f>IF(COUNT(AY14:BC14)=0,"",MIN(AY14:BC14))</f>
        <v/>
      </c>
      <c r="W14" s="13">
        <f>IF(V14="","",V14-$B$2)</f>
        <v/>
      </c>
      <c r="X14" s="15">
        <f>IF(C14="Vermieter","Amtliches Formular verwendet? Bei Familienwohnung an beide Ehegatten.",IF(C14="Ausserterminlich","Nachmieter zumutbar? Vereinbartes Ende eintragen.",IF(AND(G14&lt;&gt;"",I14=""),"Noch kein Nachmieter.","")))</f>
        <v/>
      </c>
      <c r="AA14" s="16">
        <f>IF(D14&lt;&gt;"",IF(OR(COUNTIF(Einstellungen!$B$5:$B$16,"x")=0,INDEX(Einstellungen!$B$5:$B$16,MONTH(EOMONTH(D14,IF(E14="",3,E14)+0)))="x"),EOMONTH(D14,IF(E14="",3,E14)+0),""),"")</f>
        <v/>
      </c>
      <c r="AB14" s="16">
        <f>IF(D14&lt;&gt;"",IF(OR(COUNTIF(Einstellungen!$B$5:$B$16,"x")=0,INDEX(Einstellungen!$B$5:$B$16,MONTH(EOMONTH(D14,IF(E14="",3,E14)+1)))="x"),EOMONTH(D14,IF(E14="",3,E14)+1),""),"")</f>
        <v/>
      </c>
      <c r="AC14" s="16">
        <f>IF(D14&lt;&gt;"",IF(OR(COUNTIF(Einstellungen!$B$5:$B$16,"x")=0,INDEX(Einstellungen!$B$5:$B$16,MONTH(EOMONTH(D14,IF(E14="",3,E14)+2)))="x"),EOMONTH(D14,IF(E14="",3,E14)+2),""),"")</f>
        <v/>
      </c>
      <c r="AD14" s="16">
        <f>IF(D14&lt;&gt;"",IF(OR(COUNTIF(Einstellungen!$B$5:$B$16,"x")=0,INDEX(Einstellungen!$B$5:$B$16,MONTH(EOMONTH(D14,IF(E14="",3,E14)+3)))="x"),EOMONTH(D14,IF(E14="",3,E14)+3),""),"")</f>
        <v/>
      </c>
      <c r="AE14" s="16">
        <f>IF(D14&lt;&gt;"",IF(OR(COUNTIF(Einstellungen!$B$5:$B$16,"x")=0,INDEX(Einstellungen!$B$5:$B$16,MONTH(EOMONTH(D14,IF(E14="",3,E14)+4)))="x"),EOMONTH(D14,IF(E14="",3,E14)+4),""),"")</f>
        <v/>
      </c>
      <c r="AF14" s="16">
        <f>IF(D14&lt;&gt;"",IF(OR(COUNTIF(Einstellungen!$B$5:$B$16,"x")=0,INDEX(Einstellungen!$B$5:$B$16,MONTH(EOMONTH(D14,IF(E14="",3,E14)+5)))="x"),EOMONTH(D14,IF(E14="",3,E14)+5),""),"")</f>
        <v/>
      </c>
      <c r="AG14" s="16">
        <f>IF(D14&lt;&gt;"",IF(OR(COUNTIF(Einstellungen!$B$5:$B$16,"x")=0,INDEX(Einstellungen!$B$5:$B$16,MONTH(EOMONTH(D14,IF(E14="",3,E14)+6)))="x"),EOMONTH(D14,IF(E14="",3,E14)+6),""),"")</f>
        <v/>
      </c>
      <c r="AH14" s="16">
        <f>IF(D14&lt;&gt;"",IF(OR(COUNTIF(Einstellungen!$B$5:$B$16,"x")=0,INDEX(Einstellungen!$B$5:$B$16,MONTH(EOMONTH(D14,IF(E14="",3,E14)+7)))="x"),EOMONTH(D14,IF(E14="",3,E14)+7),""),"")</f>
        <v/>
      </c>
      <c r="AI14" s="16">
        <f>IF(D14&lt;&gt;"",IF(OR(COUNTIF(Einstellungen!$B$5:$B$16,"x")=0,INDEX(Einstellungen!$B$5:$B$16,MONTH(EOMONTH(D14,IF(E14="",3,E14)+8)))="x"),EOMONTH(D14,IF(E14="",3,E14)+8),""),"")</f>
        <v/>
      </c>
      <c r="AJ14" s="16">
        <f>IF(D14&lt;&gt;"",IF(OR(COUNTIF(Einstellungen!$B$5:$B$16,"x")=0,INDEX(Einstellungen!$B$5:$B$16,MONTH(EOMONTH(D14,IF(E14="",3,E14)+9)))="x"),EOMONTH(D14,IF(E14="",3,E14)+9),""),"")</f>
        <v/>
      </c>
      <c r="AK14" s="16">
        <f>IF(D14&lt;&gt;"",IF(OR(COUNTIF(Einstellungen!$B$5:$B$16,"x")=0,INDEX(Einstellungen!$B$5:$B$16,MONTH(EOMONTH(D14,IF(E14="",3,E14)+10)))="x"),EOMONTH(D14,IF(E14="",3,E14)+10),""),"")</f>
        <v/>
      </c>
      <c r="AL14" s="16">
        <f>IF(D14&lt;&gt;"",IF(OR(COUNTIF(Einstellungen!$B$5:$B$16,"x")=0,INDEX(Einstellungen!$B$5:$B$16,MONTH(EOMONTH(D14,IF(E14="",3,E14)+11)))="x"),EOMONTH(D14,IF(E14="",3,E14)+11),""),"")</f>
        <v/>
      </c>
      <c r="AM14" s="16">
        <f>IF(D14&lt;&gt;"",IF(OR(COUNTIF(Einstellungen!$B$5:$B$16,"x")=0,INDEX(Einstellungen!$B$5:$B$16,MONTH(EOMONTH(D14,IF(E14="",3,E14)+12)))="x"),EOMONTH(D14,IF(E14="",3,E14)+12),""),"")</f>
        <v/>
      </c>
      <c r="AN14" s="16">
        <f>IF(D14&lt;&gt;"",IF(OR(COUNTIF(Einstellungen!$B$5:$B$16,"x")=0,INDEX(Einstellungen!$B$5:$B$16,MONTH(EOMONTH(D14,IF(E14="",3,E14)+13)))="x"),EOMONTH(D14,IF(E14="",3,E14)+13),""),"")</f>
        <v/>
      </c>
      <c r="AO14" s="16">
        <f>IF(D14&lt;&gt;"",IF(OR(COUNTIF(Einstellungen!$B$5:$B$16,"x")=0,INDEX(Einstellungen!$B$5:$B$16,MONTH(EOMONTH(D14,IF(E14="",3,E14)+14)))="x"),EOMONTH(D14,IF(E14="",3,E14)+14),""),"")</f>
        <v/>
      </c>
      <c r="AP14" s="16">
        <f>IF(D14&lt;&gt;"",IF(OR(COUNTIF(Einstellungen!$B$5:$B$16,"x")=0,INDEX(Einstellungen!$B$5:$B$16,MONTH(EOMONTH(D14,IF(E14="",3,E14)+15)))="x"),EOMONTH(D14,IF(E14="",3,E14)+15),""),"")</f>
        <v/>
      </c>
      <c r="AQ14" s="16">
        <f>IF(D14&lt;&gt;"",IF(OR(COUNTIF(Einstellungen!$B$5:$B$16,"x")=0,INDEX(Einstellungen!$B$5:$B$16,MONTH(EOMONTH(D14,IF(E14="",3,E14)+16)))="x"),EOMONTH(D14,IF(E14="",3,E14)+16),""),"")</f>
        <v/>
      </c>
      <c r="AR14" s="16">
        <f>IF(D14&lt;&gt;"",IF(OR(COUNTIF(Einstellungen!$B$5:$B$16,"x")=0,INDEX(Einstellungen!$B$5:$B$16,MONTH(EOMONTH(D14,IF(E14="",3,E14)+17)))="x"),EOMONTH(D14,IF(E14="",3,E14)+17),""),"")</f>
        <v/>
      </c>
      <c r="AS14" s="16">
        <f>IF(D14&lt;&gt;"",IF(OR(COUNTIF(Einstellungen!$B$5:$B$16,"x")=0,INDEX(Einstellungen!$B$5:$B$16,MONTH(EOMONTH(D14,IF(E14="",3,E14)+18)))="x"),EOMONTH(D14,IF(E14="",3,E14)+18),""),"")</f>
        <v/>
      </c>
      <c r="AT14" s="16">
        <f>IF(D14&lt;&gt;"",IF(OR(COUNTIF(Einstellungen!$B$5:$B$16,"x")=0,INDEX(Einstellungen!$B$5:$B$16,MONTH(EOMONTH(D14,IF(E14="",3,E14)+19)))="x"),EOMONTH(D14,IF(E14="",3,E14)+19),""),"")</f>
        <v/>
      </c>
      <c r="AU14" s="16">
        <f>IF(D14&lt;&gt;"",IF(OR(COUNTIF(Einstellungen!$B$5:$B$16,"x")=0,INDEX(Einstellungen!$B$5:$B$16,MONTH(EOMONTH(D14,IF(E14="",3,E14)+20)))="x"),EOMONTH(D14,IF(E14="",3,E14)+20),""),"")</f>
        <v/>
      </c>
      <c r="AV14" s="16">
        <f>IF(D14&lt;&gt;"",IF(OR(COUNTIF(Einstellungen!$B$5:$B$16,"x")=0,INDEX(Einstellungen!$B$5:$B$16,MONTH(EOMONTH(D14,IF(E14="",3,E14)+21)))="x"),EOMONTH(D14,IF(E14="",3,E14)+21),""),"")</f>
        <v/>
      </c>
      <c r="AW14" s="16">
        <f>IF(D14&lt;&gt;"",IF(OR(COUNTIF(Einstellungen!$B$5:$B$16,"x")=0,INDEX(Einstellungen!$B$5:$B$16,MONTH(EOMONTH(D14,IF(E14="",3,E14)+22)))="x"),EOMONTH(D14,IF(E14="",3,E14)+22),""),"")</f>
        <v/>
      </c>
      <c r="AX14" s="16">
        <f>IF(D14&lt;&gt;"",IF(OR(COUNTIF(Einstellungen!$B$5:$B$16,"x")=0,INDEX(Einstellungen!$B$5:$B$16,MONTH(EOMONTH(D14,IF(E14="",3,E14)+23)))="x"),EOMONTH(D14,IF(E14="",3,E14)+23),""),"")</f>
        <v/>
      </c>
      <c r="AY14" s="16">
        <f>IF(AND(L14&lt;&gt;"",M14=""),L14,"")</f>
        <v/>
      </c>
      <c r="AZ14" s="16">
        <f>IF(AND(N14&lt;&gt;"",O14=""),N14,"")</f>
        <v/>
      </c>
      <c r="BA14" s="16">
        <f>IF(AND(P14&lt;&gt;"",Q14=""),P14,"")</f>
        <v/>
      </c>
      <c r="BB14" s="16">
        <f>IF(AND(R14&lt;&gt;"",S14=""),R14,"")</f>
        <v/>
      </c>
      <c r="BC14" s="16">
        <f>IF(AND(T14&lt;&gt;"",U14=""),T14,"")</f>
        <v/>
      </c>
    </row>
    <row r="15">
      <c r="A15" s="6" t="n"/>
      <c r="B15" s="6" t="n"/>
      <c r="C15" s="6" t="n"/>
      <c r="D15" s="7" t="n"/>
      <c r="E15" s="11" t="n"/>
      <c r="F15" s="7" t="n"/>
      <c r="G15" s="9">
        <f>IF(F15&lt;&gt;"",F15,IF(D15&lt;&gt;"",IF(COUNT(AA15:AX15)=0,"",MIN(AA15:AX15)),""))</f>
        <v/>
      </c>
      <c r="H15" s="12" t="n"/>
      <c r="I15" s="7" t="n"/>
      <c r="J15" s="13">
        <f>IF(OR(G15="",I15=""),"",MAX(0,I15-G15-1))</f>
        <v/>
      </c>
      <c r="K15" s="14">
        <f>IF(OR(J15="",H15=""),"",ROUND(H15*12/365*J15,2))</f>
        <v/>
      </c>
      <c r="L15" s="9">
        <f>IF(D15&lt;&gt;"",D15,"")</f>
        <v/>
      </c>
      <c r="M15" s="6" t="n"/>
      <c r="N15" s="9">
        <f>IF(G15="","",WORKDAY(G15,-10,Einstellungen!$D$5:$D$34))</f>
        <v/>
      </c>
      <c r="O15" s="6" t="n"/>
      <c r="P15" s="9">
        <f>IF(G15="","",WORKDAY(G15-1,1,Einstellungen!$D$5:$D$34))</f>
        <v/>
      </c>
      <c r="Q15" s="6" t="n"/>
      <c r="R15" s="9">
        <f>IF(P15="","",WORKDAY(P15,2,Einstellungen!$D$5:$D$34))</f>
        <v/>
      </c>
      <c r="S15" s="6" t="n"/>
      <c r="T15" s="9">
        <f>IF(G15="","",EDATE(G15,12))</f>
        <v/>
      </c>
      <c r="U15" s="6" t="n"/>
      <c r="V15" s="9">
        <f>IF(COUNT(AY15:BC15)=0,"",MIN(AY15:BC15))</f>
        <v/>
      </c>
      <c r="W15" s="13">
        <f>IF(V15="","",V15-$B$2)</f>
        <v/>
      </c>
      <c r="X15" s="15">
        <f>IF(C15="Vermieter","Amtliches Formular verwendet? Bei Familienwohnung an beide Ehegatten.",IF(C15="Ausserterminlich","Nachmieter zumutbar? Vereinbartes Ende eintragen.",IF(AND(G15&lt;&gt;"",I15=""),"Noch kein Nachmieter.","")))</f>
        <v/>
      </c>
      <c r="AA15" s="16">
        <f>IF(D15&lt;&gt;"",IF(OR(COUNTIF(Einstellungen!$B$5:$B$16,"x")=0,INDEX(Einstellungen!$B$5:$B$16,MONTH(EOMONTH(D15,IF(E15="",3,E15)+0)))="x"),EOMONTH(D15,IF(E15="",3,E15)+0),""),"")</f>
        <v/>
      </c>
      <c r="AB15" s="16">
        <f>IF(D15&lt;&gt;"",IF(OR(COUNTIF(Einstellungen!$B$5:$B$16,"x")=0,INDEX(Einstellungen!$B$5:$B$16,MONTH(EOMONTH(D15,IF(E15="",3,E15)+1)))="x"),EOMONTH(D15,IF(E15="",3,E15)+1),""),"")</f>
        <v/>
      </c>
      <c r="AC15" s="16">
        <f>IF(D15&lt;&gt;"",IF(OR(COUNTIF(Einstellungen!$B$5:$B$16,"x")=0,INDEX(Einstellungen!$B$5:$B$16,MONTH(EOMONTH(D15,IF(E15="",3,E15)+2)))="x"),EOMONTH(D15,IF(E15="",3,E15)+2),""),"")</f>
        <v/>
      </c>
      <c r="AD15" s="16">
        <f>IF(D15&lt;&gt;"",IF(OR(COUNTIF(Einstellungen!$B$5:$B$16,"x")=0,INDEX(Einstellungen!$B$5:$B$16,MONTH(EOMONTH(D15,IF(E15="",3,E15)+3)))="x"),EOMONTH(D15,IF(E15="",3,E15)+3),""),"")</f>
        <v/>
      </c>
      <c r="AE15" s="16">
        <f>IF(D15&lt;&gt;"",IF(OR(COUNTIF(Einstellungen!$B$5:$B$16,"x")=0,INDEX(Einstellungen!$B$5:$B$16,MONTH(EOMONTH(D15,IF(E15="",3,E15)+4)))="x"),EOMONTH(D15,IF(E15="",3,E15)+4),""),"")</f>
        <v/>
      </c>
      <c r="AF15" s="16">
        <f>IF(D15&lt;&gt;"",IF(OR(COUNTIF(Einstellungen!$B$5:$B$16,"x")=0,INDEX(Einstellungen!$B$5:$B$16,MONTH(EOMONTH(D15,IF(E15="",3,E15)+5)))="x"),EOMONTH(D15,IF(E15="",3,E15)+5),""),"")</f>
        <v/>
      </c>
      <c r="AG15" s="16">
        <f>IF(D15&lt;&gt;"",IF(OR(COUNTIF(Einstellungen!$B$5:$B$16,"x")=0,INDEX(Einstellungen!$B$5:$B$16,MONTH(EOMONTH(D15,IF(E15="",3,E15)+6)))="x"),EOMONTH(D15,IF(E15="",3,E15)+6),""),"")</f>
        <v/>
      </c>
      <c r="AH15" s="16">
        <f>IF(D15&lt;&gt;"",IF(OR(COUNTIF(Einstellungen!$B$5:$B$16,"x")=0,INDEX(Einstellungen!$B$5:$B$16,MONTH(EOMONTH(D15,IF(E15="",3,E15)+7)))="x"),EOMONTH(D15,IF(E15="",3,E15)+7),""),"")</f>
        <v/>
      </c>
      <c r="AI15" s="16">
        <f>IF(D15&lt;&gt;"",IF(OR(COUNTIF(Einstellungen!$B$5:$B$16,"x")=0,INDEX(Einstellungen!$B$5:$B$16,MONTH(EOMONTH(D15,IF(E15="",3,E15)+8)))="x"),EOMONTH(D15,IF(E15="",3,E15)+8),""),"")</f>
        <v/>
      </c>
      <c r="AJ15" s="16">
        <f>IF(D15&lt;&gt;"",IF(OR(COUNTIF(Einstellungen!$B$5:$B$16,"x")=0,INDEX(Einstellungen!$B$5:$B$16,MONTH(EOMONTH(D15,IF(E15="",3,E15)+9)))="x"),EOMONTH(D15,IF(E15="",3,E15)+9),""),"")</f>
        <v/>
      </c>
      <c r="AK15" s="16">
        <f>IF(D15&lt;&gt;"",IF(OR(COUNTIF(Einstellungen!$B$5:$B$16,"x")=0,INDEX(Einstellungen!$B$5:$B$16,MONTH(EOMONTH(D15,IF(E15="",3,E15)+10)))="x"),EOMONTH(D15,IF(E15="",3,E15)+10),""),"")</f>
        <v/>
      </c>
      <c r="AL15" s="16">
        <f>IF(D15&lt;&gt;"",IF(OR(COUNTIF(Einstellungen!$B$5:$B$16,"x")=0,INDEX(Einstellungen!$B$5:$B$16,MONTH(EOMONTH(D15,IF(E15="",3,E15)+11)))="x"),EOMONTH(D15,IF(E15="",3,E15)+11),""),"")</f>
        <v/>
      </c>
      <c r="AM15" s="16">
        <f>IF(D15&lt;&gt;"",IF(OR(COUNTIF(Einstellungen!$B$5:$B$16,"x")=0,INDEX(Einstellungen!$B$5:$B$16,MONTH(EOMONTH(D15,IF(E15="",3,E15)+12)))="x"),EOMONTH(D15,IF(E15="",3,E15)+12),""),"")</f>
        <v/>
      </c>
      <c r="AN15" s="16">
        <f>IF(D15&lt;&gt;"",IF(OR(COUNTIF(Einstellungen!$B$5:$B$16,"x")=0,INDEX(Einstellungen!$B$5:$B$16,MONTH(EOMONTH(D15,IF(E15="",3,E15)+13)))="x"),EOMONTH(D15,IF(E15="",3,E15)+13),""),"")</f>
        <v/>
      </c>
      <c r="AO15" s="16">
        <f>IF(D15&lt;&gt;"",IF(OR(COUNTIF(Einstellungen!$B$5:$B$16,"x")=0,INDEX(Einstellungen!$B$5:$B$16,MONTH(EOMONTH(D15,IF(E15="",3,E15)+14)))="x"),EOMONTH(D15,IF(E15="",3,E15)+14),""),"")</f>
        <v/>
      </c>
      <c r="AP15" s="16">
        <f>IF(D15&lt;&gt;"",IF(OR(COUNTIF(Einstellungen!$B$5:$B$16,"x")=0,INDEX(Einstellungen!$B$5:$B$16,MONTH(EOMONTH(D15,IF(E15="",3,E15)+15)))="x"),EOMONTH(D15,IF(E15="",3,E15)+15),""),"")</f>
        <v/>
      </c>
      <c r="AQ15" s="16">
        <f>IF(D15&lt;&gt;"",IF(OR(COUNTIF(Einstellungen!$B$5:$B$16,"x")=0,INDEX(Einstellungen!$B$5:$B$16,MONTH(EOMONTH(D15,IF(E15="",3,E15)+16)))="x"),EOMONTH(D15,IF(E15="",3,E15)+16),""),"")</f>
        <v/>
      </c>
      <c r="AR15" s="16">
        <f>IF(D15&lt;&gt;"",IF(OR(COUNTIF(Einstellungen!$B$5:$B$16,"x")=0,INDEX(Einstellungen!$B$5:$B$16,MONTH(EOMONTH(D15,IF(E15="",3,E15)+17)))="x"),EOMONTH(D15,IF(E15="",3,E15)+17),""),"")</f>
        <v/>
      </c>
      <c r="AS15" s="16">
        <f>IF(D15&lt;&gt;"",IF(OR(COUNTIF(Einstellungen!$B$5:$B$16,"x")=0,INDEX(Einstellungen!$B$5:$B$16,MONTH(EOMONTH(D15,IF(E15="",3,E15)+18)))="x"),EOMONTH(D15,IF(E15="",3,E15)+18),""),"")</f>
        <v/>
      </c>
      <c r="AT15" s="16">
        <f>IF(D15&lt;&gt;"",IF(OR(COUNTIF(Einstellungen!$B$5:$B$16,"x")=0,INDEX(Einstellungen!$B$5:$B$16,MONTH(EOMONTH(D15,IF(E15="",3,E15)+19)))="x"),EOMONTH(D15,IF(E15="",3,E15)+19),""),"")</f>
        <v/>
      </c>
      <c r="AU15" s="16">
        <f>IF(D15&lt;&gt;"",IF(OR(COUNTIF(Einstellungen!$B$5:$B$16,"x")=0,INDEX(Einstellungen!$B$5:$B$16,MONTH(EOMONTH(D15,IF(E15="",3,E15)+20)))="x"),EOMONTH(D15,IF(E15="",3,E15)+20),""),"")</f>
        <v/>
      </c>
      <c r="AV15" s="16">
        <f>IF(D15&lt;&gt;"",IF(OR(COUNTIF(Einstellungen!$B$5:$B$16,"x")=0,INDEX(Einstellungen!$B$5:$B$16,MONTH(EOMONTH(D15,IF(E15="",3,E15)+21)))="x"),EOMONTH(D15,IF(E15="",3,E15)+21),""),"")</f>
        <v/>
      </c>
      <c r="AW15" s="16">
        <f>IF(D15&lt;&gt;"",IF(OR(COUNTIF(Einstellungen!$B$5:$B$16,"x")=0,INDEX(Einstellungen!$B$5:$B$16,MONTH(EOMONTH(D15,IF(E15="",3,E15)+22)))="x"),EOMONTH(D15,IF(E15="",3,E15)+22),""),"")</f>
        <v/>
      </c>
      <c r="AX15" s="16">
        <f>IF(D15&lt;&gt;"",IF(OR(COUNTIF(Einstellungen!$B$5:$B$16,"x")=0,INDEX(Einstellungen!$B$5:$B$16,MONTH(EOMONTH(D15,IF(E15="",3,E15)+23)))="x"),EOMONTH(D15,IF(E15="",3,E15)+23),""),"")</f>
        <v/>
      </c>
      <c r="AY15" s="16">
        <f>IF(AND(L15&lt;&gt;"",M15=""),L15,"")</f>
        <v/>
      </c>
      <c r="AZ15" s="16">
        <f>IF(AND(N15&lt;&gt;"",O15=""),N15,"")</f>
        <v/>
      </c>
      <c r="BA15" s="16">
        <f>IF(AND(P15&lt;&gt;"",Q15=""),P15,"")</f>
        <v/>
      </c>
      <c r="BB15" s="16">
        <f>IF(AND(R15&lt;&gt;"",S15=""),R15,"")</f>
        <v/>
      </c>
      <c r="BC15" s="16">
        <f>IF(AND(T15&lt;&gt;"",U15=""),T15,"")</f>
        <v/>
      </c>
    </row>
    <row r="16">
      <c r="A16" s="6" t="n"/>
      <c r="B16" s="6" t="n"/>
      <c r="C16" s="6" t="n"/>
      <c r="D16" s="7" t="n"/>
      <c r="E16" s="11" t="n"/>
      <c r="F16" s="7" t="n"/>
      <c r="G16" s="9">
        <f>IF(F16&lt;&gt;"",F16,IF(D16&lt;&gt;"",IF(COUNT(AA16:AX16)=0,"",MIN(AA16:AX16)),""))</f>
        <v/>
      </c>
      <c r="H16" s="12" t="n"/>
      <c r="I16" s="7" t="n"/>
      <c r="J16" s="13">
        <f>IF(OR(G16="",I16=""),"",MAX(0,I16-G16-1))</f>
        <v/>
      </c>
      <c r="K16" s="14">
        <f>IF(OR(J16="",H16=""),"",ROUND(H16*12/365*J16,2))</f>
        <v/>
      </c>
      <c r="L16" s="9">
        <f>IF(D16&lt;&gt;"",D16,"")</f>
        <v/>
      </c>
      <c r="M16" s="6" t="n"/>
      <c r="N16" s="9">
        <f>IF(G16="","",WORKDAY(G16,-10,Einstellungen!$D$5:$D$34))</f>
        <v/>
      </c>
      <c r="O16" s="6" t="n"/>
      <c r="P16" s="9">
        <f>IF(G16="","",WORKDAY(G16-1,1,Einstellungen!$D$5:$D$34))</f>
        <v/>
      </c>
      <c r="Q16" s="6" t="n"/>
      <c r="R16" s="9">
        <f>IF(P16="","",WORKDAY(P16,2,Einstellungen!$D$5:$D$34))</f>
        <v/>
      </c>
      <c r="S16" s="6" t="n"/>
      <c r="T16" s="9">
        <f>IF(G16="","",EDATE(G16,12))</f>
        <v/>
      </c>
      <c r="U16" s="6" t="n"/>
      <c r="V16" s="9">
        <f>IF(COUNT(AY16:BC16)=0,"",MIN(AY16:BC16))</f>
        <v/>
      </c>
      <c r="W16" s="13">
        <f>IF(V16="","",V16-$B$2)</f>
        <v/>
      </c>
      <c r="X16" s="15">
        <f>IF(C16="Vermieter","Amtliches Formular verwendet? Bei Familienwohnung an beide Ehegatten.",IF(C16="Ausserterminlich","Nachmieter zumutbar? Vereinbartes Ende eintragen.",IF(AND(G16&lt;&gt;"",I16=""),"Noch kein Nachmieter.","")))</f>
        <v/>
      </c>
      <c r="AA16" s="16">
        <f>IF(D16&lt;&gt;"",IF(OR(COUNTIF(Einstellungen!$B$5:$B$16,"x")=0,INDEX(Einstellungen!$B$5:$B$16,MONTH(EOMONTH(D16,IF(E16="",3,E16)+0)))="x"),EOMONTH(D16,IF(E16="",3,E16)+0),""),"")</f>
        <v/>
      </c>
      <c r="AB16" s="16">
        <f>IF(D16&lt;&gt;"",IF(OR(COUNTIF(Einstellungen!$B$5:$B$16,"x")=0,INDEX(Einstellungen!$B$5:$B$16,MONTH(EOMONTH(D16,IF(E16="",3,E16)+1)))="x"),EOMONTH(D16,IF(E16="",3,E16)+1),""),"")</f>
        <v/>
      </c>
      <c r="AC16" s="16">
        <f>IF(D16&lt;&gt;"",IF(OR(COUNTIF(Einstellungen!$B$5:$B$16,"x")=0,INDEX(Einstellungen!$B$5:$B$16,MONTH(EOMONTH(D16,IF(E16="",3,E16)+2)))="x"),EOMONTH(D16,IF(E16="",3,E16)+2),""),"")</f>
        <v/>
      </c>
      <c r="AD16" s="16">
        <f>IF(D16&lt;&gt;"",IF(OR(COUNTIF(Einstellungen!$B$5:$B$16,"x")=0,INDEX(Einstellungen!$B$5:$B$16,MONTH(EOMONTH(D16,IF(E16="",3,E16)+3)))="x"),EOMONTH(D16,IF(E16="",3,E16)+3),""),"")</f>
        <v/>
      </c>
      <c r="AE16" s="16">
        <f>IF(D16&lt;&gt;"",IF(OR(COUNTIF(Einstellungen!$B$5:$B$16,"x")=0,INDEX(Einstellungen!$B$5:$B$16,MONTH(EOMONTH(D16,IF(E16="",3,E16)+4)))="x"),EOMONTH(D16,IF(E16="",3,E16)+4),""),"")</f>
        <v/>
      </c>
      <c r="AF16" s="16">
        <f>IF(D16&lt;&gt;"",IF(OR(COUNTIF(Einstellungen!$B$5:$B$16,"x")=0,INDEX(Einstellungen!$B$5:$B$16,MONTH(EOMONTH(D16,IF(E16="",3,E16)+5)))="x"),EOMONTH(D16,IF(E16="",3,E16)+5),""),"")</f>
        <v/>
      </c>
      <c r="AG16" s="16">
        <f>IF(D16&lt;&gt;"",IF(OR(COUNTIF(Einstellungen!$B$5:$B$16,"x")=0,INDEX(Einstellungen!$B$5:$B$16,MONTH(EOMONTH(D16,IF(E16="",3,E16)+6)))="x"),EOMONTH(D16,IF(E16="",3,E16)+6),""),"")</f>
        <v/>
      </c>
      <c r="AH16" s="16">
        <f>IF(D16&lt;&gt;"",IF(OR(COUNTIF(Einstellungen!$B$5:$B$16,"x")=0,INDEX(Einstellungen!$B$5:$B$16,MONTH(EOMONTH(D16,IF(E16="",3,E16)+7)))="x"),EOMONTH(D16,IF(E16="",3,E16)+7),""),"")</f>
        <v/>
      </c>
      <c r="AI16" s="16">
        <f>IF(D16&lt;&gt;"",IF(OR(COUNTIF(Einstellungen!$B$5:$B$16,"x")=0,INDEX(Einstellungen!$B$5:$B$16,MONTH(EOMONTH(D16,IF(E16="",3,E16)+8)))="x"),EOMONTH(D16,IF(E16="",3,E16)+8),""),"")</f>
        <v/>
      </c>
      <c r="AJ16" s="16">
        <f>IF(D16&lt;&gt;"",IF(OR(COUNTIF(Einstellungen!$B$5:$B$16,"x")=0,INDEX(Einstellungen!$B$5:$B$16,MONTH(EOMONTH(D16,IF(E16="",3,E16)+9)))="x"),EOMONTH(D16,IF(E16="",3,E16)+9),""),"")</f>
        <v/>
      </c>
      <c r="AK16" s="16">
        <f>IF(D16&lt;&gt;"",IF(OR(COUNTIF(Einstellungen!$B$5:$B$16,"x")=0,INDEX(Einstellungen!$B$5:$B$16,MONTH(EOMONTH(D16,IF(E16="",3,E16)+10)))="x"),EOMONTH(D16,IF(E16="",3,E16)+10),""),"")</f>
        <v/>
      </c>
      <c r="AL16" s="16">
        <f>IF(D16&lt;&gt;"",IF(OR(COUNTIF(Einstellungen!$B$5:$B$16,"x")=0,INDEX(Einstellungen!$B$5:$B$16,MONTH(EOMONTH(D16,IF(E16="",3,E16)+11)))="x"),EOMONTH(D16,IF(E16="",3,E16)+11),""),"")</f>
        <v/>
      </c>
      <c r="AM16" s="16">
        <f>IF(D16&lt;&gt;"",IF(OR(COUNTIF(Einstellungen!$B$5:$B$16,"x")=0,INDEX(Einstellungen!$B$5:$B$16,MONTH(EOMONTH(D16,IF(E16="",3,E16)+12)))="x"),EOMONTH(D16,IF(E16="",3,E16)+12),""),"")</f>
        <v/>
      </c>
      <c r="AN16" s="16">
        <f>IF(D16&lt;&gt;"",IF(OR(COUNTIF(Einstellungen!$B$5:$B$16,"x")=0,INDEX(Einstellungen!$B$5:$B$16,MONTH(EOMONTH(D16,IF(E16="",3,E16)+13)))="x"),EOMONTH(D16,IF(E16="",3,E16)+13),""),"")</f>
        <v/>
      </c>
      <c r="AO16" s="16">
        <f>IF(D16&lt;&gt;"",IF(OR(COUNTIF(Einstellungen!$B$5:$B$16,"x")=0,INDEX(Einstellungen!$B$5:$B$16,MONTH(EOMONTH(D16,IF(E16="",3,E16)+14)))="x"),EOMONTH(D16,IF(E16="",3,E16)+14),""),"")</f>
        <v/>
      </c>
      <c r="AP16" s="16">
        <f>IF(D16&lt;&gt;"",IF(OR(COUNTIF(Einstellungen!$B$5:$B$16,"x")=0,INDEX(Einstellungen!$B$5:$B$16,MONTH(EOMONTH(D16,IF(E16="",3,E16)+15)))="x"),EOMONTH(D16,IF(E16="",3,E16)+15),""),"")</f>
        <v/>
      </c>
      <c r="AQ16" s="16">
        <f>IF(D16&lt;&gt;"",IF(OR(COUNTIF(Einstellungen!$B$5:$B$16,"x")=0,INDEX(Einstellungen!$B$5:$B$16,MONTH(EOMONTH(D16,IF(E16="",3,E16)+16)))="x"),EOMONTH(D16,IF(E16="",3,E16)+16),""),"")</f>
        <v/>
      </c>
      <c r="AR16" s="16">
        <f>IF(D16&lt;&gt;"",IF(OR(COUNTIF(Einstellungen!$B$5:$B$16,"x")=0,INDEX(Einstellungen!$B$5:$B$16,MONTH(EOMONTH(D16,IF(E16="",3,E16)+17)))="x"),EOMONTH(D16,IF(E16="",3,E16)+17),""),"")</f>
        <v/>
      </c>
      <c r="AS16" s="16">
        <f>IF(D16&lt;&gt;"",IF(OR(COUNTIF(Einstellungen!$B$5:$B$16,"x")=0,INDEX(Einstellungen!$B$5:$B$16,MONTH(EOMONTH(D16,IF(E16="",3,E16)+18)))="x"),EOMONTH(D16,IF(E16="",3,E16)+18),""),"")</f>
        <v/>
      </c>
      <c r="AT16" s="16">
        <f>IF(D16&lt;&gt;"",IF(OR(COUNTIF(Einstellungen!$B$5:$B$16,"x")=0,INDEX(Einstellungen!$B$5:$B$16,MONTH(EOMONTH(D16,IF(E16="",3,E16)+19)))="x"),EOMONTH(D16,IF(E16="",3,E16)+19),""),"")</f>
        <v/>
      </c>
      <c r="AU16" s="16">
        <f>IF(D16&lt;&gt;"",IF(OR(COUNTIF(Einstellungen!$B$5:$B$16,"x")=0,INDEX(Einstellungen!$B$5:$B$16,MONTH(EOMONTH(D16,IF(E16="",3,E16)+20)))="x"),EOMONTH(D16,IF(E16="",3,E16)+20),""),"")</f>
        <v/>
      </c>
      <c r="AV16" s="16">
        <f>IF(D16&lt;&gt;"",IF(OR(COUNTIF(Einstellungen!$B$5:$B$16,"x")=0,INDEX(Einstellungen!$B$5:$B$16,MONTH(EOMONTH(D16,IF(E16="",3,E16)+21)))="x"),EOMONTH(D16,IF(E16="",3,E16)+21),""),"")</f>
        <v/>
      </c>
      <c r="AW16" s="16">
        <f>IF(D16&lt;&gt;"",IF(OR(COUNTIF(Einstellungen!$B$5:$B$16,"x")=0,INDEX(Einstellungen!$B$5:$B$16,MONTH(EOMONTH(D16,IF(E16="",3,E16)+22)))="x"),EOMONTH(D16,IF(E16="",3,E16)+22),""),"")</f>
        <v/>
      </c>
      <c r="AX16" s="16">
        <f>IF(D16&lt;&gt;"",IF(OR(COUNTIF(Einstellungen!$B$5:$B$16,"x")=0,INDEX(Einstellungen!$B$5:$B$16,MONTH(EOMONTH(D16,IF(E16="",3,E16)+23)))="x"),EOMONTH(D16,IF(E16="",3,E16)+23),""),"")</f>
        <v/>
      </c>
      <c r="AY16" s="16">
        <f>IF(AND(L16&lt;&gt;"",M16=""),L16,"")</f>
        <v/>
      </c>
      <c r="AZ16" s="16">
        <f>IF(AND(N16&lt;&gt;"",O16=""),N16,"")</f>
        <v/>
      </c>
      <c r="BA16" s="16">
        <f>IF(AND(P16&lt;&gt;"",Q16=""),P16,"")</f>
        <v/>
      </c>
      <c r="BB16" s="16">
        <f>IF(AND(R16&lt;&gt;"",S16=""),R16,"")</f>
        <v/>
      </c>
      <c r="BC16" s="16">
        <f>IF(AND(T16&lt;&gt;"",U16=""),T16,"")</f>
        <v/>
      </c>
    </row>
    <row r="17">
      <c r="A17" s="6" t="n"/>
      <c r="B17" s="6" t="n"/>
      <c r="C17" s="6" t="n"/>
      <c r="D17" s="7" t="n"/>
      <c r="E17" s="11" t="n"/>
      <c r="F17" s="7" t="n"/>
      <c r="G17" s="9">
        <f>IF(F17&lt;&gt;"",F17,IF(D17&lt;&gt;"",IF(COUNT(AA17:AX17)=0,"",MIN(AA17:AX17)),""))</f>
        <v/>
      </c>
      <c r="H17" s="12" t="n"/>
      <c r="I17" s="7" t="n"/>
      <c r="J17" s="13">
        <f>IF(OR(G17="",I17=""),"",MAX(0,I17-G17-1))</f>
        <v/>
      </c>
      <c r="K17" s="14">
        <f>IF(OR(J17="",H17=""),"",ROUND(H17*12/365*J17,2))</f>
        <v/>
      </c>
      <c r="L17" s="9">
        <f>IF(D17&lt;&gt;"",D17,"")</f>
        <v/>
      </c>
      <c r="M17" s="6" t="n"/>
      <c r="N17" s="9">
        <f>IF(G17="","",WORKDAY(G17,-10,Einstellungen!$D$5:$D$34))</f>
        <v/>
      </c>
      <c r="O17" s="6" t="n"/>
      <c r="P17" s="9">
        <f>IF(G17="","",WORKDAY(G17-1,1,Einstellungen!$D$5:$D$34))</f>
        <v/>
      </c>
      <c r="Q17" s="6" t="n"/>
      <c r="R17" s="9">
        <f>IF(P17="","",WORKDAY(P17,2,Einstellungen!$D$5:$D$34))</f>
        <v/>
      </c>
      <c r="S17" s="6" t="n"/>
      <c r="T17" s="9">
        <f>IF(G17="","",EDATE(G17,12))</f>
        <v/>
      </c>
      <c r="U17" s="6" t="n"/>
      <c r="V17" s="9">
        <f>IF(COUNT(AY17:BC17)=0,"",MIN(AY17:BC17))</f>
        <v/>
      </c>
      <c r="W17" s="13">
        <f>IF(V17="","",V17-$B$2)</f>
        <v/>
      </c>
      <c r="X17" s="15">
        <f>IF(C17="Vermieter","Amtliches Formular verwendet? Bei Familienwohnung an beide Ehegatten.",IF(C17="Ausserterminlich","Nachmieter zumutbar? Vereinbartes Ende eintragen.",IF(AND(G17&lt;&gt;"",I17=""),"Noch kein Nachmieter.","")))</f>
        <v/>
      </c>
      <c r="AA17" s="16">
        <f>IF(D17&lt;&gt;"",IF(OR(COUNTIF(Einstellungen!$B$5:$B$16,"x")=0,INDEX(Einstellungen!$B$5:$B$16,MONTH(EOMONTH(D17,IF(E17="",3,E17)+0)))="x"),EOMONTH(D17,IF(E17="",3,E17)+0),""),"")</f>
        <v/>
      </c>
      <c r="AB17" s="16">
        <f>IF(D17&lt;&gt;"",IF(OR(COUNTIF(Einstellungen!$B$5:$B$16,"x")=0,INDEX(Einstellungen!$B$5:$B$16,MONTH(EOMONTH(D17,IF(E17="",3,E17)+1)))="x"),EOMONTH(D17,IF(E17="",3,E17)+1),""),"")</f>
        <v/>
      </c>
      <c r="AC17" s="16">
        <f>IF(D17&lt;&gt;"",IF(OR(COUNTIF(Einstellungen!$B$5:$B$16,"x")=0,INDEX(Einstellungen!$B$5:$B$16,MONTH(EOMONTH(D17,IF(E17="",3,E17)+2)))="x"),EOMONTH(D17,IF(E17="",3,E17)+2),""),"")</f>
        <v/>
      </c>
      <c r="AD17" s="16">
        <f>IF(D17&lt;&gt;"",IF(OR(COUNTIF(Einstellungen!$B$5:$B$16,"x")=0,INDEX(Einstellungen!$B$5:$B$16,MONTH(EOMONTH(D17,IF(E17="",3,E17)+3)))="x"),EOMONTH(D17,IF(E17="",3,E17)+3),""),"")</f>
        <v/>
      </c>
      <c r="AE17" s="16">
        <f>IF(D17&lt;&gt;"",IF(OR(COUNTIF(Einstellungen!$B$5:$B$16,"x")=0,INDEX(Einstellungen!$B$5:$B$16,MONTH(EOMONTH(D17,IF(E17="",3,E17)+4)))="x"),EOMONTH(D17,IF(E17="",3,E17)+4),""),"")</f>
        <v/>
      </c>
      <c r="AF17" s="16">
        <f>IF(D17&lt;&gt;"",IF(OR(COUNTIF(Einstellungen!$B$5:$B$16,"x")=0,INDEX(Einstellungen!$B$5:$B$16,MONTH(EOMONTH(D17,IF(E17="",3,E17)+5)))="x"),EOMONTH(D17,IF(E17="",3,E17)+5),""),"")</f>
        <v/>
      </c>
      <c r="AG17" s="16">
        <f>IF(D17&lt;&gt;"",IF(OR(COUNTIF(Einstellungen!$B$5:$B$16,"x")=0,INDEX(Einstellungen!$B$5:$B$16,MONTH(EOMONTH(D17,IF(E17="",3,E17)+6)))="x"),EOMONTH(D17,IF(E17="",3,E17)+6),""),"")</f>
        <v/>
      </c>
      <c r="AH17" s="16">
        <f>IF(D17&lt;&gt;"",IF(OR(COUNTIF(Einstellungen!$B$5:$B$16,"x")=0,INDEX(Einstellungen!$B$5:$B$16,MONTH(EOMONTH(D17,IF(E17="",3,E17)+7)))="x"),EOMONTH(D17,IF(E17="",3,E17)+7),""),"")</f>
        <v/>
      </c>
      <c r="AI17" s="16">
        <f>IF(D17&lt;&gt;"",IF(OR(COUNTIF(Einstellungen!$B$5:$B$16,"x")=0,INDEX(Einstellungen!$B$5:$B$16,MONTH(EOMONTH(D17,IF(E17="",3,E17)+8)))="x"),EOMONTH(D17,IF(E17="",3,E17)+8),""),"")</f>
        <v/>
      </c>
      <c r="AJ17" s="16">
        <f>IF(D17&lt;&gt;"",IF(OR(COUNTIF(Einstellungen!$B$5:$B$16,"x")=0,INDEX(Einstellungen!$B$5:$B$16,MONTH(EOMONTH(D17,IF(E17="",3,E17)+9)))="x"),EOMONTH(D17,IF(E17="",3,E17)+9),""),"")</f>
        <v/>
      </c>
      <c r="AK17" s="16">
        <f>IF(D17&lt;&gt;"",IF(OR(COUNTIF(Einstellungen!$B$5:$B$16,"x")=0,INDEX(Einstellungen!$B$5:$B$16,MONTH(EOMONTH(D17,IF(E17="",3,E17)+10)))="x"),EOMONTH(D17,IF(E17="",3,E17)+10),""),"")</f>
        <v/>
      </c>
      <c r="AL17" s="16">
        <f>IF(D17&lt;&gt;"",IF(OR(COUNTIF(Einstellungen!$B$5:$B$16,"x")=0,INDEX(Einstellungen!$B$5:$B$16,MONTH(EOMONTH(D17,IF(E17="",3,E17)+11)))="x"),EOMONTH(D17,IF(E17="",3,E17)+11),""),"")</f>
        <v/>
      </c>
      <c r="AM17" s="16">
        <f>IF(D17&lt;&gt;"",IF(OR(COUNTIF(Einstellungen!$B$5:$B$16,"x")=0,INDEX(Einstellungen!$B$5:$B$16,MONTH(EOMONTH(D17,IF(E17="",3,E17)+12)))="x"),EOMONTH(D17,IF(E17="",3,E17)+12),""),"")</f>
        <v/>
      </c>
      <c r="AN17" s="16">
        <f>IF(D17&lt;&gt;"",IF(OR(COUNTIF(Einstellungen!$B$5:$B$16,"x")=0,INDEX(Einstellungen!$B$5:$B$16,MONTH(EOMONTH(D17,IF(E17="",3,E17)+13)))="x"),EOMONTH(D17,IF(E17="",3,E17)+13),""),"")</f>
        <v/>
      </c>
      <c r="AO17" s="16">
        <f>IF(D17&lt;&gt;"",IF(OR(COUNTIF(Einstellungen!$B$5:$B$16,"x")=0,INDEX(Einstellungen!$B$5:$B$16,MONTH(EOMONTH(D17,IF(E17="",3,E17)+14)))="x"),EOMONTH(D17,IF(E17="",3,E17)+14),""),"")</f>
        <v/>
      </c>
      <c r="AP17" s="16">
        <f>IF(D17&lt;&gt;"",IF(OR(COUNTIF(Einstellungen!$B$5:$B$16,"x")=0,INDEX(Einstellungen!$B$5:$B$16,MONTH(EOMONTH(D17,IF(E17="",3,E17)+15)))="x"),EOMONTH(D17,IF(E17="",3,E17)+15),""),"")</f>
        <v/>
      </c>
      <c r="AQ17" s="16">
        <f>IF(D17&lt;&gt;"",IF(OR(COUNTIF(Einstellungen!$B$5:$B$16,"x")=0,INDEX(Einstellungen!$B$5:$B$16,MONTH(EOMONTH(D17,IF(E17="",3,E17)+16)))="x"),EOMONTH(D17,IF(E17="",3,E17)+16),""),"")</f>
        <v/>
      </c>
      <c r="AR17" s="16">
        <f>IF(D17&lt;&gt;"",IF(OR(COUNTIF(Einstellungen!$B$5:$B$16,"x")=0,INDEX(Einstellungen!$B$5:$B$16,MONTH(EOMONTH(D17,IF(E17="",3,E17)+17)))="x"),EOMONTH(D17,IF(E17="",3,E17)+17),""),"")</f>
        <v/>
      </c>
      <c r="AS17" s="16">
        <f>IF(D17&lt;&gt;"",IF(OR(COUNTIF(Einstellungen!$B$5:$B$16,"x")=0,INDEX(Einstellungen!$B$5:$B$16,MONTH(EOMONTH(D17,IF(E17="",3,E17)+18)))="x"),EOMONTH(D17,IF(E17="",3,E17)+18),""),"")</f>
        <v/>
      </c>
      <c r="AT17" s="16">
        <f>IF(D17&lt;&gt;"",IF(OR(COUNTIF(Einstellungen!$B$5:$B$16,"x")=0,INDEX(Einstellungen!$B$5:$B$16,MONTH(EOMONTH(D17,IF(E17="",3,E17)+19)))="x"),EOMONTH(D17,IF(E17="",3,E17)+19),""),"")</f>
        <v/>
      </c>
      <c r="AU17" s="16">
        <f>IF(D17&lt;&gt;"",IF(OR(COUNTIF(Einstellungen!$B$5:$B$16,"x")=0,INDEX(Einstellungen!$B$5:$B$16,MONTH(EOMONTH(D17,IF(E17="",3,E17)+20)))="x"),EOMONTH(D17,IF(E17="",3,E17)+20),""),"")</f>
        <v/>
      </c>
      <c r="AV17" s="16">
        <f>IF(D17&lt;&gt;"",IF(OR(COUNTIF(Einstellungen!$B$5:$B$16,"x")=0,INDEX(Einstellungen!$B$5:$B$16,MONTH(EOMONTH(D17,IF(E17="",3,E17)+21)))="x"),EOMONTH(D17,IF(E17="",3,E17)+21),""),"")</f>
        <v/>
      </c>
      <c r="AW17" s="16">
        <f>IF(D17&lt;&gt;"",IF(OR(COUNTIF(Einstellungen!$B$5:$B$16,"x")=0,INDEX(Einstellungen!$B$5:$B$16,MONTH(EOMONTH(D17,IF(E17="",3,E17)+22)))="x"),EOMONTH(D17,IF(E17="",3,E17)+22),""),"")</f>
        <v/>
      </c>
      <c r="AX17" s="16">
        <f>IF(D17&lt;&gt;"",IF(OR(COUNTIF(Einstellungen!$B$5:$B$16,"x")=0,INDEX(Einstellungen!$B$5:$B$16,MONTH(EOMONTH(D17,IF(E17="",3,E17)+23)))="x"),EOMONTH(D17,IF(E17="",3,E17)+23),""),"")</f>
        <v/>
      </c>
      <c r="AY17" s="16">
        <f>IF(AND(L17&lt;&gt;"",M17=""),L17,"")</f>
        <v/>
      </c>
      <c r="AZ17" s="16">
        <f>IF(AND(N17&lt;&gt;"",O17=""),N17,"")</f>
        <v/>
      </c>
      <c r="BA17" s="16">
        <f>IF(AND(P17&lt;&gt;"",Q17=""),P17,"")</f>
        <v/>
      </c>
      <c r="BB17" s="16">
        <f>IF(AND(R17&lt;&gt;"",S17=""),R17,"")</f>
        <v/>
      </c>
      <c r="BC17" s="16">
        <f>IF(AND(T17&lt;&gt;"",U17=""),T17,"")</f>
        <v/>
      </c>
    </row>
    <row r="18">
      <c r="A18" s="6" t="n"/>
      <c r="B18" s="6" t="n"/>
      <c r="C18" s="6" t="n"/>
      <c r="D18" s="7" t="n"/>
      <c r="E18" s="11" t="n"/>
      <c r="F18" s="7" t="n"/>
      <c r="G18" s="9">
        <f>IF(F18&lt;&gt;"",F18,IF(D18&lt;&gt;"",IF(COUNT(AA18:AX18)=0,"",MIN(AA18:AX18)),""))</f>
        <v/>
      </c>
      <c r="H18" s="12" t="n"/>
      <c r="I18" s="7" t="n"/>
      <c r="J18" s="13">
        <f>IF(OR(G18="",I18=""),"",MAX(0,I18-G18-1))</f>
        <v/>
      </c>
      <c r="K18" s="14">
        <f>IF(OR(J18="",H18=""),"",ROUND(H18*12/365*J18,2))</f>
        <v/>
      </c>
      <c r="L18" s="9">
        <f>IF(D18&lt;&gt;"",D18,"")</f>
        <v/>
      </c>
      <c r="M18" s="6" t="n"/>
      <c r="N18" s="9">
        <f>IF(G18="","",WORKDAY(G18,-10,Einstellungen!$D$5:$D$34))</f>
        <v/>
      </c>
      <c r="O18" s="6" t="n"/>
      <c r="P18" s="9">
        <f>IF(G18="","",WORKDAY(G18-1,1,Einstellungen!$D$5:$D$34))</f>
        <v/>
      </c>
      <c r="Q18" s="6" t="n"/>
      <c r="R18" s="9">
        <f>IF(P18="","",WORKDAY(P18,2,Einstellungen!$D$5:$D$34))</f>
        <v/>
      </c>
      <c r="S18" s="6" t="n"/>
      <c r="T18" s="9">
        <f>IF(G18="","",EDATE(G18,12))</f>
        <v/>
      </c>
      <c r="U18" s="6" t="n"/>
      <c r="V18" s="9">
        <f>IF(COUNT(AY18:BC18)=0,"",MIN(AY18:BC18))</f>
        <v/>
      </c>
      <c r="W18" s="13">
        <f>IF(V18="","",V18-$B$2)</f>
        <v/>
      </c>
      <c r="X18" s="15">
        <f>IF(C18="Vermieter","Amtliches Formular verwendet? Bei Familienwohnung an beide Ehegatten.",IF(C18="Ausserterminlich","Nachmieter zumutbar? Vereinbartes Ende eintragen.",IF(AND(G18&lt;&gt;"",I18=""),"Noch kein Nachmieter.","")))</f>
        <v/>
      </c>
      <c r="AA18" s="16">
        <f>IF(D18&lt;&gt;"",IF(OR(COUNTIF(Einstellungen!$B$5:$B$16,"x")=0,INDEX(Einstellungen!$B$5:$B$16,MONTH(EOMONTH(D18,IF(E18="",3,E18)+0)))="x"),EOMONTH(D18,IF(E18="",3,E18)+0),""),"")</f>
        <v/>
      </c>
      <c r="AB18" s="16">
        <f>IF(D18&lt;&gt;"",IF(OR(COUNTIF(Einstellungen!$B$5:$B$16,"x")=0,INDEX(Einstellungen!$B$5:$B$16,MONTH(EOMONTH(D18,IF(E18="",3,E18)+1)))="x"),EOMONTH(D18,IF(E18="",3,E18)+1),""),"")</f>
        <v/>
      </c>
      <c r="AC18" s="16">
        <f>IF(D18&lt;&gt;"",IF(OR(COUNTIF(Einstellungen!$B$5:$B$16,"x")=0,INDEX(Einstellungen!$B$5:$B$16,MONTH(EOMONTH(D18,IF(E18="",3,E18)+2)))="x"),EOMONTH(D18,IF(E18="",3,E18)+2),""),"")</f>
        <v/>
      </c>
      <c r="AD18" s="16">
        <f>IF(D18&lt;&gt;"",IF(OR(COUNTIF(Einstellungen!$B$5:$B$16,"x")=0,INDEX(Einstellungen!$B$5:$B$16,MONTH(EOMONTH(D18,IF(E18="",3,E18)+3)))="x"),EOMONTH(D18,IF(E18="",3,E18)+3),""),"")</f>
        <v/>
      </c>
      <c r="AE18" s="16">
        <f>IF(D18&lt;&gt;"",IF(OR(COUNTIF(Einstellungen!$B$5:$B$16,"x")=0,INDEX(Einstellungen!$B$5:$B$16,MONTH(EOMONTH(D18,IF(E18="",3,E18)+4)))="x"),EOMONTH(D18,IF(E18="",3,E18)+4),""),"")</f>
        <v/>
      </c>
      <c r="AF18" s="16">
        <f>IF(D18&lt;&gt;"",IF(OR(COUNTIF(Einstellungen!$B$5:$B$16,"x")=0,INDEX(Einstellungen!$B$5:$B$16,MONTH(EOMONTH(D18,IF(E18="",3,E18)+5)))="x"),EOMONTH(D18,IF(E18="",3,E18)+5),""),"")</f>
        <v/>
      </c>
      <c r="AG18" s="16">
        <f>IF(D18&lt;&gt;"",IF(OR(COUNTIF(Einstellungen!$B$5:$B$16,"x")=0,INDEX(Einstellungen!$B$5:$B$16,MONTH(EOMONTH(D18,IF(E18="",3,E18)+6)))="x"),EOMONTH(D18,IF(E18="",3,E18)+6),""),"")</f>
        <v/>
      </c>
      <c r="AH18" s="16">
        <f>IF(D18&lt;&gt;"",IF(OR(COUNTIF(Einstellungen!$B$5:$B$16,"x")=0,INDEX(Einstellungen!$B$5:$B$16,MONTH(EOMONTH(D18,IF(E18="",3,E18)+7)))="x"),EOMONTH(D18,IF(E18="",3,E18)+7),""),"")</f>
        <v/>
      </c>
      <c r="AI18" s="16">
        <f>IF(D18&lt;&gt;"",IF(OR(COUNTIF(Einstellungen!$B$5:$B$16,"x")=0,INDEX(Einstellungen!$B$5:$B$16,MONTH(EOMONTH(D18,IF(E18="",3,E18)+8)))="x"),EOMONTH(D18,IF(E18="",3,E18)+8),""),"")</f>
        <v/>
      </c>
      <c r="AJ18" s="16">
        <f>IF(D18&lt;&gt;"",IF(OR(COUNTIF(Einstellungen!$B$5:$B$16,"x")=0,INDEX(Einstellungen!$B$5:$B$16,MONTH(EOMONTH(D18,IF(E18="",3,E18)+9)))="x"),EOMONTH(D18,IF(E18="",3,E18)+9),""),"")</f>
        <v/>
      </c>
      <c r="AK18" s="16">
        <f>IF(D18&lt;&gt;"",IF(OR(COUNTIF(Einstellungen!$B$5:$B$16,"x")=0,INDEX(Einstellungen!$B$5:$B$16,MONTH(EOMONTH(D18,IF(E18="",3,E18)+10)))="x"),EOMONTH(D18,IF(E18="",3,E18)+10),""),"")</f>
        <v/>
      </c>
      <c r="AL18" s="16">
        <f>IF(D18&lt;&gt;"",IF(OR(COUNTIF(Einstellungen!$B$5:$B$16,"x")=0,INDEX(Einstellungen!$B$5:$B$16,MONTH(EOMONTH(D18,IF(E18="",3,E18)+11)))="x"),EOMONTH(D18,IF(E18="",3,E18)+11),""),"")</f>
        <v/>
      </c>
      <c r="AM18" s="16">
        <f>IF(D18&lt;&gt;"",IF(OR(COUNTIF(Einstellungen!$B$5:$B$16,"x")=0,INDEX(Einstellungen!$B$5:$B$16,MONTH(EOMONTH(D18,IF(E18="",3,E18)+12)))="x"),EOMONTH(D18,IF(E18="",3,E18)+12),""),"")</f>
        <v/>
      </c>
      <c r="AN18" s="16">
        <f>IF(D18&lt;&gt;"",IF(OR(COUNTIF(Einstellungen!$B$5:$B$16,"x")=0,INDEX(Einstellungen!$B$5:$B$16,MONTH(EOMONTH(D18,IF(E18="",3,E18)+13)))="x"),EOMONTH(D18,IF(E18="",3,E18)+13),""),"")</f>
        <v/>
      </c>
      <c r="AO18" s="16">
        <f>IF(D18&lt;&gt;"",IF(OR(COUNTIF(Einstellungen!$B$5:$B$16,"x")=0,INDEX(Einstellungen!$B$5:$B$16,MONTH(EOMONTH(D18,IF(E18="",3,E18)+14)))="x"),EOMONTH(D18,IF(E18="",3,E18)+14),""),"")</f>
        <v/>
      </c>
      <c r="AP18" s="16">
        <f>IF(D18&lt;&gt;"",IF(OR(COUNTIF(Einstellungen!$B$5:$B$16,"x")=0,INDEX(Einstellungen!$B$5:$B$16,MONTH(EOMONTH(D18,IF(E18="",3,E18)+15)))="x"),EOMONTH(D18,IF(E18="",3,E18)+15),""),"")</f>
        <v/>
      </c>
      <c r="AQ18" s="16">
        <f>IF(D18&lt;&gt;"",IF(OR(COUNTIF(Einstellungen!$B$5:$B$16,"x")=0,INDEX(Einstellungen!$B$5:$B$16,MONTH(EOMONTH(D18,IF(E18="",3,E18)+16)))="x"),EOMONTH(D18,IF(E18="",3,E18)+16),""),"")</f>
        <v/>
      </c>
      <c r="AR18" s="16">
        <f>IF(D18&lt;&gt;"",IF(OR(COUNTIF(Einstellungen!$B$5:$B$16,"x")=0,INDEX(Einstellungen!$B$5:$B$16,MONTH(EOMONTH(D18,IF(E18="",3,E18)+17)))="x"),EOMONTH(D18,IF(E18="",3,E18)+17),""),"")</f>
        <v/>
      </c>
      <c r="AS18" s="16">
        <f>IF(D18&lt;&gt;"",IF(OR(COUNTIF(Einstellungen!$B$5:$B$16,"x")=0,INDEX(Einstellungen!$B$5:$B$16,MONTH(EOMONTH(D18,IF(E18="",3,E18)+18)))="x"),EOMONTH(D18,IF(E18="",3,E18)+18),""),"")</f>
        <v/>
      </c>
      <c r="AT18" s="16">
        <f>IF(D18&lt;&gt;"",IF(OR(COUNTIF(Einstellungen!$B$5:$B$16,"x")=0,INDEX(Einstellungen!$B$5:$B$16,MONTH(EOMONTH(D18,IF(E18="",3,E18)+19)))="x"),EOMONTH(D18,IF(E18="",3,E18)+19),""),"")</f>
        <v/>
      </c>
      <c r="AU18" s="16">
        <f>IF(D18&lt;&gt;"",IF(OR(COUNTIF(Einstellungen!$B$5:$B$16,"x")=0,INDEX(Einstellungen!$B$5:$B$16,MONTH(EOMONTH(D18,IF(E18="",3,E18)+20)))="x"),EOMONTH(D18,IF(E18="",3,E18)+20),""),"")</f>
        <v/>
      </c>
      <c r="AV18" s="16">
        <f>IF(D18&lt;&gt;"",IF(OR(COUNTIF(Einstellungen!$B$5:$B$16,"x")=0,INDEX(Einstellungen!$B$5:$B$16,MONTH(EOMONTH(D18,IF(E18="",3,E18)+21)))="x"),EOMONTH(D18,IF(E18="",3,E18)+21),""),"")</f>
        <v/>
      </c>
      <c r="AW18" s="16">
        <f>IF(D18&lt;&gt;"",IF(OR(COUNTIF(Einstellungen!$B$5:$B$16,"x")=0,INDEX(Einstellungen!$B$5:$B$16,MONTH(EOMONTH(D18,IF(E18="",3,E18)+22)))="x"),EOMONTH(D18,IF(E18="",3,E18)+22),""),"")</f>
        <v/>
      </c>
      <c r="AX18" s="16">
        <f>IF(D18&lt;&gt;"",IF(OR(COUNTIF(Einstellungen!$B$5:$B$16,"x")=0,INDEX(Einstellungen!$B$5:$B$16,MONTH(EOMONTH(D18,IF(E18="",3,E18)+23)))="x"),EOMONTH(D18,IF(E18="",3,E18)+23),""),"")</f>
        <v/>
      </c>
      <c r="AY18" s="16">
        <f>IF(AND(L18&lt;&gt;"",M18=""),L18,"")</f>
        <v/>
      </c>
      <c r="AZ18" s="16">
        <f>IF(AND(N18&lt;&gt;"",O18=""),N18,"")</f>
        <v/>
      </c>
      <c r="BA18" s="16">
        <f>IF(AND(P18&lt;&gt;"",Q18=""),P18,"")</f>
        <v/>
      </c>
      <c r="BB18" s="16">
        <f>IF(AND(R18&lt;&gt;"",S18=""),R18,"")</f>
        <v/>
      </c>
      <c r="BC18" s="16">
        <f>IF(AND(T18&lt;&gt;"",U18=""),T18,"")</f>
        <v/>
      </c>
    </row>
    <row r="19">
      <c r="A19" s="6" t="n"/>
      <c r="B19" s="6" t="n"/>
      <c r="C19" s="6" t="n"/>
      <c r="D19" s="7" t="n"/>
      <c r="E19" s="11" t="n"/>
      <c r="F19" s="7" t="n"/>
      <c r="G19" s="9">
        <f>IF(F19&lt;&gt;"",F19,IF(D19&lt;&gt;"",IF(COUNT(AA19:AX19)=0,"",MIN(AA19:AX19)),""))</f>
        <v/>
      </c>
      <c r="H19" s="12" t="n"/>
      <c r="I19" s="7" t="n"/>
      <c r="J19" s="13">
        <f>IF(OR(G19="",I19=""),"",MAX(0,I19-G19-1))</f>
        <v/>
      </c>
      <c r="K19" s="14">
        <f>IF(OR(J19="",H19=""),"",ROUND(H19*12/365*J19,2))</f>
        <v/>
      </c>
      <c r="L19" s="9">
        <f>IF(D19&lt;&gt;"",D19,"")</f>
        <v/>
      </c>
      <c r="M19" s="6" t="n"/>
      <c r="N19" s="9">
        <f>IF(G19="","",WORKDAY(G19,-10,Einstellungen!$D$5:$D$34))</f>
        <v/>
      </c>
      <c r="O19" s="6" t="n"/>
      <c r="P19" s="9">
        <f>IF(G19="","",WORKDAY(G19-1,1,Einstellungen!$D$5:$D$34))</f>
        <v/>
      </c>
      <c r="Q19" s="6" t="n"/>
      <c r="R19" s="9">
        <f>IF(P19="","",WORKDAY(P19,2,Einstellungen!$D$5:$D$34))</f>
        <v/>
      </c>
      <c r="S19" s="6" t="n"/>
      <c r="T19" s="9">
        <f>IF(G19="","",EDATE(G19,12))</f>
        <v/>
      </c>
      <c r="U19" s="6" t="n"/>
      <c r="V19" s="9">
        <f>IF(COUNT(AY19:BC19)=0,"",MIN(AY19:BC19))</f>
        <v/>
      </c>
      <c r="W19" s="13">
        <f>IF(V19="","",V19-$B$2)</f>
        <v/>
      </c>
      <c r="X19" s="15">
        <f>IF(C19="Vermieter","Amtliches Formular verwendet? Bei Familienwohnung an beide Ehegatten.",IF(C19="Ausserterminlich","Nachmieter zumutbar? Vereinbartes Ende eintragen.",IF(AND(G19&lt;&gt;"",I19=""),"Noch kein Nachmieter.","")))</f>
        <v/>
      </c>
      <c r="AA19" s="16">
        <f>IF(D19&lt;&gt;"",IF(OR(COUNTIF(Einstellungen!$B$5:$B$16,"x")=0,INDEX(Einstellungen!$B$5:$B$16,MONTH(EOMONTH(D19,IF(E19="",3,E19)+0)))="x"),EOMONTH(D19,IF(E19="",3,E19)+0),""),"")</f>
        <v/>
      </c>
      <c r="AB19" s="16">
        <f>IF(D19&lt;&gt;"",IF(OR(COUNTIF(Einstellungen!$B$5:$B$16,"x")=0,INDEX(Einstellungen!$B$5:$B$16,MONTH(EOMONTH(D19,IF(E19="",3,E19)+1)))="x"),EOMONTH(D19,IF(E19="",3,E19)+1),""),"")</f>
        <v/>
      </c>
      <c r="AC19" s="16">
        <f>IF(D19&lt;&gt;"",IF(OR(COUNTIF(Einstellungen!$B$5:$B$16,"x")=0,INDEX(Einstellungen!$B$5:$B$16,MONTH(EOMONTH(D19,IF(E19="",3,E19)+2)))="x"),EOMONTH(D19,IF(E19="",3,E19)+2),""),"")</f>
        <v/>
      </c>
      <c r="AD19" s="16">
        <f>IF(D19&lt;&gt;"",IF(OR(COUNTIF(Einstellungen!$B$5:$B$16,"x")=0,INDEX(Einstellungen!$B$5:$B$16,MONTH(EOMONTH(D19,IF(E19="",3,E19)+3)))="x"),EOMONTH(D19,IF(E19="",3,E19)+3),""),"")</f>
        <v/>
      </c>
      <c r="AE19" s="16">
        <f>IF(D19&lt;&gt;"",IF(OR(COUNTIF(Einstellungen!$B$5:$B$16,"x")=0,INDEX(Einstellungen!$B$5:$B$16,MONTH(EOMONTH(D19,IF(E19="",3,E19)+4)))="x"),EOMONTH(D19,IF(E19="",3,E19)+4),""),"")</f>
        <v/>
      </c>
      <c r="AF19" s="16">
        <f>IF(D19&lt;&gt;"",IF(OR(COUNTIF(Einstellungen!$B$5:$B$16,"x")=0,INDEX(Einstellungen!$B$5:$B$16,MONTH(EOMONTH(D19,IF(E19="",3,E19)+5)))="x"),EOMONTH(D19,IF(E19="",3,E19)+5),""),"")</f>
        <v/>
      </c>
      <c r="AG19" s="16">
        <f>IF(D19&lt;&gt;"",IF(OR(COUNTIF(Einstellungen!$B$5:$B$16,"x")=0,INDEX(Einstellungen!$B$5:$B$16,MONTH(EOMONTH(D19,IF(E19="",3,E19)+6)))="x"),EOMONTH(D19,IF(E19="",3,E19)+6),""),"")</f>
        <v/>
      </c>
      <c r="AH19" s="16">
        <f>IF(D19&lt;&gt;"",IF(OR(COUNTIF(Einstellungen!$B$5:$B$16,"x")=0,INDEX(Einstellungen!$B$5:$B$16,MONTH(EOMONTH(D19,IF(E19="",3,E19)+7)))="x"),EOMONTH(D19,IF(E19="",3,E19)+7),""),"")</f>
        <v/>
      </c>
      <c r="AI19" s="16">
        <f>IF(D19&lt;&gt;"",IF(OR(COUNTIF(Einstellungen!$B$5:$B$16,"x")=0,INDEX(Einstellungen!$B$5:$B$16,MONTH(EOMONTH(D19,IF(E19="",3,E19)+8)))="x"),EOMONTH(D19,IF(E19="",3,E19)+8),""),"")</f>
        <v/>
      </c>
      <c r="AJ19" s="16">
        <f>IF(D19&lt;&gt;"",IF(OR(COUNTIF(Einstellungen!$B$5:$B$16,"x")=0,INDEX(Einstellungen!$B$5:$B$16,MONTH(EOMONTH(D19,IF(E19="",3,E19)+9)))="x"),EOMONTH(D19,IF(E19="",3,E19)+9),""),"")</f>
        <v/>
      </c>
      <c r="AK19" s="16">
        <f>IF(D19&lt;&gt;"",IF(OR(COUNTIF(Einstellungen!$B$5:$B$16,"x")=0,INDEX(Einstellungen!$B$5:$B$16,MONTH(EOMONTH(D19,IF(E19="",3,E19)+10)))="x"),EOMONTH(D19,IF(E19="",3,E19)+10),""),"")</f>
        <v/>
      </c>
      <c r="AL19" s="16">
        <f>IF(D19&lt;&gt;"",IF(OR(COUNTIF(Einstellungen!$B$5:$B$16,"x")=0,INDEX(Einstellungen!$B$5:$B$16,MONTH(EOMONTH(D19,IF(E19="",3,E19)+11)))="x"),EOMONTH(D19,IF(E19="",3,E19)+11),""),"")</f>
        <v/>
      </c>
      <c r="AM19" s="16">
        <f>IF(D19&lt;&gt;"",IF(OR(COUNTIF(Einstellungen!$B$5:$B$16,"x")=0,INDEX(Einstellungen!$B$5:$B$16,MONTH(EOMONTH(D19,IF(E19="",3,E19)+12)))="x"),EOMONTH(D19,IF(E19="",3,E19)+12),""),"")</f>
        <v/>
      </c>
      <c r="AN19" s="16">
        <f>IF(D19&lt;&gt;"",IF(OR(COUNTIF(Einstellungen!$B$5:$B$16,"x")=0,INDEX(Einstellungen!$B$5:$B$16,MONTH(EOMONTH(D19,IF(E19="",3,E19)+13)))="x"),EOMONTH(D19,IF(E19="",3,E19)+13),""),"")</f>
        <v/>
      </c>
      <c r="AO19" s="16">
        <f>IF(D19&lt;&gt;"",IF(OR(COUNTIF(Einstellungen!$B$5:$B$16,"x")=0,INDEX(Einstellungen!$B$5:$B$16,MONTH(EOMONTH(D19,IF(E19="",3,E19)+14)))="x"),EOMONTH(D19,IF(E19="",3,E19)+14),""),"")</f>
        <v/>
      </c>
      <c r="AP19" s="16">
        <f>IF(D19&lt;&gt;"",IF(OR(COUNTIF(Einstellungen!$B$5:$B$16,"x")=0,INDEX(Einstellungen!$B$5:$B$16,MONTH(EOMONTH(D19,IF(E19="",3,E19)+15)))="x"),EOMONTH(D19,IF(E19="",3,E19)+15),""),"")</f>
        <v/>
      </c>
      <c r="AQ19" s="16">
        <f>IF(D19&lt;&gt;"",IF(OR(COUNTIF(Einstellungen!$B$5:$B$16,"x")=0,INDEX(Einstellungen!$B$5:$B$16,MONTH(EOMONTH(D19,IF(E19="",3,E19)+16)))="x"),EOMONTH(D19,IF(E19="",3,E19)+16),""),"")</f>
        <v/>
      </c>
      <c r="AR19" s="16">
        <f>IF(D19&lt;&gt;"",IF(OR(COUNTIF(Einstellungen!$B$5:$B$16,"x")=0,INDEX(Einstellungen!$B$5:$B$16,MONTH(EOMONTH(D19,IF(E19="",3,E19)+17)))="x"),EOMONTH(D19,IF(E19="",3,E19)+17),""),"")</f>
        <v/>
      </c>
      <c r="AS19" s="16">
        <f>IF(D19&lt;&gt;"",IF(OR(COUNTIF(Einstellungen!$B$5:$B$16,"x")=0,INDEX(Einstellungen!$B$5:$B$16,MONTH(EOMONTH(D19,IF(E19="",3,E19)+18)))="x"),EOMONTH(D19,IF(E19="",3,E19)+18),""),"")</f>
        <v/>
      </c>
      <c r="AT19" s="16">
        <f>IF(D19&lt;&gt;"",IF(OR(COUNTIF(Einstellungen!$B$5:$B$16,"x")=0,INDEX(Einstellungen!$B$5:$B$16,MONTH(EOMONTH(D19,IF(E19="",3,E19)+19)))="x"),EOMONTH(D19,IF(E19="",3,E19)+19),""),"")</f>
        <v/>
      </c>
      <c r="AU19" s="16">
        <f>IF(D19&lt;&gt;"",IF(OR(COUNTIF(Einstellungen!$B$5:$B$16,"x")=0,INDEX(Einstellungen!$B$5:$B$16,MONTH(EOMONTH(D19,IF(E19="",3,E19)+20)))="x"),EOMONTH(D19,IF(E19="",3,E19)+20),""),"")</f>
        <v/>
      </c>
      <c r="AV19" s="16">
        <f>IF(D19&lt;&gt;"",IF(OR(COUNTIF(Einstellungen!$B$5:$B$16,"x")=0,INDEX(Einstellungen!$B$5:$B$16,MONTH(EOMONTH(D19,IF(E19="",3,E19)+21)))="x"),EOMONTH(D19,IF(E19="",3,E19)+21),""),"")</f>
        <v/>
      </c>
      <c r="AW19" s="16">
        <f>IF(D19&lt;&gt;"",IF(OR(COUNTIF(Einstellungen!$B$5:$B$16,"x")=0,INDEX(Einstellungen!$B$5:$B$16,MONTH(EOMONTH(D19,IF(E19="",3,E19)+22)))="x"),EOMONTH(D19,IF(E19="",3,E19)+22),""),"")</f>
        <v/>
      </c>
      <c r="AX19" s="16">
        <f>IF(D19&lt;&gt;"",IF(OR(COUNTIF(Einstellungen!$B$5:$B$16,"x")=0,INDEX(Einstellungen!$B$5:$B$16,MONTH(EOMONTH(D19,IF(E19="",3,E19)+23)))="x"),EOMONTH(D19,IF(E19="",3,E19)+23),""),"")</f>
        <v/>
      </c>
      <c r="AY19" s="16">
        <f>IF(AND(L19&lt;&gt;"",M19=""),L19,"")</f>
        <v/>
      </c>
      <c r="AZ19" s="16">
        <f>IF(AND(N19&lt;&gt;"",O19=""),N19,"")</f>
        <v/>
      </c>
      <c r="BA19" s="16">
        <f>IF(AND(P19&lt;&gt;"",Q19=""),P19,"")</f>
        <v/>
      </c>
      <c r="BB19" s="16">
        <f>IF(AND(R19&lt;&gt;"",S19=""),R19,"")</f>
        <v/>
      </c>
      <c r="BC19" s="16">
        <f>IF(AND(T19&lt;&gt;"",U19=""),T19,"")</f>
        <v/>
      </c>
    </row>
    <row r="20">
      <c r="A20" s="6" t="n"/>
      <c r="B20" s="6" t="n"/>
      <c r="C20" s="6" t="n"/>
      <c r="D20" s="7" t="n"/>
      <c r="E20" s="11" t="n"/>
      <c r="F20" s="7" t="n"/>
      <c r="G20" s="9">
        <f>IF(F20&lt;&gt;"",F20,IF(D20&lt;&gt;"",IF(COUNT(AA20:AX20)=0,"",MIN(AA20:AX20)),""))</f>
        <v/>
      </c>
      <c r="H20" s="12" t="n"/>
      <c r="I20" s="7" t="n"/>
      <c r="J20" s="13">
        <f>IF(OR(G20="",I20=""),"",MAX(0,I20-G20-1))</f>
        <v/>
      </c>
      <c r="K20" s="14">
        <f>IF(OR(J20="",H20=""),"",ROUND(H20*12/365*J20,2))</f>
        <v/>
      </c>
      <c r="L20" s="9">
        <f>IF(D20&lt;&gt;"",D20,"")</f>
        <v/>
      </c>
      <c r="M20" s="6" t="n"/>
      <c r="N20" s="9">
        <f>IF(G20="","",WORKDAY(G20,-10,Einstellungen!$D$5:$D$34))</f>
        <v/>
      </c>
      <c r="O20" s="6" t="n"/>
      <c r="P20" s="9">
        <f>IF(G20="","",WORKDAY(G20-1,1,Einstellungen!$D$5:$D$34))</f>
        <v/>
      </c>
      <c r="Q20" s="6" t="n"/>
      <c r="R20" s="9">
        <f>IF(P20="","",WORKDAY(P20,2,Einstellungen!$D$5:$D$34))</f>
        <v/>
      </c>
      <c r="S20" s="6" t="n"/>
      <c r="T20" s="9">
        <f>IF(G20="","",EDATE(G20,12))</f>
        <v/>
      </c>
      <c r="U20" s="6" t="n"/>
      <c r="V20" s="9">
        <f>IF(COUNT(AY20:BC20)=0,"",MIN(AY20:BC20))</f>
        <v/>
      </c>
      <c r="W20" s="13">
        <f>IF(V20="","",V20-$B$2)</f>
        <v/>
      </c>
      <c r="X20" s="15">
        <f>IF(C20="Vermieter","Amtliches Formular verwendet? Bei Familienwohnung an beide Ehegatten.",IF(C20="Ausserterminlich","Nachmieter zumutbar? Vereinbartes Ende eintragen.",IF(AND(G20&lt;&gt;"",I20=""),"Noch kein Nachmieter.","")))</f>
        <v/>
      </c>
      <c r="AA20" s="16">
        <f>IF(D20&lt;&gt;"",IF(OR(COUNTIF(Einstellungen!$B$5:$B$16,"x")=0,INDEX(Einstellungen!$B$5:$B$16,MONTH(EOMONTH(D20,IF(E20="",3,E20)+0)))="x"),EOMONTH(D20,IF(E20="",3,E20)+0),""),"")</f>
        <v/>
      </c>
      <c r="AB20" s="16">
        <f>IF(D20&lt;&gt;"",IF(OR(COUNTIF(Einstellungen!$B$5:$B$16,"x")=0,INDEX(Einstellungen!$B$5:$B$16,MONTH(EOMONTH(D20,IF(E20="",3,E20)+1)))="x"),EOMONTH(D20,IF(E20="",3,E20)+1),""),"")</f>
        <v/>
      </c>
      <c r="AC20" s="16">
        <f>IF(D20&lt;&gt;"",IF(OR(COUNTIF(Einstellungen!$B$5:$B$16,"x")=0,INDEX(Einstellungen!$B$5:$B$16,MONTH(EOMONTH(D20,IF(E20="",3,E20)+2)))="x"),EOMONTH(D20,IF(E20="",3,E20)+2),""),"")</f>
        <v/>
      </c>
      <c r="AD20" s="16">
        <f>IF(D20&lt;&gt;"",IF(OR(COUNTIF(Einstellungen!$B$5:$B$16,"x")=0,INDEX(Einstellungen!$B$5:$B$16,MONTH(EOMONTH(D20,IF(E20="",3,E20)+3)))="x"),EOMONTH(D20,IF(E20="",3,E20)+3),""),"")</f>
        <v/>
      </c>
      <c r="AE20" s="16">
        <f>IF(D20&lt;&gt;"",IF(OR(COUNTIF(Einstellungen!$B$5:$B$16,"x")=0,INDEX(Einstellungen!$B$5:$B$16,MONTH(EOMONTH(D20,IF(E20="",3,E20)+4)))="x"),EOMONTH(D20,IF(E20="",3,E20)+4),""),"")</f>
        <v/>
      </c>
      <c r="AF20" s="16">
        <f>IF(D20&lt;&gt;"",IF(OR(COUNTIF(Einstellungen!$B$5:$B$16,"x")=0,INDEX(Einstellungen!$B$5:$B$16,MONTH(EOMONTH(D20,IF(E20="",3,E20)+5)))="x"),EOMONTH(D20,IF(E20="",3,E20)+5),""),"")</f>
        <v/>
      </c>
      <c r="AG20" s="16">
        <f>IF(D20&lt;&gt;"",IF(OR(COUNTIF(Einstellungen!$B$5:$B$16,"x")=0,INDEX(Einstellungen!$B$5:$B$16,MONTH(EOMONTH(D20,IF(E20="",3,E20)+6)))="x"),EOMONTH(D20,IF(E20="",3,E20)+6),""),"")</f>
        <v/>
      </c>
      <c r="AH20" s="16">
        <f>IF(D20&lt;&gt;"",IF(OR(COUNTIF(Einstellungen!$B$5:$B$16,"x")=0,INDEX(Einstellungen!$B$5:$B$16,MONTH(EOMONTH(D20,IF(E20="",3,E20)+7)))="x"),EOMONTH(D20,IF(E20="",3,E20)+7),""),"")</f>
        <v/>
      </c>
      <c r="AI20" s="16">
        <f>IF(D20&lt;&gt;"",IF(OR(COUNTIF(Einstellungen!$B$5:$B$16,"x")=0,INDEX(Einstellungen!$B$5:$B$16,MONTH(EOMONTH(D20,IF(E20="",3,E20)+8)))="x"),EOMONTH(D20,IF(E20="",3,E20)+8),""),"")</f>
        <v/>
      </c>
      <c r="AJ20" s="16">
        <f>IF(D20&lt;&gt;"",IF(OR(COUNTIF(Einstellungen!$B$5:$B$16,"x")=0,INDEX(Einstellungen!$B$5:$B$16,MONTH(EOMONTH(D20,IF(E20="",3,E20)+9)))="x"),EOMONTH(D20,IF(E20="",3,E20)+9),""),"")</f>
        <v/>
      </c>
      <c r="AK20" s="16">
        <f>IF(D20&lt;&gt;"",IF(OR(COUNTIF(Einstellungen!$B$5:$B$16,"x")=0,INDEX(Einstellungen!$B$5:$B$16,MONTH(EOMONTH(D20,IF(E20="",3,E20)+10)))="x"),EOMONTH(D20,IF(E20="",3,E20)+10),""),"")</f>
        <v/>
      </c>
      <c r="AL20" s="16">
        <f>IF(D20&lt;&gt;"",IF(OR(COUNTIF(Einstellungen!$B$5:$B$16,"x")=0,INDEX(Einstellungen!$B$5:$B$16,MONTH(EOMONTH(D20,IF(E20="",3,E20)+11)))="x"),EOMONTH(D20,IF(E20="",3,E20)+11),""),"")</f>
        <v/>
      </c>
      <c r="AM20" s="16">
        <f>IF(D20&lt;&gt;"",IF(OR(COUNTIF(Einstellungen!$B$5:$B$16,"x")=0,INDEX(Einstellungen!$B$5:$B$16,MONTH(EOMONTH(D20,IF(E20="",3,E20)+12)))="x"),EOMONTH(D20,IF(E20="",3,E20)+12),""),"")</f>
        <v/>
      </c>
      <c r="AN20" s="16">
        <f>IF(D20&lt;&gt;"",IF(OR(COUNTIF(Einstellungen!$B$5:$B$16,"x")=0,INDEX(Einstellungen!$B$5:$B$16,MONTH(EOMONTH(D20,IF(E20="",3,E20)+13)))="x"),EOMONTH(D20,IF(E20="",3,E20)+13),""),"")</f>
        <v/>
      </c>
      <c r="AO20" s="16">
        <f>IF(D20&lt;&gt;"",IF(OR(COUNTIF(Einstellungen!$B$5:$B$16,"x")=0,INDEX(Einstellungen!$B$5:$B$16,MONTH(EOMONTH(D20,IF(E20="",3,E20)+14)))="x"),EOMONTH(D20,IF(E20="",3,E20)+14),""),"")</f>
        <v/>
      </c>
      <c r="AP20" s="16">
        <f>IF(D20&lt;&gt;"",IF(OR(COUNTIF(Einstellungen!$B$5:$B$16,"x")=0,INDEX(Einstellungen!$B$5:$B$16,MONTH(EOMONTH(D20,IF(E20="",3,E20)+15)))="x"),EOMONTH(D20,IF(E20="",3,E20)+15),""),"")</f>
        <v/>
      </c>
      <c r="AQ20" s="16">
        <f>IF(D20&lt;&gt;"",IF(OR(COUNTIF(Einstellungen!$B$5:$B$16,"x")=0,INDEX(Einstellungen!$B$5:$B$16,MONTH(EOMONTH(D20,IF(E20="",3,E20)+16)))="x"),EOMONTH(D20,IF(E20="",3,E20)+16),""),"")</f>
        <v/>
      </c>
      <c r="AR20" s="16">
        <f>IF(D20&lt;&gt;"",IF(OR(COUNTIF(Einstellungen!$B$5:$B$16,"x")=0,INDEX(Einstellungen!$B$5:$B$16,MONTH(EOMONTH(D20,IF(E20="",3,E20)+17)))="x"),EOMONTH(D20,IF(E20="",3,E20)+17),""),"")</f>
        <v/>
      </c>
      <c r="AS20" s="16">
        <f>IF(D20&lt;&gt;"",IF(OR(COUNTIF(Einstellungen!$B$5:$B$16,"x")=0,INDEX(Einstellungen!$B$5:$B$16,MONTH(EOMONTH(D20,IF(E20="",3,E20)+18)))="x"),EOMONTH(D20,IF(E20="",3,E20)+18),""),"")</f>
        <v/>
      </c>
      <c r="AT20" s="16">
        <f>IF(D20&lt;&gt;"",IF(OR(COUNTIF(Einstellungen!$B$5:$B$16,"x")=0,INDEX(Einstellungen!$B$5:$B$16,MONTH(EOMONTH(D20,IF(E20="",3,E20)+19)))="x"),EOMONTH(D20,IF(E20="",3,E20)+19),""),"")</f>
        <v/>
      </c>
      <c r="AU20" s="16">
        <f>IF(D20&lt;&gt;"",IF(OR(COUNTIF(Einstellungen!$B$5:$B$16,"x")=0,INDEX(Einstellungen!$B$5:$B$16,MONTH(EOMONTH(D20,IF(E20="",3,E20)+20)))="x"),EOMONTH(D20,IF(E20="",3,E20)+20),""),"")</f>
        <v/>
      </c>
      <c r="AV20" s="16">
        <f>IF(D20&lt;&gt;"",IF(OR(COUNTIF(Einstellungen!$B$5:$B$16,"x")=0,INDEX(Einstellungen!$B$5:$B$16,MONTH(EOMONTH(D20,IF(E20="",3,E20)+21)))="x"),EOMONTH(D20,IF(E20="",3,E20)+21),""),"")</f>
        <v/>
      </c>
      <c r="AW20" s="16">
        <f>IF(D20&lt;&gt;"",IF(OR(COUNTIF(Einstellungen!$B$5:$B$16,"x")=0,INDEX(Einstellungen!$B$5:$B$16,MONTH(EOMONTH(D20,IF(E20="",3,E20)+22)))="x"),EOMONTH(D20,IF(E20="",3,E20)+22),""),"")</f>
        <v/>
      </c>
      <c r="AX20" s="16">
        <f>IF(D20&lt;&gt;"",IF(OR(COUNTIF(Einstellungen!$B$5:$B$16,"x")=0,INDEX(Einstellungen!$B$5:$B$16,MONTH(EOMONTH(D20,IF(E20="",3,E20)+23)))="x"),EOMONTH(D20,IF(E20="",3,E20)+23),""),"")</f>
        <v/>
      </c>
      <c r="AY20" s="16">
        <f>IF(AND(L20&lt;&gt;"",M20=""),L20,"")</f>
        <v/>
      </c>
      <c r="AZ20" s="16">
        <f>IF(AND(N20&lt;&gt;"",O20=""),N20,"")</f>
        <v/>
      </c>
      <c r="BA20" s="16">
        <f>IF(AND(P20&lt;&gt;"",Q20=""),P20,"")</f>
        <v/>
      </c>
      <c r="BB20" s="16">
        <f>IF(AND(R20&lt;&gt;"",S20=""),R20,"")</f>
        <v/>
      </c>
      <c r="BC20" s="16">
        <f>IF(AND(T20&lt;&gt;"",U20=""),T20,"")</f>
        <v/>
      </c>
    </row>
    <row r="21">
      <c r="A21" s="6" t="n"/>
      <c r="B21" s="6" t="n"/>
      <c r="C21" s="6" t="n"/>
      <c r="D21" s="7" t="n"/>
      <c r="E21" s="11" t="n"/>
      <c r="F21" s="7" t="n"/>
      <c r="G21" s="9">
        <f>IF(F21&lt;&gt;"",F21,IF(D21&lt;&gt;"",IF(COUNT(AA21:AX21)=0,"",MIN(AA21:AX21)),""))</f>
        <v/>
      </c>
      <c r="H21" s="12" t="n"/>
      <c r="I21" s="7" t="n"/>
      <c r="J21" s="13">
        <f>IF(OR(G21="",I21=""),"",MAX(0,I21-G21-1))</f>
        <v/>
      </c>
      <c r="K21" s="14">
        <f>IF(OR(J21="",H21=""),"",ROUND(H21*12/365*J21,2))</f>
        <v/>
      </c>
      <c r="L21" s="9">
        <f>IF(D21&lt;&gt;"",D21,"")</f>
        <v/>
      </c>
      <c r="M21" s="6" t="n"/>
      <c r="N21" s="9">
        <f>IF(G21="","",WORKDAY(G21,-10,Einstellungen!$D$5:$D$34))</f>
        <v/>
      </c>
      <c r="O21" s="6" t="n"/>
      <c r="P21" s="9">
        <f>IF(G21="","",WORKDAY(G21-1,1,Einstellungen!$D$5:$D$34))</f>
        <v/>
      </c>
      <c r="Q21" s="6" t="n"/>
      <c r="R21" s="9">
        <f>IF(P21="","",WORKDAY(P21,2,Einstellungen!$D$5:$D$34))</f>
        <v/>
      </c>
      <c r="S21" s="6" t="n"/>
      <c r="T21" s="9">
        <f>IF(G21="","",EDATE(G21,12))</f>
        <v/>
      </c>
      <c r="U21" s="6" t="n"/>
      <c r="V21" s="9">
        <f>IF(COUNT(AY21:BC21)=0,"",MIN(AY21:BC21))</f>
        <v/>
      </c>
      <c r="W21" s="13">
        <f>IF(V21="","",V21-$B$2)</f>
        <v/>
      </c>
      <c r="X21" s="15">
        <f>IF(C21="Vermieter","Amtliches Formular verwendet? Bei Familienwohnung an beide Ehegatten.",IF(C21="Ausserterminlich","Nachmieter zumutbar? Vereinbartes Ende eintragen.",IF(AND(G21&lt;&gt;"",I21=""),"Noch kein Nachmieter.","")))</f>
        <v/>
      </c>
      <c r="AA21" s="16">
        <f>IF(D21&lt;&gt;"",IF(OR(COUNTIF(Einstellungen!$B$5:$B$16,"x")=0,INDEX(Einstellungen!$B$5:$B$16,MONTH(EOMONTH(D21,IF(E21="",3,E21)+0)))="x"),EOMONTH(D21,IF(E21="",3,E21)+0),""),"")</f>
        <v/>
      </c>
      <c r="AB21" s="16">
        <f>IF(D21&lt;&gt;"",IF(OR(COUNTIF(Einstellungen!$B$5:$B$16,"x")=0,INDEX(Einstellungen!$B$5:$B$16,MONTH(EOMONTH(D21,IF(E21="",3,E21)+1)))="x"),EOMONTH(D21,IF(E21="",3,E21)+1),""),"")</f>
        <v/>
      </c>
      <c r="AC21" s="16">
        <f>IF(D21&lt;&gt;"",IF(OR(COUNTIF(Einstellungen!$B$5:$B$16,"x")=0,INDEX(Einstellungen!$B$5:$B$16,MONTH(EOMONTH(D21,IF(E21="",3,E21)+2)))="x"),EOMONTH(D21,IF(E21="",3,E21)+2),""),"")</f>
        <v/>
      </c>
      <c r="AD21" s="16">
        <f>IF(D21&lt;&gt;"",IF(OR(COUNTIF(Einstellungen!$B$5:$B$16,"x")=0,INDEX(Einstellungen!$B$5:$B$16,MONTH(EOMONTH(D21,IF(E21="",3,E21)+3)))="x"),EOMONTH(D21,IF(E21="",3,E21)+3),""),"")</f>
        <v/>
      </c>
      <c r="AE21" s="16">
        <f>IF(D21&lt;&gt;"",IF(OR(COUNTIF(Einstellungen!$B$5:$B$16,"x")=0,INDEX(Einstellungen!$B$5:$B$16,MONTH(EOMONTH(D21,IF(E21="",3,E21)+4)))="x"),EOMONTH(D21,IF(E21="",3,E21)+4),""),"")</f>
        <v/>
      </c>
      <c r="AF21" s="16">
        <f>IF(D21&lt;&gt;"",IF(OR(COUNTIF(Einstellungen!$B$5:$B$16,"x")=0,INDEX(Einstellungen!$B$5:$B$16,MONTH(EOMONTH(D21,IF(E21="",3,E21)+5)))="x"),EOMONTH(D21,IF(E21="",3,E21)+5),""),"")</f>
        <v/>
      </c>
      <c r="AG21" s="16">
        <f>IF(D21&lt;&gt;"",IF(OR(COUNTIF(Einstellungen!$B$5:$B$16,"x")=0,INDEX(Einstellungen!$B$5:$B$16,MONTH(EOMONTH(D21,IF(E21="",3,E21)+6)))="x"),EOMONTH(D21,IF(E21="",3,E21)+6),""),"")</f>
        <v/>
      </c>
      <c r="AH21" s="16">
        <f>IF(D21&lt;&gt;"",IF(OR(COUNTIF(Einstellungen!$B$5:$B$16,"x")=0,INDEX(Einstellungen!$B$5:$B$16,MONTH(EOMONTH(D21,IF(E21="",3,E21)+7)))="x"),EOMONTH(D21,IF(E21="",3,E21)+7),""),"")</f>
        <v/>
      </c>
      <c r="AI21" s="16">
        <f>IF(D21&lt;&gt;"",IF(OR(COUNTIF(Einstellungen!$B$5:$B$16,"x")=0,INDEX(Einstellungen!$B$5:$B$16,MONTH(EOMONTH(D21,IF(E21="",3,E21)+8)))="x"),EOMONTH(D21,IF(E21="",3,E21)+8),""),"")</f>
        <v/>
      </c>
      <c r="AJ21" s="16">
        <f>IF(D21&lt;&gt;"",IF(OR(COUNTIF(Einstellungen!$B$5:$B$16,"x")=0,INDEX(Einstellungen!$B$5:$B$16,MONTH(EOMONTH(D21,IF(E21="",3,E21)+9)))="x"),EOMONTH(D21,IF(E21="",3,E21)+9),""),"")</f>
        <v/>
      </c>
      <c r="AK21" s="16">
        <f>IF(D21&lt;&gt;"",IF(OR(COUNTIF(Einstellungen!$B$5:$B$16,"x")=0,INDEX(Einstellungen!$B$5:$B$16,MONTH(EOMONTH(D21,IF(E21="",3,E21)+10)))="x"),EOMONTH(D21,IF(E21="",3,E21)+10),""),"")</f>
        <v/>
      </c>
      <c r="AL21" s="16">
        <f>IF(D21&lt;&gt;"",IF(OR(COUNTIF(Einstellungen!$B$5:$B$16,"x")=0,INDEX(Einstellungen!$B$5:$B$16,MONTH(EOMONTH(D21,IF(E21="",3,E21)+11)))="x"),EOMONTH(D21,IF(E21="",3,E21)+11),""),"")</f>
        <v/>
      </c>
      <c r="AM21" s="16">
        <f>IF(D21&lt;&gt;"",IF(OR(COUNTIF(Einstellungen!$B$5:$B$16,"x")=0,INDEX(Einstellungen!$B$5:$B$16,MONTH(EOMONTH(D21,IF(E21="",3,E21)+12)))="x"),EOMONTH(D21,IF(E21="",3,E21)+12),""),"")</f>
        <v/>
      </c>
      <c r="AN21" s="16">
        <f>IF(D21&lt;&gt;"",IF(OR(COUNTIF(Einstellungen!$B$5:$B$16,"x")=0,INDEX(Einstellungen!$B$5:$B$16,MONTH(EOMONTH(D21,IF(E21="",3,E21)+13)))="x"),EOMONTH(D21,IF(E21="",3,E21)+13),""),"")</f>
        <v/>
      </c>
      <c r="AO21" s="16">
        <f>IF(D21&lt;&gt;"",IF(OR(COUNTIF(Einstellungen!$B$5:$B$16,"x")=0,INDEX(Einstellungen!$B$5:$B$16,MONTH(EOMONTH(D21,IF(E21="",3,E21)+14)))="x"),EOMONTH(D21,IF(E21="",3,E21)+14),""),"")</f>
        <v/>
      </c>
      <c r="AP21" s="16">
        <f>IF(D21&lt;&gt;"",IF(OR(COUNTIF(Einstellungen!$B$5:$B$16,"x")=0,INDEX(Einstellungen!$B$5:$B$16,MONTH(EOMONTH(D21,IF(E21="",3,E21)+15)))="x"),EOMONTH(D21,IF(E21="",3,E21)+15),""),"")</f>
        <v/>
      </c>
      <c r="AQ21" s="16">
        <f>IF(D21&lt;&gt;"",IF(OR(COUNTIF(Einstellungen!$B$5:$B$16,"x")=0,INDEX(Einstellungen!$B$5:$B$16,MONTH(EOMONTH(D21,IF(E21="",3,E21)+16)))="x"),EOMONTH(D21,IF(E21="",3,E21)+16),""),"")</f>
        <v/>
      </c>
      <c r="AR21" s="16">
        <f>IF(D21&lt;&gt;"",IF(OR(COUNTIF(Einstellungen!$B$5:$B$16,"x")=0,INDEX(Einstellungen!$B$5:$B$16,MONTH(EOMONTH(D21,IF(E21="",3,E21)+17)))="x"),EOMONTH(D21,IF(E21="",3,E21)+17),""),"")</f>
        <v/>
      </c>
      <c r="AS21" s="16">
        <f>IF(D21&lt;&gt;"",IF(OR(COUNTIF(Einstellungen!$B$5:$B$16,"x")=0,INDEX(Einstellungen!$B$5:$B$16,MONTH(EOMONTH(D21,IF(E21="",3,E21)+18)))="x"),EOMONTH(D21,IF(E21="",3,E21)+18),""),"")</f>
        <v/>
      </c>
      <c r="AT21" s="16">
        <f>IF(D21&lt;&gt;"",IF(OR(COUNTIF(Einstellungen!$B$5:$B$16,"x")=0,INDEX(Einstellungen!$B$5:$B$16,MONTH(EOMONTH(D21,IF(E21="",3,E21)+19)))="x"),EOMONTH(D21,IF(E21="",3,E21)+19),""),"")</f>
        <v/>
      </c>
      <c r="AU21" s="16">
        <f>IF(D21&lt;&gt;"",IF(OR(COUNTIF(Einstellungen!$B$5:$B$16,"x")=0,INDEX(Einstellungen!$B$5:$B$16,MONTH(EOMONTH(D21,IF(E21="",3,E21)+20)))="x"),EOMONTH(D21,IF(E21="",3,E21)+20),""),"")</f>
        <v/>
      </c>
      <c r="AV21" s="16">
        <f>IF(D21&lt;&gt;"",IF(OR(COUNTIF(Einstellungen!$B$5:$B$16,"x")=0,INDEX(Einstellungen!$B$5:$B$16,MONTH(EOMONTH(D21,IF(E21="",3,E21)+21)))="x"),EOMONTH(D21,IF(E21="",3,E21)+21),""),"")</f>
        <v/>
      </c>
      <c r="AW21" s="16">
        <f>IF(D21&lt;&gt;"",IF(OR(COUNTIF(Einstellungen!$B$5:$B$16,"x")=0,INDEX(Einstellungen!$B$5:$B$16,MONTH(EOMONTH(D21,IF(E21="",3,E21)+22)))="x"),EOMONTH(D21,IF(E21="",3,E21)+22),""),"")</f>
        <v/>
      </c>
      <c r="AX21" s="16">
        <f>IF(D21&lt;&gt;"",IF(OR(COUNTIF(Einstellungen!$B$5:$B$16,"x")=0,INDEX(Einstellungen!$B$5:$B$16,MONTH(EOMONTH(D21,IF(E21="",3,E21)+23)))="x"),EOMONTH(D21,IF(E21="",3,E21)+23),""),"")</f>
        <v/>
      </c>
      <c r="AY21" s="16">
        <f>IF(AND(L21&lt;&gt;"",M21=""),L21,"")</f>
        <v/>
      </c>
      <c r="AZ21" s="16">
        <f>IF(AND(N21&lt;&gt;"",O21=""),N21,"")</f>
        <v/>
      </c>
      <c r="BA21" s="16">
        <f>IF(AND(P21&lt;&gt;"",Q21=""),P21,"")</f>
        <v/>
      </c>
      <c r="BB21" s="16">
        <f>IF(AND(R21&lt;&gt;"",S21=""),R21,"")</f>
        <v/>
      </c>
      <c r="BC21" s="16">
        <f>IF(AND(T21&lt;&gt;"",U21=""),T21,"")</f>
        <v/>
      </c>
    </row>
    <row r="22">
      <c r="A22" s="6" t="n"/>
      <c r="B22" s="6" t="n"/>
      <c r="C22" s="6" t="n"/>
      <c r="D22" s="7" t="n"/>
      <c r="E22" s="11" t="n"/>
      <c r="F22" s="7" t="n"/>
      <c r="G22" s="9">
        <f>IF(F22&lt;&gt;"",F22,IF(D22&lt;&gt;"",IF(COUNT(AA22:AX22)=0,"",MIN(AA22:AX22)),""))</f>
        <v/>
      </c>
      <c r="H22" s="12" t="n"/>
      <c r="I22" s="7" t="n"/>
      <c r="J22" s="13">
        <f>IF(OR(G22="",I22=""),"",MAX(0,I22-G22-1))</f>
        <v/>
      </c>
      <c r="K22" s="14">
        <f>IF(OR(J22="",H22=""),"",ROUND(H22*12/365*J22,2))</f>
        <v/>
      </c>
      <c r="L22" s="9">
        <f>IF(D22&lt;&gt;"",D22,"")</f>
        <v/>
      </c>
      <c r="M22" s="6" t="n"/>
      <c r="N22" s="9">
        <f>IF(G22="","",WORKDAY(G22,-10,Einstellungen!$D$5:$D$34))</f>
        <v/>
      </c>
      <c r="O22" s="6" t="n"/>
      <c r="P22" s="9">
        <f>IF(G22="","",WORKDAY(G22-1,1,Einstellungen!$D$5:$D$34))</f>
        <v/>
      </c>
      <c r="Q22" s="6" t="n"/>
      <c r="R22" s="9">
        <f>IF(P22="","",WORKDAY(P22,2,Einstellungen!$D$5:$D$34))</f>
        <v/>
      </c>
      <c r="S22" s="6" t="n"/>
      <c r="T22" s="9">
        <f>IF(G22="","",EDATE(G22,12))</f>
        <v/>
      </c>
      <c r="U22" s="6" t="n"/>
      <c r="V22" s="9">
        <f>IF(COUNT(AY22:BC22)=0,"",MIN(AY22:BC22))</f>
        <v/>
      </c>
      <c r="W22" s="13">
        <f>IF(V22="","",V22-$B$2)</f>
        <v/>
      </c>
      <c r="X22" s="15">
        <f>IF(C22="Vermieter","Amtliches Formular verwendet? Bei Familienwohnung an beide Ehegatten.",IF(C22="Ausserterminlich","Nachmieter zumutbar? Vereinbartes Ende eintragen.",IF(AND(G22&lt;&gt;"",I22=""),"Noch kein Nachmieter.","")))</f>
        <v/>
      </c>
      <c r="AA22" s="16">
        <f>IF(D22&lt;&gt;"",IF(OR(COUNTIF(Einstellungen!$B$5:$B$16,"x")=0,INDEX(Einstellungen!$B$5:$B$16,MONTH(EOMONTH(D22,IF(E22="",3,E22)+0)))="x"),EOMONTH(D22,IF(E22="",3,E22)+0),""),"")</f>
        <v/>
      </c>
      <c r="AB22" s="16">
        <f>IF(D22&lt;&gt;"",IF(OR(COUNTIF(Einstellungen!$B$5:$B$16,"x")=0,INDEX(Einstellungen!$B$5:$B$16,MONTH(EOMONTH(D22,IF(E22="",3,E22)+1)))="x"),EOMONTH(D22,IF(E22="",3,E22)+1),""),"")</f>
        <v/>
      </c>
      <c r="AC22" s="16">
        <f>IF(D22&lt;&gt;"",IF(OR(COUNTIF(Einstellungen!$B$5:$B$16,"x")=0,INDEX(Einstellungen!$B$5:$B$16,MONTH(EOMONTH(D22,IF(E22="",3,E22)+2)))="x"),EOMONTH(D22,IF(E22="",3,E22)+2),""),"")</f>
        <v/>
      </c>
      <c r="AD22" s="16">
        <f>IF(D22&lt;&gt;"",IF(OR(COUNTIF(Einstellungen!$B$5:$B$16,"x")=0,INDEX(Einstellungen!$B$5:$B$16,MONTH(EOMONTH(D22,IF(E22="",3,E22)+3)))="x"),EOMONTH(D22,IF(E22="",3,E22)+3),""),"")</f>
        <v/>
      </c>
      <c r="AE22" s="16">
        <f>IF(D22&lt;&gt;"",IF(OR(COUNTIF(Einstellungen!$B$5:$B$16,"x")=0,INDEX(Einstellungen!$B$5:$B$16,MONTH(EOMONTH(D22,IF(E22="",3,E22)+4)))="x"),EOMONTH(D22,IF(E22="",3,E22)+4),""),"")</f>
        <v/>
      </c>
      <c r="AF22" s="16">
        <f>IF(D22&lt;&gt;"",IF(OR(COUNTIF(Einstellungen!$B$5:$B$16,"x")=0,INDEX(Einstellungen!$B$5:$B$16,MONTH(EOMONTH(D22,IF(E22="",3,E22)+5)))="x"),EOMONTH(D22,IF(E22="",3,E22)+5),""),"")</f>
        <v/>
      </c>
      <c r="AG22" s="16">
        <f>IF(D22&lt;&gt;"",IF(OR(COUNTIF(Einstellungen!$B$5:$B$16,"x")=0,INDEX(Einstellungen!$B$5:$B$16,MONTH(EOMONTH(D22,IF(E22="",3,E22)+6)))="x"),EOMONTH(D22,IF(E22="",3,E22)+6),""),"")</f>
        <v/>
      </c>
      <c r="AH22" s="16">
        <f>IF(D22&lt;&gt;"",IF(OR(COUNTIF(Einstellungen!$B$5:$B$16,"x")=0,INDEX(Einstellungen!$B$5:$B$16,MONTH(EOMONTH(D22,IF(E22="",3,E22)+7)))="x"),EOMONTH(D22,IF(E22="",3,E22)+7),""),"")</f>
        <v/>
      </c>
      <c r="AI22" s="16">
        <f>IF(D22&lt;&gt;"",IF(OR(COUNTIF(Einstellungen!$B$5:$B$16,"x")=0,INDEX(Einstellungen!$B$5:$B$16,MONTH(EOMONTH(D22,IF(E22="",3,E22)+8)))="x"),EOMONTH(D22,IF(E22="",3,E22)+8),""),"")</f>
        <v/>
      </c>
      <c r="AJ22" s="16">
        <f>IF(D22&lt;&gt;"",IF(OR(COUNTIF(Einstellungen!$B$5:$B$16,"x")=0,INDEX(Einstellungen!$B$5:$B$16,MONTH(EOMONTH(D22,IF(E22="",3,E22)+9)))="x"),EOMONTH(D22,IF(E22="",3,E22)+9),""),"")</f>
        <v/>
      </c>
      <c r="AK22" s="16">
        <f>IF(D22&lt;&gt;"",IF(OR(COUNTIF(Einstellungen!$B$5:$B$16,"x")=0,INDEX(Einstellungen!$B$5:$B$16,MONTH(EOMONTH(D22,IF(E22="",3,E22)+10)))="x"),EOMONTH(D22,IF(E22="",3,E22)+10),""),"")</f>
        <v/>
      </c>
      <c r="AL22" s="16">
        <f>IF(D22&lt;&gt;"",IF(OR(COUNTIF(Einstellungen!$B$5:$B$16,"x")=0,INDEX(Einstellungen!$B$5:$B$16,MONTH(EOMONTH(D22,IF(E22="",3,E22)+11)))="x"),EOMONTH(D22,IF(E22="",3,E22)+11),""),"")</f>
        <v/>
      </c>
      <c r="AM22" s="16">
        <f>IF(D22&lt;&gt;"",IF(OR(COUNTIF(Einstellungen!$B$5:$B$16,"x")=0,INDEX(Einstellungen!$B$5:$B$16,MONTH(EOMONTH(D22,IF(E22="",3,E22)+12)))="x"),EOMONTH(D22,IF(E22="",3,E22)+12),""),"")</f>
        <v/>
      </c>
      <c r="AN22" s="16">
        <f>IF(D22&lt;&gt;"",IF(OR(COUNTIF(Einstellungen!$B$5:$B$16,"x")=0,INDEX(Einstellungen!$B$5:$B$16,MONTH(EOMONTH(D22,IF(E22="",3,E22)+13)))="x"),EOMONTH(D22,IF(E22="",3,E22)+13),""),"")</f>
        <v/>
      </c>
      <c r="AO22" s="16">
        <f>IF(D22&lt;&gt;"",IF(OR(COUNTIF(Einstellungen!$B$5:$B$16,"x")=0,INDEX(Einstellungen!$B$5:$B$16,MONTH(EOMONTH(D22,IF(E22="",3,E22)+14)))="x"),EOMONTH(D22,IF(E22="",3,E22)+14),""),"")</f>
        <v/>
      </c>
      <c r="AP22" s="16">
        <f>IF(D22&lt;&gt;"",IF(OR(COUNTIF(Einstellungen!$B$5:$B$16,"x")=0,INDEX(Einstellungen!$B$5:$B$16,MONTH(EOMONTH(D22,IF(E22="",3,E22)+15)))="x"),EOMONTH(D22,IF(E22="",3,E22)+15),""),"")</f>
        <v/>
      </c>
      <c r="AQ22" s="16">
        <f>IF(D22&lt;&gt;"",IF(OR(COUNTIF(Einstellungen!$B$5:$B$16,"x")=0,INDEX(Einstellungen!$B$5:$B$16,MONTH(EOMONTH(D22,IF(E22="",3,E22)+16)))="x"),EOMONTH(D22,IF(E22="",3,E22)+16),""),"")</f>
        <v/>
      </c>
      <c r="AR22" s="16">
        <f>IF(D22&lt;&gt;"",IF(OR(COUNTIF(Einstellungen!$B$5:$B$16,"x")=0,INDEX(Einstellungen!$B$5:$B$16,MONTH(EOMONTH(D22,IF(E22="",3,E22)+17)))="x"),EOMONTH(D22,IF(E22="",3,E22)+17),""),"")</f>
        <v/>
      </c>
      <c r="AS22" s="16">
        <f>IF(D22&lt;&gt;"",IF(OR(COUNTIF(Einstellungen!$B$5:$B$16,"x")=0,INDEX(Einstellungen!$B$5:$B$16,MONTH(EOMONTH(D22,IF(E22="",3,E22)+18)))="x"),EOMONTH(D22,IF(E22="",3,E22)+18),""),"")</f>
        <v/>
      </c>
      <c r="AT22" s="16">
        <f>IF(D22&lt;&gt;"",IF(OR(COUNTIF(Einstellungen!$B$5:$B$16,"x")=0,INDEX(Einstellungen!$B$5:$B$16,MONTH(EOMONTH(D22,IF(E22="",3,E22)+19)))="x"),EOMONTH(D22,IF(E22="",3,E22)+19),""),"")</f>
        <v/>
      </c>
      <c r="AU22" s="16">
        <f>IF(D22&lt;&gt;"",IF(OR(COUNTIF(Einstellungen!$B$5:$B$16,"x")=0,INDEX(Einstellungen!$B$5:$B$16,MONTH(EOMONTH(D22,IF(E22="",3,E22)+20)))="x"),EOMONTH(D22,IF(E22="",3,E22)+20),""),"")</f>
        <v/>
      </c>
      <c r="AV22" s="16">
        <f>IF(D22&lt;&gt;"",IF(OR(COUNTIF(Einstellungen!$B$5:$B$16,"x")=0,INDEX(Einstellungen!$B$5:$B$16,MONTH(EOMONTH(D22,IF(E22="",3,E22)+21)))="x"),EOMONTH(D22,IF(E22="",3,E22)+21),""),"")</f>
        <v/>
      </c>
      <c r="AW22" s="16">
        <f>IF(D22&lt;&gt;"",IF(OR(COUNTIF(Einstellungen!$B$5:$B$16,"x")=0,INDEX(Einstellungen!$B$5:$B$16,MONTH(EOMONTH(D22,IF(E22="",3,E22)+22)))="x"),EOMONTH(D22,IF(E22="",3,E22)+22),""),"")</f>
        <v/>
      </c>
      <c r="AX22" s="16">
        <f>IF(D22&lt;&gt;"",IF(OR(COUNTIF(Einstellungen!$B$5:$B$16,"x")=0,INDEX(Einstellungen!$B$5:$B$16,MONTH(EOMONTH(D22,IF(E22="",3,E22)+23)))="x"),EOMONTH(D22,IF(E22="",3,E22)+23),""),"")</f>
        <v/>
      </c>
      <c r="AY22" s="16">
        <f>IF(AND(L22&lt;&gt;"",M22=""),L22,"")</f>
        <v/>
      </c>
      <c r="AZ22" s="16">
        <f>IF(AND(N22&lt;&gt;"",O22=""),N22,"")</f>
        <v/>
      </c>
      <c r="BA22" s="16">
        <f>IF(AND(P22&lt;&gt;"",Q22=""),P22,"")</f>
        <v/>
      </c>
      <c r="BB22" s="16">
        <f>IF(AND(R22&lt;&gt;"",S22=""),R22,"")</f>
        <v/>
      </c>
      <c r="BC22" s="16">
        <f>IF(AND(T22&lt;&gt;"",U22=""),T22,"")</f>
        <v/>
      </c>
    </row>
    <row r="23">
      <c r="A23" s="6" t="n"/>
      <c r="B23" s="6" t="n"/>
      <c r="C23" s="6" t="n"/>
      <c r="D23" s="7" t="n"/>
      <c r="E23" s="11" t="n"/>
      <c r="F23" s="7" t="n"/>
      <c r="G23" s="9">
        <f>IF(F23&lt;&gt;"",F23,IF(D23&lt;&gt;"",IF(COUNT(AA23:AX23)=0,"",MIN(AA23:AX23)),""))</f>
        <v/>
      </c>
      <c r="H23" s="12" t="n"/>
      <c r="I23" s="7" t="n"/>
      <c r="J23" s="13">
        <f>IF(OR(G23="",I23=""),"",MAX(0,I23-G23-1))</f>
        <v/>
      </c>
      <c r="K23" s="14">
        <f>IF(OR(J23="",H23=""),"",ROUND(H23*12/365*J23,2))</f>
        <v/>
      </c>
      <c r="L23" s="9">
        <f>IF(D23&lt;&gt;"",D23,"")</f>
        <v/>
      </c>
      <c r="M23" s="6" t="n"/>
      <c r="N23" s="9">
        <f>IF(G23="","",WORKDAY(G23,-10,Einstellungen!$D$5:$D$34))</f>
        <v/>
      </c>
      <c r="O23" s="6" t="n"/>
      <c r="P23" s="9">
        <f>IF(G23="","",WORKDAY(G23-1,1,Einstellungen!$D$5:$D$34))</f>
        <v/>
      </c>
      <c r="Q23" s="6" t="n"/>
      <c r="R23" s="9">
        <f>IF(P23="","",WORKDAY(P23,2,Einstellungen!$D$5:$D$34))</f>
        <v/>
      </c>
      <c r="S23" s="6" t="n"/>
      <c r="T23" s="9">
        <f>IF(G23="","",EDATE(G23,12))</f>
        <v/>
      </c>
      <c r="U23" s="6" t="n"/>
      <c r="V23" s="9">
        <f>IF(COUNT(AY23:BC23)=0,"",MIN(AY23:BC23))</f>
        <v/>
      </c>
      <c r="W23" s="13">
        <f>IF(V23="","",V23-$B$2)</f>
        <v/>
      </c>
      <c r="X23" s="15">
        <f>IF(C23="Vermieter","Amtliches Formular verwendet? Bei Familienwohnung an beide Ehegatten.",IF(C23="Ausserterminlich","Nachmieter zumutbar? Vereinbartes Ende eintragen.",IF(AND(G23&lt;&gt;"",I23=""),"Noch kein Nachmieter.","")))</f>
        <v/>
      </c>
      <c r="AA23" s="16">
        <f>IF(D23&lt;&gt;"",IF(OR(COUNTIF(Einstellungen!$B$5:$B$16,"x")=0,INDEX(Einstellungen!$B$5:$B$16,MONTH(EOMONTH(D23,IF(E23="",3,E23)+0)))="x"),EOMONTH(D23,IF(E23="",3,E23)+0),""),"")</f>
        <v/>
      </c>
      <c r="AB23" s="16">
        <f>IF(D23&lt;&gt;"",IF(OR(COUNTIF(Einstellungen!$B$5:$B$16,"x")=0,INDEX(Einstellungen!$B$5:$B$16,MONTH(EOMONTH(D23,IF(E23="",3,E23)+1)))="x"),EOMONTH(D23,IF(E23="",3,E23)+1),""),"")</f>
        <v/>
      </c>
      <c r="AC23" s="16">
        <f>IF(D23&lt;&gt;"",IF(OR(COUNTIF(Einstellungen!$B$5:$B$16,"x")=0,INDEX(Einstellungen!$B$5:$B$16,MONTH(EOMONTH(D23,IF(E23="",3,E23)+2)))="x"),EOMONTH(D23,IF(E23="",3,E23)+2),""),"")</f>
        <v/>
      </c>
      <c r="AD23" s="16">
        <f>IF(D23&lt;&gt;"",IF(OR(COUNTIF(Einstellungen!$B$5:$B$16,"x")=0,INDEX(Einstellungen!$B$5:$B$16,MONTH(EOMONTH(D23,IF(E23="",3,E23)+3)))="x"),EOMONTH(D23,IF(E23="",3,E23)+3),""),"")</f>
        <v/>
      </c>
      <c r="AE23" s="16">
        <f>IF(D23&lt;&gt;"",IF(OR(COUNTIF(Einstellungen!$B$5:$B$16,"x")=0,INDEX(Einstellungen!$B$5:$B$16,MONTH(EOMONTH(D23,IF(E23="",3,E23)+4)))="x"),EOMONTH(D23,IF(E23="",3,E23)+4),""),"")</f>
        <v/>
      </c>
      <c r="AF23" s="16">
        <f>IF(D23&lt;&gt;"",IF(OR(COUNTIF(Einstellungen!$B$5:$B$16,"x")=0,INDEX(Einstellungen!$B$5:$B$16,MONTH(EOMONTH(D23,IF(E23="",3,E23)+5)))="x"),EOMONTH(D23,IF(E23="",3,E23)+5),""),"")</f>
        <v/>
      </c>
      <c r="AG23" s="16">
        <f>IF(D23&lt;&gt;"",IF(OR(COUNTIF(Einstellungen!$B$5:$B$16,"x")=0,INDEX(Einstellungen!$B$5:$B$16,MONTH(EOMONTH(D23,IF(E23="",3,E23)+6)))="x"),EOMONTH(D23,IF(E23="",3,E23)+6),""),"")</f>
        <v/>
      </c>
      <c r="AH23" s="16">
        <f>IF(D23&lt;&gt;"",IF(OR(COUNTIF(Einstellungen!$B$5:$B$16,"x")=0,INDEX(Einstellungen!$B$5:$B$16,MONTH(EOMONTH(D23,IF(E23="",3,E23)+7)))="x"),EOMONTH(D23,IF(E23="",3,E23)+7),""),"")</f>
        <v/>
      </c>
      <c r="AI23" s="16">
        <f>IF(D23&lt;&gt;"",IF(OR(COUNTIF(Einstellungen!$B$5:$B$16,"x")=0,INDEX(Einstellungen!$B$5:$B$16,MONTH(EOMONTH(D23,IF(E23="",3,E23)+8)))="x"),EOMONTH(D23,IF(E23="",3,E23)+8),""),"")</f>
        <v/>
      </c>
      <c r="AJ23" s="16">
        <f>IF(D23&lt;&gt;"",IF(OR(COUNTIF(Einstellungen!$B$5:$B$16,"x")=0,INDEX(Einstellungen!$B$5:$B$16,MONTH(EOMONTH(D23,IF(E23="",3,E23)+9)))="x"),EOMONTH(D23,IF(E23="",3,E23)+9),""),"")</f>
        <v/>
      </c>
      <c r="AK23" s="16">
        <f>IF(D23&lt;&gt;"",IF(OR(COUNTIF(Einstellungen!$B$5:$B$16,"x")=0,INDEX(Einstellungen!$B$5:$B$16,MONTH(EOMONTH(D23,IF(E23="",3,E23)+10)))="x"),EOMONTH(D23,IF(E23="",3,E23)+10),""),"")</f>
        <v/>
      </c>
      <c r="AL23" s="16">
        <f>IF(D23&lt;&gt;"",IF(OR(COUNTIF(Einstellungen!$B$5:$B$16,"x")=0,INDEX(Einstellungen!$B$5:$B$16,MONTH(EOMONTH(D23,IF(E23="",3,E23)+11)))="x"),EOMONTH(D23,IF(E23="",3,E23)+11),""),"")</f>
        <v/>
      </c>
      <c r="AM23" s="16">
        <f>IF(D23&lt;&gt;"",IF(OR(COUNTIF(Einstellungen!$B$5:$B$16,"x")=0,INDEX(Einstellungen!$B$5:$B$16,MONTH(EOMONTH(D23,IF(E23="",3,E23)+12)))="x"),EOMONTH(D23,IF(E23="",3,E23)+12),""),"")</f>
        <v/>
      </c>
      <c r="AN23" s="16">
        <f>IF(D23&lt;&gt;"",IF(OR(COUNTIF(Einstellungen!$B$5:$B$16,"x")=0,INDEX(Einstellungen!$B$5:$B$16,MONTH(EOMONTH(D23,IF(E23="",3,E23)+13)))="x"),EOMONTH(D23,IF(E23="",3,E23)+13),""),"")</f>
        <v/>
      </c>
      <c r="AO23" s="16">
        <f>IF(D23&lt;&gt;"",IF(OR(COUNTIF(Einstellungen!$B$5:$B$16,"x")=0,INDEX(Einstellungen!$B$5:$B$16,MONTH(EOMONTH(D23,IF(E23="",3,E23)+14)))="x"),EOMONTH(D23,IF(E23="",3,E23)+14),""),"")</f>
        <v/>
      </c>
      <c r="AP23" s="16">
        <f>IF(D23&lt;&gt;"",IF(OR(COUNTIF(Einstellungen!$B$5:$B$16,"x")=0,INDEX(Einstellungen!$B$5:$B$16,MONTH(EOMONTH(D23,IF(E23="",3,E23)+15)))="x"),EOMONTH(D23,IF(E23="",3,E23)+15),""),"")</f>
        <v/>
      </c>
      <c r="AQ23" s="16">
        <f>IF(D23&lt;&gt;"",IF(OR(COUNTIF(Einstellungen!$B$5:$B$16,"x")=0,INDEX(Einstellungen!$B$5:$B$16,MONTH(EOMONTH(D23,IF(E23="",3,E23)+16)))="x"),EOMONTH(D23,IF(E23="",3,E23)+16),""),"")</f>
        <v/>
      </c>
      <c r="AR23" s="16">
        <f>IF(D23&lt;&gt;"",IF(OR(COUNTIF(Einstellungen!$B$5:$B$16,"x")=0,INDEX(Einstellungen!$B$5:$B$16,MONTH(EOMONTH(D23,IF(E23="",3,E23)+17)))="x"),EOMONTH(D23,IF(E23="",3,E23)+17),""),"")</f>
        <v/>
      </c>
      <c r="AS23" s="16">
        <f>IF(D23&lt;&gt;"",IF(OR(COUNTIF(Einstellungen!$B$5:$B$16,"x")=0,INDEX(Einstellungen!$B$5:$B$16,MONTH(EOMONTH(D23,IF(E23="",3,E23)+18)))="x"),EOMONTH(D23,IF(E23="",3,E23)+18),""),"")</f>
        <v/>
      </c>
      <c r="AT23" s="16">
        <f>IF(D23&lt;&gt;"",IF(OR(COUNTIF(Einstellungen!$B$5:$B$16,"x")=0,INDEX(Einstellungen!$B$5:$B$16,MONTH(EOMONTH(D23,IF(E23="",3,E23)+19)))="x"),EOMONTH(D23,IF(E23="",3,E23)+19),""),"")</f>
        <v/>
      </c>
      <c r="AU23" s="16">
        <f>IF(D23&lt;&gt;"",IF(OR(COUNTIF(Einstellungen!$B$5:$B$16,"x")=0,INDEX(Einstellungen!$B$5:$B$16,MONTH(EOMONTH(D23,IF(E23="",3,E23)+20)))="x"),EOMONTH(D23,IF(E23="",3,E23)+20),""),"")</f>
        <v/>
      </c>
      <c r="AV23" s="16">
        <f>IF(D23&lt;&gt;"",IF(OR(COUNTIF(Einstellungen!$B$5:$B$16,"x")=0,INDEX(Einstellungen!$B$5:$B$16,MONTH(EOMONTH(D23,IF(E23="",3,E23)+21)))="x"),EOMONTH(D23,IF(E23="",3,E23)+21),""),"")</f>
        <v/>
      </c>
      <c r="AW23" s="16">
        <f>IF(D23&lt;&gt;"",IF(OR(COUNTIF(Einstellungen!$B$5:$B$16,"x")=0,INDEX(Einstellungen!$B$5:$B$16,MONTH(EOMONTH(D23,IF(E23="",3,E23)+22)))="x"),EOMONTH(D23,IF(E23="",3,E23)+22),""),"")</f>
        <v/>
      </c>
      <c r="AX23" s="16">
        <f>IF(D23&lt;&gt;"",IF(OR(COUNTIF(Einstellungen!$B$5:$B$16,"x")=0,INDEX(Einstellungen!$B$5:$B$16,MONTH(EOMONTH(D23,IF(E23="",3,E23)+23)))="x"),EOMONTH(D23,IF(E23="",3,E23)+23),""),"")</f>
        <v/>
      </c>
      <c r="AY23" s="16">
        <f>IF(AND(L23&lt;&gt;"",M23=""),L23,"")</f>
        <v/>
      </c>
      <c r="AZ23" s="16">
        <f>IF(AND(N23&lt;&gt;"",O23=""),N23,"")</f>
        <v/>
      </c>
      <c r="BA23" s="16">
        <f>IF(AND(P23&lt;&gt;"",Q23=""),P23,"")</f>
        <v/>
      </c>
      <c r="BB23" s="16">
        <f>IF(AND(R23&lt;&gt;"",S23=""),R23,"")</f>
        <v/>
      </c>
      <c r="BC23" s="16">
        <f>IF(AND(T23&lt;&gt;"",U23=""),T23,"")</f>
        <v/>
      </c>
    </row>
    <row r="24">
      <c r="A24" s="6" t="n"/>
      <c r="B24" s="6" t="n"/>
      <c r="C24" s="6" t="n"/>
      <c r="D24" s="7" t="n"/>
      <c r="E24" s="11" t="n"/>
      <c r="F24" s="7" t="n"/>
      <c r="G24" s="9">
        <f>IF(F24&lt;&gt;"",F24,IF(D24&lt;&gt;"",IF(COUNT(AA24:AX24)=0,"",MIN(AA24:AX24)),""))</f>
        <v/>
      </c>
      <c r="H24" s="12" t="n"/>
      <c r="I24" s="7" t="n"/>
      <c r="J24" s="13">
        <f>IF(OR(G24="",I24=""),"",MAX(0,I24-G24-1))</f>
        <v/>
      </c>
      <c r="K24" s="14">
        <f>IF(OR(J24="",H24=""),"",ROUND(H24*12/365*J24,2))</f>
        <v/>
      </c>
      <c r="L24" s="9">
        <f>IF(D24&lt;&gt;"",D24,"")</f>
        <v/>
      </c>
      <c r="M24" s="6" t="n"/>
      <c r="N24" s="9">
        <f>IF(G24="","",WORKDAY(G24,-10,Einstellungen!$D$5:$D$34))</f>
        <v/>
      </c>
      <c r="O24" s="6" t="n"/>
      <c r="P24" s="9">
        <f>IF(G24="","",WORKDAY(G24-1,1,Einstellungen!$D$5:$D$34))</f>
        <v/>
      </c>
      <c r="Q24" s="6" t="n"/>
      <c r="R24" s="9">
        <f>IF(P24="","",WORKDAY(P24,2,Einstellungen!$D$5:$D$34))</f>
        <v/>
      </c>
      <c r="S24" s="6" t="n"/>
      <c r="T24" s="9">
        <f>IF(G24="","",EDATE(G24,12))</f>
        <v/>
      </c>
      <c r="U24" s="6" t="n"/>
      <c r="V24" s="9">
        <f>IF(COUNT(AY24:BC24)=0,"",MIN(AY24:BC24))</f>
        <v/>
      </c>
      <c r="W24" s="13">
        <f>IF(V24="","",V24-$B$2)</f>
        <v/>
      </c>
      <c r="X24" s="15">
        <f>IF(C24="Vermieter","Amtliches Formular verwendet? Bei Familienwohnung an beide Ehegatten.",IF(C24="Ausserterminlich","Nachmieter zumutbar? Vereinbartes Ende eintragen.",IF(AND(G24&lt;&gt;"",I24=""),"Noch kein Nachmieter.","")))</f>
        <v/>
      </c>
      <c r="AA24" s="16">
        <f>IF(D24&lt;&gt;"",IF(OR(COUNTIF(Einstellungen!$B$5:$B$16,"x")=0,INDEX(Einstellungen!$B$5:$B$16,MONTH(EOMONTH(D24,IF(E24="",3,E24)+0)))="x"),EOMONTH(D24,IF(E24="",3,E24)+0),""),"")</f>
        <v/>
      </c>
      <c r="AB24" s="16">
        <f>IF(D24&lt;&gt;"",IF(OR(COUNTIF(Einstellungen!$B$5:$B$16,"x")=0,INDEX(Einstellungen!$B$5:$B$16,MONTH(EOMONTH(D24,IF(E24="",3,E24)+1)))="x"),EOMONTH(D24,IF(E24="",3,E24)+1),""),"")</f>
        <v/>
      </c>
      <c r="AC24" s="16">
        <f>IF(D24&lt;&gt;"",IF(OR(COUNTIF(Einstellungen!$B$5:$B$16,"x")=0,INDEX(Einstellungen!$B$5:$B$16,MONTH(EOMONTH(D24,IF(E24="",3,E24)+2)))="x"),EOMONTH(D24,IF(E24="",3,E24)+2),""),"")</f>
        <v/>
      </c>
      <c r="AD24" s="16">
        <f>IF(D24&lt;&gt;"",IF(OR(COUNTIF(Einstellungen!$B$5:$B$16,"x")=0,INDEX(Einstellungen!$B$5:$B$16,MONTH(EOMONTH(D24,IF(E24="",3,E24)+3)))="x"),EOMONTH(D24,IF(E24="",3,E24)+3),""),"")</f>
        <v/>
      </c>
      <c r="AE24" s="16">
        <f>IF(D24&lt;&gt;"",IF(OR(COUNTIF(Einstellungen!$B$5:$B$16,"x")=0,INDEX(Einstellungen!$B$5:$B$16,MONTH(EOMONTH(D24,IF(E24="",3,E24)+4)))="x"),EOMONTH(D24,IF(E24="",3,E24)+4),""),"")</f>
        <v/>
      </c>
      <c r="AF24" s="16">
        <f>IF(D24&lt;&gt;"",IF(OR(COUNTIF(Einstellungen!$B$5:$B$16,"x")=0,INDEX(Einstellungen!$B$5:$B$16,MONTH(EOMONTH(D24,IF(E24="",3,E24)+5)))="x"),EOMONTH(D24,IF(E24="",3,E24)+5),""),"")</f>
        <v/>
      </c>
      <c r="AG24" s="16">
        <f>IF(D24&lt;&gt;"",IF(OR(COUNTIF(Einstellungen!$B$5:$B$16,"x")=0,INDEX(Einstellungen!$B$5:$B$16,MONTH(EOMONTH(D24,IF(E24="",3,E24)+6)))="x"),EOMONTH(D24,IF(E24="",3,E24)+6),""),"")</f>
        <v/>
      </c>
      <c r="AH24" s="16">
        <f>IF(D24&lt;&gt;"",IF(OR(COUNTIF(Einstellungen!$B$5:$B$16,"x")=0,INDEX(Einstellungen!$B$5:$B$16,MONTH(EOMONTH(D24,IF(E24="",3,E24)+7)))="x"),EOMONTH(D24,IF(E24="",3,E24)+7),""),"")</f>
        <v/>
      </c>
      <c r="AI24" s="16">
        <f>IF(D24&lt;&gt;"",IF(OR(COUNTIF(Einstellungen!$B$5:$B$16,"x")=0,INDEX(Einstellungen!$B$5:$B$16,MONTH(EOMONTH(D24,IF(E24="",3,E24)+8)))="x"),EOMONTH(D24,IF(E24="",3,E24)+8),""),"")</f>
        <v/>
      </c>
      <c r="AJ24" s="16">
        <f>IF(D24&lt;&gt;"",IF(OR(COUNTIF(Einstellungen!$B$5:$B$16,"x")=0,INDEX(Einstellungen!$B$5:$B$16,MONTH(EOMONTH(D24,IF(E24="",3,E24)+9)))="x"),EOMONTH(D24,IF(E24="",3,E24)+9),""),"")</f>
        <v/>
      </c>
      <c r="AK24" s="16">
        <f>IF(D24&lt;&gt;"",IF(OR(COUNTIF(Einstellungen!$B$5:$B$16,"x")=0,INDEX(Einstellungen!$B$5:$B$16,MONTH(EOMONTH(D24,IF(E24="",3,E24)+10)))="x"),EOMONTH(D24,IF(E24="",3,E24)+10),""),"")</f>
        <v/>
      </c>
      <c r="AL24" s="16">
        <f>IF(D24&lt;&gt;"",IF(OR(COUNTIF(Einstellungen!$B$5:$B$16,"x")=0,INDEX(Einstellungen!$B$5:$B$16,MONTH(EOMONTH(D24,IF(E24="",3,E24)+11)))="x"),EOMONTH(D24,IF(E24="",3,E24)+11),""),"")</f>
        <v/>
      </c>
      <c r="AM24" s="16">
        <f>IF(D24&lt;&gt;"",IF(OR(COUNTIF(Einstellungen!$B$5:$B$16,"x")=0,INDEX(Einstellungen!$B$5:$B$16,MONTH(EOMONTH(D24,IF(E24="",3,E24)+12)))="x"),EOMONTH(D24,IF(E24="",3,E24)+12),""),"")</f>
        <v/>
      </c>
      <c r="AN24" s="16">
        <f>IF(D24&lt;&gt;"",IF(OR(COUNTIF(Einstellungen!$B$5:$B$16,"x")=0,INDEX(Einstellungen!$B$5:$B$16,MONTH(EOMONTH(D24,IF(E24="",3,E24)+13)))="x"),EOMONTH(D24,IF(E24="",3,E24)+13),""),"")</f>
        <v/>
      </c>
      <c r="AO24" s="16">
        <f>IF(D24&lt;&gt;"",IF(OR(COUNTIF(Einstellungen!$B$5:$B$16,"x")=0,INDEX(Einstellungen!$B$5:$B$16,MONTH(EOMONTH(D24,IF(E24="",3,E24)+14)))="x"),EOMONTH(D24,IF(E24="",3,E24)+14),""),"")</f>
        <v/>
      </c>
      <c r="AP24" s="16">
        <f>IF(D24&lt;&gt;"",IF(OR(COUNTIF(Einstellungen!$B$5:$B$16,"x")=0,INDEX(Einstellungen!$B$5:$B$16,MONTH(EOMONTH(D24,IF(E24="",3,E24)+15)))="x"),EOMONTH(D24,IF(E24="",3,E24)+15),""),"")</f>
        <v/>
      </c>
      <c r="AQ24" s="16">
        <f>IF(D24&lt;&gt;"",IF(OR(COUNTIF(Einstellungen!$B$5:$B$16,"x")=0,INDEX(Einstellungen!$B$5:$B$16,MONTH(EOMONTH(D24,IF(E24="",3,E24)+16)))="x"),EOMONTH(D24,IF(E24="",3,E24)+16),""),"")</f>
        <v/>
      </c>
      <c r="AR24" s="16">
        <f>IF(D24&lt;&gt;"",IF(OR(COUNTIF(Einstellungen!$B$5:$B$16,"x")=0,INDEX(Einstellungen!$B$5:$B$16,MONTH(EOMONTH(D24,IF(E24="",3,E24)+17)))="x"),EOMONTH(D24,IF(E24="",3,E24)+17),""),"")</f>
        <v/>
      </c>
      <c r="AS24" s="16">
        <f>IF(D24&lt;&gt;"",IF(OR(COUNTIF(Einstellungen!$B$5:$B$16,"x")=0,INDEX(Einstellungen!$B$5:$B$16,MONTH(EOMONTH(D24,IF(E24="",3,E24)+18)))="x"),EOMONTH(D24,IF(E24="",3,E24)+18),""),"")</f>
        <v/>
      </c>
      <c r="AT24" s="16">
        <f>IF(D24&lt;&gt;"",IF(OR(COUNTIF(Einstellungen!$B$5:$B$16,"x")=0,INDEX(Einstellungen!$B$5:$B$16,MONTH(EOMONTH(D24,IF(E24="",3,E24)+19)))="x"),EOMONTH(D24,IF(E24="",3,E24)+19),""),"")</f>
        <v/>
      </c>
      <c r="AU24" s="16">
        <f>IF(D24&lt;&gt;"",IF(OR(COUNTIF(Einstellungen!$B$5:$B$16,"x")=0,INDEX(Einstellungen!$B$5:$B$16,MONTH(EOMONTH(D24,IF(E24="",3,E24)+20)))="x"),EOMONTH(D24,IF(E24="",3,E24)+20),""),"")</f>
        <v/>
      </c>
      <c r="AV24" s="16">
        <f>IF(D24&lt;&gt;"",IF(OR(COUNTIF(Einstellungen!$B$5:$B$16,"x")=0,INDEX(Einstellungen!$B$5:$B$16,MONTH(EOMONTH(D24,IF(E24="",3,E24)+21)))="x"),EOMONTH(D24,IF(E24="",3,E24)+21),""),"")</f>
        <v/>
      </c>
      <c r="AW24" s="16">
        <f>IF(D24&lt;&gt;"",IF(OR(COUNTIF(Einstellungen!$B$5:$B$16,"x")=0,INDEX(Einstellungen!$B$5:$B$16,MONTH(EOMONTH(D24,IF(E24="",3,E24)+22)))="x"),EOMONTH(D24,IF(E24="",3,E24)+22),""),"")</f>
        <v/>
      </c>
      <c r="AX24" s="16">
        <f>IF(D24&lt;&gt;"",IF(OR(COUNTIF(Einstellungen!$B$5:$B$16,"x")=0,INDEX(Einstellungen!$B$5:$B$16,MONTH(EOMONTH(D24,IF(E24="",3,E24)+23)))="x"),EOMONTH(D24,IF(E24="",3,E24)+23),""),"")</f>
        <v/>
      </c>
      <c r="AY24" s="16">
        <f>IF(AND(L24&lt;&gt;"",M24=""),L24,"")</f>
        <v/>
      </c>
      <c r="AZ24" s="16">
        <f>IF(AND(N24&lt;&gt;"",O24=""),N24,"")</f>
        <v/>
      </c>
      <c r="BA24" s="16">
        <f>IF(AND(P24&lt;&gt;"",Q24=""),P24,"")</f>
        <v/>
      </c>
      <c r="BB24" s="16">
        <f>IF(AND(R24&lt;&gt;"",S24=""),R24,"")</f>
        <v/>
      </c>
      <c r="BC24" s="16">
        <f>IF(AND(T24&lt;&gt;"",U24=""),T24,"")</f>
        <v/>
      </c>
    </row>
    <row r="25">
      <c r="A25" s="6" t="n"/>
      <c r="B25" s="6" t="n"/>
      <c r="C25" s="6" t="n"/>
      <c r="D25" s="7" t="n"/>
      <c r="E25" s="11" t="n"/>
      <c r="F25" s="7" t="n"/>
      <c r="G25" s="9">
        <f>IF(F25&lt;&gt;"",F25,IF(D25&lt;&gt;"",IF(COUNT(AA25:AX25)=0,"",MIN(AA25:AX25)),""))</f>
        <v/>
      </c>
      <c r="H25" s="12" t="n"/>
      <c r="I25" s="7" t="n"/>
      <c r="J25" s="13">
        <f>IF(OR(G25="",I25=""),"",MAX(0,I25-G25-1))</f>
        <v/>
      </c>
      <c r="K25" s="14">
        <f>IF(OR(J25="",H25=""),"",ROUND(H25*12/365*J25,2))</f>
        <v/>
      </c>
      <c r="L25" s="9">
        <f>IF(D25&lt;&gt;"",D25,"")</f>
        <v/>
      </c>
      <c r="M25" s="6" t="n"/>
      <c r="N25" s="9">
        <f>IF(G25="","",WORKDAY(G25,-10,Einstellungen!$D$5:$D$34))</f>
        <v/>
      </c>
      <c r="O25" s="6" t="n"/>
      <c r="P25" s="9">
        <f>IF(G25="","",WORKDAY(G25-1,1,Einstellungen!$D$5:$D$34))</f>
        <v/>
      </c>
      <c r="Q25" s="6" t="n"/>
      <c r="R25" s="9">
        <f>IF(P25="","",WORKDAY(P25,2,Einstellungen!$D$5:$D$34))</f>
        <v/>
      </c>
      <c r="S25" s="6" t="n"/>
      <c r="T25" s="9">
        <f>IF(G25="","",EDATE(G25,12))</f>
        <v/>
      </c>
      <c r="U25" s="6" t="n"/>
      <c r="V25" s="9">
        <f>IF(COUNT(AY25:BC25)=0,"",MIN(AY25:BC25))</f>
        <v/>
      </c>
      <c r="W25" s="13">
        <f>IF(V25="","",V25-$B$2)</f>
        <v/>
      </c>
      <c r="X25" s="15">
        <f>IF(C25="Vermieter","Amtliches Formular verwendet? Bei Familienwohnung an beide Ehegatten.",IF(C25="Ausserterminlich","Nachmieter zumutbar? Vereinbartes Ende eintragen.",IF(AND(G25&lt;&gt;"",I25=""),"Noch kein Nachmieter.","")))</f>
        <v/>
      </c>
      <c r="AA25" s="16">
        <f>IF(D25&lt;&gt;"",IF(OR(COUNTIF(Einstellungen!$B$5:$B$16,"x")=0,INDEX(Einstellungen!$B$5:$B$16,MONTH(EOMONTH(D25,IF(E25="",3,E25)+0)))="x"),EOMONTH(D25,IF(E25="",3,E25)+0),""),"")</f>
        <v/>
      </c>
      <c r="AB25" s="16">
        <f>IF(D25&lt;&gt;"",IF(OR(COUNTIF(Einstellungen!$B$5:$B$16,"x")=0,INDEX(Einstellungen!$B$5:$B$16,MONTH(EOMONTH(D25,IF(E25="",3,E25)+1)))="x"),EOMONTH(D25,IF(E25="",3,E25)+1),""),"")</f>
        <v/>
      </c>
      <c r="AC25" s="16">
        <f>IF(D25&lt;&gt;"",IF(OR(COUNTIF(Einstellungen!$B$5:$B$16,"x")=0,INDEX(Einstellungen!$B$5:$B$16,MONTH(EOMONTH(D25,IF(E25="",3,E25)+2)))="x"),EOMONTH(D25,IF(E25="",3,E25)+2),""),"")</f>
        <v/>
      </c>
      <c r="AD25" s="16">
        <f>IF(D25&lt;&gt;"",IF(OR(COUNTIF(Einstellungen!$B$5:$B$16,"x")=0,INDEX(Einstellungen!$B$5:$B$16,MONTH(EOMONTH(D25,IF(E25="",3,E25)+3)))="x"),EOMONTH(D25,IF(E25="",3,E25)+3),""),"")</f>
        <v/>
      </c>
      <c r="AE25" s="16">
        <f>IF(D25&lt;&gt;"",IF(OR(COUNTIF(Einstellungen!$B$5:$B$16,"x")=0,INDEX(Einstellungen!$B$5:$B$16,MONTH(EOMONTH(D25,IF(E25="",3,E25)+4)))="x"),EOMONTH(D25,IF(E25="",3,E25)+4),""),"")</f>
        <v/>
      </c>
      <c r="AF25" s="16">
        <f>IF(D25&lt;&gt;"",IF(OR(COUNTIF(Einstellungen!$B$5:$B$16,"x")=0,INDEX(Einstellungen!$B$5:$B$16,MONTH(EOMONTH(D25,IF(E25="",3,E25)+5)))="x"),EOMONTH(D25,IF(E25="",3,E25)+5),""),"")</f>
        <v/>
      </c>
      <c r="AG25" s="16">
        <f>IF(D25&lt;&gt;"",IF(OR(COUNTIF(Einstellungen!$B$5:$B$16,"x")=0,INDEX(Einstellungen!$B$5:$B$16,MONTH(EOMONTH(D25,IF(E25="",3,E25)+6)))="x"),EOMONTH(D25,IF(E25="",3,E25)+6),""),"")</f>
        <v/>
      </c>
      <c r="AH25" s="16">
        <f>IF(D25&lt;&gt;"",IF(OR(COUNTIF(Einstellungen!$B$5:$B$16,"x")=0,INDEX(Einstellungen!$B$5:$B$16,MONTH(EOMONTH(D25,IF(E25="",3,E25)+7)))="x"),EOMONTH(D25,IF(E25="",3,E25)+7),""),"")</f>
        <v/>
      </c>
      <c r="AI25" s="16">
        <f>IF(D25&lt;&gt;"",IF(OR(COUNTIF(Einstellungen!$B$5:$B$16,"x")=0,INDEX(Einstellungen!$B$5:$B$16,MONTH(EOMONTH(D25,IF(E25="",3,E25)+8)))="x"),EOMONTH(D25,IF(E25="",3,E25)+8),""),"")</f>
        <v/>
      </c>
      <c r="AJ25" s="16">
        <f>IF(D25&lt;&gt;"",IF(OR(COUNTIF(Einstellungen!$B$5:$B$16,"x")=0,INDEX(Einstellungen!$B$5:$B$16,MONTH(EOMONTH(D25,IF(E25="",3,E25)+9)))="x"),EOMONTH(D25,IF(E25="",3,E25)+9),""),"")</f>
        <v/>
      </c>
      <c r="AK25" s="16">
        <f>IF(D25&lt;&gt;"",IF(OR(COUNTIF(Einstellungen!$B$5:$B$16,"x")=0,INDEX(Einstellungen!$B$5:$B$16,MONTH(EOMONTH(D25,IF(E25="",3,E25)+10)))="x"),EOMONTH(D25,IF(E25="",3,E25)+10),""),"")</f>
        <v/>
      </c>
      <c r="AL25" s="16">
        <f>IF(D25&lt;&gt;"",IF(OR(COUNTIF(Einstellungen!$B$5:$B$16,"x")=0,INDEX(Einstellungen!$B$5:$B$16,MONTH(EOMONTH(D25,IF(E25="",3,E25)+11)))="x"),EOMONTH(D25,IF(E25="",3,E25)+11),""),"")</f>
        <v/>
      </c>
      <c r="AM25" s="16">
        <f>IF(D25&lt;&gt;"",IF(OR(COUNTIF(Einstellungen!$B$5:$B$16,"x")=0,INDEX(Einstellungen!$B$5:$B$16,MONTH(EOMONTH(D25,IF(E25="",3,E25)+12)))="x"),EOMONTH(D25,IF(E25="",3,E25)+12),""),"")</f>
        <v/>
      </c>
      <c r="AN25" s="16">
        <f>IF(D25&lt;&gt;"",IF(OR(COUNTIF(Einstellungen!$B$5:$B$16,"x")=0,INDEX(Einstellungen!$B$5:$B$16,MONTH(EOMONTH(D25,IF(E25="",3,E25)+13)))="x"),EOMONTH(D25,IF(E25="",3,E25)+13),""),"")</f>
        <v/>
      </c>
      <c r="AO25" s="16">
        <f>IF(D25&lt;&gt;"",IF(OR(COUNTIF(Einstellungen!$B$5:$B$16,"x")=0,INDEX(Einstellungen!$B$5:$B$16,MONTH(EOMONTH(D25,IF(E25="",3,E25)+14)))="x"),EOMONTH(D25,IF(E25="",3,E25)+14),""),"")</f>
        <v/>
      </c>
      <c r="AP25" s="16">
        <f>IF(D25&lt;&gt;"",IF(OR(COUNTIF(Einstellungen!$B$5:$B$16,"x")=0,INDEX(Einstellungen!$B$5:$B$16,MONTH(EOMONTH(D25,IF(E25="",3,E25)+15)))="x"),EOMONTH(D25,IF(E25="",3,E25)+15),""),"")</f>
        <v/>
      </c>
      <c r="AQ25" s="16">
        <f>IF(D25&lt;&gt;"",IF(OR(COUNTIF(Einstellungen!$B$5:$B$16,"x")=0,INDEX(Einstellungen!$B$5:$B$16,MONTH(EOMONTH(D25,IF(E25="",3,E25)+16)))="x"),EOMONTH(D25,IF(E25="",3,E25)+16),""),"")</f>
        <v/>
      </c>
      <c r="AR25" s="16">
        <f>IF(D25&lt;&gt;"",IF(OR(COUNTIF(Einstellungen!$B$5:$B$16,"x")=0,INDEX(Einstellungen!$B$5:$B$16,MONTH(EOMONTH(D25,IF(E25="",3,E25)+17)))="x"),EOMONTH(D25,IF(E25="",3,E25)+17),""),"")</f>
        <v/>
      </c>
      <c r="AS25" s="16">
        <f>IF(D25&lt;&gt;"",IF(OR(COUNTIF(Einstellungen!$B$5:$B$16,"x")=0,INDEX(Einstellungen!$B$5:$B$16,MONTH(EOMONTH(D25,IF(E25="",3,E25)+18)))="x"),EOMONTH(D25,IF(E25="",3,E25)+18),""),"")</f>
        <v/>
      </c>
      <c r="AT25" s="16">
        <f>IF(D25&lt;&gt;"",IF(OR(COUNTIF(Einstellungen!$B$5:$B$16,"x")=0,INDEX(Einstellungen!$B$5:$B$16,MONTH(EOMONTH(D25,IF(E25="",3,E25)+19)))="x"),EOMONTH(D25,IF(E25="",3,E25)+19),""),"")</f>
        <v/>
      </c>
      <c r="AU25" s="16">
        <f>IF(D25&lt;&gt;"",IF(OR(COUNTIF(Einstellungen!$B$5:$B$16,"x")=0,INDEX(Einstellungen!$B$5:$B$16,MONTH(EOMONTH(D25,IF(E25="",3,E25)+20)))="x"),EOMONTH(D25,IF(E25="",3,E25)+20),""),"")</f>
        <v/>
      </c>
      <c r="AV25" s="16">
        <f>IF(D25&lt;&gt;"",IF(OR(COUNTIF(Einstellungen!$B$5:$B$16,"x")=0,INDEX(Einstellungen!$B$5:$B$16,MONTH(EOMONTH(D25,IF(E25="",3,E25)+21)))="x"),EOMONTH(D25,IF(E25="",3,E25)+21),""),"")</f>
        <v/>
      </c>
      <c r="AW25" s="16">
        <f>IF(D25&lt;&gt;"",IF(OR(COUNTIF(Einstellungen!$B$5:$B$16,"x")=0,INDEX(Einstellungen!$B$5:$B$16,MONTH(EOMONTH(D25,IF(E25="",3,E25)+22)))="x"),EOMONTH(D25,IF(E25="",3,E25)+22),""),"")</f>
        <v/>
      </c>
      <c r="AX25" s="16">
        <f>IF(D25&lt;&gt;"",IF(OR(COUNTIF(Einstellungen!$B$5:$B$16,"x")=0,INDEX(Einstellungen!$B$5:$B$16,MONTH(EOMONTH(D25,IF(E25="",3,E25)+23)))="x"),EOMONTH(D25,IF(E25="",3,E25)+23),""),"")</f>
        <v/>
      </c>
      <c r="AY25" s="16">
        <f>IF(AND(L25&lt;&gt;"",M25=""),L25,"")</f>
        <v/>
      </c>
      <c r="AZ25" s="16">
        <f>IF(AND(N25&lt;&gt;"",O25=""),N25,"")</f>
        <v/>
      </c>
      <c r="BA25" s="16">
        <f>IF(AND(P25&lt;&gt;"",Q25=""),P25,"")</f>
        <v/>
      </c>
      <c r="BB25" s="16">
        <f>IF(AND(R25&lt;&gt;"",S25=""),R25,"")</f>
        <v/>
      </c>
      <c r="BC25" s="16">
        <f>IF(AND(T25&lt;&gt;"",U25=""),T25,"")</f>
        <v/>
      </c>
    </row>
    <row r="26">
      <c r="A26" s="6" t="n"/>
      <c r="B26" s="6" t="n"/>
      <c r="C26" s="6" t="n"/>
      <c r="D26" s="7" t="n"/>
      <c r="E26" s="11" t="n"/>
      <c r="F26" s="7" t="n"/>
      <c r="G26" s="9">
        <f>IF(F26&lt;&gt;"",F26,IF(D26&lt;&gt;"",IF(COUNT(AA26:AX26)=0,"",MIN(AA26:AX26)),""))</f>
        <v/>
      </c>
      <c r="H26" s="12" t="n"/>
      <c r="I26" s="7" t="n"/>
      <c r="J26" s="13">
        <f>IF(OR(G26="",I26=""),"",MAX(0,I26-G26-1))</f>
        <v/>
      </c>
      <c r="K26" s="14">
        <f>IF(OR(J26="",H26=""),"",ROUND(H26*12/365*J26,2))</f>
        <v/>
      </c>
      <c r="L26" s="9">
        <f>IF(D26&lt;&gt;"",D26,"")</f>
        <v/>
      </c>
      <c r="M26" s="6" t="n"/>
      <c r="N26" s="9">
        <f>IF(G26="","",WORKDAY(G26,-10,Einstellungen!$D$5:$D$34))</f>
        <v/>
      </c>
      <c r="O26" s="6" t="n"/>
      <c r="P26" s="9">
        <f>IF(G26="","",WORKDAY(G26-1,1,Einstellungen!$D$5:$D$34))</f>
        <v/>
      </c>
      <c r="Q26" s="6" t="n"/>
      <c r="R26" s="9">
        <f>IF(P26="","",WORKDAY(P26,2,Einstellungen!$D$5:$D$34))</f>
        <v/>
      </c>
      <c r="S26" s="6" t="n"/>
      <c r="T26" s="9">
        <f>IF(G26="","",EDATE(G26,12))</f>
        <v/>
      </c>
      <c r="U26" s="6" t="n"/>
      <c r="V26" s="9">
        <f>IF(COUNT(AY26:BC26)=0,"",MIN(AY26:BC26))</f>
        <v/>
      </c>
      <c r="W26" s="13">
        <f>IF(V26="","",V26-$B$2)</f>
        <v/>
      </c>
      <c r="X26" s="15">
        <f>IF(C26="Vermieter","Amtliches Formular verwendet? Bei Familienwohnung an beide Ehegatten.",IF(C26="Ausserterminlich","Nachmieter zumutbar? Vereinbartes Ende eintragen.",IF(AND(G26&lt;&gt;"",I26=""),"Noch kein Nachmieter.","")))</f>
        <v/>
      </c>
      <c r="AA26" s="16">
        <f>IF(D26&lt;&gt;"",IF(OR(COUNTIF(Einstellungen!$B$5:$B$16,"x")=0,INDEX(Einstellungen!$B$5:$B$16,MONTH(EOMONTH(D26,IF(E26="",3,E26)+0)))="x"),EOMONTH(D26,IF(E26="",3,E26)+0),""),"")</f>
        <v/>
      </c>
      <c r="AB26" s="16">
        <f>IF(D26&lt;&gt;"",IF(OR(COUNTIF(Einstellungen!$B$5:$B$16,"x")=0,INDEX(Einstellungen!$B$5:$B$16,MONTH(EOMONTH(D26,IF(E26="",3,E26)+1)))="x"),EOMONTH(D26,IF(E26="",3,E26)+1),""),"")</f>
        <v/>
      </c>
      <c r="AC26" s="16">
        <f>IF(D26&lt;&gt;"",IF(OR(COUNTIF(Einstellungen!$B$5:$B$16,"x")=0,INDEX(Einstellungen!$B$5:$B$16,MONTH(EOMONTH(D26,IF(E26="",3,E26)+2)))="x"),EOMONTH(D26,IF(E26="",3,E26)+2),""),"")</f>
        <v/>
      </c>
      <c r="AD26" s="16">
        <f>IF(D26&lt;&gt;"",IF(OR(COUNTIF(Einstellungen!$B$5:$B$16,"x")=0,INDEX(Einstellungen!$B$5:$B$16,MONTH(EOMONTH(D26,IF(E26="",3,E26)+3)))="x"),EOMONTH(D26,IF(E26="",3,E26)+3),""),"")</f>
        <v/>
      </c>
      <c r="AE26" s="16">
        <f>IF(D26&lt;&gt;"",IF(OR(COUNTIF(Einstellungen!$B$5:$B$16,"x")=0,INDEX(Einstellungen!$B$5:$B$16,MONTH(EOMONTH(D26,IF(E26="",3,E26)+4)))="x"),EOMONTH(D26,IF(E26="",3,E26)+4),""),"")</f>
        <v/>
      </c>
      <c r="AF26" s="16">
        <f>IF(D26&lt;&gt;"",IF(OR(COUNTIF(Einstellungen!$B$5:$B$16,"x")=0,INDEX(Einstellungen!$B$5:$B$16,MONTH(EOMONTH(D26,IF(E26="",3,E26)+5)))="x"),EOMONTH(D26,IF(E26="",3,E26)+5),""),"")</f>
        <v/>
      </c>
      <c r="AG26" s="16">
        <f>IF(D26&lt;&gt;"",IF(OR(COUNTIF(Einstellungen!$B$5:$B$16,"x")=0,INDEX(Einstellungen!$B$5:$B$16,MONTH(EOMONTH(D26,IF(E26="",3,E26)+6)))="x"),EOMONTH(D26,IF(E26="",3,E26)+6),""),"")</f>
        <v/>
      </c>
      <c r="AH26" s="16">
        <f>IF(D26&lt;&gt;"",IF(OR(COUNTIF(Einstellungen!$B$5:$B$16,"x")=0,INDEX(Einstellungen!$B$5:$B$16,MONTH(EOMONTH(D26,IF(E26="",3,E26)+7)))="x"),EOMONTH(D26,IF(E26="",3,E26)+7),""),"")</f>
        <v/>
      </c>
      <c r="AI26" s="16">
        <f>IF(D26&lt;&gt;"",IF(OR(COUNTIF(Einstellungen!$B$5:$B$16,"x")=0,INDEX(Einstellungen!$B$5:$B$16,MONTH(EOMONTH(D26,IF(E26="",3,E26)+8)))="x"),EOMONTH(D26,IF(E26="",3,E26)+8),""),"")</f>
        <v/>
      </c>
      <c r="AJ26" s="16">
        <f>IF(D26&lt;&gt;"",IF(OR(COUNTIF(Einstellungen!$B$5:$B$16,"x")=0,INDEX(Einstellungen!$B$5:$B$16,MONTH(EOMONTH(D26,IF(E26="",3,E26)+9)))="x"),EOMONTH(D26,IF(E26="",3,E26)+9),""),"")</f>
        <v/>
      </c>
      <c r="AK26" s="16">
        <f>IF(D26&lt;&gt;"",IF(OR(COUNTIF(Einstellungen!$B$5:$B$16,"x")=0,INDEX(Einstellungen!$B$5:$B$16,MONTH(EOMONTH(D26,IF(E26="",3,E26)+10)))="x"),EOMONTH(D26,IF(E26="",3,E26)+10),""),"")</f>
        <v/>
      </c>
      <c r="AL26" s="16">
        <f>IF(D26&lt;&gt;"",IF(OR(COUNTIF(Einstellungen!$B$5:$B$16,"x")=0,INDEX(Einstellungen!$B$5:$B$16,MONTH(EOMONTH(D26,IF(E26="",3,E26)+11)))="x"),EOMONTH(D26,IF(E26="",3,E26)+11),""),"")</f>
        <v/>
      </c>
      <c r="AM26" s="16">
        <f>IF(D26&lt;&gt;"",IF(OR(COUNTIF(Einstellungen!$B$5:$B$16,"x")=0,INDEX(Einstellungen!$B$5:$B$16,MONTH(EOMONTH(D26,IF(E26="",3,E26)+12)))="x"),EOMONTH(D26,IF(E26="",3,E26)+12),""),"")</f>
        <v/>
      </c>
      <c r="AN26" s="16">
        <f>IF(D26&lt;&gt;"",IF(OR(COUNTIF(Einstellungen!$B$5:$B$16,"x")=0,INDEX(Einstellungen!$B$5:$B$16,MONTH(EOMONTH(D26,IF(E26="",3,E26)+13)))="x"),EOMONTH(D26,IF(E26="",3,E26)+13),""),"")</f>
        <v/>
      </c>
      <c r="AO26" s="16">
        <f>IF(D26&lt;&gt;"",IF(OR(COUNTIF(Einstellungen!$B$5:$B$16,"x")=0,INDEX(Einstellungen!$B$5:$B$16,MONTH(EOMONTH(D26,IF(E26="",3,E26)+14)))="x"),EOMONTH(D26,IF(E26="",3,E26)+14),""),"")</f>
        <v/>
      </c>
      <c r="AP26" s="16">
        <f>IF(D26&lt;&gt;"",IF(OR(COUNTIF(Einstellungen!$B$5:$B$16,"x")=0,INDEX(Einstellungen!$B$5:$B$16,MONTH(EOMONTH(D26,IF(E26="",3,E26)+15)))="x"),EOMONTH(D26,IF(E26="",3,E26)+15),""),"")</f>
        <v/>
      </c>
      <c r="AQ26" s="16">
        <f>IF(D26&lt;&gt;"",IF(OR(COUNTIF(Einstellungen!$B$5:$B$16,"x")=0,INDEX(Einstellungen!$B$5:$B$16,MONTH(EOMONTH(D26,IF(E26="",3,E26)+16)))="x"),EOMONTH(D26,IF(E26="",3,E26)+16),""),"")</f>
        <v/>
      </c>
      <c r="AR26" s="16">
        <f>IF(D26&lt;&gt;"",IF(OR(COUNTIF(Einstellungen!$B$5:$B$16,"x")=0,INDEX(Einstellungen!$B$5:$B$16,MONTH(EOMONTH(D26,IF(E26="",3,E26)+17)))="x"),EOMONTH(D26,IF(E26="",3,E26)+17),""),"")</f>
        <v/>
      </c>
      <c r="AS26" s="16">
        <f>IF(D26&lt;&gt;"",IF(OR(COUNTIF(Einstellungen!$B$5:$B$16,"x")=0,INDEX(Einstellungen!$B$5:$B$16,MONTH(EOMONTH(D26,IF(E26="",3,E26)+18)))="x"),EOMONTH(D26,IF(E26="",3,E26)+18),""),"")</f>
        <v/>
      </c>
      <c r="AT26" s="16">
        <f>IF(D26&lt;&gt;"",IF(OR(COUNTIF(Einstellungen!$B$5:$B$16,"x")=0,INDEX(Einstellungen!$B$5:$B$16,MONTH(EOMONTH(D26,IF(E26="",3,E26)+19)))="x"),EOMONTH(D26,IF(E26="",3,E26)+19),""),"")</f>
        <v/>
      </c>
      <c r="AU26" s="16">
        <f>IF(D26&lt;&gt;"",IF(OR(COUNTIF(Einstellungen!$B$5:$B$16,"x")=0,INDEX(Einstellungen!$B$5:$B$16,MONTH(EOMONTH(D26,IF(E26="",3,E26)+20)))="x"),EOMONTH(D26,IF(E26="",3,E26)+20),""),"")</f>
        <v/>
      </c>
      <c r="AV26" s="16">
        <f>IF(D26&lt;&gt;"",IF(OR(COUNTIF(Einstellungen!$B$5:$B$16,"x")=0,INDEX(Einstellungen!$B$5:$B$16,MONTH(EOMONTH(D26,IF(E26="",3,E26)+21)))="x"),EOMONTH(D26,IF(E26="",3,E26)+21),""),"")</f>
        <v/>
      </c>
      <c r="AW26" s="16">
        <f>IF(D26&lt;&gt;"",IF(OR(COUNTIF(Einstellungen!$B$5:$B$16,"x")=0,INDEX(Einstellungen!$B$5:$B$16,MONTH(EOMONTH(D26,IF(E26="",3,E26)+22)))="x"),EOMONTH(D26,IF(E26="",3,E26)+22),""),"")</f>
        <v/>
      </c>
      <c r="AX26" s="16">
        <f>IF(D26&lt;&gt;"",IF(OR(COUNTIF(Einstellungen!$B$5:$B$16,"x")=0,INDEX(Einstellungen!$B$5:$B$16,MONTH(EOMONTH(D26,IF(E26="",3,E26)+23)))="x"),EOMONTH(D26,IF(E26="",3,E26)+23),""),"")</f>
        <v/>
      </c>
      <c r="AY26" s="16">
        <f>IF(AND(L26&lt;&gt;"",M26=""),L26,"")</f>
        <v/>
      </c>
      <c r="AZ26" s="16">
        <f>IF(AND(N26&lt;&gt;"",O26=""),N26,"")</f>
        <v/>
      </c>
      <c r="BA26" s="16">
        <f>IF(AND(P26&lt;&gt;"",Q26=""),P26,"")</f>
        <v/>
      </c>
      <c r="BB26" s="16">
        <f>IF(AND(R26&lt;&gt;"",S26=""),R26,"")</f>
        <v/>
      </c>
      <c r="BC26" s="16">
        <f>IF(AND(T26&lt;&gt;"",U26=""),T26,"")</f>
        <v/>
      </c>
    </row>
    <row r="27">
      <c r="A27" s="6" t="n"/>
      <c r="B27" s="6" t="n"/>
      <c r="C27" s="6" t="n"/>
      <c r="D27" s="7" t="n"/>
      <c r="E27" s="11" t="n"/>
      <c r="F27" s="7" t="n"/>
      <c r="G27" s="9">
        <f>IF(F27&lt;&gt;"",F27,IF(D27&lt;&gt;"",IF(COUNT(AA27:AX27)=0,"",MIN(AA27:AX27)),""))</f>
        <v/>
      </c>
      <c r="H27" s="12" t="n"/>
      <c r="I27" s="7" t="n"/>
      <c r="J27" s="13">
        <f>IF(OR(G27="",I27=""),"",MAX(0,I27-G27-1))</f>
        <v/>
      </c>
      <c r="K27" s="14">
        <f>IF(OR(J27="",H27=""),"",ROUND(H27*12/365*J27,2))</f>
        <v/>
      </c>
      <c r="L27" s="9">
        <f>IF(D27&lt;&gt;"",D27,"")</f>
        <v/>
      </c>
      <c r="M27" s="6" t="n"/>
      <c r="N27" s="9">
        <f>IF(G27="","",WORKDAY(G27,-10,Einstellungen!$D$5:$D$34))</f>
        <v/>
      </c>
      <c r="O27" s="6" t="n"/>
      <c r="P27" s="9">
        <f>IF(G27="","",WORKDAY(G27-1,1,Einstellungen!$D$5:$D$34))</f>
        <v/>
      </c>
      <c r="Q27" s="6" t="n"/>
      <c r="R27" s="9">
        <f>IF(P27="","",WORKDAY(P27,2,Einstellungen!$D$5:$D$34))</f>
        <v/>
      </c>
      <c r="S27" s="6" t="n"/>
      <c r="T27" s="9">
        <f>IF(G27="","",EDATE(G27,12))</f>
        <v/>
      </c>
      <c r="U27" s="6" t="n"/>
      <c r="V27" s="9">
        <f>IF(COUNT(AY27:BC27)=0,"",MIN(AY27:BC27))</f>
        <v/>
      </c>
      <c r="W27" s="13">
        <f>IF(V27="","",V27-$B$2)</f>
        <v/>
      </c>
      <c r="X27" s="15">
        <f>IF(C27="Vermieter","Amtliches Formular verwendet? Bei Familienwohnung an beide Ehegatten.",IF(C27="Ausserterminlich","Nachmieter zumutbar? Vereinbartes Ende eintragen.",IF(AND(G27&lt;&gt;"",I27=""),"Noch kein Nachmieter.","")))</f>
        <v/>
      </c>
      <c r="AA27" s="16">
        <f>IF(D27&lt;&gt;"",IF(OR(COUNTIF(Einstellungen!$B$5:$B$16,"x")=0,INDEX(Einstellungen!$B$5:$B$16,MONTH(EOMONTH(D27,IF(E27="",3,E27)+0)))="x"),EOMONTH(D27,IF(E27="",3,E27)+0),""),"")</f>
        <v/>
      </c>
      <c r="AB27" s="16">
        <f>IF(D27&lt;&gt;"",IF(OR(COUNTIF(Einstellungen!$B$5:$B$16,"x")=0,INDEX(Einstellungen!$B$5:$B$16,MONTH(EOMONTH(D27,IF(E27="",3,E27)+1)))="x"),EOMONTH(D27,IF(E27="",3,E27)+1),""),"")</f>
        <v/>
      </c>
      <c r="AC27" s="16">
        <f>IF(D27&lt;&gt;"",IF(OR(COUNTIF(Einstellungen!$B$5:$B$16,"x")=0,INDEX(Einstellungen!$B$5:$B$16,MONTH(EOMONTH(D27,IF(E27="",3,E27)+2)))="x"),EOMONTH(D27,IF(E27="",3,E27)+2),""),"")</f>
        <v/>
      </c>
      <c r="AD27" s="16">
        <f>IF(D27&lt;&gt;"",IF(OR(COUNTIF(Einstellungen!$B$5:$B$16,"x")=0,INDEX(Einstellungen!$B$5:$B$16,MONTH(EOMONTH(D27,IF(E27="",3,E27)+3)))="x"),EOMONTH(D27,IF(E27="",3,E27)+3),""),"")</f>
        <v/>
      </c>
      <c r="AE27" s="16">
        <f>IF(D27&lt;&gt;"",IF(OR(COUNTIF(Einstellungen!$B$5:$B$16,"x")=0,INDEX(Einstellungen!$B$5:$B$16,MONTH(EOMONTH(D27,IF(E27="",3,E27)+4)))="x"),EOMONTH(D27,IF(E27="",3,E27)+4),""),"")</f>
        <v/>
      </c>
      <c r="AF27" s="16">
        <f>IF(D27&lt;&gt;"",IF(OR(COUNTIF(Einstellungen!$B$5:$B$16,"x")=0,INDEX(Einstellungen!$B$5:$B$16,MONTH(EOMONTH(D27,IF(E27="",3,E27)+5)))="x"),EOMONTH(D27,IF(E27="",3,E27)+5),""),"")</f>
        <v/>
      </c>
      <c r="AG27" s="16">
        <f>IF(D27&lt;&gt;"",IF(OR(COUNTIF(Einstellungen!$B$5:$B$16,"x")=0,INDEX(Einstellungen!$B$5:$B$16,MONTH(EOMONTH(D27,IF(E27="",3,E27)+6)))="x"),EOMONTH(D27,IF(E27="",3,E27)+6),""),"")</f>
        <v/>
      </c>
      <c r="AH27" s="16">
        <f>IF(D27&lt;&gt;"",IF(OR(COUNTIF(Einstellungen!$B$5:$B$16,"x")=0,INDEX(Einstellungen!$B$5:$B$16,MONTH(EOMONTH(D27,IF(E27="",3,E27)+7)))="x"),EOMONTH(D27,IF(E27="",3,E27)+7),""),"")</f>
        <v/>
      </c>
      <c r="AI27" s="16">
        <f>IF(D27&lt;&gt;"",IF(OR(COUNTIF(Einstellungen!$B$5:$B$16,"x")=0,INDEX(Einstellungen!$B$5:$B$16,MONTH(EOMONTH(D27,IF(E27="",3,E27)+8)))="x"),EOMONTH(D27,IF(E27="",3,E27)+8),""),"")</f>
        <v/>
      </c>
      <c r="AJ27" s="16">
        <f>IF(D27&lt;&gt;"",IF(OR(COUNTIF(Einstellungen!$B$5:$B$16,"x")=0,INDEX(Einstellungen!$B$5:$B$16,MONTH(EOMONTH(D27,IF(E27="",3,E27)+9)))="x"),EOMONTH(D27,IF(E27="",3,E27)+9),""),"")</f>
        <v/>
      </c>
      <c r="AK27" s="16">
        <f>IF(D27&lt;&gt;"",IF(OR(COUNTIF(Einstellungen!$B$5:$B$16,"x")=0,INDEX(Einstellungen!$B$5:$B$16,MONTH(EOMONTH(D27,IF(E27="",3,E27)+10)))="x"),EOMONTH(D27,IF(E27="",3,E27)+10),""),"")</f>
        <v/>
      </c>
      <c r="AL27" s="16">
        <f>IF(D27&lt;&gt;"",IF(OR(COUNTIF(Einstellungen!$B$5:$B$16,"x")=0,INDEX(Einstellungen!$B$5:$B$16,MONTH(EOMONTH(D27,IF(E27="",3,E27)+11)))="x"),EOMONTH(D27,IF(E27="",3,E27)+11),""),"")</f>
        <v/>
      </c>
      <c r="AM27" s="16">
        <f>IF(D27&lt;&gt;"",IF(OR(COUNTIF(Einstellungen!$B$5:$B$16,"x")=0,INDEX(Einstellungen!$B$5:$B$16,MONTH(EOMONTH(D27,IF(E27="",3,E27)+12)))="x"),EOMONTH(D27,IF(E27="",3,E27)+12),""),"")</f>
        <v/>
      </c>
      <c r="AN27" s="16">
        <f>IF(D27&lt;&gt;"",IF(OR(COUNTIF(Einstellungen!$B$5:$B$16,"x")=0,INDEX(Einstellungen!$B$5:$B$16,MONTH(EOMONTH(D27,IF(E27="",3,E27)+13)))="x"),EOMONTH(D27,IF(E27="",3,E27)+13),""),"")</f>
        <v/>
      </c>
      <c r="AO27" s="16">
        <f>IF(D27&lt;&gt;"",IF(OR(COUNTIF(Einstellungen!$B$5:$B$16,"x")=0,INDEX(Einstellungen!$B$5:$B$16,MONTH(EOMONTH(D27,IF(E27="",3,E27)+14)))="x"),EOMONTH(D27,IF(E27="",3,E27)+14),""),"")</f>
        <v/>
      </c>
      <c r="AP27" s="16">
        <f>IF(D27&lt;&gt;"",IF(OR(COUNTIF(Einstellungen!$B$5:$B$16,"x")=0,INDEX(Einstellungen!$B$5:$B$16,MONTH(EOMONTH(D27,IF(E27="",3,E27)+15)))="x"),EOMONTH(D27,IF(E27="",3,E27)+15),""),"")</f>
        <v/>
      </c>
      <c r="AQ27" s="16">
        <f>IF(D27&lt;&gt;"",IF(OR(COUNTIF(Einstellungen!$B$5:$B$16,"x")=0,INDEX(Einstellungen!$B$5:$B$16,MONTH(EOMONTH(D27,IF(E27="",3,E27)+16)))="x"),EOMONTH(D27,IF(E27="",3,E27)+16),""),"")</f>
        <v/>
      </c>
      <c r="AR27" s="16">
        <f>IF(D27&lt;&gt;"",IF(OR(COUNTIF(Einstellungen!$B$5:$B$16,"x")=0,INDEX(Einstellungen!$B$5:$B$16,MONTH(EOMONTH(D27,IF(E27="",3,E27)+17)))="x"),EOMONTH(D27,IF(E27="",3,E27)+17),""),"")</f>
        <v/>
      </c>
      <c r="AS27" s="16">
        <f>IF(D27&lt;&gt;"",IF(OR(COUNTIF(Einstellungen!$B$5:$B$16,"x")=0,INDEX(Einstellungen!$B$5:$B$16,MONTH(EOMONTH(D27,IF(E27="",3,E27)+18)))="x"),EOMONTH(D27,IF(E27="",3,E27)+18),""),"")</f>
        <v/>
      </c>
      <c r="AT27" s="16">
        <f>IF(D27&lt;&gt;"",IF(OR(COUNTIF(Einstellungen!$B$5:$B$16,"x")=0,INDEX(Einstellungen!$B$5:$B$16,MONTH(EOMONTH(D27,IF(E27="",3,E27)+19)))="x"),EOMONTH(D27,IF(E27="",3,E27)+19),""),"")</f>
        <v/>
      </c>
      <c r="AU27" s="16">
        <f>IF(D27&lt;&gt;"",IF(OR(COUNTIF(Einstellungen!$B$5:$B$16,"x")=0,INDEX(Einstellungen!$B$5:$B$16,MONTH(EOMONTH(D27,IF(E27="",3,E27)+20)))="x"),EOMONTH(D27,IF(E27="",3,E27)+20),""),"")</f>
        <v/>
      </c>
      <c r="AV27" s="16">
        <f>IF(D27&lt;&gt;"",IF(OR(COUNTIF(Einstellungen!$B$5:$B$16,"x")=0,INDEX(Einstellungen!$B$5:$B$16,MONTH(EOMONTH(D27,IF(E27="",3,E27)+21)))="x"),EOMONTH(D27,IF(E27="",3,E27)+21),""),"")</f>
        <v/>
      </c>
      <c r="AW27" s="16">
        <f>IF(D27&lt;&gt;"",IF(OR(COUNTIF(Einstellungen!$B$5:$B$16,"x")=0,INDEX(Einstellungen!$B$5:$B$16,MONTH(EOMONTH(D27,IF(E27="",3,E27)+22)))="x"),EOMONTH(D27,IF(E27="",3,E27)+22),""),"")</f>
        <v/>
      </c>
      <c r="AX27" s="16">
        <f>IF(D27&lt;&gt;"",IF(OR(COUNTIF(Einstellungen!$B$5:$B$16,"x")=0,INDEX(Einstellungen!$B$5:$B$16,MONTH(EOMONTH(D27,IF(E27="",3,E27)+23)))="x"),EOMONTH(D27,IF(E27="",3,E27)+23),""),"")</f>
        <v/>
      </c>
      <c r="AY27" s="16">
        <f>IF(AND(L27&lt;&gt;"",M27=""),L27,"")</f>
        <v/>
      </c>
      <c r="AZ27" s="16">
        <f>IF(AND(N27&lt;&gt;"",O27=""),N27,"")</f>
        <v/>
      </c>
      <c r="BA27" s="16">
        <f>IF(AND(P27&lt;&gt;"",Q27=""),P27,"")</f>
        <v/>
      </c>
      <c r="BB27" s="16">
        <f>IF(AND(R27&lt;&gt;"",S27=""),R27,"")</f>
        <v/>
      </c>
      <c r="BC27" s="16">
        <f>IF(AND(T27&lt;&gt;"",U27=""),T27,"")</f>
        <v/>
      </c>
    </row>
    <row r="28">
      <c r="A28" s="6" t="n"/>
      <c r="B28" s="6" t="n"/>
      <c r="C28" s="6" t="n"/>
      <c r="D28" s="7" t="n"/>
      <c r="E28" s="11" t="n"/>
      <c r="F28" s="7" t="n"/>
      <c r="G28" s="9">
        <f>IF(F28&lt;&gt;"",F28,IF(D28&lt;&gt;"",IF(COUNT(AA28:AX28)=0,"",MIN(AA28:AX28)),""))</f>
        <v/>
      </c>
      <c r="H28" s="12" t="n"/>
      <c r="I28" s="7" t="n"/>
      <c r="J28" s="13">
        <f>IF(OR(G28="",I28=""),"",MAX(0,I28-G28-1))</f>
        <v/>
      </c>
      <c r="K28" s="14">
        <f>IF(OR(J28="",H28=""),"",ROUND(H28*12/365*J28,2))</f>
        <v/>
      </c>
      <c r="L28" s="9">
        <f>IF(D28&lt;&gt;"",D28,"")</f>
        <v/>
      </c>
      <c r="M28" s="6" t="n"/>
      <c r="N28" s="9">
        <f>IF(G28="","",WORKDAY(G28,-10,Einstellungen!$D$5:$D$34))</f>
        <v/>
      </c>
      <c r="O28" s="6" t="n"/>
      <c r="P28" s="9">
        <f>IF(G28="","",WORKDAY(G28-1,1,Einstellungen!$D$5:$D$34))</f>
        <v/>
      </c>
      <c r="Q28" s="6" t="n"/>
      <c r="R28" s="9">
        <f>IF(P28="","",WORKDAY(P28,2,Einstellungen!$D$5:$D$34))</f>
        <v/>
      </c>
      <c r="S28" s="6" t="n"/>
      <c r="T28" s="9">
        <f>IF(G28="","",EDATE(G28,12))</f>
        <v/>
      </c>
      <c r="U28" s="6" t="n"/>
      <c r="V28" s="9">
        <f>IF(COUNT(AY28:BC28)=0,"",MIN(AY28:BC28))</f>
        <v/>
      </c>
      <c r="W28" s="13">
        <f>IF(V28="","",V28-$B$2)</f>
        <v/>
      </c>
      <c r="X28" s="15">
        <f>IF(C28="Vermieter","Amtliches Formular verwendet? Bei Familienwohnung an beide Ehegatten.",IF(C28="Ausserterminlich","Nachmieter zumutbar? Vereinbartes Ende eintragen.",IF(AND(G28&lt;&gt;"",I28=""),"Noch kein Nachmieter.","")))</f>
        <v/>
      </c>
      <c r="AA28" s="16">
        <f>IF(D28&lt;&gt;"",IF(OR(COUNTIF(Einstellungen!$B$5:$B$16,"x")=0,INDEX(Einstellungen!$B$5:$B$16,MONTH(EOMONTH(D28,IF(E28="",3,E28)+0)))="x"),EOMONTH(D28,IF(E28="",3,E28)+0),""),"")</f>
        <v/>
      </c>
      <c r="AB28" s="16">
        <f>IF(D28&lt;&gt;"",IF(OR(COUNTIF(Einstellungen!$B$5:$B$16,"x")=0,INDEX(Einstellungen!$B$5:$B$16,MONTH(EOMONTH(D28,IF(E28="",3,E28)+1)))="x"),EOMONTH(D28,IF(E28="",3,E28)+1),""),"")</f>
        <v/>
      </c>
      <c r="AC28" s="16">
        <f>IF(D28&lt;&gt;"",IF(OR(COUNTIF(Einstellungen!$B$5:$B$16,"x")=0,INDEX(Einstellungen!$B$5:$B$16,MONTH(EOMONTH(D28,IF(E28="",3,E28)+2)))="x"),EOMONTH(D28,IF(E28="",3,E28)+2),""),"")</f>
        <v/>
      </c>
      <c r="AD28" s="16">
        <f>IF(D28&lt;&gt;"",IF(OR(COUNTIF(Einstellungen!$B$5:$B$16,"x")=0,INDEX(Einstellungen!$B$5:$B$16,MONTH(EOMONTH(D28,IF(E28="",3,E28)+3)))="x"),EOMONTH(D28,IF(E28="",3,E28)+3),""),"")</f>
        <v/>
      </c>
      <c r="AE28" s="16">
        <f>IF(D28&lt;&gt;"",IF(OR(COUNTIF(Einstellungen!$B$5:$B$16,"x")=0,INDEX(Einstellungen!$B$5:$B$16,MONTH(EOMONTH(D28,IF(E28="",3,E28)+4)))="x"),EOMONTH(D28,IF(E28="",3,E28)+4),""),"")</f>
        <v/>
      </c>
      <c r="AF28" s="16">
        <f>IF(D28&lt;&gt;"",IF(OR(COUNTIF(Einstellungen!$B$5:$B$16,"x")=0,INDEX(Einstellungen!$B$5:$B$16,MONTH(EOMONTH(D28,IF(E28="",3,E28)+5)))="x"),EOMONTH(D28,IF(E28="",3,E28)+5),""),"")</f>
        <v/>
      </c>
      <c r="AG28" s="16">
        <f>IF(D28&lt;&gt;"",IF(OR(COUNTIF(Einstellungen!$B$5:$B$16,"x")=0,INDEX(Einstellungen!$B$5:$B$16,MONTH(EOMONTH(D28,IF(E28="",3,E28)+6)))="x"),EOMONTH(D28,IF(E28="",3,E28)+6),""),"")</f>
        <v/>
      </c>
      <c r="AH28" s="16">
        <f>IF(D28&lt;&gt;"",IF(OR(COUNTIF(Einstellungen!$B$5:$B$16,"x")=0,INDEX(Einstellungen!$B$5:$B$16,MONTH(EOMONTH(D28,IF(E28="",3,E28)+7)))="x"),EOMONTH(D28,IF(E28="",3,E28)+7),""),"")</f>
        <v/>
      </c>
      <c r="AI28" s="16">
        <f>IF(D28&lt;&gt;"",IF(OR(COUNTIF(Einstellungen!$B$5:$B$16,"x")=0,INDEX(Einstellungen!$B$5:$B$16,MONTH(EOMONTH(D28,IF(E28="",3,E28)+8)))="x"),EOMONTH(D28,IF(E28="",3,E28)+8),""),"")</f>
        <v/>
      </c>
      <c r="AJ28" s="16">
        <f>IF(D28&lt;&gt;"",IF(OR(COUNTIF(Einstellungen!$B$5:$B$16,"x")=0,INDEX(Einstellungen!$B$5:$B$16,MONTH(EOMONTH(D28,IF(E28="",3,E28)+9)))="x"),EOMONTH(D28,IF(E28="",3,E28)+9),""),"")</f>
        <v/>
      </c>
      <c r="AK28" s="16">
        <f>IF(D28&lt;&gt;"",IF(OR(COUNTIF(Einstellungen!$B$5:$B$16,"x")=0,INDEX(Einstellungen!$B$5:$B$16,MONTH(EOMONTH(D28,IF(E28="",3,E28)+10)))="x"),EOMONTH(D28,IF(E28="",3,E28)+10),""),"")</f>
        <v/>
      </c>
      <c r="AL28" s="16">
        <f>IF(D28&lt;&gt;"",IF(OR(COUNTIF(Einstellungen!$B$5:$B$16,"x")=0,INDEX(Einstellungen!$B$5:$B$16,MONTH(EOMONTH(D28,IF(E28="",3,E28)+11)))="x"),EOMONTH(D28,IF(E28="",3,E28)+11),""),"")</f>
        <v/>
      </c>
      <c r="AM28" s="16">
        <f>IF(D28&lt;&gt;"",IF(OR(COUNTIF(Einstellungen!$B$5:$B$16,"x")=0,INDEX(Einstellungen!$B$5:$B$16,MONTH(EOMONTH(D28,IF(E28="",3,E28)+12)))="x"),EOMONTH(D28,IF(E28="",3,E28)+12),""),"")</f>
        <v/>
      </c>
      <c r="AN28" s="16">
        <f>IF(D28&lt;&gt;"",IF(OR(COUNTIF(Einstellungen!$B$5:$B$16,"x")=0,INDEX(Einstellungen!$B$5:$B$16,MONTH(EOMONTH(D28,IF(E28="",3,E28)+13)))="x"),EOMONTH(D28,IF(E28="",3,E28)+13),""),"")</f>
        <v/>
      </c>
      <c r="AO28" s="16">
        <f>IF(D28&lt;&gt;"",IF(OR(COUNTIF(Einstellungen!$B$5:$B$16,"x")=0,INDEX(Einstellungen!$B$5:$B$16,MONTH(EOMONTH(D28,IF(E28="",3,E28)+14)))="x"),EOMONTH(D28,IF(E28="",3,E28)+14),""),"")</f>
        <v/>
      </c>
      <c r="AP28" s="16">
        <f>IF(D28&lt;&gt;"",IF(OR(COUNTIF(Einstellungen!$B$5:$B$16,"x")=0,INDEX(Einstellungen!$B$5:$B$16,MONTH(EOMONTH(D28,IF(E28="",3,E28)+15)))="x"),EOMONTH(D28,IF(E28="",3,E28)+15),""),"")</f>
        <v/>
      </c>
      <c r="AQ28" s="16">
        <f>IF(D28&lt;&gt;"",IF(OR(COUNTIF(Einstellungen!$B$5:$B$16,"x")=0,INDEX(Einstellungen!$B$5:$B$16,MONTH(EOMONTH(D28,IF(E28="",3,E28)+16)))="x"),EOMONTH(D28,IF(E28="",3,E28)+16),""),"")</f>
        <v/>
      </c>
      <c r="AR28" s="16">
        <f>IF(D28&lt;&gt;"",IF(OR(COUNTIF(Einstellungen!$B$5:$B$16,"x")=0,INDEX(Einstellungen!$B$5:$B$16,MONTH(EOMONTH(D28,IF(E28="",3,E28)+17)))="x"),EOMONTH(D28,IF(E28="",3,E28)+17),""),"")</f>
        <v/>
      </c>
      <c r="AS28" s="16">
        <f>IF(D28&lt;&gt;"",IF(OR(COUNTIF(Einstellungen!$B$5:$B$16,"x")=0,INDEX(Einstellungen!$B$5:$B$16,MONTH(EOMONTH(D28,IF(E28="",3,E28)+18)))="x"),EOMONTH(D28,IF(E28="",3,E28)+18),""),"")</f>
        <v/>
      </c>
      <c r="AT28" s="16">
        <f>IF(D28&lt;&gt;"",IF(OR(COUNTIF(Einstellungen!$B$5:$B$16,"x")=0,INDEX(Einstellungen!$B$5:$B$16,MONTH(EOMONTH(D28,IF(E28="",3,E28)+19)))="x"),EOMONTH(D28,IF(E28="",3,E28)+19),""),"")</f>
        <v/>
      </c>
      <c r="AU28" s="16">
        <f>IF(D28&lt;&gt;"",IF(OR(COUNTIF(Einstellungen!$B$5:$B$16,"x")=0,INDEX(Einstellungen!$B$5:$B$16,MONTH(EOMONTH(D28,IF(E28="",3,E28)+20)))="x"),EOMONTH(D28,IF(E28="",3,E28)+20),""),"")</f>
        <v/>
      </c>
      <c r="AV28" s="16">
        <f>IF(D28&lt;&gt;"",IF(OR(COUNTIF(Einstellungen!$B$5:$B$16,"x")=0,INDEX(Einstellungen!$B$5:$B$16,MONTH(EOMONTH(D28,IF(E28="",3,E28)+21)))="x"),EOMONTH(D28,IF(E28="",3,E28)+21),""),"")</f>
        <v/>
      </c>
      <c r="AW28" s="16">
        <f>IF(D28&lt;&gt;"",IF(OR(COUNTIF(Einstellungen!$B$5:$B$16,"x")=0,INDEX(Einstellungen!$B$5:$B$16,MONTH(EOMONTH(D28,IF(E28="",3,E28)+22)))="x"),EOMONTH(D28,IF(E28="",3,E28)+22),""),"")</f>
        <v/>
      </c>
      <c r="AX28" s="16">
        <f>IF(D28&lt;&gt;"",IF(OR(COUNTIF(Einstellungen!$B$5:$B$16,"x")=0,INDEX(Einstellungen!$B$5:$B$16,MONTH(EOMONTH(D28,IF(E28="",3,E28)+23)))="x"),EOMONTH(D28,IF(E28="",3,E28)+23),""),"")</f>
        <v/>
      </c>
      <c r="AY28" s="16">
        <f>IF(AND(L28&lt;&gt;"",M28=""),L28,"")</f>
        <v/>
      </c>
      <c r="AZ28" s="16">
        <f>IF(AND(N28&lt;&gt;"",O28=""),N28,"")</f>
        <v/>
      </c>
      <c r="BA28" s="16">
        <f>IF(AND(P28&lt;&gt;"",Q28=""),P28,"")</f>
        <v/>
      </c>
      <c r="BB28" s="16">
        <f>IF(AND(R28&lt;&gt;"",S28=""),R28,"")</f>
        <v/>
      </c>
      <c r="BC28" s="16">
        <f>IF(AND(T28&lt;&gt;"",U28=""),T28,"")</f>
        <v/>
      </c>
    </row>
    <row r="29">
      <c r="A29" s="6" t="n"/>
      <c r="B29" s="6" t="n"/>
      <c r="C29" s="6" t="n"/>
      <c r="D29" s="7" t="n"/>
      <c r="E29" s="11" t="n"/>
      <c r="F29" s="7" t="n"/>
      <c r="G29" s="9">
        <f>IF(F29&lt;&gt;"",F29,IF(D29&lt;&gt;"",IF(COUNT(AA29:AX29)=0,"",MIN(AA29:AX29)),""))</f>
        <v/>
      </c>
      <c r="H29" s="12" t="n"/>
      <c r="I29" s="7" t="n"/>
      <c r="J29" s="13">
        <f>IF(OR(G29="",I29=""),"",MAX(0,I29-G29-1))</f>
        <v/>
      </c>
      <c r="K29" s="14">
        <f>IF(OR(J29="",H29=""),"",ROUND(H29*12/365*J29,2))</f>
        <v/>
      </c>
      <c r="L29" s="9">
        <f>IF(D29&lt;&gt;"",D29,"")</f>
        <v/>
      </c>
      <c r="M29" s="6" t="n"/>
      <c r="N29" s="9">
        <f>IF(G29="","",WORKDAY(G29,-10,Einstellungen!$D$5:$D$34))</f>
        <v/>
      </c>
      <c r="O29" s="6" t="n"/>
      <c r="P29" s="9">
        <f>IF(G29="","",WORKDAY(G29-1,1,Einstellungen!$D$5:$D$34))</f>
        <v/>
      </c>
      <c r="Q29" s="6" t="n"/>
      <c r="R29" s="9">
        <f>IF(P29="","",WORKDAY(P29,2,Einstellungen!$D$5:$D$34))</f>
        <v/>
      </c>
      <c r="S29" s="6" t="n"/>
      <c r="T29" s="9">
        <f>IF(G29="","",EDATE(G29,12))</f>
        <v/>
      </c>
      <c r="U29" s="6" t="n"/>
      <c r="V29" s="9">
        <f>IF(COUNT(AY29:BC29)=0,"",MIN(AY29:BC29))</f>
        <v/>
      </c>
      <c r="W29" s="13">
        <f>IF(V29="","",V29-$B$2)</f>
        <v/>
      </c>
      <c r="X29" s="15">
        <f>IF(C29="Vermieter","Amtliches Formular verwendet? Bei Familienwohnung an beide Ehegatten.",IF(C29="Ausserterminlich","Nachmieter zumutbar? Vereinbartes Ende eintragen.",IF(AND(G29&lt;&gt;"",I29=""),"Noch kein Nachmieter.","")))</f>
        <v/>
      </c>
      <c r="AA29" s="16">
        <f>IF(D29&lt;&gt;"",IF(OR(COUNTIF(Einstellungen!$B$5:$B$16,"x")=0,INDEX(Einstellungen!$B$5:$B$16,MONTH(EOMONTH(D29,IF(E29="",3,E29)+0)))="x"),EOMONTH(D29,IF(E29="",3,E29)+0),""),"")</f>
        <v/>
      </c>
      <c r="AB29" s="16">
        <f>IF(D29&lt;&gt;"",IF(OR(COUNTIF(Einstellungen!$B$5:$B$16,"x")=0,INDEX(Einstellungen!$B$5:$B$16,MONTH(EOMONTH(D29,IF(E29="",3,E29)+1)))="x"),EOMONTH(D29,IF(E29="",3,E29)+1),""),"")</f>
        <v/>
      </c>
      <c r="AC29" s="16">
        <f>IF(D29&lt;&gt;"",IF(OR(COUNTIF(Einstellungen!$B$5:$B$16,"x")=0,INDEX(Einstellungen!$B$5:$B$16,MONTH(EOMONTH(D29,IF(E29="",3,E29)+2)))="x"),EOMONTH(D29,IF(E29="",3,E29)+2),""),"")</f>
        <v/>
      </c>
      <c r="AD29" s="16">
        <f>IF(D29&lt;&gt;"",IF(OR(COUNTIF(Einstellungen!$B$5:$B$16,"x")=0,INDEX(Einstellungen!$B$5:$B$16,MONTH(EOMONTH(D29,IF(E29="",3,E29)+3)))="x"),EOMONTH(D29,IF(E29="",3,E29)+3),""),"")</f>
        <v/>
      </c>
      <c r="AE29" s="16">
        <f>IF(D29&lt;&gt;"",IF(OR(COUNTIF(Einstellungen!$B$5:$B$16,"x")=0,INDEX(Einstellungen!$B$5:$B$16,MONTH(EOMONTH(D29,IF(E29="",3,E29)+4)))="x"),EOMONTH(D29,IF(E29="",3,E29)+4),""),"")</f>
        <v/>
      </c>
      <c r="AF29" s="16">
        <f>IF(D29&lt;&gt;"",IF(OR(COUNTIF(Einstellungen!$B$5:$B$16,"x")=0,INDEX(Einstellungen!$B$5:$B$16,MONTH(EOMONTH(D29,IF(E29="",3,E29)+5)))="x"),EOMONTH(D29,IF(E29="",3,E29)+5),""),"")</f>
        <v/>
      </c>
      <c r="AG29" s="16">
        <f>IF(D29&lt;&gt;"",IF(OR(COUNTIF(Einstellungen!$B$5:$B$16,"x")=0,INDEX(Einstellungen!$B$5:$B$16,MONTH(EOMONTH(D29,IF(E29="",3,E29)+6)))="x"),EOMONTH(D29,IF(E29="",3,E29)+6),""),"")</f>
        <v/>
      </c>
      <c r="AH29" s="16">
        <f>IF(D29&lt;&gt;"",IF(OR(COUNTIF(Einstellungen!$B$5:$B$16,"x")=0,INDEX(Einstellungen!$B$5:$B$16,MONTH(EOMONTH(D29,IF(E29="",3,E29)+7)))="x"),EOMONTH(D29,IF(E29="",3,E29)+7),""),"")</f>
        <v/>
      </c>
      <c r="AI29" s="16">
        <f>IF(D29&lt;&gt;"",IF(OR(COUNTIF(Einstellungen!$B$5:$B$16,"x")=0,INDEX(Einstellungen!$B$5:$B$16,MONTH(EOMONTH(D29,IF(E29="",3,E29)+8)))="x"),EOMONTH(D29,IF(E29="",3,E29)+8),""),"")</f>
        <v/>
      </c>
      <c r="AJ29" s="16">
        <f>IF(D29&lt;&gt;"",IF(OR(COUNTIF(Einstellungen!$B$5:$B$16,"x")=0,INDEX(Einstellungen!$B$5:$B$16,MONTH(EOMONTH(D29,IF(E29="",3,E29)+9)))="x"),EOMONTH(D29,IF(E29="",3,E29)+9),""),"")</f>
        <v/>
      </c>
      <c r="AK29" s="16">
        <f>IF(D29&lt;&gt;"",IF(OR(COUNTIF(Einstellungen!$B$5:$B$16,"x")=0,INDEX(Einstellungen!$B$5:$B$16,MONTH(EOMONTH(D29,IF(E29="",3,E29)+10)))="x"),EOMONTH(D29,IF(E29="",3,E29)+10),""),"")</f>
        <v/>
      </c>
      <c r="AL29" s="16">
        <f>IF(D29&lt;&gt;"",IF(OR(COUNTIF(Einstellungen!$B$5:$B$16,"x")=0,INDEX(Einstellungen!$B$5:$B$16,MONTH(EOMONTH(D29,IF(E29="",3,E29)+11)))="x"),EOMONTH(D29,IF(E29="",3,E29)+11),""),"")</f>
        <v/>
      </c>
      <c r="AM29" s="16">
        <f>IF(D29&lt;&gt;"",IF(OR(COUNTIF(Einstellungen!$B$5:$B$16,"x")=0,INDEX(Einstellungen!$B$5:$B$16,MONTH(EOMONTH(D29,IF(E29="",3,E29)+12)))="x"),EOMONTH(D29,IF(E29="",3,E29)+12),""),"")</f>
        <v/>
      </c>
      <c r="AN29" s="16">
        <f>IF(D29&lt;&gt;"",IF(OR(COUNTIF(Einstellungen!$B$5:$B$16,"x")=0,INDEX(Einstellungen!$B$5:$B$16,MONTH(EOMONTH(D29,IF(E29="",3,E29)+13)))="x"),EOMONTH(D29,IF(E29="",3,E29)+13),""),"")</f>
        <v/>
      </c>
      <c r="AO29" s="16">
        <f>IF(D29&lt;&gt;"",IF(OR(COUNTIF(Einstellungen!$B$5:$B$16,"x")=0,INDEX(Einstellungen!$B$5:$B$16,MONTH(EOMONTH(D29,IF(E29="",3,E29)+14)))="x"),EOMONTH(D29,IF(E29="",3,E29)+14),""),"")</f>
        <v/>
      </c>
      <c r="AP29" s="16">
        <f>IF(D29&lt;&gt;"",IF(OR(COUNTIF(Einstellungen!$B$5:$B$16,"x")=0,INDEX(Einstellungen!$B$5:$B$16,MONTH(EOMONTH(D29,IF(E29="",3,E29)+15)))="x"),EOMONTH(D29,IF(E29="",3,E29)+15),""),"")</f>
        <v/>
      </c>
      <c r="AQ29" s="16">
        <f>IF(D29&lt;&gt;"",IF(OR(COUNTIF(Einstellungen!$B$5:$B$16,"x")=0,INDEX(Einstellungen!$B$5:$B$16,MONTH(EOMONTH(D29,IF(E29="",3,E29)+16)))="x"),EOMONTH(D29,IF(E29="",3,E29)+16),""),"")</f>
        <v/>
      </c>
      <c r="AR29" s="16">
        <f>IF(D29&lt;&gt;"",IF(OR(COUNTIF(Einstellungen!$B$5:$B$16,"x")=0,INDEX(Einstellungen!$B$5:$B$16,MONTH(EOMONTH(D29,IF(E29="",3,E29)+17)))="x"),EOMONTH(D29,IF(E29="",3,E29)+17),""),"")</f>
        <v/>
      </c>
      <c r="AS29" s="16">
        <f>IF(D29&lt;&gt;"",IF(OR(COUNTIF(Einstellungen!$B$5:$B$16,"x")=0,INDEX(Einstellungen!$B$5:$B$16,MONTH(EOMONTH(D29,IF(E29="",3,E29)+18)))="x"),EOMONTH(D29,IF(E29="",3,E29)+18),""),"")</f>
        <v/>
      </c>
      <c r="AT29" s="16">
        <f>IF(D29&lt;&gt;"",IF(OR(COUNTIF(Einstellungen!$B$5:$B$16,"x")=0,INDEX(Einstellungen!$B$5:$B$16,MONTH(EOMONTH(D29,IF(E29="",3,E29)+19)))="x"),EOMONTH(D29,IF(E29="",3,E29)+19),""),"")</f>
        <v/>
      </c>
      <c r="AU29" s="16">
        <f>IF(D29&lt;&gt;"",IF(OR(COUNTIF(Einstellungen!$B$5:$B$16,"x")=0,INDEX(Einstellungen!$B$5:$B$16,MONTH(EOMONTH(D29,IF(E29="",3,E29)+20)))="x"),EOMONTH(D29,IF(E29="",3,E29)+20),""),"")</f>
        <v/>
      </c>
      <c r="AV29" s="16">
        <f>IF(D29&lt;&gt;"",IF(OR(COUNTIF(Einstellungen!$B$5:$B$16,"x")=0,INDEX(Einstellungen!$B$5:$B$16,MONTH(EOMONTH(D29,IF(E29="",3,E29)+21)))="x"),EOMONTH(D29,IF(E29="",3,E29)+21),""),"")</f>
        <v/>
      </c>
      <c r="AW29" s="16">
        <f>IF(D29&lt;&gt;"",IF(OR(COUNTIF(Einstellungen!$B$5:$B$16,"x")=0,INDEX(Einstellungen!$B$5:$B$16,MONTH(EOMONTH(D29,IF(E29="",3,E29)+22)))="x"),EOMONTH(D29,IF(E29="",3,E29)+22),""),"")</f>
        <v/>
      </c>
      <c r="AX29" s="16">
        <f>IF(D29&lt;&gt;"",IF(OR(COUNTIF(Einstellungen!$B$5:$B$16,"x")=0,INDEX(Einstellungen!$B$5:$B$16,MONTH(EOMONTH(D29,IF(E29="",3,E29)+23)))="x"),EOMONTH(D29,IF(E29="",3,E29)+23),""),"")</f>
        <v/>
      </c>
      <c r="AY29" s="16">
        <f>IF(AND(L29&lt;&gt;"",M29=""),L29,"")</f>
        <v/>
      </c>
      <c r="AZ29" s="16">
        <f>IF(AND(N29&lt;&gt;"",O29=""),N29,"")</f>
        <v/>
      </c>
      <c r="BA29" s="16">
        <f>IF(AND(P29&lt;&gt;"",Q29=""),P29,"")</f>
        <v/>
      </c>
      <c r="BB29" s="16">
        <f>IF(AND(R29&lt;&gt;"",S29=""),R29,"")</f>
        <v/>
      </c>
      <c r="BC29" s="16">
        <f>IF(AND(T29&lt;&gt;"",U29=""),T29,"")</f>
        <v/>
      </c>
    </row>
    <row r="30">
      <c r="A30" s="6" t="n"/>
      <c r="B30" s="6" t="n"/>
      <c r="C30" s="6" t="n"/>
      <c r="D30" s="7" t="n"/>
      <c r="E30" s="11" t="n"/>
      <c r="F30" s="7" t="n"/>
      <c r="G30" s="9">
        <f>IF(F30&lt;&gt;"",F30,IF(D30&lt;&gt;"",IF(COUNT(AA30:AX30)=0,"",MIN(AA30:AX30)),""))</f>
        <v/>
      </c>
      <c r="H30" s="12" t="n"/>
      <c r="I30" s="7" t="n"/>
      <c r="J30" s="13">
        <f>IF(OR(G30="",I30=""),"",MAX(0,I30-G30-1))</f>
        <v/>
      </c>
      <c r="K30" s="14">
        <f>IF(OR(J30="",H30=""),"",ROUND(H30*12/365*J30,2))</f>
        <v/>
      </c>
      <c r="L30" s="9">
        <f>IF(D30&lt;&gt;"",D30,"")</f>
        <v/>
      </c>
      <c r="M30" s="6" t="n"/>
      <c r="N30" s="9">
        <f>IF(G30="","",WORKDAY(G30,-10,Einstellungen!$D$5:$D$34))</f>
        <v/>
      </c>
      <c r="O30" s="6" t="n"/>
      <c r="P30" s="9">
        <f>IF(G30="","",WORKDAY(G30-1,1,Einstellungen!$D$5:$D$34))</f>
        <v/>
      </c>
      <c r="Q30" s="6" t="n"/>
      <c r="R30" s="9">
        <f>IF(P30="","",WORKDAY(P30,2,Einstellungen!$D$5:$D$34))</f>
        <v/>
      </c>
      <c r="S30" s="6" t="n"/>
      <c r="T30" s="9">
        <f>IF(G30="","",EDATE(G30,12))</f>
        <v/>
      </c>
      <c r="U30" s="6" t="n"/>
      <c r="V30" s="9">
        <f>IF(COUNT(AY30:BC30)=0,"",MIN(AY30:BC30))</f>
        <v/>
      </c>
      <c r="W30" s="13">
        <f>IF(V30="","",V30-$B$2)</f>
        <v/>
      </c>
      <c r="X30" s="15">
        <f>IF(C30="Vermieter","Amtliches Formular verwendet? Bei Familienwohnung an beide Ehegatten.",IF(C30="Ausserterminlich","Nachmieter zumutbar? Vereinbartes Ende eintragen.",IF(AND(G30&lt;&gt;"",I30=""),"Noch kein Nachmieter.","")))</f>
        <v/>
      </c>
      <c r="AA30" s="16">
        <f>IF(D30&lt;&gt;"",IF(OR(COUNTIF(Einstellungen!$B$5:$B$16,"x")=0,INDEX(Einstellungen!$B$5:$B$16,MONTH(EOMONTH(D30,IF(E30="",3,E30)+0)))="x"),EOMONTH(D30,IF(E30="",3,E30)+0),""),"")</f>
        <v/>
      </c>
      <c r="AB30" s="16">
        <f>IF(D30&lt;&gt;"",IF(OR(COUNTIF(Einstellungen!$B$5:$B$16,"x")=0,INDEX(Einstellungen!$B$5:$B$16,MONTH(EOMONTH(D30,IF(E30="",3,E30)+1)))="x"),EOMONTH(D30,IF(E30="",3,E30)+1),""),"")</f>
        <v/>
      </c>
      <c r="AC30" s="16">
        <f>IF(D30&lt;&gt;"",IF(OR(COUNTIF(Einstellungen!$B$5:$B$16,"x")=0,INDEX(Einstellungen!$B$5:$B$16,MONTH(EOMONTH(D30,IF(E30="",3,E30)+2)))="x"),EOMONTH(D30,IF(E30="",3,E30)+2),""),"")</f>
        <v/>
      </c>
      <c r="AD30" s="16">
        <f>IF(D30&lt;&gt;"",IF(OR(COUNTIF(Einstellungen!$B$5:$B$16,"x")=0,INDEX(Einstellungen!$B$5:$B$16,MONTH(EOMONTH(D30,IF(E30="",3,E30)+3)))="x"),EOMONTH(D30,IF(E30="",3,E30)+3),""),"")</f>
        <v/>
      </c>
      <c r="AE30" s="16">
        <f>IF(D30&lt;&gt;"",IF(OR(COUNTIF(Einstellungen!$B$5:$B$16,"x")=0,INDEX(Einstellungen!$B$5:$B$16,MONTH(EOMONTH(D30,IF(E30="",3,E30)+4)))="x"),EOMONTH(D30,IF(E30="",3,E30)+4),""),"")</f>
        <v/>
      </c>
      <c r="AF30" s="16">
        <f>IF(D30&lt;&gt;"",IF(OR(COUNTIF(Einstellungen!$B$5:$B$16,"x")=0,INDEX(Einstellungen!$B$5:$B$16,MONTH(EOMONTH(D30,IF(E30="",3,E30)+5)))="x"),EOMONTH(D30,IF(E30="",3,E30)+5),""),"")</f>
        <v/>
      </c>
      <c r="AG30" s="16">
        <f>IF(D30&lt;&gt;"",IF(OR(COUNTIF(Einstellungen!$B$5:$B$16,"x")=0,INDEX(Einstellungen!$B$5:$B$16,MONTH(EOMONTH(D30,IF(E30="",3,E30)+6)))="x"),EOMONTH(D30,IF(E30="",3,E30)+6),""),"")</f>
        <v/>
      </c>
      <c r="AH30" s="16">
        <f>IF(D30&lt;&gt;"",IF(OR(COUNTIF(Einstellungen!$B$5:$B$16,"x")=0,INDEX(Einstellungen!$B$5:$B$16,MONTH(EOMONTH(D30,IF(E30="",3,E30)+7)))="x"),EOMONTH(D30,IF(E30="",3,E30)+7),""),"")</f>
        <v/>
      </c>
      <c r="AI30" s="16">
        <f>IF(D30&lt;&gt;"",IF(OR(COUNTIF(Einstellungen!$B$5:$B$16,"x")=0,INDEX(Einstellungen!$B$5:$B$16,MONTH(EOMONTH(D30,IF(E30="",3,E30)+8)))="x"),EOMONTH(D30,IF(E30="",3,E30)+8),""),"")</f>
        <v/>
      </c>
      <c r="AJ30" s="16">
        <f>IF(D30&lt;&gt;"",IF(OR(COUNTIF(Einstellungen!$B$5:$B$16,"x")=0,INDEX(Einstellungen!$B$5:$B$16,MONTH(EOMONTH(D30,IF(E30="",3,E30)+9)))="x"),EOMONTH(D30,IF(E30="",3,E30)+9),""),"")</f>
        <v/>
      </c>
      <c r="AK30" s="16">
        <f>IF(D30&lt;&gt;"",IF(OR(COUNTIF(Einstellungen!$B$5:$B$16,"x")=0,INDEX(Einstellungen!$B$5:$B$16,MONTH(EOMONTH(D30,IF(E30="",3,E30)+10)))="x"),EOMONTH(D30,IF(E30="",3,E30)+10),""),"")</f>
        <v/>
      </c>
      <c r="AL30" s="16">
        <f>IF(D30&lt;&gt;"",IF(OR(COUNTIF(Einstellungen!$B$5:$B$16,"x")=0,INDEX(Einstellungen!$B$5:$B$16,MONTH(EOMONTH(D30,IF(E30="",3,E30)+11)))="x"),EOMONTH(D30,IF(E30="",3,E30)+11),""),"")</f>
        <v/>
      </c>
      <c r="AM30" s="16">
        <f>IF(D30&lt;&gt;"",IF(OR(COUNTIF(Einstellungen!$B$5:$B$16,"x")=0,INDEX(Einstellungen!$B$5:$B$16,MONTH(EOMONTH(D30,IF(E30="",3,E30)+12)))="x"),EOMONTH(D30,IF(E30="",3,E30)+12),""),"")</f>
        <v/>
      </c>
      <c r="AN30" s="16">
        <f>IF(D30&lt;&gt;"",IF(OR(COUNTIF(Einstellungen!$B$5:$B$16,"x")=0,INDEX(Einstellungen!$B$5:$B$16,MONTH(EOMONTH(D30,IF(E30="",3,E30)+13)))="x"),EOMONTH(D30,IF(E30="",3,E30)+13),""),"")</f>
        <v/>
      </c>
      <c r="AO30" s="16">
        <f>IF(D30&lt;&gt;"",IF(OR(COUNTIF(Einstellungen!$B$5:$B$16,"x")=0,INDEX(Einstellungen!$B$5:$B$16,MONTH(EOMONTH(D30,IF(E30="",3,E30)+14)))="x"),EOMONTH(D30,IF(E30="",3,E30)+14),""),"")</f>
        <v/>
      </c>
      <c r="AP30" s="16">
        <f>IF(D30&lt;&gt;"",IF(OR(COUNTIF(Einstellungen!$B$5:$B$16,"x")=0,INDEX(Einstellungen!$B$5:$B$16,MONTH(EOMONTH(D30,IF(E30="",3,E30)+15)))="x"),EOMONTH(D30,IF(E30="",3,E30)+15),""),"")</f>
        <v/>
      </c>
      <c r="AQ30" s="16">
        <f>IF(D30&lt;&gt;"",IF(OR(COUNTIF(Einstellungen!$B$5:$B$16,"x")=0,INDEX(Einstellungen!$B$5:$B$16,MONTH(EOMONTH(D30,IF(E30="",3,E30)+16)))="x"),EOMONTH(D30,IF(E30="",3,E30)+16),""),"")</f>
        <v/>
      </c>
      <c r="AR30" s="16">
        <f>IF(D30&lt;&gt;"",IF(OR(COUNTIF(Einstellungen!$B$5:$B$16,"x")=0,INDEX(Einstellungen!$B$5:$B$16,MONTH(EOMONTH(D30,IF(E30="",3,E30)+17)))="x"),EOMONTH(D30,IF(E30="",3,E30)+17),""),"")</f>
        <v/>
      </c>
      <c r="AS30" s="16">
        <f>IF(D30&lt;&gt;"",IF(OR(COUNTIF(Einstellungen!$B$5:$B$16,"x")=0,INDEX(Einstellungen!$B$5:$B$16,MONTH(EOMONTH(D30,IF(E30="",3,E30)+18)))="x"),EOMONTH(D30,IF(E30="",3,E30)+18),""),"")</f>
        <v/>
      </c>
      <c r="AT30" s="16">
        <f>IF(D30&lt;&gt;"",IF(OR(COUNTIF(Einstellungen!$B$5:$B$16,"x")=0,INDEX(Einstellungen!$B$5:$B$16,MONTH(EOMONTH(D30,IF(E30="",3,E30)+19)))="x"),EOMONTH(D30,IF(E30="",3,E30)+19),""),"")</f>
        <v/>
      </c>
      <c r="AU30" s="16">
        <f>IF(D30&lt;&gt;"",IF(OR(COUNTIF(Einstellungen!$B$5:$B$16,"x")=0,INDEX(Einstellungen!$B$5:$B$16,MONTH(EOMONTH(D30,IF(E30="",3,E30)+20)))="x"),EOMONTH(D30,IF(E30="",3,E30)+20),""),"")</f>
        <v/>
      </c>
      <c r="AV30" s="16">
        <f>IF(D30&lt;&gt;"",IF(OR(COUNTIF(Einstellungen!$B$5:$B$16,"x")=0,INDEX(Einstellungen!$B$5:$B$16,MONTH(EOMONTH(D30,IF(E30="",3,E30)+21)))="x"),EOMONTH(D30,IF(E30="",3,E30)+21),""),"")</f>
        <v/>
      </c>
      <c r="AW30" s="16">
        <f>IF(D30&lt;&gt;"",IF(OR(COUNTIF(Einstellungen!$B$5:$B$16,"x")=0,INDEX(Einstellungen!$B$5:$B$16,MONTH(EOMONTH(D30,IF(E30="",3,E30)+22)))="x"),EOMONTH(D30,IF(E30="",3,E30)+22),""),"")</f>
        <v/>
      </c>
      <c r="AX30" s="16">
        <f>IF(D30&lt;&gt;"",IF(OR(COUNTIF(Einstellungen!$B$5:$B$16,"x")=0,INDEX(Einstellungen!$B$5:$B$16,MONTH(EOMONTH(D30,IF(E30="",3,E30)+23)))="x"),EOMONTH(D30,IF(E30="",3,E30)+23),""),"")</f>
        <v/>
      </c>
      <c r="AY30" s="16">
        <f>IF(AND(L30&lt;&gt;"",M30=""),L30,"")</f>
        <v/>
      </c>
      <c r="AZ30" s="16">
        <f>IF(AND(N30&lt;&gt;"",O30=""),N30,"")</f>
        <v/>
      </c>
      <c r="BA30" s="16">
        <f>IF(AND(P30&lt;&gt;"",Q30=""),P30,"")</f>
        <v/>
      </c>
      <c r="BB30" s="16">
        <f>IF(AND(R30&lt;&gt;"",S30=""),R30,"")</f>
        <v/>
      </c>
      <c r="BC30" s="16">
        <f>IF(AND(T30&lt;&gt;"",U30=""),T30,"")</f>
        <v/>
      </c>
    </row>
    <row r="31">
      <c r="A31" s="6" t="n"/>
      <c r="B31" s="6" t="n"/>
      <c r="C31" s="6" t="n"/>
      <c r="D31" s="7" t="n"/>
      <c r="E31" s="11" t="n"/>
      <c r="F31" s="7" t="n"/>
      <c r="G31" s="9">
        <f>IF(F31&lt;&gt;"",F31,IF(D31&lt;&gt;"",IF(COUNT(AA31:AX31)=0,"",MIN(AA31:AX31)),""))</f>
        <v/>
      </c>
      <c r="H31" s="12" t="n"/>
      <c r="I31" s="7" t="n"/>
      <c r="J31" s="13">
        <f>IF(OR(G31="",I31=""),"",MAX(0,I31-G31-1))</f>
        <v/>
      </c>
      <c r="K31" s="14">
        <f>IF(OR(J31="",H31=""),"",ROUND(H31*12/365*J31,2))</f>
        <v/>
      </c>
      <c r="L31" s="9">
        <f>IF(D31&lt;&gt;"",D31,"")</f>
        <v/>
      </c>
      <c r="M31" s="6" t="n"/>
      <c r="N31" s="9">
        <f>IF(G31="","",WORKDAY(G31,-10,Einstellungen!$D$5:$D$34))</f>
        <v/>
      </c>
      <c r="O31" s="6" t="n"/>
      <c r="P31" s="9">
        <f>IF(G31="","",WORKDAY(G31-1,1,Einstellungen!$D$5:$D$34))</f>
        <v/>
      </c>
      <c r="Q31" s="6" t="n"/>
      <c r="R31" s="9">
        <f>IF(P31="","",WORKDAY(P31,2,Einstellungen!$D$5:$D$34))</f>
        <v/>
      </c>
      <c r="S31" s="6" t="n"/>
      <c r="T31" s="9">
        <f>IF(G31="","",EDATE(G31,12))</f>
        <v/>
      </c>
      <c r="U31" s="6" t="n"/>
      <c r="V31" s="9">
        <f>IF(COUNT(AY31:BC31)=0,"",MIN(AY31:BC31))</f>
        <v/>
      </c>
      <c r="W31" s="13">
        <f>IF(V31="","",V31-$B$2)</f>
        <v/>
      </c>
      <c r="X31" s="15">
        <f>IF(C31="Vermieter","Amtliches Formular verwendet? Bei Familienwohnung an beide Ehegatten.",IF(C31="Ausserterminlich","Nachmieter zumutbar? Vereinbartes Ende eintragen.",IF(AND(G31&lt;&gt;"",I31=""),"Noch kein Nachmieter.","")))</f>
        <v/>
      </c>
      <c r="AA31" s="16">
        <f>IF(D31&lt;&gt;"",IF(OR(COUNTIF(Einstellungen!$B$5:$B$16,"x")=0,INDEX(Einstellungen!$B$5:$B$16,MONTH(EOMONTH(D31,IF(E31="",3,E31)+0)))="x"),EOMONTH(D31,IF(E31="",3,E31)+0),""),"")</f>
        <v/>
      </c>
      <c r="AB31" s="16">
        <f>IF(D31&lt;&gt;"",IF(OR(COUNTIF(Einstellungen!$B$5:$B$16,"x")=0,INDEX(Einstellungen!$B$5:$B$16,MONTH(EOMONTH(D31,IF(E31="",3,E31)+1)))="x"),EOMONTH(D31,IF(E31="",3,E31)+1),""),"")</f>
        <v/>
      </c>
      <c r="AC31" s="16">
        <f>IF(D31&lt;&gt;"",IF(OR(COUNTIF(Einstellungen!$B$5:$B$16,"x")=0,INDEX(Einstellungen!$B$5:$B$16,MONTH(EOMONTH(D31,IF(E31="",3,E31)+2)))="x"),EOMONTH(D31,IF(E31="",3,E31)+2),""),"")</f>
        <v/>
      </c>
      <c r="AD31" s="16">
        <f>IF(D31&lt;&gt;"",IF(OR(COUNTIF(Einstellungen!$B$5:$B$16,"x")=0,INDEX(Einstellungen!$B$5:$B$16,MONTH(EOMONTH(D31,IF(E31="",3,E31)+3)))="x"),EOMONTH(D31,IF(E31="",3,E31)+3),""),"")</f>
        <v/>
      </c>
      <c r="AE31" s="16">
        <f>IF(D31&lt;&gt;"",IF(OR(COUNTIF(Einstellungen!$B$5:$B$16,"x")=0,INDEX(Einstellungen!$B$5:$B$16,MONTH(EOMONTH(D31,IF(E31="",3,E31)+4)))="x"),EOMONTH(D31,IF(E31="",3,E31)+4),""),"")</f>
        <v/>
      </c>
      <c r="AF31" s="16">
        <f>IF(D31&lt;&gt;"",IF(OR(COUNTIF(Einstellungen!$B$5:$B$16,"x")=0,INDEX(Einstellungen!$B$5:$B$16,MONTH(EOMONTH(D31,IF(E31="",3,E31)+5)))="x"),EOMONTH(D31,IF(E31="",3,E31)+5),""),"")</f>
        <v/>
      </c>
      <c r="AG31" s="16">
        <f>IF(D31&lt;&gt;"",IF(OR(COUNTIF(Einstellungen!$B$5:$B$16,"x")=0,INDEX(Einstellungen!$B$5:$B$16,MONTH(EOMONTH(D31,IF(E31="",3,E31)+6)))="x"),EOMONTH(D31,IF(E31="",3,E31)+6),""),"")</f>
        <v/>
      </c>
      <c r="AH31" s="16">
        <f>IF(D31&lt;&gt;"",IF(OR(COUNTIF(Einstellungen!$B$5:$B$16,"x")=0,INDEX(Einstellungen!$B$5:$B$16,MONTH(EOMONTH(D31,IF(E31="",3,E31)+7)))="x"),EOMONTH(D31,IF(E31="",3,E31)+7),""),"")</f>
        <v/>
      </c>
      <c r="AI31" s="16">
        <f>IF(D31&lt;&gt;"",IF(OR(COUNTIF(Einstellungen!$B$5:$B$16,"x")=0,INDEX(Einstellungen!$B$5:$B$16,MONTH(EOMONTH(D31,IF(E31="",3,E31)+8)))="x"),EOMONTH(D31,IF(E31="",3,E31)+8),""),"")</f>
        <v/>
      </c>
      <c r="AJ31" s="16">
        <f>IF(D31&lt;&gt;"",IF(OR(COUNTIF(Einstellungen!$B$5:$B$16,"x")=0,INDEX(Einstellungen!$B$5:$B$16,MONTH(EOMONTH(D31,IF(E31="",3,E31)+9)))="x"),EOMONTH(D31,IF(E31="",3,E31)+9),""),"")</f>
        <v/>
      </c>
      <c r="AK31" s="16">
        <f>IF(D31&lt;&gt;"",IF(OR(COUNTIF(Einstellungen!$B$5:$B$16,"x")=0,INDEX(Einstellungen!$B$5:$B$16,MONTH(EOMONTH(D31,IF(E31="",3,E31)+10)))="x"),EOMONTH(D31,IF(E31="",3,E31)+10),""),"")</f>
        <v/>
      </c>
      <c r="AL31" s="16">
        <f>IF(D31&lt;&gt;"",IF(OR(COUNTIF(Einstellungen!$B$5:$B$16,"x")=0,INDEX(Einstellungen!$B$5:$B$16,MONTH(EOMONTH(D31,IF(E31="",3,E31)+11)))="x"),EOMONTH(D31,IF(E31="",3,E31)+11),""),"")</f>
        <v/>
      </c>
      <c r="AM31" s="16">
        <f>IF(D31&lt;&gt;"",IF(OR(COUNTIF(Einstellungen!$B$5:$B$16,"x")=0,INDEX(Einstellungen!$B$5:$B$16,MONTH(EOMONTH(D31,IF(E31="",3,E31)+12)))="x"),EOMONTH(D31,IF(E31="",3,E31)+12),""),"")</f>
        <v/>
      </c>
      <c r="AN31" s="16">
        <f>IF(D31&lt;&gt;"",IF(OR(COUNTIF(Einstellungen!$B$5:$B$16,"x")=0,INDEX(Einstellungen!$B$5:$B$16,MONTH(EOMONTH(D31,IF(E31="",3,E31)+13)))="x"),EOMONTH(D31,IF(E31="",3,E31)+13),""),"")</f>
        <v/>
      </c>
      <c r="AO31" s="16">
        <f>IF(D31&lt;&gt;"",IF(OR(COUNTIF(Einstellungen!$B$5:$B$16,"x")=0,INDEX(Einstellungen!$B$5:$B$16,MONTH(EOMONTH(D31,IF(E31="",3,E31)+14)))="x"),EOMONTH(D31,IF(E31="",3,E31)+14),""),"")</f>
        <v/>
      </c>
      <c r="AP31" s="16">
        <f>IF(D31&lt;&gt;"",IF(OR(COUNTIF(Einstellungen!$B$5:$B$16,"x")=0,INDEX(Einstellungen!$B$5:$B$16,MONTH(EOMONTH(D31,IF(E31="",3,E31)+15)))="x"),EOMONTH(D31,IF(E31="",3,E31)+15),""),"")</f>
        <v/>
      </c>
      <c r="AQ31" s="16">
        <f>IF(D31&lt;&gt;"",IF(OR(COUNTIF(Einstellungen!$B$5:$B$16,"x")=0,INDEX(Einstellungen!$B$5:$B$16,MONTH(EOMONTH(D31,IF(E31="",3,E31)+16)))="x"),EOMONTH(D31,IF(E31="",3,E31)+16),""),"")</f>
        <v/>
      </c>
      <c r="AR31" s="16">
        <f>IF(D31&lt;&gt;"",IF(OR(COUNTIF(Einstellungen!$B$5:$B$16,"x")=0,INDEX(Einstellungen!$B$5:$B$16,MONTH(EOMONTH(D31,IF(E31="",3,E31)+17)))="x"),EOMONTH(D31,IF(E31="",3,E31)+17),""),"")</f>
        <v/>
      </c>
      <c r="AS31" s="16">
        <f>IF(D31&lt;&gt;"",IF(OR(COUNTIF(Einstellungen!$B$5:$B$16,"x")=0,INDEX(Einstellungen!$B$5:$B$16,MONTH(EOMONTH(D31,IF(E31="",3,E31)+18)))="x"),EOMONTH(D31,IF(E31="",3,E31)+18),""),"")</f>
        <v/>
      </c>
      <c r="AT31" s="16">
        <f>IF(D31&lt;&gt;"",IF(OR(COUNTIF(Einstellungen!$B$5:$B$16,"x")=0,INDEX(Einstellungen!$B$5:$B$16,MONTH(EOMONTH(D31,IF(E31="",3,E31)+19)))="x"),EOMONTH(D31,IF(E31="",3,E31)+19),""),"")</f>
        <v/>
      </c>
      <c r="AU31" s="16">
        <f>IF(D31&lt;&gt;"",IF(OR(COUNTIF(Einstellungen!$B$5:$B$16,"x")=0,INDEX(Einstellungen!$B$5:$B$16,MONTH(EOMONTH(D31,IF(E31="",3,E31)+20)))="x"),EOMONTH(D31,IF(E31="",3,E31)+20),""),"")</f>
        <v/>
      </c>
      <c r="AV31" s="16">
        <f>IF(D31&lt;&gt;"",IF(OR(COUNTIF(Einstellungen!$B$5:$B$16,"x")=0,INDEX(Einstellungen!$B$5:$B$16,MONTH(EOMONTH(D31,IF(E31="",3,E31)+21)))="x"),EOMONTH(D31,IF(E31="",3,E31)+21),""),"")</f>
        <v/>
      </c>
      <c r="AW31" s="16">
        <f>IF(D31&lt;&gt;"",IF(OR(COUNTIF(Einstellungen!$B$5:$B$16,"x")=0,INDEX(Einstellungen!$B$5:$B$16,MONTH(EOMONTH(D31,IF(E31="",3,E31)+22)))="x"),EOMONTH(D31,IF(E31="",3,E31)+22),""),"")</f>
        <v/>
      </c>
      <c r="AX31" s="16">
        <f>IF(D31&lt;&gt;"",IF(OR(COUNTIF(Einstellungen!$B$5:$B$16,"x")=0,INDEX(Einstellungen!$B$5:$B$16,MONTH(EOMONTH(D31,IF(E31="",3,E31)+23)))="x"),EOMONTH(D31,IF(E31="",3,E31)+23),""),"")</f>
        <v/>
      </c>
      <c r="AY31" s="16">
        <f>IF(AND(L31&lt;&gt;"",M31=""),L31,"")</f>
        <v/>
      </c>
      <c r="AZ31" s="16">
        <f>IF(AND(N31&lt;&gt;"",O31=""),N31,"")</f>
        <v/>
      </c>
      <c r="BA31" s="16">
        <f>IF(AND(P31&lt;&gt;"",Q31=""),P31,"")</f>
        <v/>
      </c>
      <c r="BB31" s="16">
        <f>IF(AND(R31&lt;&gt;"",S31=""),R31,"")</f>
        <v/>
      </c>
      <c r="BC31" s="16">
        <f>IF(AND(T31&lt;&gt;"",U31=""),T31,"")</f>
        <v/>
      </c>
    </row>
    <row r="32">
      <c r="A32" s="6" t="n"/>
      <c r="B32" s="6" t="n"/>
      <c r="C32" s="6" t="n"/>
      <c r="D32" s="7" t="n"/>
      <c r="E32" s="11" t="n"/>
      <c r="F32" s="7" t="n"/>
      <c r="G32" s="9">
        <f>IF(F32&lt;&gt;"",F32,IF(D32&lt;&gt;"",IF(COUNT(AA32:AX32)=0,"",MIN(AA32:AX32)),""))</f>
        <v/>
      </c>
      <c r="H32" s="12" t="n"/>
      <c r="I32" s="7" t="n"/>
      <c r="J32" s="13">
        <f>IF(OR(G32="",I32=""),"",MAX(0,I32-G32-1))</f>
        <v/>
      </c>
      <c r="K32" s="14">
        <f>IF(OR(J32="",H32=""),"",ROUND(H32*12/365*J32,2))</f>
        <v/>
      </c>
      <c r="L32" s="9">
        <f>IF(D32&lt;&gt;"",D32,"")</f>
        <v/>
      </c>
      <c r="M32" s="6" t="n"/>
      <c r="N32" s="9">
        <f>IF(G32="","",WORKDAY(G32,-10,Einstellungen!$D$5:$D$34))</f>
        <v/>
      </c>
      <c r="O32" s="6" t="n"/>
      <c r="P32" s="9">
        <f>IF(G32="","",WORKDAY(G32-1,1,Einstellungen!$D$5:$D$34))</f>
        <v/>
      </c>
      <c r="Q32" s="6" t="n"/>
      <c r="R32" s="9">
        <f>IF(P32="","",WORKDAY(P32,2,Einstellungen!$D$5:$D$34))</f>
        <v/>
      </c>
      <c r="S32" s="6" t="n"/>
      <c r="T32" s="9">
        <f>IF(G32="","",EDATE(G32,12))</f>
        <v/>
      </c>
      <c r="U32" s="6" t="n"/>
      <c r="V32" s="9">
        <f>IF(COUNT(AY32:BC32)=0,"",MIN(AY32:BC32))</f>
        <v/>
      </c>
      <c r="W32" s="13">
        <f>IF(V32="","",V32-$B$2)</f>
        <v/>
      </c>
      <c r="X32" s="15">
        <f>IF(C32="Vermieter","Amtliches Formular verwendet? Bei Familienwohnung an beide Ehegatten.",IF(C32="Ausserterminlich","Nachmieter zumutbar? Vereinbartes Ende eintragen.",IF(AND(G32&lt;&gt;"",I32=""),"Noch kein Nachmieter.","")))</f>
        <v/>
      </c>
      <c r="AA32" s="16">
        <f>IF(D32&lt;&gt;"",IF(OR(COUNTIF(Einstellungen!$B$5:$B$16,"x")=0,INDEX(Einstellungen!$B$5:$B$16,MONTH(EOMONTH(D32,IF(E32="",3,E32)+0)))="x"),EOMONTH(D32,IF(E32="",3,E32)+0),""),"")</f>
        <v/>
      </c>
      <c r="AB32" s="16">
        <f>IF(D32&lt;&gt;"",IF(OR(COUNTIF(Einstellungen!$B$5:$B$16,"x")=0,INDEX(Einstellungen!$B$5:$B$16,MONTH(EOMONTH(D32,IF(E32="",3,E32)+1)))="x"),EOMONTH(D32,IF(E32="",3,E32)+1),""),"")</f>
        <v/>
      </c>
      <c r="AC32" s="16">
        <f>IF(D32&lt;&gt;"",IF(OR(COUNTIF(Einstellungen!$B$5:$B$16,"x")=0,INDEX(Einstellungen!$B$5:$B$16,MONTH(EOMONTH(D32,IF(E32="",3,E32)+2)))="x"),EOMONTH(D32,IF(E32="",3,E32)+2),""),"")</f>
        <v/>
      </c>
      <c r="AD32" s="16">
        <f>IF(D32&lt;&gt;"",IF(OR(COUNTIF(Einstellungen!$B$5:$B$16,"x")=0,INDEX(Einstellungen!$B$5:$B$16,MONTH(EOMONTH(D32,IF(E32="",3,E32)+3)))="x"),EOMONTH(D32,IF(E32="",3,E32)+3),""),"")</f>
        <v/>
      </c>
      <c r="AE32" s="16">
        <f>IF(D32&lt;&gt;"",IF(OR(COUNTIF(Einstellungen!$B$5:$B$16,"x")=0,INDEX(Einstellungen!$B$5:$B$16,MONTH(EOMONTH(D32,IF(E32="",3,E32)+4)))="x"),EOMONTH(D32,IF(E32="",3,E32)+4),""),"")</f>
        <v/>
      </c>
      <c r="AF32" s="16">
        <f>IF(D32&lt;&gt;"",IF(OR(COUNTIF(Einstellungen!$B$5:$B$16,"x")=0,INDEX(Einstellungen!$B$5:$B$16,MONTH(EOMONTH(D32,IF(E32="",3,E32)+5)))="x"),EOMONTH(D32,IF(E32="",3,E32)+5),""),"")</f>
        <v/>
      </c>
      <c r="AG32" s="16">
        <f>IF(D32&lt;&gt;"",IF(OR(COUNTIF(Einstellungen!$B$5:$B$16,"x")=0,INDEX(Einstellungen!$B$5:$B$16,MONTH(EOMONTH(D32,IF(E32="",3,E32)+6)))="x"),EOMONTH(D32,IF(E32="",3,E32)+6),""),"")</f>
        <v/>
      </c>
      <c r="AH32" s="16">
        <f>IF(D32&lt;&gt;"",IF(OR(COUNTIF(Einstellungen!$B$5:$B$16,"x")=0,INDEX(Einstellungen!$B$5:$B$16,MONTH(EOMONTH(D32,IF(E32="",3,E32)+7)))="x"),EOMONTH(D32,IF(E32="",3,E32)+7),""),"")</f>
        <v/>
      </c>
      <c r="AI32" s="16">
        <f>IF(D32&lt;&gt;"",IF(OR(COUNTIF(Einstellungen!$B$5:$B$16,"x")=0,INDEX(Einstellungen!$B$5:$B$16,MONTH(EOMONTH(D32,IF(E32="",3,E32)+8)))="x"),EOMONTH(D32,IF(E32="",3,E32)+8),""),"")</f>
        <v/>
      </c>
      <c r="AJ32" s="16">
        <f>IF(D32&lt;&gt;"",IF(OR(COUNTIF(Einstellungen!$B$5:$B$16,"x")=0,INDEX(Einstellungen!$B$5:$B$16,MONTH(EOMONTH(D32,IF(E32="",3,E32)+9)))="x"),EOMONTH(D32,IF(E32="",3,E32)+9),""),"")</f>
        <v/>
      </c>
      <c r="AK32" s="16">
        <f>IF(D32&lt;&gt;"",IF(OR(COUNTIF(Einstellungen!$B$5:$B$16,"x")=0,INDEX(Einstellungen!$B$5:$B$16,MONTH(EOMONTH(D32,IF(E32="",3,E32)+10)))="x"),EOMONTH(D32,IF(E32="",3,E32)+10),""),"")</f>
        <v/>
      </c>
      <c r="AL32" s="16">
        <f>IF(D32&lt;&gt;"",IF(OR(COUNTIF(Einstellungen!$B$5:$B$16,"x")=0,INDEX(Einstellungen!$B$5:$B$16,MONTH(EOMONTH(D32,IF(E32="",3,E32)+11)))="x"),EOMONTH(D32,IF(E32="",3,E32)+11),""),"")</f>
        <v/>
      </c>
      <c r="AM32" s="16">
        <f>IF(D32&lt;&gt;"",IF(OR(COUNTIF(Einstellungen!$B$5:$B$16,"x")=0,INDEX(Einstellungen!$B$5:$B$16,MONTH(EOMONTH(D32,IF(E32="",3,E32)+12)))="x"),EOMONTH(D32,IF(E32="",3,E32)+12),""),"")</f>
        <v/>
      </c>
      <c r="AN32" s="16">
        <f>IF(D32&lt;&gt;"",IF(OR(COUNTIF(Einstellungen!$B$5:$B$16,"x")=0,INDEX(Einstellungen!$B$5:$B$16,MONTH(EOMONTH(D32,IF(E32="",3,E32)+13)))="x"),EOMONTH(D32,IF(E32="",3,E32)+13),""),"")</f>
        <v/>
      </c>
      <c r="AO32" s="16">
        <f>IF(D32&lt;&gt;"",IF(OR(COUNTIF(Einstellungen!$B$5:$B$16,"x")=0,INDEX(Einstellungen!$B$5:$B$16,MONTH(EOMONTH(D32,IF(E32="",3,E32)+14)))="x"),EOMONTH(D32,IF(E32="",3,E32)+14),""),"")</f>
        <v/>
      </c>
      <c r="AP32" s="16">
        <f>IF(D32&lt;&gt;"",IF(OR(COUNTIF(Einstellungen!$B$5:$B$16,"x")=0,INDEX(Einstellungen!$B$5:$B$16,MONTH(EOMONTH(D32,IF(E32="",3,E32)+15)))="x"),EOMONTH(D32,IF(E32="",3,E32)+15),""),"")</f>
        <v/>
      </c>
      <c r="AQ32" s="16">
        <f>IF(D32&lt;&gt;"",IF(OR(COUNTIF(Einstellungen!$B$5:$B$16,"x")=0,INDEX(Einstellungen!$B$5:$B$16,MONTH(EOMONTH(D32,IF(E32="",3,E32)+16)))="x"),EOMONTH(D32,IF(E32="",3,E32)+16),""),"")</f>
        <v/>
      </c>
      <c r="AR32" s="16">
        <f>IF(D32&lt;&gt;"",IF(OR(COUNTIF(Einstellungen!$B$5:$B$16,"x")=0,INDEX(Einstellungen!$B$5:$B$16,MONTH(EOMONTH(D32,IF(E32="",3,E32)+17)))="x"),EOMONTH(D32,IF(E32="",3,E32)+17),""),"")</f>
        <v/>
      </c>
      <c r="AS32" s="16">
        <f>IF(D32&lt;&gt;"",IF(OR(COUNTIF(Einstellungen!$B$5:$B$16,"x")=0,INDEX(Einstellungen!$B$5:$B$16,MONTH(EOMONTH(D32,IF(E32="",3,E32)+18)))="x"),EOMONTH(D32,IF(E32="",3,E32)+18),""),"")</f>
        <v/>
      </c>
      <c r="AT32" s="16">
        <f>IF(D32&lt;&gt;"",IF(OR(COUNTIF(Einstellungen!$B$5:$B$16,"x")=0,INDEX(Einstellungen!$B$5:$B$16,MONTH(EOMONTH(D32,IF(E32="",3,E32)+19)))="x"),EOMONTH(D32,IF(E32="",3,E32)+19),""),"")</f>
        <v/>
      </c>
      <c r="AU32" s="16">
        <f>IF(D32&lt;&gt;"",IF(OR(COUNTIF(Einstellungen!$B$5:$B$16,"x")=0,INDEX(Einstellungen!$B$5:$B$16,MONTH(EOMONTH(D32,IF(E32="",3,E32)+20)))="x"),EOMONTH(D32,IF(E32="",3,E32)+20),""),"")</f>
        <v/>
      </c>
      <c r="AV32" s="16">
        <f>IF(D32&lt;&gt;"",IF(OR(COUNTIF(Einstellungen!$B$5:$B$16,"x")=0,INDEX(Einstellungen!$B$5:$B$16,MONTH(EOMONTH(D32,IF(E32="",3,E32)+21)))="x"),EOMONTH(D32,IF(E32="",3,E32)+21),""),"")</f>
        <v/>
      </c>
      <c r="AW32" s="16">
        <f>IF(D32&lt;&gt;"",IF(OR(COUNTIF(Einstellungen!$B$5:$B$16,"x")=0,INDEX(Einstellungen!$B$5:$B$16,MONTH(EOMONTH(D32,IF(E32="",3,E32)+22)))="x"),EOMONTH(D32,IF(E32="",3,E32)+22),""),"")</f>
        <v/>
      </c>
      <c r="AX32" s="16">
        <f>IF(D32&lt;&gt;"",IF(OR(COUNTIF(Einstellungen!$B$5:$B$16,"x")=0,INDEX(Einstellungen!$B$5:$B$16,MONTH(EOMONTH(D32,IF(E32="",3,E32)+23)))="x"),EOMONTH(D32,IF(E32="",3,E32)+23),""),"")</f>
        <v/>
      </c>
      <c r="AY32" s="16">
        <f>IF(AND(L32&lt;&gt;"",M32=""),L32,"")</f>
        <v/>
      </c>
      <c r="AZ32" s="16">
        <f>IF(AND(N32&lt;&gt;"",O32=""),N32,"")</f>
        <v/>
      </c>
      <c r="BA32" s="16">
        <f>IF(AND(P32&lt;&gt;"",Q32=""),P32,"")</f>
        <v/>
      </c>
      <c r="BB32" s="16">
        <f>IF(AND(R32&lt;&gt;"",S32=""),R32,"")</f>
        <v/>
      </c>
      <c r="BC32" s="16">
        <f>IF(AND(T32&lt;&gt;"",U32=""),T32,"")</f>
        <v/>
      </c>
    </row>
    <row r="33">
      <c r="A33" s="6" t="n"/>
      <c r="B33" s="6" t="n"/>
      <c r="C33" s="6" t="n"/>
      <c r="D33" s="7" t="n"/>
      <c r="E33" s="11" t="n"/>
      <c r="F33" s="7" t="n"/>
      <c r="G33" s="9">
        <f>IF(F33&lt;&gt;"",F33,IF(D33&lt;&gt;"",IF(COUNT(AA33:AX33)=0,"",MIN(AA33:AX33)),""))</f>
        <v/>
      </c>
      <c r="H33" s="12" t="n"/>
      <c r="I33" s="7" t="n"/>
      <c r="J33" s="13">
        <f>IF(OR(G33="",I33=""),"",MAX(0,I33-G33-1))</f>
        <v/>
      </c>
      <c r="K33" s="14">
        <f>IF(OR(J33="",H33=""),"",ROUND(H33*12/365*J33,2))</f>
        <v/>
      </c>
      <c r="L33" s="9">
        <f>IF(D33&lt;&gt;"",D33,"")</f>
        <v/>
      </c>
      <c r="M33" s="6" t="n"/>
      <c r="N33" s="9">
        <f>IF(G33="","",WORKDAY(G33,-10,Einstellungen!$D$5:$D$34))</f>
        <v/>
      </c>
      <c r="O33" s="6" t="n"/>
      <c r="P33" s="9">
        <f>IF(G33="","",WORKDAY(G33-1,1,Einstellungen!$D$5:$D$34))</f>
        <v/>
      </c>
      <c r="Q33" s="6" t="n"/>
      <c r="R33" s="9">
        <f>IF(P33="","",WORKDAY(P33,2,Einstellungen!$D$5:$D$34))</f>
        <v/>
      </c>
      <c r="S33" s="6" t="n"/>
      <c r="T33" s="9">
        <f>IF(G33="","",EDATE(G33,12))</f>
        <v/>
      </c>
      <c r="U33" s="6" t="n"/>
      <c r="V33" s="9">
        <f>IF(COUNT(AY33:BC33)=0,"",MIN(AY33:BC33))</f>
        <v/>
      </c>
      <c r="W33" s="13">
        <f>IF(V33="","",V33-$B$2)</f>
        <v/>
      </c>
      <c r="X33" s="15">
        <f>IF(C33="Vermieter","Amtliches Formular verwendet? Bei Familienwohnung an beide Ehegatten.",IF(C33="Ausserterminlich","Nachmieter zumutbar? Vereinbartes Ende eintragen.",IF(AND(G33&lt;&gt;"",I33=""),"Noch kein Nachmieter.","")))</f>
        <v/>
      </c>
      <c r="AA33" s="16">
        <f>IF(D33&lt;&gt;"",IF(OR(COUNTIF(Einstellungen!$B$5:$B$16,"x")=0,INDEX(Einstellungen!$B$5:$B$16,MONTH(EOMONTH(D33,IF(E33="",3,E33)+0)))="x"),EOMONTH(D33,IF(E33="",3,E33)+0),""),"")</f>
        <v/>
      </c>
      <c r="AB33" s="16">
        <f>IF(D33&lt;&gt;"",IF(OR(COUNTIF(Einstellungen!$B$5:$B$16,"x")=0,INDEX(Einstellungen!$B$5:$B$16,MONTH(EOMONTH(D33,IF(E33="",3,E33)+1)))="x"),EOMONTH(D33,IF(E33="",3,E33)+1),""),"")</f>
        <v/>
      </c>
      <c r="AC33" s="16">
        <f>IF(D33&lt;&gt;"",IF(OR(COUNTIF(Einstellungen!$B$5:$B$16,"x")=0,INDEX(Einstellungen!$B$5:$B$16,MONTH(EOMONTH(D33,IF(E33="",3,E33)+2)))="x"),EOMONTH(D33,IF(E33="",3,E33)+2),""),"")</f>
        <v/>
      </c>
      <c r="AD33" s="16">
        <f>IF(D33&lt;&gt;"",IF(OR(COUNTIF(Einstellungen!$B$5:$B$16,"x")=0,INDEX(Einstellungen!$B$5:$B$16,MONTH(EOMONTH(D33,IF(E33="",3,E33)+3)))="x"),EOMONTH(D33,IF(E33="",3,E33)+3),""),"")</f>
        <v/>
      </c>
      <c r="AE33" s="16">
        <f>IF(D33&lt;&gt;"",IF(OR(COUNTIF(Einstellungen!$B$5:$B$16,"x")=0,INDEX(Einstellungen!$B$5:$B$16,MONTH(EOMONTH(D33,IF(E33="",3,E33)+4)))="x"),EOMONTH(D33,IF(E33="",3,E33)+4),""),"")</f>
        <v/>
      </c>
      <c r="AF33" s="16">
        <f>IF(D33&lt;&gt;"",IF(OR(COUNTIF(Einstellungen!$B$5:$B$16,"x")=0,INDEX(Einstellungen!$B$5:$B$16,MONTH(EOMONTH(D33,IF(E33="",3,E33)+5)))="x"),EOMONTH(D33,IF(E33="",3,E33)+5),""),"")</f>
        <v/>
      </c>
      <c r="AG33" s="16">
        <f>IF(D33&lt;&gt;"",IF(OR(COUNTIF(Einstellungen!$B$5:$B$16,"x")=0,INDEX(Einstellungen!$B$5:$B$16,MONTH(EOMONTH(D33,IF(E33="",3,E33)+6)))="x"),EOMONTH(D33,IF(E33="",3,E33)+6),""),"")</f>
        <v/>
      </c>
      <c r="AH33" s="16">
        <f>IF(D33&lt;&gt;"",IF(OR(COUNTIF(Einstellungen!$B$5:$B$16,"x")=0,INDEX(Einstellungen!$B$5:$B$16,MONTH(EOMONTH(D33,IF(E33="",3,E33)+7)))="x"),EOMONTH(D33,IF(E33="",3,E33)+7),""),"")</f>
        <v/>
      </c>
      <c r="AI33" s="16">
        <f>IF(D33&lt;&gt;"",IF(OR(COUNTIF(Einstellungen!$B$5:$B$16,"x")=0,INDEX(Einstellungen!$B$5:$B$16,MONTH(EOMONTH(D33,IF(E33="",3,E33)+8)))="x"),EOMONTH(D33,IF(E33="",3,E33)+8),""),"")</f>
        <v/>
      </c>
      <c r="AJ33" s="16">
        <f>IF(D33&lt;&gt;"",IF(OR(COUNTIF(Einstellungen!$B$5:$B$16,"x")=0,INDEX(Einstellungen!$B$5:$B$16,MONTH(EOMONTH(D33,IF(E33="",3,E33)+9)))="x"),EOMONTH(D33,IF(E33="",3,E33)+9),""),"")</f>
        <v/>
      </c>
      <c r="AK33" s="16">
        <f>IF(D33&lt;&gt;"",IF(OR(COUNTIF(Einstellungen!$B$5:$B$16,"x")=0,INDEX(Einstellungen!$B$5:$B$16,MONTH(EOMONTH(D33,IF(E33="",3,E33)+10)))="x"),EOMONTH(D33,IF(E33="",3,E33)+10),""),"")</f>
        <v/>
      </c>
      <c r="AL33" s="16">
        <f>IF(D33&lt;&gt;"",IF(OR(COUNTIF(Einstellungen!$B$5:$B$16,"x")=0,INDEX(Einstellungen!$B$5:$B$16,MONTH(EOMONTH(D33,IF(E33="",3,E33)+11)))="x"),EOMONTH(D33,IF(E33="",3,E33)+11),""),"")</f>
        <v/>
      </c>
      <c r="AM33" s="16">
        <f>IF(D33&lt;&gt;"",IF(OR(COUNTIF(Einstellungen!$B$5:$B$16,"x")=0,INDEX(Einstellungen!$B$5:$B$16,MONTH(EOMONTH(D33,IF(E33="",3,E33)+12)))="x"),EOMONTH(D33,IF(E33="",3,E33)+12),""),"")</f>
        <v/>
      </c>
      <c r="AN33" s="16">
        <f>IF(D33&lt;&gt;"",IF(OR(COUNTIF(Einstellungen!$B$5:$B$16,"x")=0,INDEX(Einstellungen!$B$5:$B$16,MONTH(EOMONTH(D33,IF(E33="",3,E33)+13)))="x"),EOMONTH(D33,IF(E33="",3,E33)+13),""),"")</f>
        <v/>
      </c>
      <c r="AO33" s="16">
        <f>IF(D33&lt;&gt;"",IF(OR(COUNTIF(Einstellungen!$B$5:$B$16,"x")=0,INDEX(Einstellungen!$B$5:$B$16,MONTH(EOMONTH(D33,IF(E33="",3,E33)+14)))="x"),EOMONTH(D33,IF(E33="",3,E33)+14),""),"")</f>
        <v/>
      </c>
      <c r="AP33" s="16">
        <f>IF(D33&lt;&gt;"",IF(OR(COUNTIF(Einstellungen!$B$5:$B$16,"x")=0,INDEX(Einstellungen!$B$5:$B$16,MONTH(EOMONTH(D33,IF(E33="",3,E33)+15)))="x"),EOMONTH(D33,IF(E33="",3,E33)+15),""),"")</f>
        <v/>
      </c>
      <c r="AQ33" s="16">
        <f>IF(D33&lt;&gt;"",IF(OR(COUNTIF(Einstellungen!$B$5:$B$16,"x")=0,INDEX(Einstellungen!$B$5:$B$16,MONTH(EOMONTH(D33,IF(E33="",3,E33)+16)))="x"),EOMONTH(D33,IF(E33="",3,E33)+16),""),"")</f>
        <v/>
      </c>
      <c r="AR33" s="16">
        <f>IF(D33&lt;&gt;"",IF(OR(COUNTIF(Einstellungen!$B$5:$B$16,"x")=0,INDEX(Einstellungen!$B$5:$B$16,MONTH(EOMONTH(D33,IF(E33="",3,E33)+17)))="x"),EOMONTH(D33,IF(E33="",3,E33)+17),""),"")</f>
        <v/>
      </c>
      <c r="AS33" s="16">
        <f>IF(D33&lt;&gt;"",IF(OR(COUNTIF(Einstellungen!$B$5:$B$16,"x")=0,INDEX(Einstellungen!$B$5:$B$16,MONTH(EOMONTH(D33,IF(E33="",3,E33)+18)))="x"),EOMONTH(D33,IF(E33="",3,E33)+18),""),"")</f>
        <v/>
      </c>
      <c r="AT33" s="16">
        <f>IF(D33&lt;&gt;"",IF(OR(COUNTIF(Einstellungen!$B$5:$B$16,"x")=0,INDEX(Einstellungen!$B$5:$B$16,MONTH(EOMONTH(D33,IF(E33="",3,E33)+19)))="x"),EOMONTH(D33,IF(E33="",3,E33)+19),""),"")</f>
        <v/>
      </c>
      <c r="AU33" s="16">
        <f>IF(D33&lt;&gt;"",IF(OR(COUNTIF(Einstellungen!$B$5:$B$16,"x")=0,INDEX(Einstellungen!$B$5:$B$16,MONTH(EOMONTH(D33,IF(E33="",3,E33)+20)))="x"),EOMONTH(D33,IF(E33="",3,E33)+20),""),"")</f>
        <v/>
      </c>
      <c r="AV33" s="16">
        <f>IF(D33&lt;&gt;"",IF(OR(COUNTIF(Einstellungen!$B$5:$B$16,"x")=0,INDEX(Einstellungen!$B$5:$B$16,MONTH(EOMONTH(D33,IF(E33="",3,E33)+21)))="x"),EOMONTH(D33,IF(E33="",3,E33)+21),""),"")</f>
        <v/>
      </c>
      <c r="AW33" s="16">
        <f>IF(D33&lt;&gt;"",IF(OR(COUNTIF(Einstellungen!$B$5:$B$16,"x")=0,INDEX(Einstellungen!$B$5:$B$16,MONTH(EOMONTH(D33,IF(E33="",3,E33)+22)))="x"),EOMONTH(D33,IF(E33="",3,E33)+22),""),"")</f>
        <v/>
      </c>
      <c r="AX33" s="16">
        <f>IF(D33&lt;&gt;"",IF(OR(COUNTIF(Einstellungen!$B$5:$B$16,"x")=0,INDEX(Einstellungen!$B$5:$B$16,MONTH(EOMONTH(D33,IF(E33="",3,E33)+23)))="x"),EOMONTH(D33,IF(E33="",3,E33)+23),""),"")</f>
        <v/>
      </c>
      <c r="AY33" s="16">
        <f>IF(AND(L33&lt;&gt;"",M33=""),L33,"")</f>
        <v/>
      </c>
      <c r="AZ33" s="16">
        <f>IF(AND(N33&lt;&gt;"",O33=""),N33,"")</f>
        <v/>
      </c>
      <c r="BA33" s="16">
        <f>IF(AND(P33&lt;&gt;"",Q33=""),P33,"")</f>
        <v/>
      </c>
      <c r="BB33" s="16">
        <f>IF(AND(R33&lt;&gt;"",S33=""),R33,"")</f>
        <v/>
      </c>
      <c r="BC33" s="16">
        <f>IF(AND(T33&lt;&gt;"",U33=""),T33,"")</f>
        <v/>
      </c>
    </row>
    <row r="34">
      <c r="A34" s="6" t="n"/>
      <c r="B34" s="6" t="n"/>
      <c r="C34" s="6" t="n"/>
      <c r="D34" s="7" t="n"/>
      <c r="E34" s="11" t="n"/>
      <c r="F34" s="7" t="n"/>
      <c r="G34" s="9">
        <f>IF(F34&lt;&gt;"",F34,IF(D34&lt;&gt;"",IF(COUNT(AA34:AX34)=0,"",MIN(AA34:AX34)),""))</f>
        <v/>
      </c>
      <c r="H34" s="12" t="n"/>
      <c r="I34" s="7" t="n"/>
      <c r="J34" s="13">
        <f>IF(OR(G34="",I34=""),"",MAX(0,I34-G34-1))</f>
        <v/>
      </c>
      <c r="K34" s="14">
        <f>IF(OR(J34="",H34=""),"",ROUND(H34*12/365*J34,2))</f>
        <v/>
      </c>
      <c r="L34" s="9">
        <f>IF(D34&lt;&gt;"",D34,"")</f>
        <v/>
      </c>
      <c r="M34" s="6" t="n"/>
      <c r="N34" s="9">
        <f>IF(G34="","",WORKDAY(G34,-10,Einstellungen!$D$5:$D$34))</f>
        <v/>
      </c>
      <c r="O34" s="6" t="n"/>
      <c r="P34" s="9">
        <f>IF(G34="","",WORKDAY(G34-1,1,Einstellungen!$D$5:$D$34))</f>
        <v/>
      </c>
      <c r="Q34" s="6" t="n"/>
      <c r="R34" s="9">
        <f>IF(P34="","",WORKDAY(P34,2,Einstellungen!$D$5:$D$34))</f>
        <v/>
      </c>
      <c r="S34" s="6" t="n"/>
      <c r="T34" s="9">
        <f>IF(G34="","",EDATE(G34,12))</f>
        <v/>
      </c>
      <c r="U34" s="6" t="n"/>
      <c r="V34" s="9">
        <f>IF(COUNT(AY34:BC34)=0,"",MIN(AY34:BC34))</f>
        <v/>
      </c>
      <c r="W34" s="13">
        <f>IF(V34="","",V34-$B$2)</f>
        <v/>
      </c>
      <c r="X34" s="15">
        <f>IF(C34="Vermieter","Amtliches Formular verwendet? Bei Familienwohnung an beide Ehegatten.",IF(C34="Ausserterminlich","Nachmieter zumutbar? Vereinbartes Ende eintragen.",IF(AND(G34&lt;&gt;"",I34=""),"Noch kein Nachmieter.","")))</f>
        <v/>
      </c>
      <c r="AA34" s="16">
        <f>IF(D34&lt;&gt;"",IF(OR(COUNTIF(Einstellungen!$B$5:$B$16,"x")=0,INDEX(Einstellungen!$B$5:$B$16,MONTH(EOMONTH(D34,IF(E34="",3,E34)+0)))="x"),EOMONTH(D34,IF(E34="",3,E34)+0),""),"")</f>
        <v/>
      </c>
      <c r="AB34" s="16">
        <f>IF(D34&lt;&gt;"",IF(OR(COUNTIF(Einstellungen!$B$5:$B$16,"x")=0,INDEX(Einstellungen!$B$5:$B$16,MONTH(EOMONTH(D34,IF(E34="",3,E34)+1)))="x"),EOMONTH(D34,IF(E34="",3,E34)+1),""),"")</f>
        <v/>
      </c>
      <c r="AC34" s="16">
        <f>IF(D34&lt;&gt;"",IF(OR(COUNTIF(Einstellungen!$B$5:$B$16,"x")=0,INDEX(Einstellungen!$B$5:$B$16,MONTH(EOMONTH(D34,IF(E34="",3,E34)+2)))="x"),EOMONTH(D34,IF(E34="",3,E34)+2),""),"")</f>
        <v/>
      </c>
      <c r="AD34" s="16">
        <f>IF(D34&lt;&gt;"",IF(OR(COUNTIF(Einstellungen!$B$5:$B$16,"x")=0,INDEX(Einstellungen!$B$5:$B$16,MONTH(EOMONTH(D34,IF(E34="",3,E34)+3)))="x"),EOMONTH(D34,IF(E34="",3,E34)+3),""),"")</f>
        <v/>
      </c>
      <c r="AE34" s="16">
        <f>IF(D34&lt;&gt;"",IF(OR(COUNTIF(Einstellungen!$B$5:$B$16,"x")=0,INDEX(Einstellungen!$B$5:$B$16,MONTH(EOMONTH(D34,IF(E34="",3,E34)+4)))="x"),EOMONTH(D34,IF(E34="",3,E34)+4),""),"")</f>
        <v/>
      </c>
      <c r="AF34" s="16">
        <f>IF(D34&lt;&gt;"",IF(OR(COUNTIF(Einstellungen!$B$5:$B$16,"x")=0,INDEX(Einstellungen!$B$5:$B$16,MONTH(EOMONTH(D34,IF(E34="",3,E34)+5)))="x"),EOMONTH(D34,IF(E34="",3,E34)+5),""),"")</f>
        <v/>
      </c>
      <c r="AG34" s="16">
        <f>IF(D34&lt;&gt;"",IF(OR(COUNTIF(Einstellungen!$B$5:$B$16,"x")=0,INDEX(Einstellungen!$B$5:$B$16,MONTH(EOMONTH(D34,IF(E34="",3,E34)+6)))="x"),EOMONTH(D34,IF(E34="",3,E34)+6),""),"")</f>
        <v/>
      </c>
      <c r="AH34" s="16">
        <f>IF(D34&lt;&gt;"",IF(OR(COUNTIF(Einstellungen!$B$5:$B$16,"x")=0,INDEX(Einstellungen!$B$5:$B$16,MONTH(EOMONTH(D34,IF(E34="",3,E34)+7)))="x"),EOMONTH(D34,IF(E34="",3,E34)+7),""),"")</f>
        <v/>
      </c>
      <c r="AI34" s="16">
        <f>IF(D34&lt;&gt;"",IF(OR(COUNTIF(Einstellungen!$B$5:$B$16,"x")=0,INDEX(Einstellungen!$B$5:$B$16,MONTH(EOMONTH(D34,IF(E34="",3,E34)+8)))="x"),EOMONTH(D34,IF(E34="",3,E34)+8),""),"")</f>
        <v/>
      </c>
      <c r="AJ34" s="16">
        <f>IF(D34&lt;&gt;"",IF(OR(COUNTIF(Einstellungen!$B$5:$B$16,"x")=0,INDEX(Einstellungen!$B$5:$B$16,MONTH(EOMONTH(D34,IF(E34="",3,E34)+9)))="x"),EOMONTH(D34,IF(E34="",3,E34)+9),""),"")</f>
        <v/>
      </c>
      <c r="AK34" s="16">
        <f>IF(D34&lt;&gt;"",IF(OR(COUNTIF(Einstellungen!$B$5:$B$16,"x")=0,INDEX(Einstellungen!$B$5:$B$16,MONTH(EOMONTH(D34,IF(E34="",3,E34)+10)))="x"),EOMONTH(D34,IF(E34="",3,E34)+10),""),"")</f>
        <v/>
      </c>
      <c r="AL34" s="16">
        <f>IF(D34&lt;&gt;"",IF(OR(COUNTIF(Einstellungen!$B$5:$B$16,"x")=0,INDEX(Einstellungen!$B$5:$B$16,MONTH(EOMONTH(D34,IF(E34="",3,E34)+11)))="x"),EOMONTH(D34,IF(E34="",3,E34)+11),""),"")</f>
        <v/>
      </c>
      <c r="AM34" s="16">
        <f>IF(D34&lt;&gt;"",IF(OR(COUNTIF(Einstellungen!$B$5:$B$16,"x")=0,INDEX(Einstellungen!$B$5:$B$16,MONTH(EOMONTH(D34,IF(E34="",3,E34)+12)))="x"),EOMONTH(D34,IF(E34="",3,E34)+12),""),"")</f>
        <v/>
      </c>
      <c r="AN34" s="16">
        <f>IF(D34&lt;&gt;"",IF(OR(COUNTIF(Einstellungen!$B$5:$B$16,"x")=0,INDEX(Einstellungen!$B$5:$B$16,MONTH(EOMONTH(D34,IF(E34="",3,E34)+13)))="x"),EOMONTH(D34,IF(E34="",3,E34)+13),""),"")</f>
        <v/>
      </c>
      <c r="AO34" s="16">
        <f>IF(D34&lt;&gt;"",IF(OR(COUNTIF(Einstellungen!$B$5:$B$16,"x")=0,INDEX(Einstellungen!$B$5:$B$16,MONTH(EOMONTH(D34,IF(E34="",3,E34)+14)))="x"),EOMONTH(D34,IF(E34="",3,E34)+14),""),"")</f>
        <v/>
      </c>
      <c r="AP34" s="16">
        <f>IF(D34&lt;&gt;"",IF(OR(COUNTIF(Einstellungen!$B$5:$B$16,"x")=0,INDEX(Einstellungen!$B$5:$B$16,MONTH(EOMONTH(D34,IF(E34="",3,E34)+15)))="x"),EOMONTH(D34,IF(E34="",3,E34)+15),""),"")</f>
        <v/>
      </c>
      <c r="AQ34" s="16">
        <f>IF(D34&lt;&gt;"",IF(OR(COUNTIF(Einstellungen!$B$5:$B$16,"x")=0,INDEX(Einstellungen!$B$5:$B$16,MONTH(EOMONTH(D34,IF(E34="",3,E34)+16)))="x"),EOMONTH(D34,IF(E34="",3,E34)+16),""),"")</f>
        <v/>
      </c>
      <c r="AR34" s="16">
        <f>IF(D34&lt;&gt;"",IF(OR(COUNTIF(Einstellungen!$B$5:$B$16,"x")=0,INDEX(Einstellungen!$B$5:$B$16,MONTH(EOMONTH(D34,IF(E34="",3,E34)+17)))="x"),EOMONTH(D34,IF(E34="",3,E34)+17),""),"")</f>
        <v/>
      </c>
      <c r="AS34" s="16">
        <f>IF(D34&lt;&gt;"",IF(OR(COUNTIF(Einstellungen!$B$5:$B$16,"x")=0,INDEX(Einstellungen!$B$5:$B$16,MONTH(EOMONTH(D34,IF(E34="",3,E34)+18)))="x"),EOMONTH(D34,IF(E34="",3,E34)+18),""),"")</f>
        <v/>
      </c>
      <c r="AT34" s="16">
        <f>IF(D34&lt;&gt;"",IF(OR(COUNTIF(Einstellungen!$B$5:$B$16,"x")=0,INDEX(Einstellungen!$B$5:$B$16,MONTH(EOMONTH(D34,IF(E34="",3,E34)+19)))="x"),EOMONTH(D34,IF(E34="",3,E34)+19),""),"")</f>
        <v/>
      </c>
      <c r="AU34" s="16">
        <f>IF(D34&lt;&gt;"",IF(OR(COUNTIF(Einstellungen!$B$5:$B$16,"x")=0,INDEX(Einstellungen!$B$5:$B$16,MONTH(EOMONTH(D34,IF(E34="",3,E34)+20)))="x"),EOMONTH(D34,IF(E34="",3,E34)+20),""),"")</f>
        <v/>
      </c>
      <c r="AV34" s="16">
        <f>IF(D34&lt;&gt;"",IF(OR(COUNTIF(Einstellungen!$B$5:$B$16,"x")=0,INDEX(Einstellungen!$B$5:$B$16,MONTH(EOMONTH(D34,IF(E34="",3,E34)+21)))="x"),EOMONTH(D34,IF(E34="",3,E34)+21),""),"")</f>
        <v/>
      </c>
      <c r="AW34" s="16">
        <f>IF(D34&lt;&gt;"",IF(OR(COUNTIF(Einstellungen!$B$5:$B$16,"x")=0,INDEX(Einstellungen!$B$5:$B$16,MONTH(EOMONTH(D34,IF(E34="",3,E34)+22)))="x"),EOMONTH(D34,IF(E34="",3,E34)+22),""),"")</f>
        <v/>
      </c>
      <c r="AX34" s="16">
        <f>IF(D34&lt;&gt;"",IF(OR(COUNTIF(Einstellungen!$B$5:$B$16,"x")=0,INDEX(Einstellungen!$B$5:$B$16,MONTH(EOMONTH(D34,IF(E34="",3,E34)+23)))="x"),EOMONTH(D34,IF(E34="",3,E34)+23),""),"")</f>
        <v/>
      </c>
      <c r="AY34" s="16">
        <f>IF(AND(L34&lt;&gt;"",M34=""),L34,"")</f>
        <v/>
      </c>
      <c r="AZ34" s="16">
        <f>IF(AND(N34&lt;&gt;"",O34=""),N34,"")</f>
        <v/>
      </c>
      <c r="BA34" s="16">
        <f>IF(AND(P34&lt;&gt;"",Q34=""),P34,"")</f>
        <v/>
      </c>
      <c r="BB34" s="16">
        <f>IF(AND(R34&lt;&gt;"",S34=""),R34,"")</f>
        <v/>
      </c>
      <c r="BC34" s="16">
        <f>IF(AND(T34&lt;&gt;"",U34=""),T34,"")</f>
        <v/>
      </c>
    </row>
    <row r="35">
      <c r="J35" s="17" t="inlineStr">
        <is>
          <t>Total</t>
        </is>
      </c>
      <c r="K35" s="14">
        <f>SUM(K5:K34)</f>
        <v/>
      </c>
    </row>
  </sheetData>
  <sheetProtection selectLockedCells="0" selectUnlockedCells="0" sheet="1" objects="0" insertRows="1" insertHyperlinks="1" autoFilter="1" scenarios="0" formatColumns="0" deleteColumns="1" insertColumns="1" pivotTables="1" deleteRows="1" formatCells="1" formatRows="1" sort="1"/>
  <conditionalFormatting sqref="V5:W34">
    <cfRule type="expression" priority="1" dxfId="0">
      <formula>AND($W5&lt;&gt;"",$W5&lt;0)</formula>
    </cfRule>
    <cfRule type="expression" priority="2" dxfId="1">
      <formula>AND($W5&lt;&gt;"",$W5&gt;=0,$W5&lt;=7)</formula>
    </cfRule>
  </conditionalFormatting>
  <dataValidations count="2">
    <dataValidation sqref="C5 C6 C7 C8 C9 C10 C11 C12 C13 C14 C15 C16 C17 C18 C19 C20 C21 C22 C23 C24 C25 C26 C27 C28 C29 C30 C31 C32 C33 C34" showDropDown="0" showInputMessage="0" showErrorMessage="0" allowBlank="1" type="list">
      <formula1>"Mieter,Vermieter,Ausserterminlich"</formula1>
    </dataValidation>
    <dataValidation sqref="M5 M6 M7 M8 M9 M10 M11 M12 M13 M14 M15 M16 M17 M18 M19 M20 M21 M22 M23 M24 M25 M26 M27 M28 M29 M30 M31 M32 M33 M34 O5 O6 O7 O8 O9 O10 O11 O12 O13 O14 O15 O16 O17 O18 O19 O20 O21 O22 O23 O24 O25 O26 O27 O28 O29 O30 O31 O32 O33 O34 Q5 Q6 Q7 Q8 Q9 Q10 Q11 Q12 Q13 Q14 Q15 Q16 Q17 Q18 Q19 Q20 Q21 Q22 Q23 Q24 Q25 Q26 Q27 Q28 Q29 Q30 Q31 Q32 Q33 Q34 S5 S6 S7 S8 S9 S10 S11 S12 S13 S14 S15 S16 S17 S18 S19 S20 S21 S22 S23 S24 S25 S26 S27 S28 S29 S30 S31 S32 S33 S34 U5 U6 U7 U8 U9 U10 U11 U12 U13 U14 U15 U16 U17 U18 U19 U20 U21 U22 U23 U24 U25 U26 U27 U28 U29 U30 U31 U32 U33 U34" showDropDown="0" showInputMessage="0" showErrorMessage="0" allowBlank="1"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2026-10-06T21:58:47Z</dcterms:created>
  <dcterms:modified xmlns:dcterms="http://purl.org/dc/terms/" xmlns:xsi="http://www.w3.org/2001/XMLSchema-instance" xsi:type="dcterms:W3CDTF">2026-10-06T21:58:47Z</dcterms:modified>
</cp:coreProperties>
</file>