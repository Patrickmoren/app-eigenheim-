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Mein Haus" sheetId="2" state="visible" r:id="rId2"/>
    <sheet xmlns:r="http://schemas.openxmlformats.org/officeDocument/2006/relationships" name="Mieterwechsel" sheetId="3" state="visible" r:id="rId3"/>
    <sheet xmlns:r="http://schemas.openxmlformats.org/officeDocument/2006/relationships" name="Checkliste" sheetId="4" state="visible" r:id="rId4"/>
    <sheet xmlns:r="http://schemas.openxmlformats.org/officeDocument/2006/relationships" name="Rückgabe" sheetId="5" state="visible" r:id="rId5"/>
    <sheet xmlns:r="http://schemas.openxmlformats.org/officeDocument/2006/relationships" name="Protokoll" sheetId="6" state="visible" r:id="rId6"/>
    <sheet xmlns:r="http://schemas.openxmlformats.org/officeDocument/2006/relationships" name="Kautionsabrechnung" sheetId="7" state="visible" r:id="rId7"/>
    <sheet xmlns:r="http://schemas.openxmlformats.org/officeDocument/2006/relationships" name="Freigabe Kaution" sheetId="8" state="visible" r:id="rId8"/>
    <sheet xmlns:r="http://schemas.openxmlformats.org/officeDocument/2006/relationships" name="Nebenkosten" sheetId="9" state="visible" r:id="rId9"/>
    <sheet xmlns:r="http://schemas.openxmlformats.org/officeDocument/2006/relationships" name="NK Verteilung" sheetId="10" state="visible" r:id="rId10"/>
    <sheet xmlns:r="http://schemas.openxmlformats.org/officeDocument/2006/relationships" name="NK Abrechnung" sheetId="11" state="visible" r:id="rId11"/>
    <sheet xmlns:r="http://schemas.openxmlformats.org/officeDocument/2006/relationships" name="Mietzins" sheetId="12" state="visible" r:id="rId12"/>
    <sheet xmlns:r="http://schemas.openxmlformats.org/officeDocument/2006/relationships" name="Einstellungen" sheetId="13" state="visible" r:id="rId13"/>
    <sheet xmlns:r="http://schemas.openxmlformats.org/officeDocument/2006/relationships" name="Kontrolle" sheetId="14" state="visible" r:id="rId14"/>
  </sheets>
  <definedNames>
    <definedName name="_xlnm.Print_Area" localSheetId="0">'Start'!$A$1:$D$30</definedName>
    <definedName name="_xlnm.Print_Area" localSheetId="3">'Checkliste'!$A$1:$D$20</definedName>
    <definedName name="_xlnm.Print_Area" localSheetId="5">'Protokoll'!$A$1:$D$49</definedName>
    <definedName name="_xlnm.Print_Area" localSheetId="6">'Kautionsabrechnung'!$A$1:$H$53</definedName>
    <definedName name="_xlnm.Print_Area" localSheetId="7">'Freigabe Kaution'!$A$1:$C$24</definedName>
    <definedName name="_xlnm.Print_Area" localSheetId="10">'NK Abrechnung'!$A$1:$H$42</definedName>
    <definedName name="_xlnm.Print_Area" localSheetId="11">'Mietzins'!$A$1:$C$47</definedName>
  </definedNames>
  <calcPr calcId="124519" fullCalcOnLoad="1"/>
</workbook>
</file>

<file path=xl/styles.xml><?xml version="1.0" encoding="utf-8"?>
<styleSheet xmlns="http://schemas.openxmlformats.org/spreadsheetml/2006/main">
  <numFmts count="6">
    <numFmt numFmtId="164" formatCode="0.0"/>
    <numFmt numFmtId="165" formatCode="DD.MM.YYYY"/>
    <numFmt numFmtId="166" formatCode="yyyy-mm-dd"/>
    <numFmt numFmtId="167" formatCode="0.0000"/>
    <numFmt numFmtId="168" formatCode="0.##"/>
    <numFmt numFmtId="169" formatCode="0.0%"/>
  </numFmts>
  <fonts count="22">
    <font>
      <name val="Calibri"/>
      <family val="2"/>
      <color theme="1"/>
      <sz val="11"/>
      <scheme val="minor"/>
    </font>
    <font>
      <name val="Arial"/>
      <b val="1"/>
      <color rgb="001F4E79"/>
      <sz val="16"/>
    </font>
    <font>
      <name val="Arial"/>
      <i val="1"/>
      <color rgb="00555555"/>
      <sz val="9"/>
    </font>
    <font>
      <name val="Arial"/>
      <b val="1"/>
      <color rgb="001A1A1A"/>
      <sz val="10"/>
    </font>
    <font>
      <name val="Arial"/>
      <color rgb="001A1A1A"/>
      <sz val="10"/>
    </font>
    <font>
      <name val="Arial"/>
      <b val="1"/>
      <color rgb="001F4E79"/>
      <sz val="12"/>
    </font>
    <font>
      <name val="Arial"/>
      <b val="1"/>
      <color rgb="00FFFFFF"/>
      <sz val="9"/>
    </font>
    <font>
      <name val="Arial"/>
      <color rgb="00333333"/>
      <sz val="9"/>
    </font>
    <font>
      <name val="Arial"/>
      <color rgb="00888888"/>
      <sz val="7"/>
    </font>
    <font>
      <name val="Arial"/>
      <i val="1"/>
      <color rgb="001A1A1A"/>
      <sz val="9"/>
    </font>
    <font>
      <name val="Arial"/>
      <color rgb="001A1A1A"/>
      <sz val="9"/>
    </font>
    <font>
      <name val="Arial"/>
      <b val="1"/>
      <color rgb="001F4E79"/>
      <sz val="11"/>
    </font>
    <font>
      <name val="Arial"/>
      <i val="1"/>
      <color rgb="00555555"/>
      <sz val="8"/>
    </font>
    <font>
      <name val="Arial"/>
      <i val="1"/>
      <color rgb="001A1A1A"/>
      <sz val="8"/>
    </font>
    <font>
      <name val="Arial"/>
      <b val="1"/>
      <color rgb="001F4E79"/>
      <sz val="15"/>
    </font>
    <font>
      <name val="Arial"/>
      <b val="1"/>
      <color rgb="001A1A1A"/>
      <sz val="11"/>
    </font>
    <font>
      <name val="Arial"/>
      <b val="1"/>
      <color rgb="001A1A1A"/>
      <sz val="9"/>
    </font>
    <font>
      <name val="Arial"/>
      <color rgb="00555555"/>
      <sz val="9"/>
    </font>
    <font>
      <name val="Arial"/>
      <b val="1"/>
      <color rgb="001A1A1A"/>
      <sz val="12"/>
    </font>
    <font>
      <name val="Arial"/>
      <b val="1"/>
      <color rgb="001F4E79"/>
      <sz val="20"/>
    </font>
    <font>
      <name val="Arial"/>
      <i val="1"/>
      <color rgb="00555555"/>
      <sz val="10"/>
    </font>
    <font>
      <name val="Arial"/>
      <b val="1"/>
      <color rgb="001F4E79"/>
      <sz val="11"/>
      <u val="single"/>
    </font>
  </fonts>
  <fills count="5">
    <fill>
      <patternFill/>
    </fill>
    <fill>
      <patternFill patternType="gray125"/>
    </fill>
    <fill>
      <patternFill patternType="solid">
        <fgColor rgb="00FFF8DC"/>
      </patternFill>
    </fill>
    <fill>
      <patternFill patternType="solid">
        <fgColor rgb="001F4E79"/>
      </patternFill>
    </fill>
    <fill>
      <patternFill patternType="solid">
        <fgColor rgb="00EAF1F8"/>
      </patternFill>
    </fill>
  </fills>
  <borders count="5">
    <border>
      <left/>
      <right/>
      <top/>
      <bottom/>
      <diagonal/>
    </border>
    <border>
      <left style="thin">
        <color rgb="00BFC9D3"/>
      </left>
      <right style="thin">
        <color rgb="00BFC9D3"/>
      </right>
      <top style="thin">
        <color rgb="00BFC9D3"/>
      </top>
      <bottom style="thin">
        <color rgb="00BFC9D3"/>
      </bottom>
    </border>
    <border>
      <left/>
      <right/>
      <top style="thin">
        <color rgb="00BFC9D3"/>
      </top>
      <bottom/>
      <diagonal/>
    </border>
    <border>
      <left/>
      <right style="thin">
        <color rgb="00BFC9D3"/>
      </right>
      <top style="thin">
        <color rgb="00BFC9D3"/>
      </top>
      <bottom/>
      <diagonal/>
    </border>
    <border>
      <left/>
      <right style="thin">
        <color rgb="00BFC9D3"/>
      </right>
      <top style="thin">
        <color rgb="00BFC9D3"/>
      </top>
      <bottom style="thin">
        <color rgb="00BFC9D3"/>
      </bottom>
      <diagonal/>
    </border>
  </borders>
  <cellStyleXfs count="1">
    <xf numFmtId="0" fontId="0" fillId="0" borderId="0"/>
  </cellStyleXfs>
  <cellXfs count="62">
    <xf numFmtId="0" fontId="0" fillId="0" borderId="0" pivotButton="0" quotePrefix="0" xfId="0"/>
    <xf numFmtId="0" fontId="19" fillId="0" borderId="0" pivotButton="0" quotePrefix="0" xfId="0"/>
    <xf numFmtId="0" fontId="20" fillId="0" borderId="0" pivotButton="0" quotePrefix="0" xfId="0"/>
    <xf numFmtId="0" fontId="5" fillId="0" borderId="0" pivotButton="0" quotePrefix="0" xfId="0"/>
    <xf numFmtId="0" fontId="21" fillId="0" borderId="0" pivotButton="0" quotePrefix="0" xfId="0"/>
    <xf numFmtId="0" fontId="4" fillId="0" borderId="0" pivotButton="0" quotePrefix="0" xfId="0"/>
    <xf numFmtId="0" fontId="6" fillId="3" borderId="1" applyAlignment="1" pivotButton="0" quotePrefix="0" xfId="0">
      <alignment vertical="center" wrapText="1"/>
    </xf>
    <xf numFmtId="165" fontId="4" fillId="0" borderId="1" applyAlignment="1" pivotButton="0" quotePrefix="0" xfId="0">
      <alignment horizontal="left"/>
    </xf>
    <xf numFmtId="0" fontId="4" fillId="0" borderId="1" applyAlignment="1" pivotButton="0" quotePrefix="0" xfId="0">
      <alignment horizontal="left"/>
    </xf>
    <xf numFmtId="1" fontId="4" fillId="0" borderId="1" applyAlignment="1" pivotButton="0" quotePrefix="0" xfId="0">
      <alignment horizontal="left"/>
    </xf>
    <xf numFmtId="1" fontId="4" fillId="4" borderId="1" pivotButton="0" quotePrefix="0" xfId="0"/>
    <xf numFmtId="4" fontId="4" fillId="4" borderId="1" pivotButton="0" quotePrefix="0" xfId="0"/>
    <xf numFmtId="0" fontId="3" fillId="4" borderId="1" pivotButton="0" quotePrefix="0" xfId="0"/>
    <xf numFmtId="0" fontId="2" fillId="0" borderId="0" pivotButton="0" quotePrefix="0" xfId="0"/>
    <xf numFmtId="0" fontId="1" fillId="0" borderId="0" pivotButton="0" quotePrefix="0" xfId="0"/>
    <xf numFmtId="0" fontId="3" fillId="0" borderId="0" pivotButton="0" quotePrefix="0" xfId="0"/>
    <xf numFmtId="0" fontId="4" fillId="2" borderId="1" applyProtection="1" pivotButton="0" quotePrefix="0" xfId="0">
      <protection locked="0" hidden="0"/>
    </xf>
    <xf numFmtId="164" fontId="4" fillId="2" borderId="1" applyProtection="1" pivotButton="0" quotePrefix="0" xfId="0">
      <protection locked="0" hidden="0"/>
    </xf>
    <xf numFmtId="2" fontId="4" fillId="2" borderId="1" applyProtection="1" pivotButton="0" quotePrefix="0" xfId="0">
      <protection locked="0" hidden="0"/>
    </xf>
    <xf numFmtId="2" fontId="4" fillId="4" borderId="1" pivotButton="0" quotePrefix="0" xfId="0"/>
    <xf numFmtId="165" fontId="4" fillId="2" borderId="1" applyProtection="1" pivotButton="0" quotePrefix="0" xfId="0">
      <protection locked="0" hidden="0"/>
    </xf>
    <xf numFmtId="165" fontId="4" fillId="4" borderId="1" pivotButton="0" quotePrefix="0" xfId="0"/>
    <xf numFmtId="4" fontId="4" fillId="2" borderId="1" applyProtection="1" pivotButton="0" quotePrefix="0" xfId="0">
      <protection locked="0" hidden="0"/>
    </xf>
    <xf numFmtId="0" fontId="4" fillId="4" borderId="1" pivotButton="0" quotePrefix="0" xfId="0"/>
    <xf numFmtId="0" fontId="7" fillId="0" borderId="0" pivotButton="0" quotePrefix="0" xfId="0"/>
    <xf numFmtId="0" fontId="8" fillId="0" borderId="0" pivotButton="0" quotePrefix="0" xfId="0"/>
    <xf numFmtId="1" fontId="4" fillId="2" borderId="1" applyProtection="1" pivotButton="0" quotePrefix="0" xfId="0">
      <protection locked="0" hidden="0"/>
    </xf>
    <xf numFmtId="0" fontId="9" fillId="0" borderId="0" pivotButton="0" quotePrefix="0" xfId="0"/>
    <xf numFmtId="165" fontId="4" fillId="0" borderId="0" applyAlignment="1" pivotButton="0" quotePrefix="0" xfId="0">
      <alignment horizontal="left"/>
    </xf>
    <xf numFmtId="0" fontId="3" fillId="0" borderId="1" pivotButton="0" quotePrefix="0" xfId="0"/>
    <xf numFmtId="165" fontId="10" fillId="0" borderId="1" pivotButton="0" quotePrefix="0" xfId="0"/>
    <xf numFmtId="0" fontId="10" fillId="0" borderId="1" pivotButton="0" quotePrefix="0" xfId="0"/>
    <xf numFmtId="0" fontId="10" fillId="0" borderId="1" applyAlignment="1" pivotButton="0" quotePrefix="0" xfId="0">
      <alignment vertical="top" wrapText="1"/>
    </xf>
    <xf numFmtId="4" fontId="3" fillId="4" borderId="1" pivotButton="0" quotePrefix="0" xfId="0"/>
    <xf numFmtId="0" fontId="11" fillId="0" borderId="0" pivotButton="0" quotePrefix="0" xfId="0"/>
    <xf numFmtId="164" fontId="4" fillId="4" borderId="1" pivotButton="0" quotePrefix="0" xfId="0"/>
    <xf numFmtId="9" fontId="4" fillId="4" borderId="1" pivotButton="0" quotePrefix="0" xfId="0"/>
    <xf numFmtId="0" fontId="12" fillId="0" borderId="0" pivotButton="0" quotePrefix="0" xfId="0"/>
    <xf numFmtId="0" fontId="13" fillId="0" borderId="0" pivotButton="0" quotePrefix="0" xfId="0"/>
    <xf numFmtId="0" fontId="14" fillId="0" borderId="0" pivotButton="0" quotePrefix="0" xfId="0"/>
    <xf numFmtId="0" fontId="10" fillId="0" borderId="0" pivotButton="0" quotePrefix="0" xfId="0"/>
    <xf numFmtId="4" fontId="10" fillId="0" borderId="0" pivotButton="0" quotePrefix="0" xfId="0"/>
    <xf numFmtId="164" fontId="10" fillId="0" borderId="0" pivotButton="0" quotePrefix="0" xfId="0"/>
    <xf numFmtId="1" fontId="10" fillId="0" borderId="0" pivotButton="0" quotePrefix="0" xfId="0"/>
    <xf numFmtId="9" fontId="10" fillId="0" borderId="0" pivotButton="0" quotePrefix="0" xfId="0"/>
    <xf numFmtId="4" fontId="4" fillId="0" borderId="0" pivotButton="0" quotePrefix="0" xfId="0"/>
    <xf numFmtId="4" fontId="3" fillId="0" borderId="0" pivotButton="0" quotePrefix="0" xfId="0"/>
    <xf numFmtId="4" fontId="15" fillId="0" borderId="0" pivotButton="0" quotePrefix="0" xfId="0"/>
    <xf numFmtId="0" fontId="4" fillId="4" borderId="1" applyAlignment="1" pivotButton="0" quotePrefix="0" xfId="0">
      <alignment vertical="bottom" wrapText="1"/>
    </xf>
    <xf numFmtId="167" fontId="4" fillId="4" borderId="1" pivotButton="0" quotePrefix="0" xfId="0"/>
    <xf numFmtId="168" fontId="10" fillId="0" borderId="0" pivotButton="0" quotePrefix="0" xfId="0"/>
    <xf numFmtId="169" fontId="10" fillId="0" borderId="0" pivotButton="0" quotePrefix="0" xfId="0"/>
    <xf numFmtId="0" fontId="15" fillId="0" borderId="0" pivotButton="0" quotePrefix="0" xfId="0"/>
    <xf numFmtId="10" fontId="4" fillId="4" borderId="1" pivotButton="0" quotePrefix="0" xfId="0"/>
    <xf numFmtId="10" fontId="3" fillId="4" borderId="1" pivotButton="0" quotePrefix="0" xfId="0"/>
    <xf numFmtId="0" fontId="0" fillId="0" borderId="4" pivotButton="0" quotePrefix="0" xfId="0"/>
    <xf numFmtId="165" fontId="8" fillId="0" borderId="0" pivotButton="0" quotePrefix="0" xfId="0"/>
    <xf numFmtId="0" fontId="16" fillId="0" borderId="0" applyAlignment="1" pivotButton="0" quotePrefix="0" xfId="0">
      <alignment vertical="top" wrapText="1"/>
    </xf>
    <xf numFmtId="0" fontId="9" fillId="0" borderId="0" applyAlignment="1" pivotButton="0" quotePrefix="0" xfId="0">
      <alignment vertical="top" wrapText="1"/>
    </xf>
    <xf numFmtId="168" fontId="4" fillId="4" borderId="1" pivotButton="0" quotePrefix="0" xfId="0"/>
    <xf numFmtId="0" fontId="17" fillId="0" borderId="0" pivotButton="0" quotePrefix="0" xfId="0"/>
    <xf numFmtId="0" fontId="18" fillId="0" borderId="0" pivotButton="0" quotePrefix="0" xfId="0"/>
  </cellXfs>
  <cellStyles count="1">
    <cellStyle name="Normal" xfId="0" builtinId="0" hidden="0"/>
  </cellStyles>
  <dxfs count="3">
    <dxf>
      <fill>
        <patternFill patternType="solid">
          <fgColor rgb="00F8CBAD"/>
        </patternFill>
      </fill>
    </dxf>
    <dxf>
      <fill>
        <patternFill patternType="solid">
          <fgColor rgb="00FFE699"/>
        </patternFill>
      </fill>
    </dxf>
    <dxf>
      <fill>
        <patternFill patternType="solid">
          <f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30"/>
  <sheetViews>
    <sheetView workbookViewId="0">
      <selection activeCell="A1" sqref="A1"/>
    </sheetView>
  </sheetViews>
  <sheetFormatPr baseColWidth="8" defaultRowHeight="15"/>
  <cols>
    <col width="34" customWidth="1" min="1" max="1"/>
    <col width="48" customWidth="1" min="2" max="2"/>
    <col width="40" customWidth="1" min="3" max="3"/>
    <col width="8" customWidth="1" min="4" max="4"/>
  </cols>
  <sheetData>
    <row r="1">
      <c r="A1" s="1" t="inlineStr">
        <is>
          <t>Vermieter-Ordner Schweiz</t>
        </is>
      </c>
    </row>
    <row r="2">
      <c r="A2" s="2" t="inlineStr">
        <is>
          <t>Die wichtigsten Aufgaben einer privaten Mietliegenschaft – nach Schweizer Mietrecht, ohne Abo, ohne Makros.</t>
        </is>
      </c>
    </row>
    <row r="4">
      <c r="A4" s="3" t="inlineStr">
        <is>
          <t>So arbeiten Sie</t>
        </is>
      </c>
    </row>
    <row r="5">
      <c r="A5" s="4" t="inlineStr">
        <is>
          <t>1 · Mein Haus</t>
        </is>
      </c>
      <c r="B5" s="5" t="inlineStr">
        <is>
          <t>Wohnungen und Mieter einmal erfassen</t>
        </is>
      </c>
    </row>
    <row r="6">
      <c r="A6" s="4" t="inlineStr">
        <is>
          <t>2 · Mieterwechsel</t>
        </is>
      </c>
      <c r="B6" s="5" t="inlineStr">
        <is>
          <t>Kündigung → Mietende und zehn Schritte mit Datum</t>
        </is>
      </c>
    </row>
    <row r="7">
      <c r="A7" s="4" t="inlineStr">
        <is>
          <t>3 · Rückgabe</t>
        </is>
      </c>
      <c r="B7" s="5" t="inlineStr">
        <is>
          <t>Protokoll, Schaden nach Lebensdauer, Kaution</t>
        </is>
      </c>
    </row>
    <row r="8">
      <c r="A8" s="4" t="inlineStr">
        <is>
          <t>4 · Nebenkosten</t>
        </is>
      </c>
      <c r="B8" s="5" t="inlineStr">
        <is>
          <t>Kosten verteilen, Abrechnung pro Mieter</t>
        </is>
      </c>
    </row>
    <row r="9">
      <c r="A9" s="4" t="inlineStr">
        <is>
          <t>5 · Mietzins</t>
        </is>
      </c>
      <c r="B9" s="5" t="inlineStr">
        <is>
          <t>Referenzzins, Teuerung, Kostensteigerung</t>
        </is>
      </c>
    </row>
    <row r="10">
      <c r="A10" s="4" t="inlineStr">
        <is>
          <t>6 · Kontrolle</t>
        </is>
      </c>
      <c r="B10" s="5" t="inlineStr">
        <is>
          <t>Alles plausibel? Hier steht es.</t>
        </is>
      </c>
    </row>
    <row r="12">
      <c r="A12" s="3" t="inlineStr">
        <is>
          <t>Was steht an?</t>
        </is>
      </c>
    </row>
    <row r="13">
      <c r="A13" s="6" t="inlineStr">
        <is>
          <t>Datum</t>
        </is>
      </c>
      <c r="B13" s="6" t="inlineStr">
        <is>
          <t>Mieter</t>
        </is>
      </c>
      <c r="C13" s="6" t="inlineStr">
        <is>
          <t>Schritt</t>
        </is>
      </c>
      <c r="D13" s="6" t="inlineStr">
        <is>
          <t>Tage</t>
        </is>
      </c>
    </row>
    <row r="14">
      <c r="A14" s="7">
        <f>IFERROR(INT(SMALL(Mieterwechsel!$BS$9:$BS$28,1)),"")</f>
        <v/>
      </c>
      <c r="B14" s="8">
        <f>IFERROR(INDEX(Mieterwechsel!$B$9:$B$28,MATCH(SMALL(Mieterwechsel!$BS$9:$BS$28,1),Mieterwechsel!$BS$9:$BS$28,0)),"")</f>
        <v/>
      </c>
      <c r="C14" s="8">
        <f>IFERROR(INDEX(Mieterwechsel!$AH$9:$AH$28,MATCH(SMALL(Mieterwechsel!$BS$9:$BS$28,1),Mieterwechsel!$BS$9:$BS$28,0)),"")</f>
        <v/>
      </c>
      <c r="D14" s="9">
        <f>IFERROR(INT(SMALL(Mieterwechsel!$BS$9:$BS$28,1))-TODAY(),"")</f>
        <v/>
      </c>
    </row>
    <row r="15">
      <c r="A15" s="7">
        <f>IFERROR(INT(SMALL(Mieterwechsel!$BS$9:$BS$28,2)),"")</f>
        <v/>
      </c>
      <c r="B15" s="8">
        <f>IFERROR(INDEX(Mieterwechsel!$B$9:$B$28,MATCH(SMALL(Mieterwechsel!$BS$9:$BS$28,2),Mieterwechsel!$BS$9:$BS$28,0)),"")</f>
        <v/>
      </c>
      <c r="C15" s="8">
        <f>IFERROR(INDEX(Mieterwechsel!$AH$9:$AH$28,MATCH(SMALL(Mieterwechsel!$BS$9:$BS$28,2),Mieterwechsel!$BS$9:$BS$28,0)),"")</f>
        <v/>
      </c>
      <c r="D15" s="9">
        <f>IFERROR(INT(SMALL(Mieterwechsel!$BS$9:$BS$28,2))-TODAY(),"")</f>
        <v/>
      </c>
    </row>
    <row r="16">
      <c r="A16" s="7">
        <f>IFERROR(INT(SMALL(Mieterwechsel!$BS$9:$BS$28,3)),"")</f>
        <v/>
      </c>
      <c r="B16" s="8">
        <f>IFERROR(INDEX(Mieterwechsel!$B$9:$B$28,MATCH(SMALL(Mieterwechsel!$BS$9:$BS$28,3),Mieterwechsel!$BS$9:$BS$28,0)),"")</f>
        <v/>
      </c>
      <c r="C16" s="8">
        <f>IFERROR(INDEX(Mieterwechsel!$AH$9:$AH$28,MATCH(SMALL(Mieterwechsel!$BS$9:$BS$28,3),Mieterwechsel!$BS$9:$BS$28,0)),"")</f>
        <v/>
      </c>
      <c r="D16" s="9">
        <f>IFERROR(INT(SMALL(Mieterwechsel!$BS$9:$BS$28,3))-TODAY(),"")</f>
        <v/>
      </c>
    </row>
    <row r="17">
      <c r="A17" s="7">
        <f>IFERROR(INT(SMALL(Mieterwechsel!$BS$9:$BS$28,4)),"")</f>
        <v/>
      </c>
      <c r="B17" s="8">
        <f>IFERROR(INDEX(Mieterwechsel!$B$9:$B$28,MATCH(SMALL(Mieterwechsel!$BS$9:$BS$28,4),Mieterwechsel!$BS$9:$BS$28,0)),"")</f>
        <v/>
      </c>
      <c r="C17" s="8">
        <f>IFERROR(INDEX(Mieterwechsel!$AH$9:$AH$28,MATCH(SMALL(Mieterwechsel!$BS$9:$BS$28,4),Mieterwechsel!$BS$9:$BS$28,0)),"")</f>
        <v/>
      </c>
      <c r="D17" s="9">
        <f>IFERROR(INT(SMALL(Mieterwechsel!$BS$9:$BS$28,4))-TODAY(),"")</f>
        <v/>
      </c>
    </row>
    <row r="18">
      <c r="A18" s="7">
        <f>IFERROR(INT(SMALL(Mieterwechsel!$BS$9:$BS$28,5)),"")</f>
        <v/>
      </c>
      <c r="B18" s="8">
        <f>IFERROR(INDEX(Mieterwechsel!$B$9:$B$28,MATCH(SMALL(Mieterwechsel!$BS$9:$BS$28,5),Mieterwechsel!$BS$9:$BS$28,0)),"")</f>
        <v/>
      </c>
      <c r="C18" s="8">
        <f>IFERROR(INDEX(Mieterwechsel!$AH$9:$AH$28,MATCH(SMALL(Mieterwechsel!$BS$9:$BS$28,5),Mieterwechsel!$BS$9:$BS$28,0)),"")</f>
        <v/>
      </c>
      <c r="D18" s="9">
        <f>IFERROR(INT(SMALL(Mieterwechsel!$BS$9:$BS$28,5))-TODAY(),"")</f>
        <v/>
      </c>
    </row>
    <row r="21">
      <c r="A21" s="3" t="inlineStr">
        <is>
          <t>Kennzahlen</t>
        </is>
      </c>
    </row>
    <row r="22">
      <c r="A22" s="5" t="inlineStr">
        <is>
          <t>Laufende Mietverhältnisse</t>
        </is>
      </c>
      <c r="B22" s="10">
        <f>COUNTIF('Mein Haus'!N45:N104,"aktiv")</f>
        <v/>
      </c>
    </row>
    <row r="23">
      <c r="A23" s="5" t="inlineStr">
        <is>
          <t>Nettomieten pro Monat</t>
        </is>
      </c>
      <c r="B23" s="11">
        <f>SUMIF('Mein Haus'!N45:N104,"aktiv",'Mein Haus'!G45:G104)</f>
        <v/>
      </c>
    </row>
    <row r="24">
      <c r="A24" s="5" t="inlineStr">
        <is>
          <t>Kautionen laufender Mietverhältnisse</t>
        </is>
      </c>
      <c r="B24" s="11">
        <f>SUMIF('Mein Haus'!N45:N104,"aktiv",'Mein Haus'!I45:I104)</f>
        <v/>
      </c>
    </row>
    <row r="25">
      <c r="A25" s="5" t="inlineStr">
        <is>
          <t>Einheiten ohne laufendes Mietverhältnis</t>
        </is>
      </c>
      <c r="B25" s="10">
        <f>MAX(0,N('Mein Haus'!F41)-B22)</f>
        <v/>
      </c>
    </row>
    <row r="26">
      <c r="A26" s="5" t="inlineStr">
        <is>
          <t>Kontrolle</t>
        </is>
      </c>
      <c r="B26" s="12">
        <f>Kontrolle!B16</f>
        <v/>
      </c>
    </row>
    <row r="29">
      <c r="A29" s="13" t="inlineStr">
        <is>
          <t>Gelb = Eingabe · Blau = rechnet automatisch (Blattschutz ohne Passwort).</t>
        </is>
      </c>
    </row>
    <row r="30">
      <c r="A30" s="13" t="inlineStr">
        <is>
          <t>Ersetzt keine Rechtsberatung. Bei Streit: Schlichtungsbehörde Ihres Kantons oder Ihr Verband.</t>
        </is>
      </c>
    </row>
  </sheetData>
  <sheetProtection selectLockedCells="0" selectUnlockedCells="0" sheet="1" objects="0" insertRows="1" insertHyperlinks="1" autoFilter="1" scenarios="0" formatColumns="0" deleteColumns="1" insertColumns="1" pivotTables="1" deleteRows="1" formatCells="1" formatRows="0" sort="1"/>
  <conditionalFormatting sqref="A14:D18">
    <cfRule type="expression" priority="1" dxfId="0">
      <formula>AND($D14&lt;&gt;"",$D14&lt;0)</formula>
    </cfRule>
    <cfRule type="expression" priority="2" dxfId="1">
      <formula>AND($D14&lt;&gt;"",$D14&gt;=0,$D14&lt;=7)</formula>
    </cfRule>
  </conditionalFormatting>
  <conditionalFormatting sqref="B26">
    <cfRule type="expression" priority="3" dxfId="2">
      <formula>B26="OK"</formula>
    </cfRule>
    <cfRule type="expression" priority="4" dxfId="0">
      <formula>B26&lt;&gt;"OK"</formula>
    </cfRule>
  </conditionalFormatting>
  <hyperlinks>
    <hyperlink ref="A5" location="'Mein Haus'!A1" display="1 · Mein Haus"/>
    <hyperlink ref="A6" location="'Mieterwechsel'!A1" display="2 · Mieterwechsel"/>
    <hyperlink ref="A7" location="'Rückgabe'!A1" display="3 · Rückgabe"/>
    <hyperlink ref="A8" location="'Nebenkosten'!A1" display="4 · Nebenkosten"/>
    <hyperlink ref="A9" location="'Mietzins'!A1" display="5 · Mietzins"/>
    <hyperlink ref="A10" location="'Kontrolle'!A1" display="6 · Kontrolle"/>
  </hyperlinks>
  <pageMargins left="0.75" right="0.75" top="1" bottom="1" header="0.5" footer="0.5"/>
  <pageSetup orientation="landscape" fitToHeight="1" fitToWidth="1"/>
</worksheet>
</file>

<file path=xl/worksheets/sheet2.xml><?xml version="1.0" encoding="utf-8"?>
<worksheet xmlns="http://schemas.openxmlformats.org/spreadsheetml/2006/main">
  <sheetPr>
    <outlinePr summaryBelow="1" summaryRight="1"/>
    <pageSetUpPr/>
  </sheetPr>
  <dimension ref="A1:R104"/>
  <sheetViews>
    <sheetView workbookViewId="0">
      <pane xSplit="3" ySplit="44" topLeftCell="D45" activePane="bottomRight" state="frozen"/>
      <selection pane="topRight"/>
      <selection pane="bottomLeft"/>
      <selection pane="bottomRight" activeCell="A1" sqref="A1"/>
    </sheetView>
  </sheetViews>
  <sheetFormatPr baseColWidth="8" defaultRowHeight="15"/>
  <cols>
    <col width="16" customWidth="1" min="1" max="1"/>
    <col width="34" customWidth="1" min="2" max="2"/>
    <col width="26" customWidth="1" min="3" max="3"/>
    <col width="12" customWidth="1" min="4" max="4"/>
    <col width="13" customWidth="1" min="5" max="5"/>
    <col width="13" customWidth="1" min="6" max="6"/>
    <col width="12" customWidth="1" min="7" max="7"/>
    <col width="11" customWidth="1" min="8" max="8"/>
    <col width="11" customWidth="1" min="9" max="9"/>
    <col width="24" customWidth="1" min="10" max="10"/>
    <col width="10" customWidth="1" min="11" max="11"/>
    <col width="10" customWidth="1" min="12" max="12"/>
    <col width="12" customWidth="1" min="13" max="13"/>
    <col width="10" customWidth="1" min="14" max="14"/>
    <col width="26" customWidth="1" min="15" max="15"/>
    <col hidden="1" width="13" customWidth="1" min="16" max="16"/>
    <col hidden="1" width="13" customWidth="1" min="17" max="17"/>
    <col hidden="1" width="13" customWidth="1" min="18" max="18"/>
  </cols>
  <sheetData>
    <row r="1">
      <c r="A1" s="14" t="inlineStr">
        <is>
          <t>Mein Haus</t>
        </is>
      </c>
    </row>
    <row r="2">
      <c r="A2" s="13" t="inlineStr">
        <is>
          <t>Alles, was mehrere Teile brauchen, steht nur hier. Gelb = Eingabe, Blau = rechnet.</t>
        </is>
      </c>
    </row>
    <row r="4">
      <c r="A4" s="15" t="inlineStr">
        <is>
          <t>Liegenschaft</t>
        </is>
      </c>
      <c r="B4" s="16" t="inlineStr">
        <is>
          <t>Musterstrasse 12, 8004 Zürich</t>
        </is>
      </c>
    </row>
    <row r="5">
      <c r="A5" s="15" t="inlineStr">
        <is>
          <t>Vermieter</t>
        </is>
      </c>
      <c r="B5" s="16" t="inlineStr">
        <is>
          <t>Hans Beispiel, Bergstrasse 1, 8004 Zürich</t>
        </is>
      </c>
    </row>
    <row r="6">
      <c r="A6" s="15" t="inlineStr">
        <is>
          <t>IBAN Vermieter</t>
        </is>
      </c>
      <c r="B6" s="16" t="n"/>
    </row>
    <row r="9">
      <c r="A9" s="3" t="inlineStr">
        <is>
          <t>Einheiten</t>
        </is>
      </c>
    </row>
    <row r="10">
      <c r="A10" s="6" t="inlineStr">
        <is>
          <t>Nr.</t>
        </is>
      </c>
      <c r="B10" s="6" t="inlineStr">
        <is>
          <t>Bezeichnung</t>
        </is>
      </c>
      <c r="C10" s="6" t="inlineStr">
        <is>
          <t>Zimmer</t>
        </is>
      </c>
      <c r="D10" s="6" t="inlineStr">
        <is>
          <t>Fläche m²</t>
        </is>
      </c>
      <c r="E10" s="6" t="inlineStr">
        <is>
          <t>Anteil (Wertquote ‰ o.ä.)</t>
        </is>
      </c>
      <c r="F10" s="6" t="inlineStr">
        <is>
          <t>Zähler</t>
        </is>
      </c>
    </row>
    <row r="11">
      <c r="A11" s="16" t="inlineStr">
        <is>
          <t>1</t>
        </is>
      </c>
      <c r="B11" s="16" t="inlineStr">
        <is>
          <t>EG links</t>
        </is>
      </c>
      <c r="C11" s="17" t="n">
        <v>3.5</v>
      </c>
      <c r="D11" s="18" t="n">
        <v>82</v>
      </c>
      <c r="E11" s="18" t="n">
        <v>250</v>
      </c>
      <c r="F11" s="10">
        <f>IF(A11="","",1)</f>
        <v/>
      </c>
    </row>
    <row r="12">
      <c r="A12" s="16" t="inlineStr">
        <is>
          <t>2</t>
        </is>
      </c>
      <c r="B12" s="16" t="inlineStr">
        <is>
          <t>EG rechts</t>
        </is>
      </c>
      <c r="C12" s="17" t="n">
        <v>2.5</v>
      </c>
      <c r="D12" s="18" t="n">
        <v>61</v>
      </c>
      <c r="E12" s="18" t="n">
        <v>190</v>
      </c>
      <c r="F12" s="10">
        <f>IF(A12="","",1)</f>
        <v/>
      </c>
    </row>
    <row r="13">
      <c r="A13" s="16" t="inlineStr">
        <is>
          <t>3</t>
        </is>
      </c>
      <c r="B13" s="16" t="inlineStr">
        <is>
          <t>1. OG</t>
        </is>
      </c>
      <c r="C13" s="17" t="n">
        <v>4.5</v>
      </c>
      <c r="D13" s="18" t="n">
        <v>104</v>
      </c>
      <c r="E13" s="18" t="n">
        <v>320</v>
      </c>
      <c r="F13" s="10">
        <f>IF(A13="","",1)</f>
        <v/>
      </c>
    </row>
    <row r="14">
      <c r="A14" s="16" t="inlineStr">
        <is>
          <t>4</t>
        </is>
      </c>
      <c r="B14" s="16" t="inlineStr">
        <is>
          <t>DG</t>
        </is>
      </c>
      <c r="C14" s="17" t="n">
        <v>3.5</v>
      </c>
      <c r="D14" s="18" t="n">
        <v>78</v>
      </c>
      <c r="E14" s="18" t="n">
        <v>240</v>
      </c>
      <c r="F14" s="10">
        <f>IF(A14="","",1)</f>
        <v/>
      </c>
    </row>
    <row r="15">
      <c r="A15" s="16" t="n"/>
      <c r="B15" s="16" t="n"/>
      <c r="C15" s="17" t="n"/>
      <c r="D15" s="18" t="n"/>
      <c r="E15" s="18" t="n"/>
      <c r="F15" s="10">
        <f>IF(A15="","",1)</f>
        <v/>
      </c>
    </row>
    <row r="16">
      <c r="A16" s="16" t="n"/>
      <c r="B16" s="16" t="n"/>
      <c r="C16" s="17" t="n"/>
      <c r="D16" s="18" t="n"/>
      <c r="E16" s="18" t="n"/>
      <c r="F16" s="10">
        <f>IF(A16="","",1)</f>
        <v/>
      </c>
    </row>
    <row r="17">
      <c r="A17" s="16" t="n"/>
      <c r="B17" s="16" t="n"/>
      <c r="C17" s="17" t="n"/>
      <c r="D17" s="18" t="n"/>
      <c r="E17" s="18" t="n"/>
      <c r="F17" s="10">
        <f>IF(A17="","",1)</f>
        <v/>
      </c>
    </row>
    <row r="18">
      <c r="A18" s="16" t="n"/>
      <c r="B18" s="16" t="n"/>
      <c r="C18" s="17" t="n"/>
      <c r="D18" s="18" t="n"/>
      <c r="E18" s="18" t="n"/>
      <c r="F18" s="10">
        <f>IF(A18="","",1)</f>
        <v/>
      </c>
    </row>
    <row r="19">
      <c r="A19" s="16" t="n"/>
      <c r="B19" s="16" t="n"/>
      <c r="C19" s="17" t="n"/>
      <c r="D19" s="18" t="n"/>
      <c r="E19" s="18" t="n"/>
      <c r="F19" s="10">
        <f>IF(A19="","",1)</f>
        <v/>
      </c>
    </row>
    <row r="20">
      <c r="A20" s="16" t="n"/>
      <c r="B20" s="16" t="n"/>
      <c r="C20" s="17" t="n"/>
      <c r="D20" s="18" t="n"/>
      <c r="E20" s="18" t="n"/>
      <c r="F20" s="10">
        <f>IF(A20="","",1)</f>
        <v/>
      </c>
    </row>
    <row r="21">
      <c r="A21" s="16" t="n"/>
      <c r="B21" s="16" t="n"/>
      <c r="C21" s="17" t="n"/>
      <c r="D21" s="18" t="n"/>
      <c r="E21" s="18" t="n"/>
      <c r="F21" s="10">
        <f>IF(A21="","",1)</f>
        <v/>
      </c>
    </row>
    <row r="22">
      <c r="A22" s="16" t="n"/>
      <c r="B22" s="16" t="n"/>
      <c r="C22" s="17" t="n"/>
      <c r="D22" s="18" t="n"/>
      <c r="E22" s="18" t="n"/>
      <c r="F22" s="10">
        <f>IF(A22="","",1)</f>
        <v/>
      </c>
    </row>
    <row r="23">
      <c r="A23" s="16" t="n"/>
      <c r="B23" s="16" t="n"/>
      <c r="C23" s="17" t="n"/>
      <c r="D23" s="18" t="n"/>
      <c r="E23" s="18" t="n"/>
      <c r="F23" s="10">
        <f>IF(A23="","",1)</f>
        <v/>
      </c>
    </row>
    <row r="24">
      <c r="A24" s="16" t="n"/>
      <c r="B24" s="16" t="n"/>
      <c r="C24" s="17" t="n"/>
      <c r="D24" s="18" t="n"/>
      <c r="E24" s="18" t="n"/>
      <c r="F24" s="10">
        <f>IF(A24="","",1)</f>
        <v/>
      </c>
    </row>
    <row r="25">
      <c r="A25" s="16" t="n"/>
      <c r="B25" s="16" t="n"/>
      <c r="C25" s="17" t="n"/>
      <c r="D25" s="18" t="n"/>
      <c r="E25" s="18" t="n"/>
      <c r="F25" s="10">
        <f>IF(A25="","",1)</f>
        <v/>
      </c>
    </row>
    <row r="26">
      <c r="A26" s="16" t="n"/>
      <c r="B26" s="16" t="n"/>
      <c r="C26" s="17" t="n"/>
      <c r="D26" s="18" t="n"/>
      <c r="E26" s="18" t="n"/>
      <c r="F26" s="10">
        <f>IF(A26="","",1)</f>
        <v/>
      </c>
    </row>
    <row r="27">
      <c r="A27" s="16" t="n"/>
      <c r="B27" s="16" t="n"/>
      <c r="C27" s="17" t="n"/>
      <c r="D27" s="18" t="n"/>
      <c r="E27" s="18" t="n"/>
      <c r="F27" s="10">
        <f>IF(A27="","",1)</f>
        <v/>
      </c>
    </row>
    <row r="28">
      <c r="A28" s="16" t="n"/>
      <c r="B28" s="16" t="n"/>
      <c r="C28" s="17" t="n"/>
      <c r="D28" s="18" t="n"/>
      <c r="E28" s="18" t="n"/>
      <c r="F28" s="10">
        <f>IF(A28="","",1)</f>
        <v/>
      </c>
    </row>
    <row r="29">
      <c r="A29" s="16" t="n"/>
      <c r="B29" s="16" t="n"/>
      <c r="C29" s="17" t="n"/>
      <c r="D29" s="18" t="n"/>
      <c r="E29" s="18" t="n"/>
      <c r="F29" s="10">
        <f>IF(A29="","",1)</f>
        <v/>
      </c>
    </row>
    <row r="30">
      <c r="A30" s="16" t="n"/>
      <c r="B30" s="16" t="n"/>
      <c r="C30" s="17" t="n"/>
      <c r="D30" s="18" t="n"/>
      <c r="E30" s="18" t="n"/>
      <c r="F30" s="10">
        <f>IF(A30="","",1)</f>
        <v/>
      </c>
    </row>
    <row r="31">
      <c r="A31" s="16" t="n"/>
      <c r="B31" s="16" t="n"/>
      <c r="C31" s="17" t="n"/>
      <c r="D31" s="18" t="n"/>
      <c r="E31" s="18" t="n"/>
      <c r="F31" s="10">
        <f>IF(A31="","",1)</f>
        <v/>
      </c>
    </row>
    <row r="32">
      <c r="A32" s="16" t="n"/>
      <c r="B32" s="16" t="n"/>
      <c r="C32" s="17" t="n"/>
      <c r="D32" s="18" t="n"/>
      <c r="E32" s="18" t="n"/>
      <c r="F32" s="10">
        <f>IF(A32="","",1)</f>
        <v/>
      </c>
    </row>
    <row r="33">
      <c r="A33" s="16" t="n"/>
      <c r="B33" s="16" t="n"/>
      <c r="C33" s="17" t="n"/>
      <c r="D33" s="18" t="n"/>
      <c r="E33" s="18" t="n"/>
      <c r="F33" s="10">
        <f>IF(A33="","",1)</f>
        <v/>
      </c>
    </row>
    <row r="34">
      <c r="A34" s="16" t="n"/>
      <c r="B34" s="16" t="n"/>
      <c r="C34" s="17" t="n"/>
      <c r="D34" s="18" t="n"/>
      <c r="E34" s="18" t="n"/>
      <c r="F34" s="10">
        <f>IF(A34="","",1)</f>
        <v/>
      </c>
    </row>
    <row r="35">
      <c r="A35" s="16" t="n"/>
      <c r="B35" s="16" t="n"/>
      <c r="C35" s="17" t="n"/>
      <c r="D35" s="18" t="n"/>
      <c r="E35" s="18" t="n"/>
      <c r="F35" s="10">
        <f>IF(A35="","",1)</f>
        <v/>
      </c>
    </row>
    <row r="36">
      <c r="A36" s="16" t="n"/>
      <c r="B36" s="16" t="n"/>
      <c r="C36" s="17" t="n"/>
      <c r="D36" s="18" t="n"/>
      <c r="E36" s="18" t="n"/>
      <c r="F36" s="10">
        <f>IF(A36="","",1)</f>
        <v/>
      </c>
    </row>
    <row r="37">
      <c r="A37" s="16" t="n"/>
      <c r="B37" s="16" t="n"/>
      <c r="C37" s="17" t="n"/>
      <c r="D37" s="18" t="n"/>
      <c r="E37" s="18" t="n"/>
      <c r="F37" s="10">
        <f>IF(A37="","",1)</f>
        <v/>
      </c>
    </row>
    <row r="38">
      <c r="A38" s="16" t="n"/>
      <c r="B38" s="16" t="n"/>
      <c r="C38" s="17" t="n"/>
      <c r="D38" s="18" t="n"/>
      <c r="E38" s="18" t="n"/>
      <c r="F38" s="10">
        <f>IF(A38="","",1)</f>
        <v/>
      </c>
    </row>
    <row r="39">
      <c r="A39" s="16" t="n"/>
      <c r="B39" s="16" t="n"/>
      <c r="C39" s="17" t="n"/>
      <c r="D39" s="18" t="n"/>
      <c r="E39" s="18" t="n"/>
      <c r="F39" s="10">
        <f>IF(A39="","",1)</f>
        <v/>
      </c>
    </row>
    <row r="40">
      <c r="A40" s="16" t="n"/>
      <c r="B40" s="16" t="n"/>
      <c r="C40" s="17" t="n"/>
      <c r="D40" s="18" t="n"/>
      <c r="E40" s="18" t="n"/>
      <c r="F40" s="10">
        <f>IF(A40="","",1)</f>
        <v/>
      </c>
    </row>
    <row r="41">
      <c r="B41" s="15" t="inlineStr">
        <is>
          <t>Total</t>
        </is>
      </c>
      <c r="D41" s="19">
        <f>SUM(D11:D40)</f>
        <v/>
      </c>
      <c r="E41" s="19">
        <f>SUM(E11:E40)</f>
        <v/>
      </c>
      <c r="F41" s="19">
        <f>SUM(F11:F40)</f>
        <v/>
      </c>
    </row>
    <row r="43">
      <c r="A43" s="3" t="inlineStr">
        <is>
          <t>Mietverhältnisse</t>
        </is>
      </c>
    </row>
    <row r="44" ht="42" customHeight="1">
      <c r="A44" s="6" t="inlineStr">
        <is>
          <t>ID</t>
        </is>
      </c>
      <c r="B44" s="6" t="inlineStr">
        <is>
          <t>Einheit Nr.</t>
        </is>
      </c>
      <c r="C44" s="6" t="inlineStr">
        <is>
          <t>Mieter</t>
        </is>
      </c>
      <c r="D44" s="6" t="inlineStr">
        <is>
          <t>Mietbeginn</t>
        </is>
      </c>
      <c r="E44" s="6" t="inlineStr">
        <is>
          <t>Mietende (manuell)</t>
        </is>
      </c>
      <c r="F44" s="6" t="inlineStr">
        <is>
          <t>Mietende wirksam</t>
        </is>
      </c>
      <c r="G44" s="6" t="inlineStr">
        <is>
          <t>Nettomiete / Mt.</t>
        </is>
      </c>
      <c r="H44" s="6" t="inlineStr">
        <is>
          <t>Akonto NK / Mt.</t>
        </is>
      </c>
      <c r="I44" s="6" t="inlineStr">
        <is>
          <t>Kaution</t>
        </is>
      </c>
      <c r="J44" s="6" t="inlineStr">
        <is>
          <t>Kautionskonto (Bank)</t>
        </is>
      </c>
      <c r="K44" s="6" t="inlineStr">
        <is>
          <t>Referenzzins Basis %</t>
        </is>
      </c>
      <c r="L44" s="6" t="inlineStr">
        <is>
          <t>LIK Basis (Punkte)</t>
        </is>
      </c>
      <c r="M44" s="6" t="inlineStr">
        <is>
          <t>Basis seit (letzte Anpassung)</t>
        </is>
      </c>
      <c r="N44" s="6" t="inlineStr">
        <is>
          <t>Status</t>
        </is>
      </c>
      <c r="O44" s="6" t="inlineStr">
        <is>
          <t>Prüfen</t>
        </is>
      </c>
    </row>
    <row r="45">
      <c r="A45" s="10" t="n">
        <v>1</v>
      </c>
      <c r="B45" s="16" t="inlineStr">
        <is>
          <t>1</t>
        </is>
      </c>
      <c r="C45" s="16" t="inlineStr">
        <is>
          <t>Muster Anna</t>
        </is>
      </c>
      <c r="D45" s="20" t="n">
        <v>43556</v>
      </c>
      <c r="E45" s="20" t="n"/>
      <c r="F45" s="21">
        <f>IF(E45&lt;&gt;"",E45,IFERROR(INDEX(Mieterwechsel!$H$9:$H$28,MATCH(A45,Mieterwechsel!$A$9:$A$28,0)),""))</f>
        <v/>
      </c>
      <c r="G45" s="22" t="n">
        <v>1650</v>
      </c>
      <c r="H45" s="22" t="n">
        <v>380</v>
      </c>
      <c r="I45" s="22" t="n">
        <v>4950</v>
      </c>
      <c r="J45" s="16" t="inlineStr">
        <is>
          <t>Musterbank, Konto 11-1</t>
        </is>
      </c>
      <c r="K45" s="18" t="n">
        <v>1.75</v>
      </c>
      <c r="L45" s="17" t="n">
        <v>106.2</v>
      </c>
      <c r="M45" s="20" t="n">
        <v>45261</v>
      </c>
      <c r="N45" s="23">
        <f>IF(C45="","",IF(AND(F45&lt;&gt;"",F45&lt;TODAY()),"beendet",IF(AND(D45&lt;&gt;"",D45&gt;TODAY()),"künftig","aktiv")))</f>
        <v/>
      </c>
      <c r="O45" s="23">
        <f>IF(C45="","",IF(B45="","Einheit fehlt",IF(ISNA(MATCH(B45,$A$11:$A$40,0)),"Einheit unbekannt",IF(AND(D45&lt;&gt;"",F45&lt;&gt;"",F45&lt;D45),"Ende vor Beginn",IF(R45&gt;0,"Überschneidung mit anderem Mieter","")))))</f>
        <v/>
      </c>
      <c r="P45">
        <f>IF(C45="","",IF(D45="",1,D45))</f>
        <v/>
      </c>
      <c r="Q45">
        <f>IF(C45="","",IF(F45="",401768,F45))</f>
        <v/>
      </c>
      <c r="R45">
        <f>IF(C45="",0,COUNTIFS($B$45:$B$104,B45,$P$45:$P$104,"&lt;="&amp;Q45,$Q$45:$Q$104,"&gt;="&amp;P45)-1)</f>
        <v/>
      </c>
    </row>
    <row r="46">
      <c r="A46" s="10" t="n">
        <v>2</v>
      </c>
      <c r="B46" s="16" t="inlineStr">
        <is>
          <t>2</t>
        </is>
      </c>
      <c r="C46" s="16" t="inlineStr">
        <is>
          <t>Beispiel Marco</t>
        </is>
      </c>
      <c r="D46" s="20" t="n">
        <v>43009</v>
      </c>
      <c r="E46" s="20" t="n"/>
      <c r="F46" s="21">
        <f>IF(E46&lt;&gt;"",E46,IFERROR(INDEX(Mieterwechsel!$H$9:$H$28,MATCH(A46,Mieterwechsel!$A$9:$A$28,0)),""))</f>
        <v/>
      </c>
      <c r="G46" s="22" t="n">
        <v>1290</v>
      </c>
      <c r="H46" s="22" t="n">
        <v>400</v>
      </c>
      <c r="I46" s="22" t="n">
        <v>3870</v>
      </c>
      <c r="J46" s="16" t="inlineStr">
        <is>
          <t>Musterbank, Konto 11-2</t>
        </is>
      </c>
      <c r="K46" s="18" t="n">
        <v>1.5</v>
      </c>
      <c r="L46" s="17" t="n">
        <v>104.9</v>
      </c>
      <c r="M46" s="20" t="n">
        <v>44652</v>
      </c>
      <c r="N46" s="23">
        <f>IF(C46="","",IF(AND(F46&lt;&gt;"",F46&lt;TODAY()),"beendet",IF(AND(D46&lt;&gt;"",D46&gt;TODAY()),"künftig","aktiv")))</f>
        <v/>
      </c>
      <c r="O46" s="23">
        <f>IF(C46="","",IF(B46="","Einheit fehlt",IF(ISNA(MATCH(B46,$A$11:$A$40,0)),"Einheit unbekannt",IF(AND(D46&lt;&gt;"",F46&lt;&gt;"",F46&lt;D46),"Ende vor Beginn",IF(R46&gt;0,"Überschneidung mit anderem Mieter","")))))</f>
        <v/>
      </c>
      <c r="P46">
        <f>IF(C46="","",IF(D46="",1,D46))</f>
        <v/>
      </c>
      <c r="Q46">
        <f>IF(C46="","",IF(F46="",401768,F46))</f>
        <v/>
      </c>
      <c r="R46">
        <f>IF(C46="",0,COUNTIFS($B$45:$B$104,B46,$P$45:$P$104,"&lt;="&amp;Q46,$Q$45:$Q$104,"&gt;="&amp;P46)-1)</f>
        <v/>
      </c>
    </row>
    <row r="47">
      <c r="A47" s="10" t="n">
        <v>3</v>
      </c>
      <c r="B47" s="16" t="inlineStr">
        <is>
          <t>2</t>
        </is>
      </c>
      <c r="C47" s="16" t="inlineStr">
        <is>
          <t>Probst Lea</t>
        </is>
      </c>
      <c r="D47" s="20" t="n">
        <v>45748</v>
      </c>
      <c r="E47" s="20" t="n"/>
      <c r="F47" s="21">
        <f>IF(E47&lt;&gt;"",E47,IFERROR(INDEX(Mieterwechsel!$H$9:$H$28,MATCH(A47,Mieterwechsel!$A$9:$A$28,0)),""))</f>
        <v/>
      </c>
      <c r="G47" s="22" t="n">
        <v>1350</v>
      </c>
      <c r="H47" s="22" t="n">
        <v>260</v>
      </c>
      <c r="I47" s="22" t="n">
        <v>4050</v>
      </c>
      <c r="J47" s="16" t="inlineStr">
        <is>
          <t>Musterbank, Konto 11-3</t>
        </is>
      </c>
      <c r="K47" s="18" t="n">
        <v>1.75</v>
      </c>
      <c r="L47" s="17" t="n">
        <v>107.1</v>
      </c>
      <c r="M47" s="20" t="n">
        <v>45748</v>
      </c>
      <c r="N47" s="23">
        <f>IF(C47="","",IF(AND(F47&lt;&gt;"",F47&lt;TODAY()),"beendet",IF(AND(D47&lt;&gt;"",D47&gt;TODAY()),"künftig","aktiv")))</f>
        <v/>
      </c>
      <c r="O47" s="23">
        <f>IF(C47="","",IF(B47="","Einheit fehlt",IF(ISNA(MATCH(B47,$A$11:$A$40,0)),"Einheit unbekannt",IF(AND(D47&lt;&gt;"",F47&lt;&gt;"",F47&lt;D47),"Ende vor Beginn",IF(R47&gt;0,"Überschneidung mit anderem Mieter","")))))</f>
        <v/>
      </c>
      <c r="P47">
        <f>IF(C47="","",IF(D47="",1,D47))</f>
        <v/>
      </c>
      <c r="Q47">
        <f>IF(C47="","",IF(F47="",401768,F47))</f>
        <v/>
      </c>
      <c r="R47">
        <f>IF(C47="",0,COUNTIFS($B$45:$B$104,B47,$P$45:$P$104,"&lt;="&amp;Q47,$Q$45:$Q$104,"&gt;="&amp;P47)-1)</f>
        <v/>
      </c>
    </row>
    <row r="48">
      <c r="A48" s="10" t="n">
        <v>4</v>
      </c>
      <c r="B48" s="16" t="inlineStr">
        <is>
          <t>3</t>
        </is>
      </c>
      <c r="C48" s="16" t="inlineStr">
        <is>
          <t>Keller Familie</t>
        </is>
      </c>
      <c r="D48" s="20" t="n">
        <v>41030</v>
      </c>
      <c r="E48" s="20" t="n"/>
      <c r="F48" s="21">
        <f>IF(E48&lt;&gt;"",E48,IFERROR(INDEX(Mieterwechsel!$H$9:$H$28,MATCH(A48,Mieterwechsel!$A$9:$A$28,0)),""))</f>
        <v/>
      </c>
      <c r="G48" s="22" t="n">
        <v>2150</v>
      </c>
      <c r="H48" s="22" t="n">
        <v>480</v>
      </c>
      <c r="I48" s="22" t="n">
        <v>6000</v>
      </c>
      <c r="J48" s="16" t="inlineStr">
        <is>
          <t>Musterbank, Konto 11-4</t>
        </is>
      </c>
      <c r="K48" s="18" t="n">
        <v>1.75</v>
      </c>
      <c r="L48" s="17" t="n">
        <v>106.2</v>
      </c>
      <c r="M48" s="20" t="n">
        <v>45261</v>
      </c>
      <c r="N48" s="23">
        <f>IF(C48="","",IF(AND(F48&lt;&gt;"",F48&lt;TODAY()),"beendet",IF(AND(D48&lt;&gt;"",D48&gt;TODAY()),"künftig","aktiv")))</f>
        <v/>
      </c>
      <c r="O48" s="23">
        <f>IF(C48="","",IF(B48="","Einheit fehlt",IF(ISNA(MATCH(B48,$A$11:$A$40,0)),"Einheit unbekannt",IF(AND(D48&lt;&gt;"",F48&lt;&gt;"",F48&lt;D48),"Ende vor Beginn",IF(R48&gt;0,"Überschneidung mit anderem Mieter","")))))</f>
        <v/>
      </c>
      <c r="P48">
        <f>IF(C48="","",IF(D48="",1,D48))</f>
        <v/>
      </c>
      <c r="Q48">
        <f>IF(C48="","",IF(F48="",401768,F48))</f>
        <v/>
      </c>
      <c r="R48">
        <f>IF(C48="",0,COUNTIFS($B$45:$B$104,B48,$P$45:$P$104,"&lt;="&amp;Q48,$Q$45:$Q$104,"&gt;="&amp;P48)-1)</f>
        <v/>
      </c>
    </row>
    <row r="49">
      <c r="A49" s="10" t="n">
        <v>5</v>
      </c>
      <c r="B49" s="16" t="inlineStr">
        <is>
          <t>4</t>
        </is>
      </c>
      <c r="C49" s="16" t="inlineStr">
        <is>
          <t>Weber Tim</t>
        </is>
      </c>
      <c r="D49" s="20" t="n">
        <v>42430</v>
      </c>
      <c r="E49" s="20" t="n"/>
      <c r="F49" s="21">
        <f>IF(E49&lt;&gt;"",E49,IFERROR(INDEX(Mieterwechsel!$H$9:$H$28,MATCH(A49,Mieterwechsel!$A$9:$A$28,0)),""))</f>
        <v/>
      </c>
      <c r="G49" s="22" t="n">
        <v>1720</v>
      </c>
      <c r="H49" s="22" t="n">
        <v>350</v>
      </c>
      <c r="I49" s="22" t="n">
        <v>4950</v>
      </c>
      <c r="J49" s="16" t="inlineStr">
        <is>
          <t>Musterbank, Konto 11-5</t>
        </is>
      </c>
      <c r="K49" s="18" t="n">
        <v>1.75</v>
      </c>
      <c r="L49" s="17" t="n">
        <v>106.2</v>
      </c>
      <c r="M49" s="20" t="n">
        <v>45261</v>
      </c>
      <c r="N49" s="23">
        <f>IF(C49="","",IF(AND(F49&lt;&gt;"",F49&lt;TODAY()),"beendet",IF(AND(D49&lt;&gt;"",D49&gt;TODAY()),"künftig","aktiv")))</f>
        <v/>
      </c>
      <c r="O49" s="23">
        <f>IF(C49="","",IF(B49="","Einheit fehlt",IF(ISNA(MATCH(B49,$A$11:$A$40,0)),"Einheit unbekannt",IF(AND(D49&lt;&gt;"",F49&lt;&gt;"",F49&lt;D49),"Ende vor Beginn",IF(R49&gt;0,"Überschneidung mit anderem Mieter","")))))</f>
        <v/>
      </c>
      <c r="P49">
        <f>IF(C49="","",IF(D49="",1,D49))</f>
        <v/>
      </c>
      <c r="Q49">
        <f>IF(C49="","",IF(F49="",401768,F49))</f>
        <v/>
      </c>
      <c r="R49">
        <f>IF(C49="",0,COUNTIFS($B$45:$B$104,B49,$P$45:$P$104,"&lt;="&amp;Q49,$Q$45:$Q$104,"&gt;="&amp;P49)-1)</f>
        <v/>
      </c>
    </row>
    <row r="50">
      <c r="A50" s="10" t="n">
        <v>6</v>
      </c>
      <c r="B50" s="16" t="inlineStr">
        <is>
          <t>4</t>
        </is>
      </c>
      <c r="C50" s="16" t="inlineStr">
        <is>
          <t>Frei Sara</t>
        </is>
      </c>
      <c r="D50" s="20" t="n">
        <v>45992</v>
      </c>
      <c r="E50" s="20" t="n"/>
      <c r="F50" s="21">
        <f>IF(E50&lt;&gt;"",E50,IFERROR(INDEX(Mieterwechsel!$H$9:$H$28,MATCH(A50,Mieterwechsel!$A$9:$A$28,0)),""))</f>
        <v/>
      </c>
      <c r="G50" s="22" t="n">
        <v>1750</v>
      </c>
      <c r="H50" s="22" t="n">
        <v>200</v>
      </c>
      <c r="I50" s="22" t="n">
        <v>5250</v>
      </c>
      <c r="J50" s="16" t="inlineStr">
        <is>
          <t>Musterbank, Konto 11-6</t>
        </is>
      </c>
      <c r="K50" s="18" t="n">
        <v>1.25</v>
      </c>
      <c r="L50" s="17" t="n">
        <v>107.3</v>
      </c>
      <c r="M50" s="20" t="n">
        <v>45992</v>
      </c>
      <c r="N50" s="23">
        <f>IF(C50="","",IF(AND(F50&lt;&gt;"",F50&lt;TODAY()),"beendet",IF(AND(D50&lt;&gt;"",D50&gt;TODAY()),"künftig","aktiv")))</f>
        <v/>
      </c>
      <c r="O50" s="23">
        <f>IF(C50="","",IF(B50="","Einheit fehlt",IF(ISNA(MATCH(B50,$A$11:$A$40,0)),"Einheit unbekannt",IF(AND(D50&lt;&gt;"",F50&lt;&gt;"",F50&lt;D50),"Ende vor Beginn",IF(R50&gt;0,"Überschneidung mit anderem Mieter","")))))</f>
        <v/>
      </c>
      <c r="P50">
        <f>IF(C50="","",IF(D50="",1,D50))</f>
        <v/>
      </c>
      <c r="Q50">
        <f>IF(C50="","",IF(F50="",401768,F50))</f>
        <v/>
      </c>
      <c r="R50">
        <f>IF(C50="",0,COUNTIFS($B$45:$B$104,B50,$P$45:$P$104,"&lt;="&amp;Q50,$Q$45:$Q$104,"&gt;="&amp;P50)-1)</f>
        <v/>
      </c>
    </row>
    <row r="51">
      <c r="A51" s="10" t="n">
        <v>7</v>
      </c>
      <c r="B51" s="16" t="n"/>
      <c r="C51" s="16" t="n"/>
      <c r="D51" s="20" t="n"/>
      <c r="E51" s="20" t="n"/>
      <c r="F51" s="21">
        <f>IF(E51&lt;&gt;"",E51,IFERROR(INDEX(Mieterwechsel!$H$9:$H$28,MATCH(A51,Mieterwechsel!$A$9:$A$28,0)),""))</f>
        <v/>
      </c>
      <c r="G51" s="22" t="n"/>
      <c r="H51" s="22" t="n"/>
      <c r="I51" s="22" t="n"/>
      <c r="J51" s="16" t="n"/>
      <c r="K51" s="18" t="n"/>
      <c r="L51" s="17" t="n"/>
      <c r="M51" s="20" t="n"/>
      <c r="N51" s="23">
        <f>IF(C51="","",IF(AND(F51&lt;&gt;"",F51&lt;TODAY()),"beendet",IF(AND(D51&lt;&gt;"",D51&gt;TODAY()),"künftig","aktiv")))</f>
        <v/>
      </c>
      <c r="O51" s="23">
        <f>IF(C51="","",IF(B51="","Einheit fehlt",IF(ISNA(MATCH(B51,$A$11:$A$40,0)),"Einheit unbekannt",IF(AND(D51&lt;&gt;"",F51&lt;&gt;"",F51&lt;D51),"Ende vor Beginn",IF(R51&gt;0,"Überschneidung mit anderem Mieter","")))))</f>
        <v/>
      </c>
      <c r="P51">
        <f>IF(C51="","",IF(D51="",1,D51))</f>
        <v/>
      </c>
      <c r="Q51">
        <f>IF(C51="","",IF(F51="",401768,F51))</f>
        <v/>
      </c>
      <c r="R51">
        <f>IF(C51="",0,COUNTIFS($B$45:$B$104,B51,$P$45:$P$104,"&lt;="&amp;Q51,$Q$45:$Q$104,"&gt;="&amp;P51)-1)</f>
        <v/>
      </c>
    </row>
    <row r="52">
      <c r="A52" s="10" t="n">
        <v>8</v>
      </c>
      <c r="B52" s="16" t="n"/>
      <c r="C52" s="16" t="n"/>
      <c r="D52" s="20" t="n"/>
      <c r="E52" s="20" t="n"/>
      <c r="F52" s="21">
        <f>IF(E52&lt;&gt;"",E52,IFERROR(INDEX(Mieterwechsel!$H$9:$H$28,MATCH(A52,Mieterwechsel!$A$9:$A$28,0)),""))</f>
        <v/>
      </c>
      <c r="G52" s="22" t="n"/>
      <c r="H52" s="22" t="n"/>
      <c r="I52" s="22" t="n"/>
      <c r="J52" s="16" t="n"/>
      <c r="K52" s="18" t="n"/>
      <c r="L52" s="17" t="n"/>
      <c r="M52" s="20" t="n"/>
      <c r="N52" s="23">
        <f>IF(C52="","",IF(AND(F52&lt;&gt;"",F52&lt;TODAY()),"beendet",IF(AND(D52&lt;&gt;"",D52&gt;TODAY()),"künftig","aktiv")))</f>
        <v/>
      </c>
      <c r="O52" s="23">
        <f>IF(C52="","",IF(B52="","Einheit fehlt",IF(ISNA(MATCH(B52,$A$11:$A$40,0)),"Einheit unbekannt",IF(AND(D52&lt;&gt;"",F52&lt;&gt;"",F52&lt;D52),"Ende vor Beginn",IF(R52&gt;0,"Überschneidung mit anderem Mieter","")))))</f>
        <v/>
      </c>
      <c r="P52">
        <f>IF(C52="","",IF(D52="",1,D52))</f>
        <v/>
      </c>
      <c r="Q52">
        <f>IF(C52="","",IF(F52="",401768,F52))</f>
        <v/>
      </c>
      <c r="R52">
        <f>IF(C52="",0,COUNTIFS($B$45:$B$104,B52,$P$45:$P$104,"&lt;="&amp;Q52,$Q$45:$Q$104,"&gt;="&amp;P52)-1)</f>
        <v/>
      </c>
    </row>
    <row r="53">
      <c r="A53" s="10" t="n">
        <v>9</v>
      </c>
      <c r="B53" s="16" t="n"/>
      <c r="C53" s="16" t="n"/>
      <c r="D53" s="20" t="n"/>
      <c r="E53" s="20" t="n"/>
      <c r="F53" s="21">
        <f>IF(E53&lt;&gt;"",E53,IFERROR(INDEX(Mieterwechsel!$H$9:$H$28,MATCH(A53,Mieterwechsel!$A$9:$A$28,0)),""))</f>
        <v/>
      </c>
      <c r="G53" s="22" t="n"/>
      <c r="H53" s="22" t="n"/>
      <c r="I53" s="22" t="n"/>
      <c r="J53" s="16" t="n"/>
      <c r="K53" s="18" t="n"/>
      <c r="L53" s="17" t="n"/>
      <c r="M53" s="20" t="n"/>
      <c r="N53" s="23">
        <f>IF(C53="","",IF(AND(F53&lt;&gt;"",F53&lt;TODAY()),"beendet",IF(AND(D53&lt;&gt;"",D53&gt;TODAY()),"künftig","aktiv")))</f>
        <v/>
      </c>
      <c r="O53" s="23">
        <f>IF(C53="","",IF(B53="","Einheit fehlt",IF(ISNA(MATCH(B53,$A$11:$A$40,0)),"Einheit unbekannt",IF(AND(D53&lt;&gt;"",F53&lt;&gt;"",F53&lt;D53),"Ende vor Beginn",IF(R53&gt;0,"Überschneidung mit anderem Mieter","")))))</f>
        <v/>
      </c>
      <c r="P53">
        <f>IF(C53="","",IF(D53="",1,D53))</f>
        <v/>
      </c>
      <c r="Q53">
        <f>IF(C53="","",IF(F53="",401768,F53))</f>
        <v/>
      </c>
      <c r="R53">
        <f>IF(C53="",0,COUNTIFS($B$45:$B$104,B53,$P$45:$P$104,"&lt;="&amp;Q53,$Q$45:$Q$104,"&gt;="&amp;P53)-1)</f>
        <v/>
      </c>
    </row>
    <row r="54">
      <c r="A54" s="10" t="n">
        <v>10</v>
      </c>
      <c r="B54" s="16" t="n"/>
      <c r="C54" s="16" t="n"/>
      <c r="D54" s="20" t="n"/>
      <c r="E54" s="20" t="n"/>
      <c r="F54" s="21">
        <f>IF(E54&lt;&gt;"",E54,IFERROR(INDEX(Mieterwechsel!$H$9:$H$28,MATCH(A54,Mieterwechsel!$A$9:$A$28,0)),""))</f>
        <v/>
      </c>
      <c r="G54" s="22" t="n"/>
      <c r="H54" s="22" t="n"/>
      <c r="I54" s="22" t="n"/>
      <c r="J54" s="16" t="n"/>
      <c r="K54" s="18" t="n"/>
      <c r="L54" s="17" t="n"/>
      <c r="M54" s="20" t="n"/>
      <c r="N54" s="23">
        <f>IF(C54="","",IF(AND(F54&lt;&gt;"",F54&lt;TODAY()),"beendet",IF(AND(D54&lt;&gt;"",D54&gt;TODAY()),"künftig","aktiv")))</f>
        <v/>
      </c>
      <c r="O54" s="23">
        <f>IF(C54="","",IF(B54="","Einheit fehlt",IF(ISNA(MATCH(B54,$A$11:$A$40,0)),"Einheit unbekannt",IF(AND(D54&lt;&gt;"",F54&lt;&gt;"",F54&lt;D54),"Ende vor Beginn",IF(R54&gt;0,"Überschneidung mit anderem Mieter","")))))</f>
        <v/>
      </c>
      <c r="P54">
        <f>IF(C54="","",IF(D54="",1,D54))</f>
        <v/>
      </c>
      <c r="Q54">
        <f>IF(C54="","",IF(F54="",401768,F54))</f>
        <v/>
      </c>
      <c r="R54">
        <f>IF(C54="",0,COUNTIFS($B$45:$B$104,B54,$P$45:$P$104,"&lt;="&amp;Q54,$Q$45:$Q$104,"&gt;="&amp;P54)-1)</f>
        <v/>
      </c>
    </row>
    <row r="55">
      <c r="A55" s="10" t="n">
        <v>11</v>
      </c>
      <c r="B55" s="16" t="n"/>
      <c r="C55" s="16" t="n"/>
      <c r="D55" s="20" t="n"/>
      <c r="E55" s="20" t="n"/>
      <c r="F55" s="21">
        <f>IF(E55&lt;&gt;"",E55,IFERROR(INDEX(Mieterwechsel!$H$9:$H$28,MATCH(A55,Mieterwechsel!$A$9:$A$28,0)),""))</f>
        <v/>
      </c>
      <c r="G55" s="22" t="n"/>
      <c r="H55" s="22" t="n"/>
      <c r="I55" s="22" t="n"/>
      <c r="J55" s="16" t="n"/>
      <c r="K55" s="18" t="n"/>
      <c r="L55" s="17" t="n"/>
      <c r="M55" s="20" t="n"/>
      <c r="N55" s="23">
        <f>IF(C55="","",IF(AND(F55&lt;&gt;"",F55&lt;TODAY()),"beendet",IF(AND(D55&lt;&gt;"",D55&gt;TODAY()),"künftig","aktiv")))</f>
        <v/>
      </c>
      <c r="O55" s="23">
        <f>IF(C55="","",IF(B55="","Einheit fehlt",IF(ISNA(MATCH(B55,$A$11:$A$40,0)),"Einheit unbekannt",IF(AND(D55&lt;&gt;"",F55&lt;&gt;"",F55&lt;D55),"Ende vor Beginn",IF(R55&gt;0,"Überschneidung mit anderem Mieter","")))))</f>
        <v/>
      </c>
      <c r="P55">
        <f>IF(C55="","",IF(D55="",1,D55))</f>
        <v/>
      </c>
      <c r="Q55">
        <f>IF(C55="","",IF(F55="",401768,F55))</f>
        <v/>
      </c>
      <c r="R55">
        <f>IF(C55="",0,COUNTIFS($B$45:$B$104,B55,$P$45:$P$104,"&lt;="&amp;Q55,$Q$45:$Q$104,"&gt;="&amp;P55)-1)</f>
        <v/>
      </c>
    </row>
    <row r="56">
      <c r="A56" s="10" t="n">
        <v>12</v>
      </c>
      <c r="B56" s="16" t="n"/>
      <c r="C56" s="16" t="n"/>
      <c r="D56" s="20" t="n"/>
      <c r="E56" s="20" t="n"/>
      <c r="F56" s="21">
        <f>IF(E56&lt;&gt;"",E56,IFERROR(INDEX(Mieterwechsel!$H$9:$H$28,MATCH(A56,Mieterwechsel!$A$9:$A$28,0)),""))</f>
        <v/>
      </c>
      <c r="G56" s="22" t="n"/>
      <c r="H56" s="22" t="n"/>
      <c r="I56" s="22" t="n"/>
      <c r="J56" s="16" t="n"/>
      <c r="K56" s="18" t="n"/>
      <c r="L56" s="17" t="n"/>
      <c r="M56" s="20" t="n"/>
      <c r="N56" s="23">
        <f>IF(C56="","",IF(AND(F56&lt;&gt;"",F56&lt;TODAY()),"beendet",IF(AND(D56&lt;&gt;"",D56&gt;TODAY()),"künftig","aktiv")))</f>
        <v/>
      </c>
      <c r="O56" s="23">
        <f>IF(C56="","",IF(B56="","Einheit fehlt",IF(ISNA(MATCH(B56,$A$11:$A$40,0)),"Einheit unbekannt",IF(AND(D56&lt;&gt;"",F56&lt;&gt;"",F56&lt;D56),"Ende vor Beginn",IF(R56&gt;0,"Überschneidung mit anderem Mieter","")))))</f>
        <v/>
      </c>
      <c r="P56">
        <f>IF(C56="","",IF(D56="",1,D56))</f>
        <v/>
      </c>
      <c r="Q56">
        <f>IF(C56="","",IF(F56="",401768,F56))</f>
        <v/>
      </c>
      <c r="R56">
        <f>IF(C56="",0,COUNTIFS($B$45:$B$104,B56,$P$45:$P$104,"&lt;="&amp;Q56,$Q$45:$Q$104,"&gt;="&amp;P56)-1)</f>
        <v/>
      </c>
    </row>
    <row r="57">
      <c r="A57" s="10" t="n">
        <v>13</v>
      </c>
      <c r="B57" s="16" t="n"/>
      <c r="C57" s="16" t="n"/>
      <c r="D57" s="20" t="n"/>
      <c r="E57" s="20" t="n"/>
      <c r="F57" s="21">
        <f>IF(E57&lt;&gt;"",E57,IFERROR(INDEX(Mieterwechsel!$H$9:$H$28,MATCH(A57,Mieterwechsel!$A$9:$A$28,0)),""))</f>
        <v/>
      </c>
      <c r="G57" s="22" t="n"/>
      <c r="H57" s="22" t="n"/>
      <c r="I57" s="22" t="n"/>
      <c r="J57" s="16" t="n"/>
      <c r="K57" s="18" t="n"/>
      <c r="L57" s="17" t="n"/>
      <c r="M57" s="20" t="n"/>
      <c r="N57" s="23">
        <f>IF(C57="","",IF(AND(F57&lt;&gt;"",F57&lt;TODAY()),"beendet",IF(AND(D57&lt;&gt;"",D57&gt;TODAY()),"künftig","aktiv")))</f>
        <v/>
      </c>
      <c r="O57" s="23">
        <f>IF(C57="","",IF(B57="","Einheit fehlt",IF(ISNA(MATCH(B57,$A$11:$A$40,0)),"Einheit unbekannt",IF(AND(D57&lt;&gt;"",F57&lt;&gt;"",F57&lt;D57),"Ende vor Beginn",IF(R57&gt;0,"Überschneidung mit anderem Mieter","")))))</f>
        <v/>
      </c>
      <c r="P57">
        <f>IF(C57="","",IF(D57="",1,D57))</f>
        <v/>
      </c>
      <c r="Q57">
        <f>IF(C57="","",IF(F57="",401768,F57))</f>
        <v/>
      </c>
      <c r="R57">
        <f>IF(C57="",0,COUNTIFS($B$45:$B$104,B57,$P$45:$P$104,"&lt;="&amp;Q57,$Q$45:$Q$104,"&gt;="&amp;P57)-1)</f>
        <v/>
      </c>
    </row>
    <row r="58">
      <c r="A58" s="10" t="n">
        <v>14</v>
      </c>
      <c r="B58" s="16" t="n"/>
      <c r="C58" s="16" t="n"/>
      <c r="D58" s="20" t="n"/>
      <c r="E58" s="20" t="n"/>
      <c r="F58" s="21">
        <f>IF(E58&lt;&gt;"",E58,IFERROR(INDEX(Mieterwechsel!$H$9:$H$28,MATCH(A58,Mieterwechsel!$A$9:$A$28,0)),""))</f>
        <v/>
      </c>
      <c r="G58" s="22" t="n"/>
      <c r="H58" s="22" t="n"/>
      <c r="I58" s="22" t="n"/>
      <c r="J58" s="16" t="n"/>
      <c r="K58" s="18" t="n"/>
      <c r="L58" s="17" t="n"/>
      <c r="M58" s="20" t="n"/>
      <c r="N58" s="23">
        <f>IF(C58="","",IF(AND(F58&lt;&gt;"",F58&lt;TODAY()),"beendet",IF(AND(D58&lt;&gt;"",D58&gt;TODAY()),"künftig","aktiv")))</f>
        <v/>
      </c>
      <c r="O58" s="23">
        <f>IF(C58="","",IF(B58="","Einheit fehlt",IF(ISNA(MATCH(B58,$A$11:$A$40,0)),"Einheit unbekannt",IF(AND(D58&lt;&gt;"",F58&lt;&gt;"",F58&lt;D58),"Ende vor Beginn",IF(R58&gt;0,"Überschneidung mit anderem Mieter","")))))</f>
        <v/>
      </c>
      <c r="P58">
        <f>IF(C58="","",IF(D58="",1,D58))</f>
        <v/>
      </c>
      <c r="Q58">
        <f>IF(C58="","",IF(F58="",401768,F58))</f>
        <v/>
      </c>
      <c r="R58">
        <f>IF(C58="",0,COUNTIFS($B$45:$B$104,B58,$P$45:$P$104,"&lt;="&amp;Q58,$Q$45:$Q$104,"&gt;="&amp;P58)-1)</f>
        <v/>
      </c>
    </row>
    <row r="59">
      <c r="A59" s="10" t="n">
        <v>15</v>
      </c>
      <c r="B59" s="16" t="n"/>
      <c r="C59" s="16" t="n"/>
      <c r="D59" s="20" t="n"/>
      <c r="E59" s="20" t="n"/>
      <c r="F59" s="21">
        <f>IF(E59&lt;&gt;"",E59,IFERROR(INDEX(Mieterwechsel!$H$9:$H$28,MATCH(A59,Mieterwechsel!$A$9:$A$28,0)),""))</f>
        <v/>
      </c>
      <c r="G59" s="22" t="n"/>
      <c r="H59" s="22" t="n"/>
      <c r="I59" s="22" t="n"/>
      <c r="J59" s="16" t="n"/>
      <c r="K59" s="18" t="n"/>
      <c r="L59" s="17" t="n"/>
      <c r="M59" s="20" t="n"/>
      <c r="N59" s="23">
        <f>IF(C59="","",IF(AND(F59&lt;&gt;"",F59&lt;TODAY()),"beendet",IF(AND(D59&lt;&gt;"",D59&gt;TODAY()),"künftig","aktiv")))</f>
        <v/>
      </c>
      <c r="O59" s="23">
        <f>IF(C59="","",IF(B59="","Einheit fehlt",IF(ISNA(MATCH(B59,$A$11:$A$40,0)),"Einheit unbekannt",IF(AND(D59&lt;&gt;"",F59&lt;&gt;"",F59&lt;D59),"Ende vor Beginn",IF(R59&gt;0,"Überschneidung mit anderem Mieter","")))))</f>
        <v/>
      </c>
      <c r="P59">
        <f>IF(C59="","",IF(D59="",1,D59))</f>
        <v/>
      </c>
      <c r="Q59">
        <f>IF(C59="","",IF(F59="",401768,F59))</f>
        <v/>
      </c>
      <c r="R59">
        <f>IF(C59="",0,COUNTIFS($B$45:$B$104,B59,$P$45:$P$104,"&lt;="&amp;Q59,$Q$45:$Q$104,"&gt;="&amp;P59)-1)</f>
        <v/>
      </c>
    </row>
    <row r="60">
      <c r="A60" s="10" t="n">
        <v>16</v>
      </c>
      <c r="B60" s="16" t="n"/>
      <c r="C60" s="16" t="n"/>
      <c r="D60" s="20" t="n"/>
      <c r="E60" s="20" t="n"/>
      <c r="F60" s="21">
        <f>IF(E60&lt;&gt;"",E60,IFERROR(INDEX(Mieterwechsel!$H$9:$H$28,MATCH(A60,Mieterwechsel!$A$9:$A$28,0)),""))</f>
        <v/>
      </c>
      <c r="G60" s="22" t="n"/>
      <c r="H60" s="22" t="n"/>
      <c r="I60" s="22" t="n"/>
      <c r="J60" s="16" t="n"/>
      <c r="K60" s="18" t="n"/>
      <c r="L60" s="17" t="n"/>
      <c r="M60" s="20" t="n"/>
      <c r="N60" s="23">
        <f>IF(C60="","",IF(AND(F60&lt;&gt;"",F60&lt;TODAY()),"beendet",IF(AND(D60&lt;&gt;"",D60&gt;TODAY()),"künftig","aktiv")))</f>
        <v/>
      </c>
      <c r="O60" s="23">
        <f>IF(C60="","",IF(B60="","Einheit fehlt",IF(ISNA(MATCH(B60,$A$11:$A$40,0)),"Einheit unbekannt",IF(AND(D60&lt;&gt;"",F60&lt;&gt;"",F60&lt;D60),"Ende vor Beginn",IF(R60&gt;0,"Überschneidung mit anderem Mieter","")))))</f>
        <v/>
      </c>
      <c r="P60">
        <f>IF(C60="","",IF(D60="",1,D60))</f>
        <v/>
      </c>
      <c r="Q60">
        <f>IF(C60="","",IF(F60="",401768,F60))</f>
        <v/>
      </c>
      <c r="R60">
        <f>IF(C60="",0,COUNTIFS($B$45:$B$104,B60,$P$45:$P$104,"&lt;="&amp;Q60,$Q$45:$Q$104,"&gt;="&amp;P60)-1)</f>
        <v/>
      </c>
    </row>
    <row r="61">
      <c r="A61" s="10" t="n">
        <v>17</v>
      </c>
      <c r="B61" s="16" t="n"/>
      <c r="C61" s="16" t="n"/>
      <c r="D61" s="20" t="n"/>
      <c r="E61" s="20" t="n"/>
      <c r="F61" s="21">
        <f>IF(E61&lt;&gt;"",E61,IFERROR(INDEX(Mieterwechsel!$H$9:$H$28,MATCH(A61,Mieterwechsel!$A$9:$A$28,0)),""))</f>
        <v/>
      </c>
      <c r="G61" s="22" t="n"/>
      <c r="H61" s="22" t="n"/>
      <c r="I61" s="22" t="n"/>
      <c r="J61" s="16" t="n"/>
      <c r="K61" s="18" t="n"/>
      <c r="L61" s="17" t="n"/>
      <c r="M61" s="20" t="n"/>
      <c r="N61" s="23">
        <f>IF(C61="","",IF(AND(F61&lt;&gt;"",F61&lt;TODAY()),"beendet",IF(AND(D61&lt;&gt;"",D61&gt;TODAY()),"künftig","aktiv")))</f>
        <v/>
      </c>
      <c r="O61" s="23">
        <f>IF(C61="","",IF(B61="","Einheit fehlt",IF(ISNA(MATCH(B61,$A$11:$A$40,0)),"Einheit unbekannt",IF(AND(D61&lt;&gt;"",F61&lt;&gt;"",F61&lt;D61),"Ende vor Beginn",IF(R61&gt;0,"Überschneidung mit anderem Mieter","")))))</f>
        <v/>
      </c>
      <c r="P61">
        <f>IF(C61="","",IF(D61="",1,D61))</f>
        <v/>
      </c>
      <c r="Q61">
        <f>IF(C61="","",IF(F61="",401768,F61))</f>
        <v/>
      </c>
      <c r="R61">
        <f>IF(C61="",0,COUNTIFS($B$45:$B$104,B61,$P$45:$P$104,"&lt;="&amp;Q61,$Q$45:$Q$104,"&gt;="&amp;P61)-1)</f>
        <v/>
      </c>
    </row>
    <row r="62">
      <c r="A62" s="10" t="n">
        <v>18</v>
      </c>
      <c r="B62" s="16" t="n"/>
      <c r="C62" s="16" t="n"/>
      <c r="D62" s="20" t="n"/>
      <c r="E62" s="20" t="n"/>
      <c r="F62" s="21">
        <f>IF(E62&lt;&gt;"",E62,IFERROR(INDEX(Mieterwechsel!$H$9:$H$28,MATCH(A62,Mieterwechsel!$A$9:$A$28,0)),""))</f>
        <v/>
      </c>
      <c r="G62" s="22" t="n"/>
      <c r="H62" s="22" t="n"/>
      <c r="I62" s="22" t="n"/>
      <c r="J62" s="16" t="n"/>
      <c r="K62" s="18" t="n"/>
      <c r="L62" s="17" t="n"/>
      <c r="M62" s="20" t="n"/>
      <c r="N62" s="23">
        <f>IF(C62="","",IF(AND(F62&lt;&gt;"",F62&lt;TODAY()),"beendet",IF(AND(D62&lt;&gt;"",D62&gt;TODAY()),"künftig","aktiv")))</f>
        <v/>
      </c>
      <c r="O62" s="23">
        <f>IF(C62="","",IF(B62="","Einheit fehlt",IF(ISNA(MATCH(B62,$A$11:$A$40,0)),"Einheit unbekannt",IF(AND(D62&lt;&gt;"",F62&lt;&gt;"",F62&lt;D62),"Ende vor Beginn",IF(R62&gt;0,"Überschneidung mit anderem Mieter","")))))</f>
        <v/>
      </c>
      <c r="P62">
        <f>IF(C62="","",IF(D62="",1,D62))</f>
        <v/>
      </c>
      <c r="Q62">
        <f>IF(C62="","",IF(F62="",401768,F62))</f>
        <v/>
      </c>
      <c r="R62">
        <f>IF(C62="",0,COUNTIFS($B$45:$B$104,B62,$P$45:$P$104,"&lt;="&amp;Q62,$Q$45:$Q$104,"&gt;="&amp;P62)-1)</f>
        <v/>
      </c>
    </row>
    <row r="63">
      <c r="A63" s="10" t="n">
        <v>19</v>
      </c>
      <c r="B63" s="16" t="n"/>
      <c r="C63" s="16" t="n"/>
      <c r="D63" s="20" t="n"/>
      <c r="E63" s="20" t="n"/>
      <c r="F63" s="21">
        <f>IF(E63&lt;&gt;"",E63,IFERROR(INDEX(Mieterwechsel!$H$9:$H$28,MATCH(A63,Mieterwechsel!$A$9:$A$28,0)),""))</f>
        <v/>
      </c>
      <c r="G63" s="22" t="n"/>
      <c r="H63" s="22" t="n"/>
      <c r="I63" s="22" t="n"/>
      <c r="J63" s="16" t="n"/>
      <c r="K63" s="18" t="n"/>
      <c r="L63" s="17" t="n"/>
      <c r="M63" s="20" t="n"/>
      <c r="N63" s="23">
        <f>IF(C63="","",IF(AND(F63&lt;&gt;"",F63&lt;TODAY()),"beendet",IF(AND(D63&lt;&gt;"",D63&gt;TODAY()),"künftig","aktiv")))</f>
        <v/>
      </c>
      <c r="O63" s="23">
        <f>IF(C63="","",IF(B63="","Einheit fehlt",IF(ISNA(MATCH(B63,$A$11:$A$40,0)),"Einheit unbekannt",IF(AND(D63&lt;&gt;"",F63&lt;&gt;"",F63&lt;D63),"Ende vor Beginn",IF(R63&gt;0,"Überschneidung mit anderem Mieter","")))))</f>
        <v/>
      </c>
      <c r="P63">
        <f>IF(C63="","",IF(D63="",1,D63))</f>
        <v/>
      </c>
      <c r="Q63">
        <f>IF(C63="","",IF(F63="",401768,F63))</f>
        <v/>
      </c>
      <c r="R63">
        <f>IF(C63="",0,COUNTIFS($B$45:$B$104,B63,$P$45:$P$104,"&lt;="&amp;Q63,$Q$45:$Q$104,"&gt;="&amp;P63)-1)</f>
        <v/>
      </c>
    </row>
    <row r="64">
      <c r="A64" s="10" t="n">
        <v>20</v>
      </c>
      <c r="B64" s="16" t="n"/>
      <c r="C64" s="16" t="n"/>
      <c r="D64" s="20" t="n"/>
      <c r="E64" s="20" t="n"/>
      <c r="F64" s="21">
        <f>IF(E64&lt;&gt;"",E64,IFERROR(INDEX(Mieterwechsel!$H$9:$H$28,MATCH(A64,Mieterwechsel!$A$9:$A$28,0)),""))</f>
        <v/>
      </c>
      <c r="G64" s="22" t="n"/>
      <c r="H64" s="22" t="n"/>
      <c r="I64" s="22" t="n"/>
      <c r="J64" s="16" t="n"/>
      <c r="K64" s="18" t="n"/>
      <c r="L64" s="17" t="n"/>
      <c r="M64" s="20" t="n"/>
      <c r="N64" s="23">
        <f>IF(C64="","",IF(AND(F64&lt;&gt;"",F64&lt;TODAY()),"beendet",IF(AND(D64&lt;&gt;"",D64&gt;TODAY()),"künftig","aktiv")))</f>
        <v/>
      </c>
      <c r="O64" s="23">
        <f>IF(C64="","",IF(B64="","Einheit fehlt",IF(ISNA(MATCH(B64,$A$11:$A$40,0)),"Einheit unbekannt",IF(AND(D64&lt;&gt;"",F64&lt;&gt;"",F64&lt;D64),"Ende vor Beginn",IF(R64&gt;0,"Überschneidung mit anderem Mieter","")))))</f>
        <v/>
      </c>
      <c r="P64">
        <f>IF(C64="","",IF(D64="",1,D64))</f>
        <v/>
      </c>
      <c r="Q64">
        <f>IF(C64="","",IF(F64="",401768,F64))</f>
        <v/>
      </c>
      <c r="R64">
        <f>IF(C64="",0,COUNTIFS($B$45:$B$104,B64,$P$45:$P$104,"&lt;="&amp;Q64,$Q$45:$Q$104,"&gt;="&amp;P64)-1)</f>
        <v/>
      </c>
    </row>
    <row r="65">
      <c r="A65" s="10" t="n">
        <v>21</v>
      </c>
      <c r="B65" s="16" t="n"/>
      <c r="C65" s="16" t="n"/>
      <c r="D65" s="20" t="n"/>
      <c r="E65" s="20" t="n"/>
      <c r="F65" s="21">
        <f>IF(E65&lt;&gt;"",E65,IFERROR(INDEX(Mieterwechsel!$H$9:$H$28,MATCH(A65,Mieterwechsel!$A$9:$A$28,0)),""))</f>
        <v/>
      </c>
      <c r="G65" s="22" t="n"/>
      <c r="H65" s="22" t="n"/>
      <c r="I65" s="22" t="n"/>
      <c r="J65" s="16" t="n"/>
      <c r="K65" s="18" t="n"/>
      <c r="L65" s="17" t="n"/>
      <c r="M65" s="20" t="n"/>
      <c r="N65" s="23">
        <f>IF(C65="","",IF(AND(F65&lt;&gt;"",F65&lt;TODAY()),"beendet",IF(AND(D65&lt;&gt;"",D65&gt;TODAY()),"künftig","aktiv")))</f>
        <v/>
      </c>
      <c r="O65" s="23">
        <f>IF(C65="","",IF(B65="","Einheit fehlt",IF(ISNA(MATCH(B65,$A$11:$A$40,0)),"Einheit unbekannt",IF(AND(D65&lt;&gt;"",F65&lt;&gt;"",F65&lt;D65),"Ende vor Beginn",IF(R65&gt;0,"Überschneidung mit anderem Mieter","")))))</f>
        <v/>
      </c>
      <c r="P65">
        <f>IF(C65="","",IF(D65="",1,D65))</f>
        <v/>
      </c>
      <c r="Q65">
        <f>IF(C65="","",IF(F65="",401768,F65))</f>
        <v/>
      </c>
      <c r="R65">
        <f>IF(C65="",0,COUNTIFS($B$45:$B$104,B65,$P$45:$P$104,"&lt;="&amp;Q65,$Q$45:$Q$104,"&gt;="&amp;P65)-1)</f>
        <v/>
      </c>
    </row>
    <row r="66">
      <c r="A66" s="10" t="n">
        <v>22</v>
      </c>
      <c r="B66" s="16" t="n"/>
      <c r="C66" s="16" t="n"/>
      <c r="D66" s="20" t="n"/>
      <c r="E66" s="20" t="n"/>
      <c r="F66" s="21">
        <f>IF(E66&lt;&gt;"",E66,IFERROR(INDEX(Mieterwechsel!$H$9:$H$28,MATCH(A66,Mieterwechsel!$A$9:$A$28,0)),""))</f>
        <v/>
      </c>
      <c r="G66" s="22" t="n"/>
      <c r="H66" s="22" t="n"/>
      <c r="I66" s="22" t="n"/>
      <c r="J66" s="16" t="n"/>
      <c r="K66" s="18" t="n"/>
      <c r="L66" s="17" t="n"/>
      <c r="M66" s="20" t="n"/>
      <c r="N66" s="23">
        <f>IF(C66="","",IF(AND(F66&lt;&gt;"",F66&lt;TODAY()),"beendet",IF(AND(D66&lt;&gt;"",D66&gt;TODAY()),"künftig","aktiv")))</f>
        <v/>
      </c>
      <c r="O66" s="23">
        <f>IF(C66="","",IF(B66="","Einheit fehlt",IF(ISNA(MATCH(B66,$A$11:$A$40,0)),"Einheit unbekannt",IF(AND(D66&lt;&gt;"",F66&lt;&gt;"",F66&lt;D66),"Ende vor Beginn",IF(R66&gt;0,"Überschneidung mit anderem Mieter","")))))</f>
        <v/>
      </c>
      <c r="P66">
        <f>IF(C66="","",IF(D66="",1,D66))</f>
        <v/>
      </c>
      <c r="Q66">
        <f>IF(C66="","",IF(F66="",401768,F66))</f>
        <v/>
      </c>
      <c r="R66">
        <f>IF(C66="",0,COUNTIFS($B$45:$B$104,B66,$P$45:$P$104,"&lt;="&amp;Q66,$Q$45:$Q$104,"&gt;="&amp;P66)-1)</f>
        <v/>
      </c>
    </row>
    <row r="67">
      <c r="A67" s="10" t="n">
        <v>23</v>
      </c>
      <c r="B67" s="16" t="n"/>
      <c r="C67" s="16" t="n"/>
      <c r="D67" s="20" t="n"/>
      <c r="E67" s="20" t="n"/>
      <c r="F67" s="21">
        <f>IF(E67&lt;&gt;"",E67,IFERROR(INDEX(Mieterwechsel!$H$9:$H$28,MATCH(A67,Mieterwechsel!$A$9:$A$28,0)),""))</f>
        <v/>
      </c>
      <c r="G67" s="22" t="n"/>
      <c r="H67" s="22" t="n"/>
      <c r="I67" s="22" t="n"/>
      <c r="J67" s="16" t="n"/>
      <c r="K67" s="18" t="n"/>
      <c r="L67" s="17" t="n"/>
      <c r="M67" s="20" t="n"/>
      <c r="N67" s="23">
        <f>IF(C67="","",IF(AND(F67&lt;&gt;"",F67&lt;TODAY()),"beendet",IF(AND(D67&lt;&gt;"",D67&gt;TODAY()),"künftig","aktiv")))</f>
        <v/>
      </c>
      <c r="O67" s="23">
        <f>IF(C67="","",IF(B67="","Einheit fehlt",IF(ISNA(MATCH(B67,$A$11:$A$40,0)),"Einheit unbekannt",IF(AND(D67&lt;&gt;"",F67&lt;&gt;"",F67&lt;D67),"Ende vor Beginn",IF(R67&gt;0,"Überschneidung mit anderem Mieter","")))))</f>
        <v/>
      </c>
      <c r="P67">
        <f>IF(C67="","",IF(D67="",1,D67))</f>
        <v/>
      </c>
      <c r="Q67">
        <f>IF(C67="","",IF(F67="",401768,F67))</f>
        <v/>
      </c>
      <c r="R67">
        <f>IF(C67="",0,COUNTIFS($B$45:$B$104,B67,$P$45:$P$104,"&lt;="&amp;Q67,$Q$45:$Q$104,"&gt;="&amp;P67)-1)</f>
        <v/>
      </c>
    </row>
    <row r="68">
      <c r="A68" s="10" t="n">
        <v>24</v>
      </c>
      <c r="B68" s="16" t="n"/>
      <c r="C68" s="16" t="n"/>
      <c r="D68" s="20" t="n"/>
      <c r="E68" s="20" t="n"/>
      <c r="F68" s="21">
        <f>IF(E68&lt;&gt;"",E68,IFERROR(INDEX(Mieterwechsel!$H$9:$H$28,MATCH(A68,Mieterwechsel!$A$9:$A$28,0)),""))</f>
        <v/>
      </c>
      <c r="G68" s="22" t="n"/>
      <c r="H68" s="22" t="n"/>
      <c r="I68" s="22" t="n"/>
      <c r="J68" s="16" t="n"/>
      <c r="K68" s="18" t="n"/>
      <c r="L68" s="17" t="n"/>
      <c r="M68" s="20" t="n"/>
      <c r="N68" s="23">
        <f>IF(C68="","",IF(AND(F68&lt;&gt;"",F68&lt;TODAY()),"beendet",IF(AND(D68&lt;&gt;"",D68&gt;TODAY()),"künftig","aktiv")))</f>
        <v/>
      </c>
      <c r="O68" s="23">
        <f>IF(C68="","",IF(B68="","Einheit fehlt",IF(ISNA(MATCH(B68,$A$11:$A$40,0)),"Einheit unbekannt",IF(AND(D68&lt;&gt;"",F68&lt;&gt;"",F68&lt;D68),"Ende vor Beginn",IF(R68&gt;0,"Überschneidung mit anderem Mieter","")))))</f>
        <v/>
      </c>
      <c r="P68">
        <f>IF(C68="","",IF(D68="",1,D68))</f>
        <v/>
      </c>
      <c r="Q68">
        <f>IF(C68="","",IF(F68="",401768,F68))</f>
        <v/>
      </c>
      <c r="R68">
        <f>IF(C68="",0,COUNTIFS($B$45:$B$104,B68,$P$45:$P$104,"&lt;="&amp;Q68,$Q$45:$Q$104,"&gt;="&amp;P68)-1)</f>
        <v/>
      </c>
    </row>
    <row r="69">
      <c r="A69" s="10" t="n">
        <v>25</v>
      </c>
      <c r="B69" s="16" t="n"/>
      <c r="C69" s="16" t="n"/>
      <c r="D69" s="20" t="n"/>
      <c r="E69" s="20" t="n"/>
      <c r="F69" s="21">
        <f>IF(E69&lt;&gt;"",E69,IFERROR(INDEX(Mieterwechsel!$H$9:$H$28,MATCH(A69,Mieterwechsel!$A$9:$A$28,0)),""))</f>
        <v/>
      </c>
      <c r="G69" s="22" t="n"/>
      <c r="H69" s="22" t="n"/>
      <c r="I69" s="22" t="n"/>
      <c r="J69" s="16" t="n"/>
      <c r="K69" s="18" t="n"/>
      <c r="L69" s="17" t="n"/>
      <c r="M69" s="20" t="n"/>
      <c r="N69" s="23">
        <f>IF(C69="","",IF(AND(F69&lt;&gt;"",F69&lt;TODAY()),"beendet",IF(AND(D69&lt;&gt;"",D69&gt;TODAY()),"künftig","aktiv")))</f>
        <v/>
      </c>
      <c r="O69" s="23">
        <f>IF(C69="","",IF(B69="","Einheit fehlt",IF(ISNA(MATCH(B69,$A$11:$A$40,0)),"Einheit unbekannt",IF(AND(D69&lt;&gt;"",F69&lt;&gt;"",F69&lt;D69),"Ende vor Beginn",IF(R69&gt;0,"Überschneidung mit anderem Mieter","")))))</f>
        <v/>
      </c>
      <c r="P69">
        <f>IF(C69="","",IF(D69="",1,D69))</f>
        <v/>
      </c>
      <c r="Q69">
        <f>IF(C69="","",IF(F69="",401768,F69))</f>
        <v/>
      </c>
      <c r="R69">
        <f>IF(C69="",0,COUNTIFS($B$45:$B$104,B69,$P$45:$P$104,"&lt;="&amp;Q69,$Q$45:$Q$104,"&gt;="&amp;P69)-1)</f>
        <v/>
      </c>
    </row>
    <row r="70">
      <c r="A70" s="10" t="n">
        <v>26</v>
      </c>
      <c r="B70" s="16" t="n"/>
      <c r="C70" s="16" t="n"/>
      <c r="D70" s="20" t="n"/>
      <c r="E70" s="20" t="n"/>
      <c r="F70" s="21">
        <f>IF(E70&lt;&gt;"",E70,IFERROR(INDEX(Mieterwechsel!$H$9:$H$28,MATCH(A70,Mieterwechsel!$A$9:$A$28,0)),""))</f>
        <v/>
      </c>
      <c r="G70" s="22" t="n"/>
      <c r="H70" s="22" t="n"/>
      <c r="I70" s="22" t="n"/>
      <c r="J70" s="16" t="n"/>
      <c r="K70" s="18" t="n"/>
      <c r="L70" s="17" t="n"/>
      <c r="M70" s="20" t="n"/>
      <c r="N70" s="23">
        <f>IF(C70="","",IF(AND(F70&lt;&gt;"",F70&lt;TODAY()),"beendet",IF(AND(D70&lt;&gt;"",D70&gt;TODAY()),"künftig","aktiv")))</f>
        <v/>
      </c>
      <c r="O70" s="23">
        <f>IF(C70="","",IF(B70="","Einheit fehlt",IF(ISNA(MATCH(B70,$A$11:$A$40,0)),"Einheit unbekannt",IF(AND(D70&lt;&gt;"",F70&lt;&gt;"",F70&lt;D70),"Ende vor Beginn",IF(R70&gt;0,"Überschneidung mit anderem Mieter","")))))</f>
        <v/>
      </c>
      <c r="P70">
        <f>IF(C70="","",IF(D70="",1,D70))</f>
        <v/>
      </c>
      <c r="Q70">
        <f>IF(C70="","",IF(F70="",401768,F70))</f>
        <v/>
      </c>
      <c r="R70">
        <f>IF(C70="",0,COUNTIFS($B$45:$B$104,B70,$P$45:$P$104,"&lt;="&amp;Q70,$Q$45:$Q$104,"&gt;="&amp;P70)-1)</f>
        <v/>
      </c>
    </row>
    <row r="71">
      <c r="A71" s="10" t="n">
        <v>27</v>
      </c>
      <c r="B71" s="16" t="n"/>
      <c r="C71" s="16" t="n"/>
      <c r="D71" s="20" t="n"/>
      <c r="E71" s="20" t="n"/>
      <c r="F71" s="21">
        <f>IF(E71&lt;&gt;"",E71,IFERROR(INDEX(Mieterwechsel!$H$9:$H$28,MATCH(A71,Mieterwechsel!$A$9:$A$28,0)),""))</f>
        <v/>
      </c>
      <c r="G71" s="22" t="n"/>
      <c r="H71" s="22" t="n"/>
      <c r="I71" s="22" t="n"/>
      <c r="J71" s="16" t="n"/>
      <c r="K71" s="18" t="n"/>
      <c r="L71" s="17" t="n"/>
      <c r="M71" s="20" t="n"/>
      <c r="N71" s="23">
        <f>IF(C71="","",IF(AND(F71&lt;&gt;"",F71&lt;TODAY()),"beendet",IF(AND(D71&lt;&gt;"",D71&gt;TODAY()),"künftig","aktiv")))</f>
        <v/>
      </c>
      <c r="O71" s="23">
        <f>IF(C71="","",IF(B71="","Einheit fehlt",IF(ISNA(MATCH(B71,$A$11:$A$40,0)),"Einheit unbekannt",IF(AND(D71&lt;&gt;"",F71&lt;&gt;"",F71&lt;D71),"Ende vor Beginn",IF(R71&gt;0,"Überschneidung mit anderem Mieter","")))))</f>
        <v/>
      </c>
      <c r="P71">
        <f>IF(C71="","",IF(D71="",1,D71))</f>
        <v/>
      </c>
      <c r="Q71">
        <f>IF(C71="","",IF(F71="",401768,F71))</f>
        <v/>
      </c>
      <c r="R71">
        <f>IF(C71="",0,COUNTIFS($B$45:$B$104,B71,$P$45:$P$104,"&lt;="&amp;Q71,$Q$45:$Q$104,"&gt;="&amp;P71)-1)</f>
        <v/>
      </c>
    </row>
    <row r="72">
      <c r="A72" s="10" t="n">
        <v>28</v>
      </c>
      <c r="B72" s="16" t="n"/>
      <c r="C72" s="16" t="n"/>
      <c r="D72" s="20" t="n"/>
      <c r="E72" s="20" t="n"/>
      <c r="F72" s="21">
        <f>IF(E72&lt;&gt;"",E72,IFERROR(INDEX(Mieterwechsel!$H$9:$H$28,MATCH(A72,Mieterwechsel!$A$9:$A$28,0)),""))</f>
        <v/>
      </c>
      <c r="G72" s="22" t="n"/>
      <c r="H72" s="22" t="n"/>
      <c r="I72" s="22" t="n"/>
      <c r="J72" s="16" t="n"/>
      <c r="K72" s="18" t="n"/>
      <c r="L72" s="17" t="n"/>
      <c r="M72" s="20" t="n"/>
      <c r="N72" s="23">
        <f>IF(C72="","",IF(AND(F72&lt;&gt;"",F72&lt;TODAY()),"beendet",IF(AND(D72&lt;&gt;"",D72&gt;TODAY()),"künftig","aktiv")))</f>
        <v/>
      </c>
      <c r="O72" s="23">
        <f>IF(C72="","",IF(B72="","Einheit fehlt",IF(ISNA(MATCH(B72,$A$11:$A$40,0)),"Einheit unbekannt",IF(AND(D72&lt;&gt;"",F72&lt;&gt;"",F72&lt;D72),"Ende vor Beginn",IF(R72&gt;0,"Überschneidung mit anderem Mieter","")))))</f>
        <v/>
      </c>
      <c r="P72">
        <f>IF(C72="","",IF(D72="",1,D72))</f>
        <v/>
      </c>
      <c r="Q72">
        <f>IF(C72="","",IF(F72="",401768,F72))</f>
        <v/>
      </c>
      <c r="R72">
        <f>IF(C72="",0,COUNTIFS($B$45:$B$104,B72,$P$45:$P$104,"&lt;="&amp;Q72,$Q$45:$Q$104,"&gt;="&amp;P72)-1)</f>
        <v/>
      </c>
    </row>
    <row r="73">
      <c r="A73" s="10" t="n">
        <v>29</v>
      </c>
      <c r="B73" s="16" t="n"/>
      <c r="C73" s="16" t="n"/>
      <c r="D73" s="20" t="n"/>
      <c r="E73" s="20" t="n"/>
      <c r="F73" s="21">
        <f>IF(E73&lt;&gt;"",E73,IFERROR(INDEX(Mieterwechsel!$H$9:$H$28,MATCH(A73,Mieterwechsel!$A$9:$A$28,0)),""))</f>
        <v/>
      </c>
      <c r="G73" s="22" t="n"/>
      <c r="H73" s="22" t="n"/>
      <c r="I73" s="22" t="n"/>
      <c r="J73" s="16" t="n"/>
      <c r="K73" s="18" t="n"/>
      <c r="L73" s="17" t="n"/>
      <c r="M73" s="20" t="n"/>
      <c r="N73" s="23">
        <f>IF(C73="","",IF(AND(F73&lt;&gt;"",F73&lt;TODAY()),"beendet",IF(AND(D73&lt;&gt;"",D73&gt;TODAY()),"künftig","aktiv")))</f>
        <v/>
      </c>
      <c r="O73" s="23">
        <f>IF(C73="","",IF(B73="","Einheit fehlt",IF(ISNA(MATCH(B73,$A$11:$A$40,0)),"Einheit unbekannt",IF(AND(D73&lt;&gt;"",F73&lt;&gt;"",F73&lt;D73),"Ende vor Beginn",IF(R73&gt;0,"Überschneidung mit anderem Mieter","")))))</f>
        <v/>
      </c>
      <c r="P73">
        <f>IF(C73="","",IF(D73="",1,D73))</f>
        <v/>
      </c>
      <c r="Q73">
        <f>IF(C73="","",IF(F73="",401768,F73))</f>
        <v/>
      </c>
      <c r="R73">
        <f>IF(C73="",0,COUNTIFS($B$45:$B$104,B73,$P$45:$P$104,"&lt;="&amp;Q73,$Q$45:$Q$104,"&gt;="&amp;P73)-1)</f>
        <v/>
      </c>
    </row>
    <row r="74">
      <c r="A74" s="10" t="n">
        <v>30</v>
      </c>
      <c r="B74" s="16" t="n"/>
      <c r="C74" s="16" t="n"/>
      <c r="D74" s="20" t="n"/>
      <c r="E74" s="20" t="n"/>
      <c r="F74" s="21">
        <f>IF(E74&lt;&gt;"",E74,IFERROR(INDEX(Mieterwechsel!$H$9:$H$28,MATCH(A74,Mieterwechsel!$A$9:$A$28,0)),""))</f>
        <v/>
      </c>
      <c r="G74" s="22" t="n"/>
      <c r="H74" s="22" t="n"/>
      <c r="I74" s="22" t="n"/>
      <c r="J74" s="16" t="n"/>
      <c r="K74" s="18" t="n"/>
      <c r="L74" s="17" t="n"/>
      <c r="M74" s="20" t="n"/>
      <c r="N74" s="23">
        <f>IF(C74="","",IF(AND(F74&lt;&gt;"",F74&lt;TODAY()),"beendet",IF(AND(D74&lt;&gt;"",D74&gt;TODAY()),"künftig","aktiv")))</f>
        <v/>
      </c>
      <c r="O74" s="23">
        <f>IF(C74="","",IF(B74="","Einheit fehlt",IF(ISNA(MATCH(B74,$A$11:$A$40,0)),"Einheit unbekannt",IF(AND(D74&lt;&gt;"",F74&lt;&gt;"",F74&lt;D74),"Ende vor Beginn",IF(R74&gt;0,"Überschneidung mit anderem Mieter","")))))</f>
        <v/>
      </c>
      <c r="P74">
        <f>IF(C74="","",IF(D74="",1,D74))</f>
        <v/>
      </c>
      <c r="Q74">
        <f>IF(C74="","",IF(F74="",401768,F74))</f>
        <v/>
      </c>
      <c r="R74">
        <f>IF(C74="",0,COUNTIFS($B$45:$B$104,B74,$P$45:$P$104,"&lt;="&amp;Q74,$Q$45:$Q$104,"&gt;="&amp;P74)-1)</f>
        <v/>
      </c>
    </row>
    <row r="75">
      <c r="A75" s="10" t="n">
        <v>31</v>
      </c>
      <c r="B75" s="16" t="n"/>
      <c r="C75" s="16" t="n"/>
      <c r="D75" s="20" t="n"/>
      <c r="E75" s="20" t="n"/>
      <c r="F75" s="21">
        <f>IF(E75&lt;&gt;"",E75,IFERROR(INDEX(Mieterwechsel!$H$9:$H$28,MATCH(A75,Mieterwechsel!$A$9:$A$28,0)),""))</f>
        <v/>
      </c>
      <c r="G75" s="22" t="n"/>
      <c r="H75" s="22" t="n"/>
      <c r="I75" s="22" t="n"/>
      <c r="J75" s="16" t="n"/>
      <c r="K75" s="18" t="n"/>
      <c r="L75" s="17" t="n"/>
      <c r="M75" s="20" t="n"/>
      <c r="N75" s="23">
        <f>IF(C75="","",IF(AND(F75&lt;&gt;"",F75&lt;TODAY()),"beendet",IF(AND(D75&lt;&gt;"",D75&gt;TODAY()),"künftig","aktiv")))</f>
        <v/>
      </c>
      <c r="O75" s="23">
        <f>IF(C75="","",IF(B75="","Einheit fehlt",IF(ISNA(MATCH(B75,$A$11:$A$40,0)),"Einheit unbekannt",IF(AND(D75&lt;&gt;"",F75&lt;&gt;"",F75&lt;D75),"Ende vor Beginn",IF(R75&gt;0,"Überschneidung mit anderem Mieter","")))))</f>
        <v/>
      </c>
      <c r="P75">
        <f>IF(C75="","",IF(D75="",1,D75))</f>
        <v/>
      </c>
      <c r="Q75">
        <f>IF(C75="","",IF(F75="",401768,F75))</f>
        <v/>
      </c>
      <c r="R75">
        <f>IF(C75="",0,COUNTIFS($B$45:$B$104,B75,$P$45:$P$104,"&lt;="&amp;Q75,$Q$45:$Q$104,"&gt;="&amp;P75)-1)</f>
        <v/>
      </c>
    </row>
    <row r="76">
      <c r="A76" s="10" t="n">
        <v>32</v>
      </c>
      <c r="B76" s="16" t="n"/>
      <c r="C76" s="16" t="n"/>
      <c r="D76" s="20" t="n"/>
      <c r="E76" s="20" t="n"/>
      <c r="F76" s="21">
        <f>IF(E76&lt;&gt;"",E76,IFERROR(INDEX(Mieterwechsel!$H$9:$H$28,MATCH(A76,Mieterwechsel!$A$9:$A$28,0)),""))</f>
        <v/>
      </c>
      <c r="G76" s="22" t="n"/>
      <c r="H76" s="22" t="n"/>
      <c r="I76" s="22" t="n"/>
      <c r="J76" s="16" t="n"/>
      <c r="K76" s="18" t="n"/>
      <c r="L76" s="17" t="n"/>
      <c r="M76" s="20" t="n"/>
      <c r="N76" s="23">
        <f>IF(C76="","",IF(AND(F76&lt;&gt;"",F76&lt;TODAY()),"beendet",IF(AND(D76&lt;&gt;"",D76&gt;TODAY()),"künftig","aktiv")))</f>
        <v/>
      </c>
      <c r="O76" s="23">
        <f>IF(C76="","",IF(B76="","Einheit fehlt",IF(ISNA(MATCH(B76,$A$11:$A$40,0)),"Einheit unbekannt",IF(AND(D76&lt;&gt;"",F76&lt;&gt;"",F76&lt;D76),"Ende vor Beginn",IF(R76&gt;0,"Überschneidung mit anderem Mieter","")))))</f>
        <v/>
      </c>
      <c r="P76">
        <f>IF(C76="","",IF(D76="",1,D76))</f>
        <v/>
      </c>
      <c r="Q76">
        <f>IF(C76="","",IF(F76="",401768,F76))</f>
        <v/>
      </c>
      <c r="R76">
        <f>IF(C76="",0,COUNTIFS($B$45:$B$104,B76,$P$45:$P$104,"&lt;="&amp;Q76,$Q$45:$Q$104,"&gt;="&amp;P76)-1)</f>
        <v/>
      </c>
    </row>
    <row r="77">
      <c r="A77" s="10" t="n">
        <v>33</v>
      </c>
      <c r="B77" s="16" t="n"/>
      <c r="C77" s="16" t="n"/>
      <c r="D77" s="20" t="n"/>
      <c r="E77" s="20" t="n"/>
      <c r="F77" s="21">
        <f>IF(E77&lt;&gt;"",E77,IFERROR(INDEX(Mieterwechsel!$H$9:$H$28,MATCH(A77,Mieterwechsel!$A$9:$A$28,0)),""))</f>
        <v/>
      </c>
      <c r="G77" s="22" t="n"/>
      <c r="H77" s="22" t="n"/>
      <c r="I77" s="22" t="n"/>
      <c r="J77" s="16" t="n"/>
      <c r="K77" s="18" t="n"/>
      <c r="L77" s="17" t="n"/>
      <c r="M77" s="20" t="n"/>
      <c r="N77" s="23">
        <f>IF(C77="","",IF(AND(F77&lt;&gt;"",F77&lt;TODAY()),"beendet",IF(AND(D77&lt;&gt;"",D77&gt;TODAY()),"künftig","aktiv")))</f>
        <v/>
      </c>
      <c r="O77" s="23">
        <f>IF(C77="","",IF(B77="","Einheit fehlt",IF(ISNA(MATCH(B77,$A$11:$A$40,0)),"Einheit unbekannt",IF(AND(D77&lt;&gt;"",F77&lt;&gt;"",F77&lt;D77),"Ende vor Beginn",IF(R77&gt;0,"Überschneidung mit anderem Mieter","")))))</f>
        <v/>
      </c>
      <c r="P77">
        <f>IF(C77="","",IF(D77="",1,D77))</f>
        <v/>
      </c>
      <c r="Q77">
        <f>IF(C77="","",IF(F77="",401768,F77))</f>
        <v/>
      </c>
      <c r="R77">
        <f>IF(C77="",0,COUNTIFS($B$45:$B$104,B77,$P$45:$P$104,"&lt;="&amp;Q77,$Q$45:$Q$104,"&gt;="&amp;P77)-1)</f>
        <v/>
      </c>
    </row>
    <row r="78">
      <c r="A78" s="10" t="n">
        <v>34</v>
      </c>
      <c r="B78" s="16" t="n"/>
      <c r="C78" s="16" t="n"/>
      <c r="D78" s="20" t="n"/>
      <c r="E78" s="20" t="n"/>
      <c r="F78" s="21">
        <f>IF(E78&lt;&gt;"",E78,IFERROR(INDEX(Mieterwechsel!$H$9:$H$28,MATCH(A78,Mieterwechsel!$A$9:$A$28,0)),""))</f>
        <v/>
      </c>
      <c r="G78" s="22" t="n"/>
      <c r="H78" s="22" t="n"/>
      <c r="I78" s="22" t="n"/>
      <c r="J78" s="16" t="n"/>
      <c r="K78" s="18" t="n"/>
      <c r="L78" s="17" t="n"/>
      <c r="M78" s="20" t="n"/>
      <c r="N78" s="23">
        <f>IF(C78="","",IF(AND(F78&lt;&gt;"",F78&lt;TODAY()),"beendet",IF(AND(D78&lt;&gt;"",D78&gt;TODAY()),"künftig","aktiv")))</f>
        <v/>
      </c>
      <c r="O78" s="23">
        <f>IF(C78="","",IF(B78="","Einheit fehlt",IF(ISNA(MATCH(B78,$A$11:$A$40,0)),"Einheit unbekannt",IF(AND(D78&lt;&gt;"",F78&lt;&gt;"",F78&lt;D78),"Ende vor Beginn",IF(R78&gt;0,"Überschneidung mit anderem Mieter","")))))</f>
        <v/>
      </c>
      <c r="P78">
        <f>IF(C78="","",IF(D78="",1,D78))</f>
        <v/>
      </c>
      <c r="Q78">
        <f>IF(C78="","",IF(F78="",401768,F78))</f>
        <v/>
      </c>
      <c r="R78">
        <f>IF(C78="",0,COUNTIFS($B$45:$B$104,B78,$P$45:$P$104,"&lt;="&amp;Q78,$Q$45:$Q$104,"&gt;="&amp;P78)-1)</f>
        <v/>
      </c>
    </row>
    <row r="79">
      <c r="A79" s="10" t="n">
        <v>35</v>
      </c>
      <c r="B79" s="16" t="n"/>
      <c r="C79" s="16" t="n"/>
      <c r="D79" s="20" t="n"/>
      <c r="E79" s="20" t="n"/>
      <c r="F79" s="21">
        <f>IF(E79&lt;&gt;"",E79,IFERROR(INDEX(Mieterwechsel!$H$9:$H$28,MATCH(A79,Mieterwechsel!$A$9:$A$28,0)),""))</f>
        <v/>
      </c>
      <c r="G79" s="22" t="n"/>
      <c r="H79" s="22" t="n"/>
      <c r="I79" s="22" t="n"/>
      <c r="J79" s="16" t="n"/>
      <c r="K79" s="18" t="n"/>
      <c r="L79" s="17" t="n"/>
      <c r="M79" s="20" t="n"/>
      <c r="N79" s="23">
        <f>IF(C79="","",IF(AND(F79&lt;&gt;"",F79&lt;TODAY()),"beendet",IF(AND(D79&lt;&gt;"",D79&gt;TODAY()),"künftig","aktiv")))</f>
        <v/>
      </c>
      <c r="O79" s="23">
        <f>IF(C79="","",IF(B79="","Einheit fehlt",IF(ISNA(MATCH(B79,$A$11:$A$40,0)),"Einheit unbekannt",IF(AND(D79&lt;&gt;"",F79&lt;&gt;"",F79&lt;D79),"Ende vor Beginn",IF(R79&gt;0,"Überschneidung mit anderem Mieter","")))))</f>
        <v/>
      </c>
      <c r="P79">
        <f>IF(C79="","",IF(D79="",1,D79))</f>
        <v/>
      </c>
      <c r="Q79">
        <f>IF(C79="","",IF(F79="",401768,F79))</f>
        <v/>
      </c>
      <c r="R79">
        <f>IF(C79="",0,COUNTIFS($B$45:$B$104,B79,$P$45:$P$104,"&lt;="&amp;Q79,$Q$45:$Q$104,"&gt;="&amp;P79)-1)</f>
        <v/>
      </c>
    </row>
    <row r="80">
      <c r="A80" s="10" t="n">
        <v>36</v>
      </c>
      <c r="B80" s="16" t="n"/>
      <c r="C80" s="16" t="n"/>
      <c r="D80" s="20" t="n"/>
      <c r="E80" s="20" t="n"/>
      <c r="F80" s="21">
        <f>IF(E80&lt;&gt;"",E80,IFERROR(INDEX(Mieterwechsel!$H$9:$H$28,MATCH(A80,Mieterwechsel!$A$9:$A$28,0)),""))</f>
        <v/>
      </c>
      <c r="G80" s="22" t="n"/>
      <c r="H80" s="22" t="n"/>
      <c r="I80" s="22" t="n"/>
      <c r="J80" s="16" t="n"/>
      <c r="K80" s="18" t="n"/>
      <c r="L80" s="17" t="n"/>
      <c r="M80" s="20" t="n"/>
      <c r="N80" s="23">
        <f>IF(C80="","",IF(AND(F80&lt;&gt;"",F80&lt;TODAY()),"beendet",IF(AND(D80&lt;&gt;"",D80&gt;TODAY()),"künftig","aktiv")))</f>
        <v/>
      </c>
      <c r="O80" s="23">
        <f>IF(C80="","",IF(B80="","Einheit fehlt",IF(ISNA(MATCH(B80,$A$11:$A$40,0)),"Einheit unbekannt",IF(AND(D80&lt;&gt;"",F80&lt;&gt;"",F80&lt;D80),"Ende vor Beginn",IF(R80&gt;0,"Überschneidung mit anderem Mieter","")))))</f>
        <v/>
      </c>
      <c r="P80">
        <f>IF(C80="","",IF(D80="",1,D80))</f>
        <v/>
      </c>
      <c r="Q80">
        <f>IF(C80="","",IF(F80="",401768,F80))</f>
        <v/>
      </c>
      <c r="R80">
        <f>IF(C80="",0,COUNTIFS($B$45:$B$104,B80,$P$45:$P$104,"&lt;="&amp;Q80,$Q$45:$Q$104,"&gt;="&amp;P80)-1)</f>
        <v/>
      </c>
    </row>
    <row r="81">
      <c r="A81" s="10" t="n">
        <v>37</v>
      </c>
      <c r="B81" s="16" t="n"/>
      <c r="C81" s="16" t="n"/>
      <c r="D81" s="20" t="n"/>
      <c r="E81" s="20" t="n"/>
      <c r="F81" s="21">
        <f>IF(E81&lt;&gt;"",E81,IFERROR(INDEX(Mieterwechsel!$H$9:$H$28,MATCH(A81,Mieterwechsel!$A$9:$A$28,0)),""))</f>
        <v/>
      </c>
      <c r="G81" s="22" t="n"/>
      <c r="H81" s="22" t="n"/>
      <c r="I81" s="22" t="n"/>
      <c r="J81" s="16" t="n"/>
      <c r="K81" s="18" t="n"/>
      <c r="L81" s="17" t="n"/>
      <c r="M81" s="20" t="n"/>
      <c r="N81" s="23">
        <f>IF(C81="","",IF(AND(F81&lt;&gt;"",F81&lt;TODAY()),"beendet",IF(AND(D81&lt;&gt;"",D81&gt;TODAY()),"künftig","aktiv")))</f>
        <v/>
      </c>
      <c r="O81" s="23">
        <f>IF(C81="","",IF(B81="","Einheit fehlt",IF(ISNA(MATCH(B81,$A$11:$A$40,0)),"Einheit unbekannt",IF(AND(D81&lt;&gt;"",F81&lt;&gt;"",F81&lt;D81),"Ende vor Beginn",IF(R81&gt;0,"Überschneidung mit anderem Mieter","")))))</f>
        <v/>
      </c>
      <c r="P81">
        <f>IF(C81="","",IF(D81="",1,D81))</f>
        <v/>
      </c>
      <c r="Q81">
        <f>IF(C81="","",IF(F81="",401768,F81))</f>
        <v/>
      </c>
      <c r="R81">
        <f>IF(C81="",0,COUNTIFS($B$45:$B$104,B81,$P$45:$P$104,"&lt;="&amp;Q81,$Q$45:$Q$104,"&gt;="&amp;P81)-1)</f>
        <v/>
      </c>
    </row>
    <row r="82">
      <c r="A82" s="10" t="n">
        <v>38</v>
      </c>
      <c r="B82" s="16" t="n"/>
      <c r="C82" s="16" t="n"/>
      <c r="D82" s="20" t="n"/>
      <c r="E82" s="20" t="n"/>
      <c r="F82" s="21">
        <f>IF(E82&lt;&gt;"",E82,IFERROR(INDEX(Mieterwechsel!$H$9:$H$28,MATCH(A82,Mieterwechsel!$A$9:$A$28,0)),""))</f>
        <v/>
      </c>
      <c r="G82" s="22" t="n"/>
      <c r="H82" s="22" t="n"/>
      <c r="I82" s="22" t="n"/>
      <c r="J82" s="16" t="n"/>
      <c r="K82" s="18" t="n"/>
      <c r="L82" s="17" t="n"/>
      <c r="M82" s="20" t="n"/>
      <c r="N82" s="23">
        <f>IF(C82="","",IF(AND(F82&lt;&gt;"",F82&lt;TODAY()),"beendet",IF(AND(D82&lt;&gt;"",D82&gt;TODAY()),"künftig","aktiv")))</f>
        <v/>
      </c>
      <c r="O82" s="23">
        <f>IF(C82="","",IF(B82="","Einheit fehlt",IF(ISNA(MATCH(B82,$A$11:$A$40,0)),"Einheit unbekannt",IF(AND(D82&lt;&gt;"",F82&lt;&gt;"",F82&lt;D82),"Ende vor Beginn",IF(R82&gt;0,"Überschneidung mit anderem Mieter","")))))</f>
        <v/>
      </c>
      <c r="P82">
        <f>IF(C82="","",IF(D82="",1,D82))</f>
        <v/>
      </c>
      <c r="Q82">
        <f>IF(C82="","",IF(F82="",401768,F82))</f>
        <v/>
      </c>
      <c r="R82">
        <f>IF(C82="",0,COUNTIFS($B$45:$B$104,B82,$P$45:$P$104,"&lt;="&amp;Q82,$Q$45:$Q$104,"&gt;="&amp;P82)-1)</f>
        <v/>
      </c>
    </row>
    <row r="83">
      <c r="A83" s="10" t="n">
        <v>39</v>
      </c>
      <c r="B83" s="16" t="n"/>
      <c r="C83" s="16" t="n"/>
      <c r="D83" s="20" t="n"/>
      <c r="E83" s="20" t="n"/>
      <c r="F83" s="21">
        <f>IF(E83&lt;&gt;"",E83,IFERROR(INDEX(Mieterwechsel!$H$9:$H$28,MATCH(A83,Mieterwechsel!$A$9:$A$28,0)),""))</f>
        <v/>
      </c>
      <c r="G83" s="22" t="n"/>
      <c r="H83" s="22" t="n"/>
      <c r="I83" s="22" t="n"/>
      <c r="J83" s="16" t="n"/>
      <c r="K83" s="18" t="n"/>
      <c r="L83" s="17" t="n"/>
      <c r="M83" s="20" t="n"/>
      <c r="N83" s="23">
        <f>IF(C83="","",IF(AND(F83&lt;&gt;"",F83&lt;TODAY()),"beendet",IF(AND(D83&lt;&gt;"",D83&gt;TODAY()),"künftig","aktiv")))</f>
        <v/>
      </c>
      <c r="O83" s="23">
        <f>IF(C83="","",IF(B83="","Einheit fehlt",IF(ISNA(MATCH(B83,$A$11:$A$40,0)),"Einheit unbekannt",IF(AND(D83&lt;&gt;"",F83&lt;&gt;"",F83&lt;D83),"Ende vor Beginn",IF(R83&gt;0,"Überschneidung mit anderem Mieter","")))))</f>
        <v/>
      </c>
      <c r="P83">
        <f>IF(C83="","",IF(D83="",1,D83))</f>
        <v/>
      </c>
      <c r="Q83">
        <f>IF(C83="","",IF(F83="",401768,F83))</f>
        <v/>
      </c>
      <c r="R83">
        <f>IF(C83="",0,COUNTIFS($B$45:$B$104,B83,$P$45:$P$104,"&lt;="&amp;Q83,$Q$45:$Q$104,"&gt;="&amp;P83)-1)</f>
        <v/>
      </c>
    </row>
    <row r="84">
      <c r="A84" s="10" t="n">
        <v>40</v>
      </c>
      <c r="B84" s="16" t="n"/>
      <c r="C84" s="16" t="n"/>
      <c r="D84" s="20" t="n"/>
      <c r="E84" s="20" t="n"/>
      <c r="F84" s="21">
        <f>IF(E84&lt;&gt;"",E84,IFERROR(INDEX(Mieterwechsel!$H$9:$H$28,MATCH(A84,Mieterwechsel!$A$9:$A$28,0)),""))</f>
        <v/>
      </c>
      <c r="G84" s="22" t="n"/>
      <c r="H84" s="22" t="n"/>
      <c r="I84" s="22" t="n"/>
      <c r="J84" s="16" t="n"/>
      <c r="K84" s="18" t="n"/>
      <c r="L84" s="17" t="n"/>
      <c r="M84" s="20" t="n"/>
      <c r="N84" s="23">
        <f>IF(C84="","",IF(AND(F84&lt;&gt;"",F84&lt;TODAY()),"beendet",IF(AND(D84&lt;&gt;"",D84&gt;TODAY()),"künftig","aktiv")))</f>
        <v/>
      </c>
      <c r="O84" s="23">
        <f>IF(C84="","",IF(B84="","Einheit fehlt",IF(ISNA(MATCH(B84,$A$11:$A$40,0)),"Einheit unbekannt",IF(AND(D84&lt;&gt;"",F84&lt;&gt;"",F84&lt;D84),"Ende vor Beginn",IF(R84&gt;0,"Überschneidung mit anderem Mieter","")))))</f>
        <v/>
      </c>
      <c r="P84">
        <f>IF(C84="","",IF(D84="",1,D84))</f>
        <v/>
      </c>
      <c r="Q84">
        <f>IF(C84="","",IF(F84="",401768,F84))</f>
        <v/>
      </c>
      <c r="R84">
        <f>IF(C84="",0,COUNTIFS($B$45:$B$104,B84,$P$45:$P$104,"&lt;="&amp;Q84,$Q$45:$Q$104,"&gt;="&amp;P84)-1)</f>
        <v/>
      </c>
    </row>
    <row r="85">
      <c r="A85" s="10" t="n">
        <v>41</v>
      </c>
      <c r="B85" s="16" t="n"/>
      <c r="C85" s="16" t="n"/>
      <c r="D85" s="20" t="n"/>
      <c r="E85" s="20" t="n"/>
      <c r="F85" s="21">
        <f>IF(E85&lt;&gt;"",E85,IFERROR(INDEX(Mieterwechsel!$H$9:$H$28,MATCH(A85,Mieterwechsel!$A$9:$A$28,0)),""))</f>
        <v/>
      </c>
      <c r="G85" s="22" t="n"/>
      <c r="H85" s="22" t="n"/>
      <c r="I85" s="22" t="n"/>
      <c r="J85" s="16" t="n"/>
      <c r="K85" s="18" t="n"/>
      <c r="L85" s="17" t="n"/>
      <c r="M85" s="20" t="n"/>
      <c r="N85" s="23">
        <f>IF(C85="","",IF(AND(F85&lt;&gt;"",F85&lt;TODAY()),"beendet",IF(AND(D85&lt;&gt;"",D85&gt;TODAY()),"künftig","aktiv")))</f>
        <v/>
      </c>
      <c r="O85" s="23">
        <f>IF(C85="","",IF(B85="","Einheit fehlt",IF(ISNA(MATCH(B85,$A$11:$A$40,0)),"Einheit unbekannt",IF(AND(D85&lt;&gt;"",F85&lt;&gt;"",F85&lt;D85),"Ende vor Beginn",IF(R85&gt;0,"Überschneidung mit anderem Mieter","")))))</f>
        <v/>
      </c>
      <c r="P85">
        <f>IF(C85="","",IF(D85="",1,D85))</f>
        <v/>
      </c>
      <c r="Q85">
        <f>IF(C85="","",IF(F85="",401768,F85))</f>
        <v/>
      </c>
      <c r="R85">
        <f>IF(C85="",0,COUNTIFS($B$45:$B$104,B85,$P$45:$P$104,"&lt;="&amp;Q85,$Q$45:$Q$104,"&gt;="&amp;P85)-1)</f>
        <v/>
      </c>
    </row>
    <row r="86">
      <c r="A86" s="10" t="n">
        <v>42</v>
      </c>
      <c r="B86" s="16" t="n"/>
      <c r="C86" s="16" t="n"/>
      <c r="D86" s="20" t="n"/>
      <c r="E86" s="20" t="n"/>
      <c r="F86" s="21">
        <f>IF(E86&lt;&gt;"",E86,IFERROR(INDEX(Mieterwechsel!$H$9:$H$28,MATCH(A86,Mieterwechsel!$A$9:$A$28,0)),""))</f>
        <v/>
      </c>
      <c r="G86" s="22" t="n"/>
      <c r="H86" s="22" t="n"/>
      <c r="I86" s="22" t="n"/>
      <c r="J86" s="16" t="n"/>
      <c r="K86" s="18" t="n"/>
      <c r="L86" s="17" t="n"/>
      <c r="M86" s="20" t="n"/>
      <c r="N86" s="23">
        <f>IF(C86="","",IF(AND(F86&lt;&gt;"",F86&lt;TODAY()),"beendet",IF(AND(D86&lt;&gt;"",D86&gt;TODAY()),"künftig","aktiv")))</f>
        <v/>
      </c>
      <c r="O86" s="23">
        <f>IF(C86="","",IF(B86="","Einheit fehlt",IF(ISNA(MATCH(B86,$A$11:$A$40,0)),"Einheit unbekannt",IF(AND(D86&lt;&gt;"",F86&lt;&gt;"",F86&lt;D86),"Ende vor Beginn",IF(R86&gt;0,"Überschneidung mit anderem Mieter","")))))</f>
        <v/>
      </c>
      <c r="P86">
        <f>IF(C86="","",IF(D86="",1,D86))</f>
        <v/>
      </c>
      <c r="Q86">
        <f>IF(C86="","",IF(F86="",401768,F86))</f>
        <v/>
      </c>
      <c r="R86">
        <f>IF(C86="",0,COUNTIFS($B$45:$B$104,B86,$P$45:$P$104,"&lt;="&amp;Q86,$Q$45:$Q$104,"&gt;="&amp;P86)-1)</f>
        <v/>
      </c>
    </row>
    <row r="87">
      <c r="A87" s="10" t="n">
        <v>43</v>
      </c>
      <c r="B87" s="16" t="n"/>
      <c r="C87" s="16" t="n"/>
      <c r="D87" s="20" t="n"/>
      <c r="E87" s="20" t="n"/>
      <c r="F87" s="21">
        <f>IF(E87&lt;&gt;"",E87,IFERROR(INDEX(Mieterwechsel!$H$9:$H$28,MATCH(A87,Mieterwechsel!$A$9:$A$28,0)),""))</f>
        <v/>
      </c>
      <c r="G87" s="22" t="n"/>
      <c r="H87" s="22" t="n"/>
      <c r="I87" s="22" t="n"/>
      <c r="J87" s="16" t="n"/>
      <c r="K87" s="18" t="n"/>
      <c r="L87" s="17" t="n"/>
      <c r="M87" s="20" t="n"/>
      <c r="N87" s="23">
        <f>IF(C87="","",IF(AND(F87&lt;&gt;"",F87&lt;TODAY()),"beendet",IF(AND(D87&lt;&gt;"",D87&gt;TODAY()),"künftig","aktiv")))</f>
        <v/>
      </c>
      <c r="O87" s="23">
        <f>IF(C87="","",IF(B87="","Einheit fehlt",IF(ISNA(MATCH(B87,$A$11:$A$40,0)),"Einheit unbekannt",IF(AND(D87&lt;&gt;"",F87&lt;&gt;"",F87&lt;D87),"Ende vor Beginn",IF(R87&gt;0,"Überschneidung mit anderem Mieter","")))))</f>
        <v/>
      </c>
      <c r="P87">
        <f>IF(C87="","",IF(D87="",1,D87))</f>
        <v/>
      </c>
      <c r="Q87">
        <f>IF(C87="","",IF(F87="",401768,F87))</f>
        <v/>
      </c>
      <c r="R87">
        <f>IF(C87="",0,COUNTIFS($B$45:$B$104,B87,$P$45:$P$104,"&lt;="&amp;Q87,$Q$45:$Q$104,"&gt;="&amp;P87)-1)</f>
        <v/>
      </c>
    </row>
    <row r="88">
      <c r="A88" s="10" t="n">
        <v>44</v>
      </c>
      <c r="B88" s="16" t="n"/>
      <c r="C88" s="16" t="n"/>
      <c r="D88" s="20" t="n"/>
      <c r="E88" s="20" t="n"/>
      <c r="F88" s="21">
        <f>IF(E88&lt;&gt;"",E88,IFERROR(INDEX(Mieterwechsel!$H$9:$H$28,MATCH(A88,Mieterwechsel!$A$9:$A$28,0)),""))</f>
        <v/>
      </c>
      <c r="G88" s="22" t="n"/>
      <c r="H88" s="22" t="n"/>
      <c r="I88" s="22" t="n"/>
      <c r="J88" s="16" t="n"/>
      <c r="K88" s="18" t="n"/>
      <c r="L88" s="17" t="n"/>
      <c r="M88" s="20" t="n"/>
      <c r="N88" s="23">
        <f>IF(C88="","",IF(AND(F88&lt;&gt;"",F88&lt;TODAY()),"beendet",IF(AND(D88&lt;&gt;"",D88&gt;TODAY()),"künftig","aktiv")))</f>
        <v/>
      </c>
      <c r="O88" s="23">
        <f>IF(C88="","",IF(B88="","Einheit fehlt",IF(ISNA(MATCH(B88,$A$11:$A$40,0)),"Einheit unbekannt",IF(AND(D88&lt;&gt;"",F88&lt;&gt;"",F88&lt;D88),"Ende vor Beginn",IF(R88&gt;0,"Überschneidung mit anderem Mieter","")))))</f>
        <v/>
      </c>
      <c r="P88">
        <f>IF(C88="","",IF(D88="",1,D88))</f>
        <v/>
      </c>
      <c r="Q88">
        <f>IF(C88="","",IF(F88="",401768,F88))</f>
        <v/>
      </c>
      <c r="R88">
        <f>IF(C88="",0,COUNTIFS($B$45:$B$104,B88,$P$45:$P$104,"&lt;="&amp;Q88,$Q$45:$Q$104,"&gt;="&amp;P88)-1)</f>
        <v/>
      </c>
    </row>
    <row r="89">
      <c r="A89" s="10" t="n">
        <v>45</v>
      </c>
      <c r="B89" s="16" t="n"/>
      <c r="C89" s="16" t="n"/>
      <c r="D89" s="20" t="n"/>
      <c r="E89" s="20" t="n"/>
      <c r="F89" s="21">
        <f>IF(E89&lt;&gt;"",E89,IFERROR(INDEX(Mieterwechsel!$H$9:$H$28,MATCH(A89,Mieterwechsel!$A$9:$A$28,0)),""))</f>
        <v/>
      </c>
      <c r="G89" s="22" t="n"/>
      <c r="H89" s="22" t="n"/>
      <c r="I89" s="22" t="n"/>
      <c r="J89" s="16" t="n"/>
      <c r="K89" s="18" t="n"/>
      <c r="L89" s="17" t="n"/>
      <c r="M89" s="20" t="n"/>
      <c r="N89" s="23">
        <f>IF(C89="","",IF(AND(F89&lt;&gt;"",F89&lt;TODAY()),"beendet",IF(AND(D89&lt;&gt;"",D89&gt;TODAY()),"künftig","aktiv")))</f>
        <v/>
      </c>
      <c r="O89" s="23">
        <f>IF(C89="","",IF(B89="","Einheit fehlt",IF(ISNA(MATCH(B89,$A$11:$A$40,0)),"Einheit unbekannt",IF(AND(D89&lt;&gt;"",F89&lt;&gt;"",F89&lt;D89),"Ende vor Beginn",IF(R89&gt;0,"Überschneidung mit anderem Mieter","")))))</f>
        <v/>
      </c>
      <c r="P89">
        <f>IF(C89="","",IF(D89="",1,D89))</f>
        <v/>
      </c>
      <c r="Q89">
        <f>IF(C89="","",IF(F89="",401768,F89))</f>
        <v/>
      </c>
      <c r="R89">
        <f>IF(C89="",0,COUNTIFS($B$45:$B$104,B89,$P$45:$P$104,"&lt;="&amp;Q89,$Q$45:$Q$104,"&gt;="&amp;P89)-1)</f>
        <v/>
      </c>
    </row>
    <row r="90">
      <c r="A90" s="10" t="n">
        <v>46</v>
      </c>
      <c r="B90" s="16" t="n"/>
      <c r="C90" s="16" t="n"/>
      <c r="D90" s="20" t="n"/>
      <c r="E90" s="20" t="n"/>
      <c r="F90" s="21">
        <f>IF(E90&lt;&gt;"",E90,IFERROR(INDEX(Mieterwechsel!$H$9:$H$28,MATCH(A90,Mieterwechsel!$A$9:$A$28,0)),""))</f>
        <v/>
      </c>
      <c r="G90" s="22" t="n"/>
      <c r="H90" s="22" t="n"/>
      <c r="I90" s="22" t="n"/>
      <c r="J90" s="16" t="n"/>
      <c r="K90" s="18" t="n"/>
      <c r="L90" s="17" t="n"/>
      <c r="M90" s="20" t="n"/>
      <c r="N90" s="23">
        <f>IF(C90="","",IF(AND(F90&lt;&gt;"",F90&lt;TODAY()),"beendet",IF(AND(D90&lt;&gt;"",D90&gt;TODAY()),"künftig","aktiv")))</f>
        <v/>
      </c>
      <c r="O90" s="23">
        <f>IF(C90="","",IF(B90="","Einheit fehlt",IF(ISNA(MATCH(B90,$A$11:$A$40,0)),"Einheit unbekannt",IF(AND(D90&lt;&gt;"",F90&lt;&gt;"",F90&lt;D90),"Ende vor Beginn",IF(R90&gt;0,"Überschneidung mit anderem Mieter","")))))</f>
        <v/>
      </c>
      <c r="P90">
        <f>IF(C90="","",IF(D90="",1,D90))</f>
        <v/>
      </c>
      <c r="Q90">
        <f>IF(C90="","",IF(F90="",401768,F90))</f>
        <v/>
      </c>
      <c r="R90">
        <f>IF(C90="",0,COUNTIFS($B$45:$B$104,B90,$P$45:$P$104,"&lt;="&amp;Q90,$Q$45:$Q$104,"&gt;="&amp;P90)-1)</f>
        <v/>
      </c>
    </row>
    <row r="91">
      <c r="A91" s="10" t="n">
        <v>47</v>
      </c>
      <c r="B91" s="16" t="n"/>
      <c r="C91" s="16" t="n"/>
      <c r="D91" s="20" t="n"/>
      <c r="E91" s="20" t="n"/>
      <c r="F91" s="21">
        <f>IF(E91&lt;&gt;"",E91,IFERROR(INDEX(Mieterwechsel!$H$9:$H$28,MATCH(A91,Mieterwechsel!$A$9:$A$28,0)),""))</f>
        <v/>
      </c>
      <c r="G91" s="22" t="n"/>
      <c r="H91" s="22" t="n"/>
      <c r="I91" s="22" t="n"/>
      <c r="J91" s="16" t="n"/>
      <c r="K91" s="18" t="n"/>
      <c r="L91" s="17" t="n"/>
      <c r="M91" s="20" t="n"/>
      <c r="N91" s="23">
        <f>IF(C91="","",IF(AND(F91&lt;&gt;"",F91&lt;TODAY()),"beendet",IF(AND(D91&lt;&gt;"",D91&gt;TODAY()),"künftig","aktiv")))</f>
        <v/>
      </c>
      <c r="O91" s="23">
        <f>IF(C91="","",IF(B91="","Einheit fehlt",IF(ISNA(MATCH(B91,$A$11:$A$40,0)),"Einheit unbekannt",IF(AND(D91&lt;&gt;"",F91&lt;&gt;"",F91&lt;D91),"Ende vor Beginn",IF(R91&gt;0,"Überschneidung mit anderem Mieter","")))))</f>
        <v/>
      </c>
      <c r="P91">
        <f>IF(C91="","",IF(D91="",1,D91))</f>
        <v/>
      </c>
      <c r="Q91">
        <f>IF(C91="","",IF(F91="",401768,F91))</f>
        <v/>
      </c>
      <c r="R91">
        <f>IF(C91="",0,COUNTIFS($B$45:$B$104,B91,$P$45:$P$104,"&lt;="&amp;Q91,$Q$45:$Q$104,"&gt;="&amp;P91)-1)</f>
        <v/>
      </c>
    </row>
    <row r="92">
      <c r="A92" s="10" t="n">
        <v>48</v>
      </c>
      <c r="B92" s="16" t="n"/>
      <c r="C92" s="16" t="n"/>
      <c r="D92" s="20" t="n"/>
      <c r="E92" s="20" t="n"/>
      <c r="F92" s="21">
        <f>IF(E92&lt;&gt;"",E92,IFERROR(INDEX(Mieterwechsel!$H$9:$H$28,MATCH(A92,Mieterwechsel!$A$9:$A$28,0)),""))</f>
        <v/>
      </c>
      <c r="G92" s="22" t="n"/>
      <c r="H92" s="22" t="n"/>
      <c r="I92" s="22" t="n"/>
      <c r="J92" s="16" t="n"/>
      <c r="K92" s="18" t="n"/>
      <c r="L92" s="17" t="n"/>
      <c r="M92" s="20" t="n"/>
      <c r="N92" s="23">
        <f>IF(C92="","",IF(AND(F92&lt;&gt;"",F92&lt;TODAY()),"beendet",IF(AND(D92&lt;&gt;"",D92&gt;TODAY()),"künftig","aktiv")))</f>
        <v/>
      </c>
      <c r="O92" s="23">
        <f>IF(C92="","",IF(B92="","Einheit fehlt",IF(ISNA(MATCH(B92,$A$11:$A$40,0)),"Einheit unbekannt",IF(AND(D92&lt;&gt;"",F92&lt;&gt;"",F92&lt;D92),"Ende vor Beginn",IF(R92&gt;0,"Überschneidung mit anderem Mieter","")))))</f>
        <v/>
      </c>
      <c r="P92">
        <f>IF(C92="","",IF(D92="",1,D92))</f>
        <v/>
      </c>
      <c r="Q92">
        <f>IF(C92="","",IF(F92="",401768,F92))</f>
        <v/>
      </c>
      <c r="R92">
        <f>IF(C92="",0,COUNTIFS($B$45:$B$104,B92,$P$45:$P$104,"&lt;="&amp;Q92,$Q$45:$Q$104,"&gt;="&amp;P92)-1)</f>
        <v/>
      </c>
    </row>
    <row r="93">
      <c r="A93" s="10" t="n">
        <v>49</v>
      </c>
      <c r="B93" s="16" t="n"/>
      <c r="C93" s="16" t="n"/>
      <c r="D93" s="20" t="n"/>
      <c r="E93" s="20" t="n"/>
      <c r="F93" s="21">
        <f>IF(E93&lt;&gt;"",E93,IFERROR(INDEX(Mieterwechsel!$H$9:$H$28,MATCH(A93,Mieterwechsel!$A$9:$A$28,0)),""))</f>
        <v/>
      </c>
      <c r="G93" s="22" t="n"/>
      <c r="H93" s="22" t="n"/>
      <c r="I93" s="22" t="n"/>
      <c r="J93" s="16" t="n"/>
      <c r="K93" s="18" t="n"/>
      <c r="L93" s="17" t="n"/>
      <c r="M93" s="20" t="n"/>
      <c r="N93" s="23">
        <f>IF(C93="","",IF(AND(F93&lt;&gt;"",F93&lt;TODAY()),"beendet",IF(AND(D93&lt;&gt;"",D93&gt;TODAY()),"künftig","aktiv")))</f>
        <v/>
      </c>
      <c r="O93" s="23">
        <f>IF(C93="","",IF(B93="","Einheit fehlt",IF(ISNA(MATCH(B93,$A$11:$A$40,0)),"Einheit unbekannt",IF(AND(D93&lt;&gt;"",F93&lt;&gt;"",F93&lt;D93),"Ende vor Beginn",IF(R93&gt;0,"Überschneidung mit anderem Mieter","")))))</f>
        <v/>
      </c>
      <c r="P93">
        <f>IF(C93="","",IF(D93="",1,D93))</f>
        <v/>
      </c>
      <c r="Q93">
        <f>IF(C93="","",IF(F93="",401768,F93))</f>
        <v/>
      </c>
      <c r="R93">
        <f>IF(C93="",0,COUNTIFS($B$45:$B$104,B93,$P$45:$P$104,"&lt;="&amp;Q93,$Q$45:$Q$104,"&gt;="&amp;P93)-1)</f>
        <v/>
      </c>
    </row>
    <row r="94">
      <c r="A94" s="10" t="n">
        <v>50</v>
      </c>
      <c r="B94" s="16" t="n"/>
      <c r="C94" s="16" t="n"/>
      <c r="D94" s="20" t="n"/>
      <c r="E94" s="20" t="n"/>
      <c r="F94" s="21">
        <f>IF(E94&lt;&gt;"",E94,IFERROR(INDEX(Mieterwechsel!$H$9:$H$28,MATCH(A94,Mieterwechsel!$A$9:$A$28,0)),""))</f>
        <v/>
      </c>
      <c r="G94" s="22" t="n"/>
      <c r="H94" s="22" t="n"/>
      <c r="I94" s="22" t="n"/>
      <c r="J94" s="16" t="n"/>
      <c r="K94" s="18" t="n"/>
      <c r="L94" s="17" t="n"/>
      <c r="M94" s="20" t="n"/>
      <c r="N94" s="23">
        <f>IF(C94="","",IF(AND(F94&lt;&gt;"",F94&lt;TODAY()),"beendet",IF(AND(D94&lt;&gt;"",D94&gt;TODAY()),"künftig","aktiv")))</f>
        <v/>
      </c>
      <c r="O94" s="23">
        <f>IF(C94="","",IF(B94="","Einheit fehlt",IF(ISNA(MATCH(B94,$A$11:$A$40,0)),"Einheit unbekannt",IF(AND(D94&lt;&gt;"",F94&lt;&gt;"",F94&lt;D94),"Ende vor Beginn",IF(R94&gt;0,"Überschneidung mit anderem Mieter","")))))</f>
        <v/>
      </c>
      <c r="P94">
        <f>IF(C94="","",IF(D94="",1,D94))</f>
        <v/>
      </c>
      <c r="Q94">
        <f>IF(C94="","",IF(F94="",401768,F94))</f>
        <v/>
      </c>
      <c r="R94">
        <f>IF(C94="",0,COUNTIFS($B$45:$B$104,B94,$P$45:$P$104,"&lt;="&amp;Q94,$Q$45:$Q$104,"&gt;="&amp;P94)-1)</f>
        <v/>
      </c>
    </row>
    <row r="95">
      <c r="A95" s="10" t="n">
        <v>51</v>
      </c>
      <c r="B95" s="16" t="n"/>
      <c r="C95" s="16" t="n"/>
      <c r="D95" s="20" t="n"/>
      <c r="E95" s="20" t="n"/>
      <c r="F95" s="21">
        <f>IF(E95&lt;&gt;"",E95,IFERROR(INDEX(Mieterwechsel!$H$9:$H$28,MATCH(A95,Mieterwechsel!$A$9:$A$28,0)),""))</f>
        <v/>
      </c>
      <c r="G95" s="22" t="n"/>
      <c r="H95" s="22" t="n"/>
      <c r="I95" s="22" t="n"/>
      <c r="J95" s="16" t="n"/>
      <c r="K95" s="18" t="n"/>
      <c r="L95" s="17" t="n"/>
      <c r="M95" s="20" t="n"/>
      <c r="N95" s="23">
        <f>IF(C95="","",IF(AND(F95&lt;&gt;"",F95&lt;TODAY()),"beendet",IF(AND(D95&lt;&gt;"",D95&gt;TODAY()),"künftig","aktiv")))</f>
        <v/>
      </c>
      <c r="O95" s="23">
        <f>IF(C95="","",IF(B95="","Einheit fehlt",IF(ISNA(MATCH(B95,$A$11:$A$40,0)),"Einheit unbekannt",IF(AND(D95&lt;&gt;"",F95&lt;&gt;"",F95&lt;D95),"Ende vor Beginn",IF(R95&gt;0,"Überschneidung mit anderem Mieter","")))))</f>
        <v/>
      </c>
      <c r="P95">
        <f>IF(C95="","",IF(D95="",1,D95))</f>
        <v/>
      </c>
      <c r="Q95">
        <f>IF(C95="","",IF(F95="",401768,F95))</f>
        <v/>
      </c>
      <c r="R95">
        <f>IF(C95="",0,COUNTIFS($B$45:$B$104,B95,$P$45:$P$104,"&lt;="&amp;Q95,$Q$45:$Q$104,"&gt;="&amp;P95)-1)</f>
        <v/>
      </c>
    </row>
    <row r="96">
      <c r="A96" s="10" t="n">
        <v>52</v>
      </c>
      <c r="B96" s="16" t="n"/>
      <c r="C96" s="16" t="n"/>
      <c r="D96" s="20" t="n"/>
      <c r="E96" s="20" t="n"/>
      <c r="F96" s="21">
        <f>IF(E96&lt;&gt;"",E96,IFERROR(INDEX(Mieterwechsel!$H$9:$H$28,MATCH(A96,Mieterwechsel!$A$9:$A$28,0)),""))</f>
        <v/>
      </c>
      <c r="G96" s="22" t="n"/>
      <c r="H96" s="22" t="n"/>
      <c r="I96" s="22" t="n"/>
      <c r="J96" s="16" t="n"/>
      <c r="K96" s="18" t="n"/>
      <c r="L96" s="17" t="n"/>
      <c r="M96" s="20" t="n"/>
      <c r="N96" s="23">
        <f>IF(C96="","",IF(AND(F96&lt;&gt;"",F96&lt;TODAY()),"beendet",IF(AND(D96&lt;&gt;"",D96&gt;TODAY()),"künftig","aktiv")))</f>
        <v/>
      </c>
      <c r="O96" s="23">
        <f>IF(C96="","",IF(B96="","Einheit fehlt",IF(ISNA(MATCH(B96,$A$11:$A$40,0)),"Einheit unbekannt",IF(AND(D96&lt;&gt;"",F96&lt;&gt;"",F96&lt;D96),"Ende vor Beginn",IF(R96&gt;0,"Überschneidung mit anderem Mieter","")))))</f>
        <v/>
      </c>
      <c r="P96">
        <f>IF(C96="","",IF(D96="",1,D96))</f>
        <v/>
      </c>
      <c r="Q96">
        <f>IF(C96="","",IF(F96="",401768,F96))</f>
        <v/>
      </c>
      <c r="R96">
        <f>IF(C96="",0,COUNTIFS($B$45:$B$104,B96,$P$45:$P$104,"&lt;="&amp;Q96,$Q$45:$Q$104,"&gt;="&amp;P96)-1)</f>
        <v/>
      </c>
    </row>
    <row r="97">
      <c r="A97" s="10" t="n">
        <v>53</v>
      </c>
      <c r="B97" s="16" t="n"/>
      <c r="C97" s="16" t="n"/>
      <c r="D97" s="20" t="n"/>
      <c r="E97" s="20" t="n"/>
      <c r="F97" s="21">
        <f>IF(E97&lt;&gt;"",E97,IFERROR(INDEX(Mieterwechsel!$H$9:$H$28,MATCH(A97,Mieterwechsel!$A$9:$A$28,0)),""))</f>
        <v/>
      </c>
      <c r="G97" s="22" t="n"/>
      <c r="H97" s="22" t="n"/>
      <c r="I97" s="22" t="n"/>
      <c r="J97" s="16" t="n"/>
      <c r="K97" s="18" t="n"/>
      <c r="L97" s="17" t="n"/>
      <c r="M97" s="20" t="n"/>
      <c r="N97" s="23">
        <f>IF(C97="","",IF(AND(F97&lt;&gt;"",F97&lt;TODAY()),"beendet",IF(AND(D97&lt;&gt;"",D97&gt;TODAY()),"künftig","aktiv")))</f>
        <v/>
      </c>
      <c r="O97" s="23">
        <f>IF(C97="","",IF(B97="","Einheit fehlt",IF(ISNA(MATCH(B97,$A$11:$A$40,0)),"Einheit unbekannt",IF(AND(D97&lt;&gt;"",F97&lt;&gt;"",F97&lt;D97),"Ende vor Beginn",IF(R97&gt;0,"Überschneidung mit anderem Mieter","")))))</f>
        <v/>
      </c>
      <c r="P97">
        <f>IF(C97="","",IF(D97="",1,D97))</f>
        <v/>
      </c>
      <c r="Q97">
        <f>IF(C97="","",IF(F97="",401768,F97))</f>
        <v/>
      </c>
      <c r="R97">
        <f>IF(C97="",0,COUNTIFS($B$45:$B$104,B97,$P$45:$P$104,"&lt;="&amp;Q97,$Q$45:$Q$104,"&gt;="&amp;P97)-1)</f>
        <v/>
      </c>
    </row>
    <row r="98">
      <c r="A98" s="10" t="n">
        <v>54</v>
      </c>
      <c r="B98" s="16" t="n"/>
      <c r="C98" s="16" t="n"/>
      <c r="D98" s="20" t="n"/>
      <c r="E98" s="20" t="n"/>
      <c r="F98" s="21">
        <f>IF(E98&lt;&gt;"",E98,IFERROR(INDEX(Mieterwechsel!$H$9:$H$28,MATCH(A98,Mieterwechsel!$A$9:$A$28,0)),""))</f>
        <v/>
      </c>
      <c r="G98" s="22" t="n"/>
      <c r="H98" s="22" t="n"/>
      <c r="I98" s="22" t="n"/>
      <c r="J98" s="16" t="n"/>
      <c r="K98" s="18" t="n"/>
      <c r="L98" s="17" t="n"/>
      <c r="M98" s="20" t="n"/>
      <c r="N98" s="23">
        <f>IF(C98="","",IF(AND(F98&lt;&gt;"",F98&lt;TODAY()),"beendet",IF(AND(D98&lt;&gt;"",D98&gt;TODAY()),"künftig","aktiv")))</f>
        <v/>
      </c>
      <c r="O98" s="23">
        <f>IF(C98="","",IF(B98="","Einheit fehlt",IF(ISNA(MATCH(B98,$A$11:$A$40,0)),"Einheit unbekannt",IF(AND(D98&lt;&gt;"",F98&lt;&gt;"",F98&lt;D98),"Ende vor Beginn",IF(R98&gt;0,"Überschneidung mit anderem Mieter","")))))</f>
        <v/>
      </c>
      <c r="P98">
        <f>IF(C98="","",IF(D98="",1,D98))</f>
        <v/>
      </c>
      <c r="Q98">
        <f>IF(C98="","",IF(F98="",401768,F98))</f>
        <v/>
      </c>
      <c r="R98">
        <f>IF(C98="",0,COUNTIFS($B$45:$B$104,B98,$P$45:$P$104,"&lt;="&amp;Q98,$Q$45:$Q$104,"&gt;="&amp;P98)-1)</f>
        <v/>
      </c>
    </row>
    <row r="99">
      <c r="A99" s="10" t="n">
        <v>55</v>
      </c>
      <c r="B99" s="16" t="n"/>
      <c r="C99" s="16" t="n"/>
      <c r="D99" s="20" t="n"/>
      <c r="E99" s="20" t="n"/>
      <c r="F99" s="21">
        <f>IF(E99&lt;&gt;"",E99,IFERROR(INDEX(Mieterwechsel!$H$9:$H$28,MATCH(A99,Mieterwechsel!$A$9:$A$28,0)),""))</f>
        <v/>
      </c>
      <c r="G99" s="22" t="n"/>
      <c r="H99" s="22" t="n"/>
      <c r="I99" s="22" t="n"/>
      <c r="J99" s="16" t="n"/>
      <c r="K99" s="18" t="n"/>
      <c r="L99" s="17" t="n"/>
      <c r="M99" s="20" t="n"/>
      <c r="N99" s="23">
        <f>IF(C99="","",IF(AND(F99&lt;&gt;"",F99&lt;TODAY()),"beendet",IF(AND(D99&lt;&gt;"",D99&gt;TODAY()),"künftig","aktiv")))</f>
        <v/>
      </c>
      <c r="O99" s="23">
        <f>IF(C99="","",IF(B99="","Einheit fehlt",IF(ISNA(MATCH(B99,$A$11:$A$40,0)),"Einheit unbekannt",IF(AND(D99&lt;&gt;"",F99&lt;&gt;"",F99&lt;D99),"Ende vor Beginn",IF(R99&gt;0,"Überschneidung mit anderem Mieter","")))))</f>
        <v/>
      </c>
      <c r="P99">
        <f>IF(C99="","",IF(D99="",1,D99))</f>
        <v/>
      </c>
      <c r="Q99">
        <f>IF(C99="","",IF(F99="",401768,F99))</f>
        <v/>
      </c>
      <c r="R99">
        <f>IF(C99="",0,COUNTIFS($B$45:$B$104,B99,$P$45:$P$104,"&lt;="&amp;Q99,$Q$45:$Q$104,"&gt;="&amp;P99)-1)</f>
        <v/>
      </c>
    </row>
    <row r="100">
      <c r="A100" s="10" t="n">
        <v>56</v>
      </c>
      <c r="B100" s="16" t="n"/>
      <c r="C100" s="16" t="n"/>
      <c r="D100" s="20" t="n"/>
      <c r="E100" s="20" t="n"/>
      <c r="F100" s="21">
        <f>IF(E100&lt;&gt;"",E100,IFERROR(INDEX(Mieterwechsel!$H$9:$H$28,MATCH(A100,Mieterwechsel!$A$9:$A$28,0)),""))</f>
        <v/>
      </c>
      <c r="G100" s="22" t="n"/>
      <c r="H100" s="22" t="n"/>
      <c r="I100" s="22" t="n"/>
      <c r="J100" s="16" t="n"/>
      <c r="K100" s="18" t="n"/>
      <c r="L100" s="17" t="n"/>
      <c r="M100" s="20" t="n"/>
      <c r="N100" s="23">
        <f>IF(C100="","",IF(AND(F100&lt;&gt;"",F100&lt;TODAY()),"beendet",IF(AND(D100&lt;&gt;"",D100&gt;TODAY()),"künftig","aktiv")))</f>
        <v/>
      </c>
      <c r="O100" s="23">
        <f>IF(C100="","",IF(B100="","Einheit fehlt",IF(ISNA(MATCH(B100,$A$11:$A$40,0)),"Einheit unbekannt",IF(AND(D100&lt;&gt;"",F100&lt;&gt;"",F100&lt;D100),"Ende vor Beginn",IF(R100&gt;0,"Überschneidung mit anderem Mieter","")))))</f>
        <v/>
      </c>
      <c r="P100">
        <f>IF(C100="","",IF(D100="",1,D100))</f>
        <v/>
      </c>
      <c r="Q100">
        <f>IF(C100="","",IF(F100="",401768,F100))</f>
        <v/>
      </c>
      <c r="R100">
        <f>IF(C100="",0,COUNTIFS($B$45:$B$104,B100,$P$45:$P$104,"&lt;="&amp;Q100,$Q$45:$Q$104,"&gt;="&amp;P100)-1)</f>
        <v/>
      </c>
    </row>
    <row r="101">
      <c r="A101" s="10" t="n">
        <v>57</v>
      </c>
      <c r="B101" s="16" t="n"/>
      <c r="C101" s="16" t="n"/>
      <c r="D101" s="20" t="n"/>
      <c r="E101" s="20" t="n"/>
      <c r="F101" s="21">
        <f>IF(E101&lt;&gt;"",E101,IFERROR(INDEX(Mieterwechsel!$H$9:$H$28,MATCH(A101,Mieterwechsel!$A$9:$A$28,0)),""))</f>
        <v/>
      </c>
      <c r="G101" s="22" t="n"/>
      <c r="H101" s="22" t="n"/>
      <c r="I101" s="22" t="n"/>
      <c r="J101" s="16" t="n"/>
      <c r="K101" s="18" t="n"/>
      <c r="L101" s="17" t="n"/>
      <c r="M101" s="20" t="n"/>
      <c r="N101" s="23">
        <f>IF(C101="","",IF(AND(F101&lt;&gt;"",F101&lt;TODAY()),"beendet",IF(AND(D101&lt;&gt;"",D101&gt;TODAY()),"künftig","aktiv")))</f>
        <v/>
      </c>
      <c r="O101" s="23">
        <f>IF(C101="","",IF(B101="","Einheit fehlt",IF(ISNA(MATCH(B101,$A$11:$A$40,0)),"Einheit unbekannt",IF(AND(D101&lt;&gt;"",F101&lt;&gt;"",F101&lt;D101),"Ende vor Beginn",IF(R101&gt;0,"Überschneidung mit anderem Mieter","")))))</f>
        <v/>
      </c>
      <c r="P101">
        <f>IF(C101="","",IF(D101="",1,D101))</f>
        <v/>
      </c>
      <c r="Q101">
        <f>IF(C101="","",IF(F101="",401768,F101))</f>
        <v/>
      </c>
      <c r="R101">
        <f>IF(C101="",0,COUNTIFS($B$45:$B$104,B101,$P$45:$P$104,"&lt;="&amp;Q101,$Q$45:$Q$104,"&gt;="&amp;P101)-1)</f>
        <v/>
      </c>
    </row>
    <row r="102">
      <c r="A102" s="10" t="n">
        <v>58</v>
      </c>
      <c r="B102" s="16" t="n"/>
      <c r="C102" s="16" t="n"/>
      <c r="D102" s="20" t="n"/>
      <c r="E102" s="20" t="n"/>
      <c r="F102" s="21">
        <f>IF(E102&lt;&gt;"",E102,IFERROR(INDEX(Mieterwechsel!$H$9:$H$28,MATCH(A102,Mieterwechsel!$A$9:$A$28,0)),""))</f>
        <v/>
      </c>
      <c r="G102" s="22" t="n"/>
      <c r="H102" s="22" t="n"/>
      <c r="I102" s="22" t="n"/>
      <c r="J102" s="16" t="n"/>
      <c r="K102" s="18" t="n"/>
      <c r="L102" s="17" t="n"/>
      <c r="M102" s="20" t="n"/>
      <c r="N102" s="23">
        <f>IF(C102="","",IF(AND(F102&lt;&gt;"",F102&lt;TODAY()),"beendet",IF(AND(D102&lt;&gt;"",D102&gt;TODAY()),"künftig","aktiv")))</f>
        <v/>
      </c>
      <c r="O102" s="23">
        <f>IF(C102="","",IF(B102="","Einheit fehlt",IF(ISNA(MATCH(B102,$A$11:$A$40,0)),"Einheit unbekannt",IF(AND(D102&lt;&gt;"",F102&lt;&gt;"",F102&lt;D102),"Ende vor Beginn",IF(R102&gt;0,"Überschneidung mit anderem Mieter","")))))</f>
        <v/>
      </c>
      <c r="P102">
        <f>IF(C102="","",IF(D102="",1,D102))</f>
        <v/>
      </c>
      <c r="Q102">
        <f>IF(C102="","",IF(F102="",401768,F102))</f>
        <v/>
      </c>
      <c r="R102">
        <f>IF(C102="",0,COUNTIFS($B$45:$B$104,B102,$P$45:$P$104,"&lt;="&amp;Q102,$Q$45:$Q$104,"&gt;="&amp;P102)-1)</f>
        <v/>
      </c>
    </row>
    <row r="103">
      <c r="A103" s="10" t="n">
        <v>59</v>
      </c>
      <c r="B103" s="16" t="n"/>
      <c r="C103" s="16" t="n"/>
      <c r="D103" s="20" t="n"/>
      <c r="E103" s="20" t="n"/>
      <c r="F103" s="21">
        <f>IF(E103&lt;&gt;"",E103,IFERROR(INDEX(Mieterwechsel!$H$9:$H$28,MATCH(A103,Mieterwechsel!$A$9:$A$28,0)),""))</f>
        <v/>
      </c>
      <c r="G103" s="22" t="n"/>
      <c r="H103" s="22" t="n"/>
      <c r="I103" s="22" t="n"/>
      <c r="J103" s="16" t="n"/>
      <c r="K103" s="18" t="n"/>
      <c r="L103" s="17" t="n"/>
      <c r="M103" s="20" t="n"/>
      <c r="N103" s="23">
        <f>IF(C103="","",IF(AND(F103&lt;&gt;"",F103&lt;TODAY()),"beendet",IF(AND(D103&lt;&gt;"",D103&gt;TODAY()),"künftig","aktiv")))</f>
        <v/>
      </c>
      <c r="O103" s="23">
        <f>IF(C103="","",IF(B103="","Einheit fehlt",IF(ISNA(MATCH(B103,$A$11:$A$40,0)),"Einheit unbekannt",IF(AND(D103&lt;&gt;"",F103&lt;&gt;"",F103&lt;D103),"Ende vor Beginn",IF(R103&gt;0,"Überschneidung mit anderem Mieter","")))))</f>
        <v/>
      </c>
      <c r="P103">
        <f>IF(C103="","",IF(D103="",1,D103))</f>
        <v/>
      </c>
      <c r="Q103">
        <f>IF(C103="","",IF(F103="",401768,F103))</f>
        <v/>
      </c>
      <c r="R103">
        <f>IF(C103="",0,COUNTIFS($B$45:$B$104,B103,$P$45:$P$104,"&lt;="&amp;Q103,$Q$45:$Q$104,"&gt;="&amp;P103)-1)</f>
        <v/>
      </c>
    </row>
    <row r="104">
      <c r="A104" s="10" t="n">
        <v>60</v>
      </c>
      <c r="B104" s="16" t="n"/>
      <c r="C104" s="16" t="n"/>
      <c r="D104" s="20" t="n"/>
      <c r="E104" s="20" t="n"/>
      <c r="F104" s="21">
        <f>IF(E104&lt;&gt;"",E104,IFERROR(INDEX(Mieterwechsel!$H$9:$H$28,MATCH(A104,Mieterwechsel!$A$9:$A$28,0)),""))</f>
        <v/>
      </c>
      <c r="G104" s="22" t="n"/>
      <c r="H104" s="22" t="n"/>
      <c r="I104" s="22" t="n"/>
      <c r="J104" s="16" t="n"/>
      <c r="K104" s="18" t="n"/>
      <c r="L104" s="17" t="n"/>
      <c r="M104" s="20" t="n"/>
      <c r="N104" s="23">
        <f>IF(C104="","",IF(AND(F104&lt;&gt;"",F104&lt;TODAY()),"beendet",IF(AND(D104&lt;&gt;"",D104&gt;TODAY()),"künftig","aktiv")))</f>
        <v/>
      </c>
      <c r="O104" s="23">
        <f>IF(C104="","",IF(B104="","Einheit fehlt",IF(ISNA(MATCH(B104,$A$11:$A$40,0)),"Einheit unbekannt",IF(AND(D104&lt;&gt;"",F104&lt;&gt;"",F104&lt;D104),"Ende vor Beginn",IF(R104&gt;0,"Überschneidung mit anderem Mieter","")))))</f>
        <v/>
      </c>
      <c r="P104">
        <f>IF(C104="","",IF(D104="",1,D104))</f>
        <v/>
      </c>
      <c r="Q104">
        <f>IF(C104="","",IF(F104="",401768,F104))</f>
        <v/>
      </c>
      <c r="R104">
        <f>IF(C104="",0,COUNTIFS($B$45:$B$104,B104,$P$45:$P$104,"&lt;="&amp;Q104,$Q$45:$Q$104,"&gt;="&amp;P104)-1)</f>
        <v/>
      </c>
    </row>
  </sheetData>
  <sheetProtection selectLockedCells="0" selectUnlockedCells="0" sheet="1" objects="0" insertRows="1" insertHyperlinks="1" autoFilter="1" scenarios="0" formatColumns="0" deleteColumns="1" insertColumns="1" pivotTables="1" deleteRows="1" formatCells="1" formatRows="0" sort="1"/>
  <conditionalFormatting sqref="O45:O104">
    <cfRule type="expression" priority="1" dxfId="0">
      <formula>O45&lt;&gt;""</formula>
    </cfRule>
  </conditionalFormatting>
  <dataValidations count="1">
    <dataValidation sqref="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1" type="list">
      <formula1>$A$11:$A$40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S28"/>
  <sheetViews>
    <sheetView workbookViewId="0">
      <pane xSplit="3" ySplit="8" topLeftCell="D9"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7" customWidth="1" min="3" max="3"/>
    <col width="13" customWidth="1" min="4" max="4"/>
    <col width="11" customWidth="1" min="5" max="5"/>
    <col width="6" customWidth="1" min="6" max="6"/>
    <col width="11" customWidth="1" min="7" max="7"/>
    <col width="11" customWidth="1" min="8" max="8"/>
    <col width="11" customWidth="1" min="9" max="9"/>
    <col width="8" customWidth="1" min="10" max="10"/>
    <col width="11" customWidth="1" min="11" max="11"/>
    <col width="11" customWidth="1" min="12" max="12"/>
    <col width="4" customWidth="1" min="13" max="13"/>
    <col width="11" customWidth="1" min="14" max="14"/>
    <col width="4" customWidth="1" min="15" max="15"/>
    <col width="11" customWidth="1" min="16" max="16"/>
    <col width="4" customWidth="1" min="17" max="17"/>
    <col width="11" customWidth="1" min="18" max="18"/>
    <col width="4" customWidth="1" min="19" max="19"/>
    <col width="11" customWidth="1" min="20" max="20"/>
    <col width="4" customWidth="1" min="21" max="21"/>
    <col width="11" customWidth="1" min="22" max="22"/>
    <col width="4" customWidth="1" min="23" max="23"/>
    <col width="11" customWidth="1" min="24" max="24"/>
    <col width="4" customWidth="1" min="25" max="25"/>
    <col width="11" customWidth="1" min="26" max="26"/>
    <col width="4" customWidth="1" min="27" max="27"/>
    <col width="11" customWidth="1" min="28" max="28"/>
    <col width="4" customWidth="1" min="29" max="29"/>
    <col width="11" customWidth="1" min="30" max="30"/>
    <col width="4" customWidth="1" min="31" max="31"/>
    <col width="11" customWidth="1" min="32" max="32"/>
    <col width="6" customWidth="1" min="33" max="33"/>
    <col width="26" customWidth="1" min="34" max="34"/>
    <col width="40" customWidth="1" min="35" max="35"/>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s>
  <sheetData>
    <row r="1">
      <c r="A1" s="14" t="inlineStr">
        <is>
          <t>Mieterwechsel &amp; Fristen</t>
        </is>
      </c>
    </row>
    <row r="2" ht="13" customHeight="1">
      <c r="A2" s="24" t="inlineStr">
        <is>
          <t>START: Pro Kündigung eine Zeile: Mietverhältnis-ID, wer kündigt, Eingangsdatum.</t>
        </is>
      </c>
    </row>
    <row r="3">
      <c r="A3" s="24" t="inlineStr">
        <is>
          <t>BERECHNUNG: Mietende auf den nächsten zulässigen Termin, zehn Schritte mit Datum, Leerstand in Franken.</t>
        </is>
      </c>
    </row>
    <row r="4">
      <c r="A4" s="24" t="inlineStr">
        <is>
          <t>ERGEBNIS: Spalte «Nächste Frist»: rot überfällig, gelb innert 7 Tagen. Erledigtes mit x markieren.</t>
        </is>
      </c>
    </row>
    <row r="5">
      <c r="A5" s="24" t="inlineStr">
        <is>
          <t>AUSGABE: Blatt «Checkliste»: ein Mieterwechsel als druckbare Liste.</t>
        </is>
      </c>
    </row>
    <row r="7">
      <c r="BI7" s="25" t="inlineStr">
        <is>
          <t>Kündigung schriftlich bestätigen</t>
        </is>
      </c>
      <c r="BJ7" s="25" t="inlineStr">
        <is>
          <t>Nachmieter suchen / Inserat</t>
        </is>
      </c>
      <c r="BK7" s="25" t="inlineStr">
        <is>
          <t>Vorabnahme</t>
        </is>
      </c>
      <c r="BL7" s="25" t="inlineStr">
        <is>
          <t>Neuen Mietvertrag abschliessen</t>
        </is>
      </c>
      <c r="BM7" s="25" t="inlineStr">
        <is>
          <t>Abnahme · Protokoll · Zähler · Schlüssel</t>
        </is>
      </c>
      <c r="BN7" s="25" t="inlineStr">
        <is>
          <t>Mängelrüge schriftlich</t>
        </is>
      </c>
      <c r="BO7" s="25" t="inlineStr">
        <is>
          <t>Übergabe an Neumieter</t>
        </is>
      </c>
      <c r="BP7" s="25" t="inlineStr">
        <is>
          <t>Kaution abrechnen</t>
        </is>
      </c>
      <c r="BQ7" s="25" t="inlineStr">
        <is>
          <t>Nebenkosten-Schlussabrechnung</t>
        </is>
      </c>
      <c r="BR7" s="25" t="inlineStr">
        <is>
          <t>Kautionsfrist (1 Jahr nach Mietende)</t>
        </is>
      </c>
    </row>
    <row r="8" ht="54" customHeight="1">
      <c r="A8" s="6" t="inlineStr">
        <is>
          <t>ID</t>
        </is>
      </c>
      <c r="B8" s="6" t="inlineStr">
        <is>
          <t>Mieter</t>
        </is>
      </c>
      <c r="C8" s="6" t="inlineStr">
        <is>
          <t>Einheit</t>
        </is>
      </c>
      <c r="D8" s="6" t="inlineStr">
        <is>
          <t>Kündigung durch</t>
        </is>
      </c>
      <c r="E8" s="6" t="inlineStr">
        <is>
          <t>Eingang Kündigung</t>
        </is>
      </c>
      <c r="F8" s="6" t="inlineStr">
        <is>
          <t>Frist (Mt.)</t>
        </is>
      </c>
      <c r="G8" s="6" t="inlineStr">
        <is>
          <t>Vereinbartes Ende</t>
        </is>
      </c>
      <c r="H8" s="6" t="inlineStr">
        <is>
          <t>Ende Mietverhältnis</t>
        </is>
      </c>
      <c r="I8" s="6" t="inlineStr">
        <is>
          <t>Neuer Mieter ab</t>
        </is>
      </c>
      <c r="J8" s="6" t="inlineStr">
        <is>
          <t>Leerstand Tage</t>
        </is>
      </c>
      <c r="K8" s="6" t="inlineStr">
        <is>
          <t>Leerstandskosten</t>
        </is>
      </c>
      <c r="L8" s="6" t="inlineStr">
        <is>
          <t>Kündigung schriftlich bestätigen</t>
        </is>
      </c>
      <c r="M8" s="6" t="inlineStr">
        <is>
          <t>erl.</t>
        </is>
      </c>
      <c r="N8" s="6" t="inlineStr">
        <is>
          <t>Nachmieter suchen / Inserat</t>
        </is>
      </c>
      <c r="O8" s="6" t="inlineStr">
        <is>
          <t>erl.</t>
        </is>
      </c>
      <c r="P8" s="6" t="inlineStr">
        <is>
          <t>Vorabnahme</t>
        </is>
      </c>
      <c r="Q8" s="6" t="inlineStr">
        <is>
          <t>erl.</t>
        </is>
      </c>
      <c r="R8" s="6" t="inlineStr">
        <is>
          <t>Neuen Mietvertrag abschliessen</t>
        </is>
      </c>
      <c r="S8" s="6" t="inlineStr">
        <is>
          <t>erl.</t>
        </is>
      </c>
      <c r="T8" s="6" t="inlineStr">
        <is>
          <t>Abnahme · Protokoll · Zähler · Schlüssel</t>
        </is>
      </c>
      <c r="U8" s="6" t="inlineStr">
        <is>
          <t>erl.</t>
        </is>
      </c>
      <c r="V8" s="6" t="inlineStr">
        <is>
          <t>Mängelrüge schriftlich</t>
        </is>
      </c>
      <c r="W8" s="6" t="inlineStr">
        <is>
          <t>erl.</t>
        </is>
      </c>
      <c r="X8" s="6" t="inlineStr">
        <is>
          <t>Übergabe an Neumieter</t>
        </is>
      </c>
      <c r="Y8" s="6" t="inlineStr">
        <is>
          <t>erl.</t>
        </is>
      </c>
      <c r="Z8" s="6" t="inlineStr">
        <is>
          <t>Kaution abrechnen</t>
        </is>
      </c>
      <c r="AA8" s="6" t="inlineStr">
        <is>
          <t>erl.</t>
        </is>
      </c>
      <c r="AB8" s="6" t="inlineStr">
        <is>
          <t>Nebenkosten-Schlussabrechnung</t>
        </is>
      </c>
      <c r="AC8" s="6" t="inlineStr">
        <is>
          <t>erl.</t>
        </is>
      </c>
      <c r="AD8" s="6" t="inlineStr">
        <is>
          <t>Kautionsfrist (1 Jahr nach Mietende)</t>
        </is>
      </c>
      <c r="AE8" s="6" t="inlineStr">
        <is>
          <t>erl.</t>
        </is>
      </c>
      <c r="AF8" s="6" t="inlineStr">
        <is>
          <t>Nächste Frist</t>
        </is>
      </c>
      <c r="AG8" s="6" t="inlineStr">
        <is>
          <t>Tage</t>
        </is>
      </c>
      <c r="AH8" s="6" t="inlineStr">
        <is>
          <t>Nächster Schritt</t>
        </is>
      </c>
      <c r="AI8" s="6" t="inlineStr">
        <is>
          <t>Hinweis</t>
        </is>
      </c>
    </row>
    <row r="9">
      <c r="A9" s="26" t="n">
        <v>2</v>
      </c>
      <c r="B9" s="23">
        <f>IF(A9="","",IFERROR(INDEX('Mein Haus'!$C$45:$C$104,A9)&amp;"",""))</f>
        <v/>
      </c>
      <c r="C9" s="23">
        <f>IF(A9="","",IFERROR(INDEX('Mein Haus'!$B$45:$B$104,A9)&amp;"",""))</f>
        <v/>
      </c>
      <c r="D9" s="16" t="inlineStr">
        <is>
          <t>Mieter</t>
        </is>
      </c>
      <c r="E9" s="20" t="n">
        <v>45636</v>
      </c>
      <c r="F9" s="26" t="n">
        <v>3</v>
      </c>
      <c r="G9" s="20" t="n"/>
      <c r="H9" s="21">
        <f>IF(G9&lt;&gt;"",G9,IF(E9="","",IF(COUNT(AK9:BH9)=0,"",MIN(AK9:BH9))))</f>
        <v/>
      </c>
      <c r="I9" s="20" t="n">
        <v>45748</v>
      </c>
      <c r="J9" s="10">
        <f>IF(OR(H9="",I9=""),"",MAX(0,I9-H9-1))</f>
        <v/>
      </c>
      <c r="K9" s="11">
        <f>IF(J9="","",ROUND(N(IFERROR(INDEX('Mein Haus'!$G$45:$G$104,A9),0))*12/365*J9,2))</f>
        <v/>
      </c>
      <c r="L9" s="21">
        <f>IF(E9="","",E9+7)</f>
        <v/>
      </c>
      <c r="M9" s="16" t="inlineStr">
        <is>
          <t>x</t>
        </is>
      </c>
      <c r="N9" s="21">
        <f>IF(E9="","",E9)</f>
        <v/>
      </c>
      <c r="O9" s="16" t="inlineStr">
        <is>
          <t>x</t>
        </is>
      </c>
      <c r="P9" s="21">
        <f>IF(H9="","",WORKDAY(H9,-10,Einstellungen!$D$5:$D$34))</f>
        <v/>
      </c>
      <c r="Q9" s="16" t="inlineStr">
        <is>
          <t>x</t>
        </is>
      </c>
      <c r="R9" s="21">
        <f>IF(H9="","",H9-30)</f>
        <v/>
      </c>
      <c r="S9" s="16" t="inlineStr">
        <is>
          <t>x</t>
        </is>
      </c>
      <c r="T9" s="21">
        <f>IF(H9="","",WORKDAY(H9-1,1,Einstellungen!$D$5:$D$34))</f>
        <v/>
      </c>
      <c r="U9" s="16" t="inlineStr">
        <is>
          <t>x</t>
        </is>
      </c>
      <c r="V9" s="21">
        <f>IF(T9="","",WORKDAY(T9,2,Einstellungen!$D$5:$D$34))</f>
        <v/>
      </c>
      <c r="W9" s="16" t="inlineStr">
        <is>
          <t>x</t>
        </is>
      </c>
      <c r="X9" s="21">
        <f>IF(I9="","",I9)</f>
        <v/>
      </c>
      <c r="Y9" s="16" t="inlineStr">
        <is>
          <t>x</t>
        </is>
      </c>
      <c r="Z9" s="21">
        <f>IF(T9="","",T9+30)</f>
        <v/>
      </c>
      <c r="AA9" s="16" t="inlineStr">
        <is>
          <t>x</t>
        </is>
      </c>
      <c r="AB9" s="21">
        <f>IF(OR(H9="",Nebenkosten!$B$7=""),"",EDATE(Nebenkosten!$B$7,12*MAX(1,ROUNDUP(((YEAR(H9)-YEAR(Nebenkosten!$B$7))*12+MONTH(H9)-MONTH(Nebenkosten!$B$7)+1)/12,0))))</f>
        <v/>
      </c>
      <c r="AC9" s="16" t="inlineStr">
        <is>
          <t>x</t>
        </is>
      </c>
      <c r="AD9" s="21">
        <f>IF(H9="","",EDATE(H9,12))</f>
        <v/>
      </c>
      <c r="AE9" s="16" t="inlineStr">
        <is>
          <t>x</t>
        </is>
      </c>
      <c r="AF9" s="21">
        <f>IF(COUNT(BI9:BR9)=0,"",MIN(BI9:BR9))</f>
        <v/>
      </c>
      <c r="AG9" s="10">
        <f>IF(AF9="","",AF9-TODAY())</f>
        <v/>
      </c>
      <c r="AH9" s="23">
        <f>IF(AF9="","",INDEX($BI$7:$BR$7,MATCH(AF9,BI9:BR9,0)))</f>
        <v/>
      </c>
      <c r="AI9" s="23">
        <f>IF(A9="","",IF(B9="","ID ohne Mieter in «Mein Haus»",IF(AND(IFERROR(INDEX('Mein Haus'!$E$45:$E$104,A9),"")&lt;&gt;"",H9&lt;&gt;"",IFERROR(INDEX('Mein Haus'!$E$45:$E$104,A9),"")&lt;&gt;H9),"Mietende in «Mein Haus» weicht ab",IF(D9="Vermieter","Amtliches Formular? Familienwohnung: beide Ehegatten.",IF(D9="Ausserterminlich","Nachmieter zumutbar? Vereinbartes Ende eintragen.","")))))</f>
        <v/>
      </c>
      <c r="AK9">
        <f>IF(E9="","",IF(OR(COUNTIF(Einstellungen!$B$5:$B$16,"x")=0,INDEX(Einstellungen!$B$5:$B$16,MONTH(EOMONTH(E9,IF(F9="",3,F9)+0)))="x"),EOMONTH(E9,IF(F9="",3,F9)+0),""))</f>
        <v/>
      </c>
      <c r="AL9">
        <f>IF(E9="","",IF(OR(COUNTIF(Einstellungen!$B$5:$B$16,"x")=0,INDEX(Einstellungen!$B$5:$B$16,MONTH(EOMONTH(E9,IF(F9="",3,F9)+1)))="x"),EOMONTH(E9,IF(F9="",3,F9)+1),""))</f>
        <v/>
      </c>
      <c r="AM9">
        <f>IF(E9="","",IF(OR(COUNTIF(Einstellungen!$B$5:$B$16,"x")=0,INDEX(Einstellungen!$B$5:$B$16,MONTH(EOMONTH(E9,IF(F9="",3,F9)+2)))="x"),EOMONTH(E9,IF(F9="",3,F9)+2),""))</f>
        <v/>
      </c>
      <c r="AN9">
        <f>IF(E9="","",IF(OR(COUNTIF(Einstellungen!$B$5:$B$16,"x")=0,INDEX(Einstellungen!$B$5:$B$16,MONTH(EOMONTH(E9,IF(F9="",3,F9)+3)))="x"),EOMONTH(E9,IF(F9="",3,F9)+3),""))</f>
        <v/>
      </c>
      <c r="AO9">
        <f>IF(E9="","",IF(OR(COUNTIF(Einstellungen!$B$5:$B$16,"x")=0,INDEX(Einstellungen!$B$5:$B$16,MONTH(EOMONTH(E9,IF(F9="",3,F9)+4)))="x"),EOMONTH(E9,IF(F9="",3,F9)+4),""))</f>
        <v/>
      </c>
      <c r="AP9">
        <f>IF(E9="","",IF(OR(COUNTIF(Einstellungen!$B$5:$B$16,"x")=0,INDEX(Einstellungen!$B$5:$B$16,MONTH(EOMONTH(E9,IF(F9="",3,F9)+5)))="x"),EOMONTH(E9,IF(F9="",3,F9)+5),""))</f>
        <v/>
      </c>
      <c r="AQ9">
        <f>IF(E9="","",IF(OR(COUNTIF(Einstellungen!$B$5:$B$16,"x")=0,INDEX(Einstellungen!$B$5:$B$16,MONTH(EOMONTH(E9,IF(F9="",3,F9)+6)))="x"),EOMONTH(E9,IF(F9="",3,F9)+6),""))</f>
        <v/>
      </c>
      <c r="AR9">
        <f>IF(E9="","",IF(OR(COUNTIF(Einstellungen!$B$5:$B$16,"x")=0,INDEX(Einstellungen!$B$5:$B$16,MONTH(EOMONTH(E9,IF(F9="",3,F9)+7)))="x"),EOMONTH(E9,IF(F9="",3,F9)+7),""))</f>
        <v/>
      </c>
      <c r="AS9">
        <f>IF(E9="","",IF(OR(COUNTIF(Einstellungen!$B$5:$B$16,"x")=0,INDEX(Einstellungen!$B$5:$B$16,MONTH(EOMONTH(E9,IF(F9="",3,F9)+8)))="x"),EOMONTH(E9,IF(F9="",3,F9)+8),""))</f>
        <v/>
      </c>
      <c r="AT9">
        <f>IF(E9="","",IF(OR(COUNTIF(Einstellungen!$B$5:$B$16,"x")=0,INDEX(Einstellungen!$B$5:$B$16,MONTH(EOMONTH(E9,IF(F9="",3,F9)+9)))="x"),EOMONTH(E9,IF(F9="",3,F9)+9),""))</f>
        <v/>
      </c>
      <c r="AU9">
        <f>IF(E9="","",IF(OR(COUNTIF(Einstellungen!$B$5:$B$16,"x")=0,INDEX(Einstellungen!$B$5:$B$16,MONTH(EOMONTH(E9,IF(F9="",3,F9)+10)))="x"),EOMONTH(E9,IF(F9="",3,F9)+10),""))</f>
        <v/>
      </c>
      <c r="AV9">
        <f>IF(E9="","",IF(OR(COUNTIF(Einstellungen!$B$5:$B$16,"x")=0,INDEX(Einstellungen!$B$5:$B$16,MONTH(EOMONTH(E9,IF(F9="",3,F9)+11)))="x"),EOMONTH(E9,IF(F9="",3,F9)+11),""))</f>
        <v/>
      </c>
      <c r="AW9">
        <f>IF(E9="","",IF(OR(COUNTIF(Einstellungen!$B$5:$B$16,"x")=0,INDEX(Einstellungen!$B$5:$B$16,MONTH(EOMONTH(E9,IF(F9="",3,F9)+12)))="x"),EOMONTH(E9,IF(F9="",3,F9)+12),""))</f>
        <v/>
      </c>
      <c r="AX9">
        <f>IF(E9="","",IF(OR(COUNTIF(Einstellungen!$B$5:$B$16,"x")=0,INDEX(Einstellungen!$B$5:$B$16,MONTH(EOMONTH(E9,IF(F9="",3,F9)+13)))="x"),EOMONTH(E9,IF(F9="",3,F9)+13),""))</f>
        <v/>
      </c>
      <c r="AY9">
        <f>IF(E9="","",IF(OR(COUNTIF(Einstellungen!$B$5:$B$16,"x")=0,INDEX(Einstellungen!$B$5:$B$16,MONTH(EOMONTH(E9,IF(F9="",3,F9)+14)))="x"),EOMONTH(E9,IF(F9="",3,F9)+14),""))</f>
        <v/>
      </c>
      <c r="AZ9">
        <f>IF(E9="","",IF(OR(COUNTIF(Einstellungen!$B$5:$B$16,"x")=0,INDEX(Einstellungen!$B$5:$B$16,MONTH(EOMONTH(E9,IF(F9="",3,F9)+15)))="x"),EOMONTH(E9,IF(F9="",3,F9)+15),""))</f>
        <v/>
      </c>
      <c r="BA9">
        <f>IF(E9="","",IF(OR(COUNTIF(Einstellungen!$B$5:$B$16,"x")=0,INDEX(Einstellungen!$B$5:$B$16,MONTH(EOMONTH(E9,IF(F9="",3,F9)+16)))="x"),EOMONTH(E9,IF(F9="",3,F9)+16),""))</f>
        <v/>
      </c>
      <c r="BB9">
        <f>IF(E9="","",IF(OR(COUNTIF(Einstellungen!$B$5:$B$16,"x")=0,INDEX(Einstellungen!$B$5:$B$16,MONTH(EOMONTH(E9,IF(F9="",3,F9)+17)))="x"),EOMONTH(E9,IF(F9="",3,F9)+17),""))</f>
        <v/>
      </c>
      <c r="BC9">
        <f>IF(E9="","",IF(OR(COUNTIF(Einstellungen!$B$5:$B$16,"x")=0,INDEX(Einstellungen!$B$5:$B$16,MONTH(EOMONTH(E9,IF(F9="",3,F9)+18)))="x"),EOMONTH(E9,IF(F9="",3,F9)+18),""))</f>
        <v/>
      </c>
      <c r="BD9">
        <f>IF(E9="","",IF(OR(COUNTIF(Einstellungen!$B$5:$B$16,"x")=0,INDEX(Einstellungen!$B$5:$B$16,MONTH(EOMONTH(E9,IF(F9="",3,F9)+19)))="x"),EOMONTH(E9,IF(F9="",3,F9)+19),""))</f>
        <v/>
      </c>
      <c r="BE9">
        <f>IF(E9="","",IF(OR(COUNTIF(Einstellungen!$B$5:$B$16,"x")=0,INDEX(Einstellungen!$B$5:$B$16,MONTH(EOMONTH(E9,IF(F9="",3,F9)+20)))="x"),EOMONTH(E9,IF(F9="",3,F9)+20),""))</f>
        <v/>
      </c>
      <c r="BF9">
        <f>IF(E9="","",IF(OR(COUNTIF(Einstellungen!$B$5:$B$16,"x")=0,INDEX(Einstellungen!$B$5:$B$16,MONTH(EOMONTH(E9,IF(F9="",3,F9)+21)))="x"),EOMONTH(E9,IF(F9="",3,F9)+21),""))</f>
        <v/>
      </c>
      <c r="BG9">
        <f>IF(E9="","",IF(OR(COUNTIF(Einstellungen!$B$5:$B$16,"x")=0,INDEX(Einstellungen!$B$5:$B$16,MONTH(EOMONTH(E9,IF(F9="",3,F9)+22)))="x"),EOMONTH(E9,IF(F9="",3,F9)+22),""))</f>
        <v/>
      </c>
      <c r="BH9">
        <f>IF(E9="","",IF(OR(COUNTIF(Einstellungen!$B$5:$B$16,"x")=0,INDEX(Einstellungen!$B$5:$B$16,MONTH(EOMONTH(E9,IF(F9="",3,F9)+23)))="x"),EOMONTH(E9,IF(F9="",3,F9)+23),""))</f>
        <v/>
      </c>
      <c r="BI9">
        <f>IF(AND(L9&lt;&gt;"",M9=""),L9,"")</f>
        <v/>
      </c>
      <c r="BJ9">
        <f>IF(AND(N9&lt;&gt;"",O9=""),N9,"")</f>
        <v/>
      </c>
      <c r="BK9">
        <f>IF(AND(P9&lt;&gt;"",Q9=""),P9,"")</f>
        <v/>
      </c>
      <c r="BL9">
        <f>IF(AND(R9&lt;&gt;"",S9=""),R9,"")</f>
        <v/>
      </c>
      <c r="BM9">
        <f>IF(AND(T9&lt;&gt;"",U9=""),T9,"")</f>
        <v/>
      </c>
      <c r="BN9">
        <f>IF(AND(V9&lt;&gt;"",W9=""),V9,"")</f>
        <v/>
      </c>
      <c r="BO9">
        <f>IF(AND(X9&lt;&gt;"",Y9=""),X9,"")</f>
        <v/>
      </c>
      <c r="BP9">
        <f>IF(AND(Z9&lt;&gt;"",AA9=""),Z9,"")</f>
        <v/>
      </c>
      <c r="BQ9">
        <f>IF(AND(AB9&lt;&gt;"",AC9=""),AB9,"")</f>
        <v/>
      </c>
      <c r="BR9">
        <f>IF(AND(AD9&lt;&gt;"",AE9=""),AD9,"")</f>
        <v/>
      </c>
      <c r="BS9">
        <f>IF(AF9="","",AF9+ROW()/100000)</f>
        <v/>
      </c>
    </row>
    <row r="10">
      <c r="A10" s="26" t="n">
        <v>5</v>
      </c>
      <c r="B10" s="23">
        <f>IF(A10="","",IFERROR(INDEX('Mein Haus'!$C$45:$C$104,A10)&amp;"",""))</f>
        <v/>
      </c>
      <c r="C10" s="23">
        <f>IF(A10="","",IFERROR(INDEX('Mein Haus'!$B$45:$B$104,A10)&amp;"",""))</f>
        <v/>
      </c>
      <c r="D10" s="16" t="inlineStr">
        <is>
          <t>Vermieter</t>
        </is>
      </c>
      <c r="E10" s="20" t="n">
        <v>45838</v>
      </c>
      <c r="F10" s="26" t="n">
        <v>3</v>
      </c>
      <c r="G10" s="20" t="n"/>
      <c r="H10" s="21">
        <f>IF(G10&lt;&gt;"",G10,IF(E10="","",IF(COUNT(AK10:BH10)=0,"",MIN(AK10:BH10))))</f>
        <v/>
      </c>
      <c r="I10" s="20" t="n">
        <v>45992</v>
      </c>
      <c r="J10" s="10">
        <f>IF(OR(H10="",I10=""),"",MAX(0,I10-H10-1))</f>
        <v/>
      </c>
      <c r="K10" s="11">
        <f>IF(J10="","",ROUND(N(IFERROR(INDEX('Mein Haus'!$G$45:$G$104,A10),0))*12/365*J10,2))</f>
        <v/>
      </c>
      <c r="L10" s="21">
        <f>IF(E10="","",E10+7)</f>
        <v/>
      </c>
      <c r="M10" s="16" t="inlineStr">
        <is>
          <t>x</t>
        </is>
      </c>
      <c r="N10" s="21">
        <f>IF(E10="","",E10)</f>
        <v/>
      </c>
      <c r="O10" s="16" t="inlineStr">
        <is>
          <t>x</t>
        </is>
      </c>
      <c r="P10" s="21">
        <f>IF(H10="","",WORKDAY(H10,-10,Einstellungen!$D$5:$D$34))</f>
        <v/>
      </c>
      <c r="Q10" s="16" t="inlineStr">
        <is>
          <t>x</t>
        </is>
      </c>
      <c r="R10" s="21">
        <f>IF(H10="","",H10-30)</f>
        <v/>
      </c>
      <c r="S10" s="16" t="inlineStr">
        <is>
          <t>x</t>
        </is>
      </c>
      <c r="T10" s="21">
        <f>IF(H10="","",WORKDAY(H10-1,1,Einstellungen!$D$5:$D$34))</f>
        <v/>
      </c>
      <c r="U10" s="16" t="inlineStr">
        <is>
          <t>x</t>
        </is>
      </c>
      <c r="V10" s="21">
        <f>IF(T10="","",WORKDAY(T10,2,Einstellungen!$D$5:$D$34))</f>
        <v/>
      </c>
      <c r="W10" s="16" t="inlineStr">
        <is>
          <t>x</t>
        </is>
      </c>
      <c r="X10" s="21">
        <f>IF(I10="","",I10)</f>
        <v/>
      </c>
      <c r="Y10" s="16" t="inlineStr">
        <is>
          <t>x</t>
        </is>
      </c>
      <c r="Z10" s="21">
        <f>IF(T10="","",T10+30)</f>
        <v/>
      </c>
      <c r="AA10" s="16" t="inlineStr">
        <is>
          <t>x</t>
        </is>
      </c>
      <c r="AB10" s="21">
        <f>IF(OR(H10="",Nebenkosten!$B$7=""),"",EDATE(Nebenkosten!$B$7,12*MAX(1,ROUNDUP(((YEAR(H10)-YEAR(Nebenkosten!$B$7))*12+MONTH(H10)-MONTH(Nebenkosten!$B$7)+1)/12,0))))</f>
        <v/>
      </c>
      <c r="AC10" s="16" t="inlineStr">
        <is>
          <t>x</t>
        </is>
      </c>
      <c r="AD10" s="21">
        <f>IF(H10="","",EDATE(H10,12))</f>
        <v/>
      </c>
      <c r="AE10" s="16" t="inlineStr">
        <is>
          <t>x</t>
        </is>
      </c>
      <c r="AF10" s="21">
        <f>IF(COUNT(BI10:BR10)=0,"",MIN(BI10:BR10))</f>
        <v/>
      </c>
      <c r="AG10" s="10">
        <f>IF(AF10="","",AF10-TODAY())</f>
        <v/>
      </c>
      <c r="AH10" s="23">
        <f>IF(AF10="","",INDEX($BI$7:$BR$7,MATCH(AF10,BI10:BR10,0)))</f>
        <v/>
      </c>
      <c r="AI10" s="23">
        <f>IF(A10="","",IF(B10="","ID ohne Mieter in «Mein Haus»",IF(AND(IFERROR(INDEX('Mein Haus'!$E$45:$E$104,A10),"")&lt;&gt;"",H10&lt;&gt;"",IFERROR(INDEX('Mein Haus'!$E$45:$E$104,A10),"")&lt;&gt;H10),"Mietende in «Mein Haus» weicht ab",IF(D10="Vermieter","Amtliches Formular? Familienwohnung: beide Ehegatten.",IF(D10="Ausserterminlich","Nachmieter zumutbar? Vereinbartes Ende eintragen.","")))))</f>
        <v/>
      </c>
      <c r="AK10">
        <f>IF(E10="","",IF(OR(COUNTIF(Einstellungen!$B$5:$B$16,"x")=0,INDEX(Einstellungen!$B$5:$B$16,MONTH(EOMONTH(E10,IF(F10="",3,F10)+0)))="x"),EOMONTH(E10,IF(F10="",3,F10)+0),""))</f>
        <v/>
      </c>
      <c r="AL10">
        <f>IF(E10="","",IF(OR(COUNTIF(Einstellungen!$B$5:$B$16,"x")=0,INDEX(Einstellungen!$B$5:$B$16,MONTH(EOMONTH(E10,IF(F10="",3,F10)+1)))="x"),EOMONTH(E10,IF(F10="",3,F10)+1),""))</f>
        <v/>
      </c>
      <c r="AM10">
        <f>IF(E10="","",IF(OR(COUNTIF(Einstellungen!$B$5:$B$16,"x")=0,INDEX(Einstellungen!$B$5:$B$16,MONTH(EOMONTH(E10,IF(F10="",3,F10)+2)))="x"),EOMONTH(E10,IF(F10="",3,F10)+2),""))</f>
        <v/>
      </c>
      <c r="AN10">
        <f>IF(E10="","",IF(OR(COUNTIF(Einstellungen!$B$5:$B$16,"x")=0,INDEX(Einstellungen!$B$5:$B$16,MONTH(EOMONTH(E10,IF(F10="",3,F10)+3)))="x"),EOMONTH(E10,IF(F10="",3,F10)+3),""))</f>
        <v/>
      </c>
      <c r="AO10">
        <f>IF(E10="","",IF(OR(COUNTIF(Einstellungen!$B$5:$B$16,"x")=0,INDEX(Einstellungen!$B$5:$B$16,MONTH(EOMONTH(E10,IF(F10="",3,F10)+4)))="x"),EOMONTH(E10,IF(F10="",3,F10)+4),""))</f>
        <v/>
      </c>
      <c r="AP10">
        <f>IF(E10="","",IF(OR(COUNTIF(Einstellungen!$B$5:$B$16,"x")=0,INDEX(Einstellungen!$B$5:$B$16,MONTH(EOMONTH(E10,IF(F10="",3,F10)+5)))="x"),EOMONTH(E10,IF(F10="",3,F10)+5),""))</f>
        <v/>
      </c>
      <c r="AQ10">
        <f>IF(E10="","",IF(OR(COUNTIF(Einstellungen!$B$5:$B$16,"x")=0,INDEX(Einstellungen!$B$5:$B$16,MONTH(EOMONTH(E10,IF(F10="",3,F10)+6)))="x"),EOMONTH(E10,IF(F10="",3,F10)+6),""))</f>
        <v/>
      </c>
      <c r="AR10">
        <f>IF(E10="","",IF(OR(COUNTIF(Einstellungen!$B$5:$B$16,"x")=0,INDEX(Einstellungen!$B$5:$B$16,MONTH(EOMONTH(E10,IF(F10="",3,F10)+7)))="x"),EOMONTH(E10,IF(F10="",3,F10)+7),""))</f>
        <v/>
      </c>
      <c r="AS10">
        <f>IF(E10="","",IF(OR(COUNTIF(Einstellungen!$B$5:$B$16,"x")=0,INDEX(Einstellungen!$B$5:$B$16,MONTH(EOMONTH(E10,IF(F10="",3,F10)+8)))="x"),EOMONTH(E10,IF(F10="",3,F10)+8),""))</f>
        <v/>
      </c>
      <c r="AT10">
        <f>IF(E10="","",IF(OR(COUNTIF(Einstellungen!$B$5:$B$16,"x")=0,INDEX(Einstellungen!$B$5:$B$16,MONTH(EOMONTH(E10,IF(F10="",3,F10)+9)))="x"),EOMONTH(E10,IF(F10="",3,F10)+9),""))</f>
        <v/>
      </c>
      <c r="AU10">
        <f>IF(E10="","",IF(OR(COUNTIF(Einstellungen!$B$5:$B$16,"x")=0,INDEX(Einstellungen!$B$5:$B$16,MONTH(EOMONTH(E10,IF(F10="",3,F10)+10)))="x"),EOMONTH(E10,IF(F10="",3,F10)+10),""))</f>
        <v/>
      </c>
      <c r="AV10">
        <f>IF(E10="","",IF(OR(COUNTIF(Einstellungen!$B$5:$B$16,"x")=0,INDEX(Einstellungen!$B$5:$B$16,MONTH(EOMONTH(E10,IF(F10="",3,F10)+11)))="x"),EOMONTH(E10,IF(F10="",3,F10)+11),""))</f>
        <v/>
      </c>
      <c r="AW10">
        <f>IF(E10="","",IF(OR(COUNTIF(Einstellungen!$B$5:$B$16,"x")=0,INDEX(Einstellungen!$B$5:$B$16,MONTH(EOMONTH(E10,IF(F10="",3,F10)+12)))="x"),EOMONTH(E10,IF(F10="",3,F10)+12),""))</f>
        <v/>
      </c>
      <c r="AX10">
        <f>IF(E10="","",IF(OR(COUNTIF(Einstellungen!$B$5:$B$16,"x")=0,INDEX(Einstellungen!$B$5:$B$16,MONTH(EOMONTH(E10,IF(F10="",3,F10)+13)))="x"),EOMONTH(E10,IF(F10="",3,F10)+13),""))</f>
        <v/>
      </c>
      <c r="AY10">
        <f>IF(E10="","",IF(OR(COUNTIF(Einstellungen!$B$5:$B$16,"x")=0,INDEX(Einstellungen!$B$5:$B$16,MONTH(EOMONTH(E10,IF(F10="",3,F10)+14)))="x"),EOMONTH(E10,IF(F10="",3,F10)+14),""))</f>
        <v/>
      </c>
      <c r="AZ10">
        <f>IF(E10="","",IF(OR(COUNTIF(Einstellungen!$B$5:$B$16,"x")=0,INDEX(Einstellungen!$B$5:$B$16,MONTH(EOMONTH(E10,IF(F10="",3,F10)+15)))="x"),EOMONTH(E10,IF(F10="",3,F10)+15),""))</f>
        <v/>
      </c>
      <c r="BA10">
        <f>IF(E10="","",IF(OR(COUNTIF(Einstellungen!$B$5:$B$16,"x")=0,INDEX(Einstellungen!$B$5:$B$16,MONTH(EOMONTH(E10,IF(F10="",3,F10)+16)))="x"),EOMONTH(E10,IF(F10="",3,F10)+16),""))</f>
        <v/>
      </c>
      <c r="BB10">
        <f>IF(E10="","",IF(OR(COUNTIF(Einstellungen!$B$5:$B$16,"x")=0,INDEX(Einstellungen!$B$5:$B$16,MONTH(EOMONTH(E10,IF(F10="",3,F10)+17)))="x"),EOMONTH(E10,IF(F10="",3,F10)+17),""))</f>
        <v/>
      </c>
      <c r="BC10">
        <f>IF(E10="","",IF(OR(COUNTIF(Einstellungen!$B$5:$B$16,"x")=0,INDEX(Einstellungen!$B$5:$B$16,MONTH(EOMONTH(E10,IF(F10="",3,F10)+18)))="x"),EOMONTH(E10,IF(F10="",3,F10)+18),""))</f>
        <v/>
      </c>
      <c r="BD10">
        <f>IF(E10="","",IF(OR(COUNTIF(Einstellungen!$B$5:$B$16,"x")=0,INDEX(Einstellungen!$B$5:$B$16,MONTH(EOMONTH(E10,IF(F10="",3,F10)+19)))="x"),EOMONTH(E10,IF(F10="",3,F10)+19),""))</f>
        <v/>
      </c>
      <c r="BE10">
        <f>IF(E10="","",IF(OR(COUNTIF(Einstellungen!$B$5:$B$16,"x")=0,INDEX(Einstellungen!$B$5:$B$16,MONTH(EOMONTH(E10,IF(F10="",3,F10)+20)))="x"),EOMONTH(E10,IF(F10="",3,F10)+20),""))</f>
        <v/>
      </c>
      <c r="BF10">
        <f>IF(E10="","",IF(OR(COUNTIF(Einstellungen!$B$5:$B$16,"x")=0,INDEX(Einstellungen!$B$5:$B$16,MONTH(EOMONTH(E10,IF(F10="",3,F10)+21)))="x"),EOMONTH(E10,IF(F10="",3,F10)+21),""))</f>
        <v/>
      </c>
      <c r="BG10">
        <f>IF(E10="","",IF(OR(COUNTIF(Einstellungen!$B$5:$B$16,"x")=0,INDEX(Einstellungen!$B$5:$B$16,MONTH(EOMONTH(E10,IF(F10="",3,F10)+22)))="x"),EOMONTH(E10,IF(F10="",3,F10)+22),""))</f>
        <v/>
      </c>
      <c r="BH10">
        <f>IF(E10="","",IF(OR(COUNTIF(Einstellungen!$B$5:$B$16,"x")=0,INDEX(Einstellungen!$B$5:$B$16,MONTH(EOMONTH(E10,IF(F10="",3,F10)+23)))="x"),EOMONTH(E10,IF(F10="",3,F10)+23),""))</f>
        <v/>
      </c>
      <c r="BI10">
        <f>IF(AND(L10&lt;&gt;"",M10=""),L10,"")</f>
        <v/>
      </c>
      <c r="BJ10">
        <f>IF(AND(N10&lt;&gt;"",O10=""),N10,"")</f>
        <v/>
      </c>
      <c r="BK10">
        <f>IF(AND(P10&lt;&gt;"",Q10=""),P10,"")</f>
        <v/>
      </c>
      <c r="BL10">
        <f>IF(AND(R10&lt;&gt;"",S10=""),R10,"")</f>
        <v/>
      </c>
      <c r="BM10">
        <f>IF(AND(T10&lt;&gt;"",U10=""),T10,"")</f>
        <v/>
      </c>
      <c r="BN10">
        <f>IF(AND(V10&lt;&gt;"",W10=""),V10,"")</f>
        <v/>
      </c>
      <c r="BO10">
        <f>IF(AND(X10&lt;&gt;"",Y10=""),X10,"")</f>
        <v/>
      </c>
      <c r="BP10">
        <f>IF(AND(Z10&lt;&gt;"",AA10=""),Z10,"")</f>
        <v/>
      </c>
      <c r="BQ10">
        <f>IF(AND(AB10&lt;&gt;"",AC10=""),AB10,"")</f>
        <v/>
      </c>
      <c r="BR10">
        <f>IF(AND(AD10&lt;&gt;"",AE10=""),AD10,"")</f>
        <v/>
      </c>
      <c r="BS10">
        <f>IF(AF10="","",AF10+ROW()/100000)</f>
        <v/>
      </c>
    </row>
    <row r="11">
      <c r="A11" s="26" t="n">
        <v>1</v>
      </c>
      <c r="B11" s="23">
        <f>IF(A11="","",IFERROR(INDEX('Mein Haus'!$C$45:$C$104,A11)&amp;"",""))</f>
        <v/>
      </c>
      <c r="C11" s="23">
        <f>IF(A11="","",IFERROR(INDEX('Mein Haus'!$B$45:$B$104,A11)&amp;"",""))</f>
        <v/>
      </c>
      <c r="D11" s="16" t="inlineStr">
        <is>
          <t>Mieter</t>
        </is>
      </c>
      <c r="E11" s="20" t="n">
        <v>46254</v>
      </c>
      <c r="F11" s="26" t="n">
        <v>3</v>
      </c>
      <c r="G11" s="20" t="n"/>
      <c r="H11" s="21">
        <f>IF(G11&lt;&gt;"",G11,IF(E11="","",IF(COUNT(AK11:BH11)=0,"",MIN(AK11:BH11))))</f>
        <v/>
      </c>
      <c r="I11" s="20" t="n"/>
      <c r="J11" s="10">
        <f>IF(OR(H11="",I11=""),"",MAX(0,I11-H11-1))</f>
        <v/>
      </c>
      <c r="K11" s="11">
        <f>IF(J11="","",ROUND(N(IFERROR(INDEX('Mein Haus'!$G$45:$G$104,A11),0))*12/365*J11,2))</f>
        <v/>
      </c>
      <c r="L11" s="21">
        <f>IF(E11="","",E11+7)</f>
        <v/>
      </c>
      <c r="M11" s="16" t="n"/>
      <c r="N11" s="21">
        <f>IF(E11="","",E11)</f>
        <v/>
      </c>
      <c r="O11" s="16" t="n"/>
      <c r="P11" s="21">
        <f>IF(H11="","",WORKDAY(H11,-10,Einstellungen!$D$5:$D$34))</f>
        <v/>
      </c>
      <c r="Q11" s="16" t="n"/>
      <c r="R11" s="21">
        <f>IF(H11="","",H11-30)</f>
        <v/>
      </c>
      <c r="S11" s="16" t="n"/>
      <c r="T11" s="21">
        <f>IF(H11="","",WORKDAY(H11-1,1,Einstellungen!$D$5:$D$34))</f>
        <v/>
      </c>
      <c r="U11" s="16" t="n"/>
      <c r="V11" s="21">
        <f>IF(T11="","",WORKDAY(T11,2,Einstellungen!$D$5:$D$34))</f>
        <v/>
      </c>
      <c r="W11" s="16" t="n"/>
      <c r="X11" s="21">
        <f>IF(I11="","",I11)</f>
        <v/>
      </c>
      <c r="Y11" s="16" t="n"/>
      <c r="Z11" s="21">
        <f>IF(T11="","",T11+30)</f>
        <v/>
      </c>
      <c r="AA11" s="16" t="n"/>
      <c r="AB11" s="21">
        <f>IF(OR(H11="",Nebenkosten!$B$7=""),"",EDATE(Nebenkosten!$B$7,12*MAX(1,ROUNDUP(((YEAR(H11)-YEAR(Nebenkosten!$B$7))*12+MONTH(H11)-MONTH(Nebenkosten!$B$7)+1)/12,0))))</f>
        <v/>
      </c>
      <c r="AC11" s="16" t="n"/>
      <c r="AD11" s="21">
        <f>IF(H11="","",EDATE(H11,12))</f>
        <v/>
      </c>
      <c r="AE11" s="16" t="n"/>
      <c r="AF11" s="21">
        <f>IF(COUNT(BI11:BR11)=0,"",MIN(BI11:BR11))</f>
        <v/>
      </c>
      <c r="AG11" s="10">
        <f>IF(AF11="","",AF11-TODAY())</f>
        <v/>
      </c>
      <c r="AH11" s="23">
        <f>IF(AF11="","",INDEX($BI$7:$BR$7,MATCH(AF11,BI11:BR11,0)))</f>
        <v/>
      </c>
      <c r="AI11" s="23">
        <f>IF(A11="","",IF(B11="","ID ohne Mieter in «Mein Haus»",IF(AND(IFERROR(INDEX('Mein Haus'!$E$45:$E$104,A11),"")&lt;&gt;"",H11&lt;&gt;"",IFERROR(INDEX('Mein Haus'!$E$45:$E$104,A11),"")&lt;&gt;H11),"Mietende in «Mein Haus» weicht ab",IF(D11="Vermieter","Amtliches Formular? Familienwohnung: beide Ehegatten.",IF(D11="Ausserterminlich","Nachmieter zumutbar? Vereinbartes Ende eintragen.","")))))</f>
        <v/>
      </c>
      <c r="AK11">
        <f>IF(E11="","",IF(OR(COUNTIF(Einstellungen!$B$5:$B$16,"x")=0,INDEX(Einstellungen!$B$5:$B$16,MONTH(EOMONTH(E11,IF(F11="",3,F11)+0)))="x"),EOMONTH(E11,IF(F11="",3,F11)+0),""))</f>
        <v/>
      </c>
      <c r="AL11">
        <f>IF(E11="","",IF(OR(COUNTIF(Einstellungen!$B$5:$B$16,"x")=0,INDEX(Einstellungen!$B$5:$B$16,MONTH(EOMONTH(E11,IF(F11="",3,F11)+1)))="x"),EOMONTH(E11,IF(F11="",3,F11)+1),""))</f>
        <v/>
      </c>
      <c r="AM11">
        <f>IF(E11="","",IF(OR(COUNTIF(Einstellungen!$B$5:$B$16,"x")=0,INDEX(Einstellungen!$B$5:$B$16,MONTH(EOMONTH(E11,IF(F11="",3,F11)+2)))="x"),EOMONTH(E11,IF(F11="",3,F11)+2),""))</f>
        <v/>
      </c>
      <c r="AN11">
        <f>IF(E11="","",IF(OR(COUNTIF(Einstellungen!$B$5:$B$16,"x")=0,INDEX(Einstellungen!$B$5:$B$16,MONTH(EOMONTH(E11,IF(F11="",3,F11)+3)))="x"),EOMONTH(E11,IF(F11="",3,F11)+3),""))</f>
        <v/>
      </c>
      <c r="AO11">
        <f>IF(E11="","",IF(OR(COUNTIF(Einstellungen!$B$5:$B$16,"x")=0,INDEX(Einstellungen!$B$5:$B$16,MONTH(EOMONTH(E11,IF(F11="",3,F11)+4)))="x"),EOMONTH(E11,IF(F11="",3,F11)+4),""))</f>
        <v/>
      </c>
      <c r="AP11">
        <f>IF(E11="","",IF(OR(COUNTIF(Einstellungen!$B$5:$B$16,"x")=0,INDEX(Einstellungen!$B$5:$B$16,MONTH(EOMONTH(E11,IF(F11="",3,F11)+5)))="x"),EOMONTH(E11,IF(F11="",3,F11)+5),""))</f>
        <v/>
      </c>
      <c r="AQ11">
        <f>IF(E11="","",IF(OR(COUNTIF(Einstellungen!$B$5:$B$16,"x")=0,INDEX(Einstellungen!$B$5:$B$16,MONTH(EOMONTH(E11,IF(F11="",3,F11)+6)))="x"),EOMONTH(E11,IF(F11="",3,F11)+6),""))</f>
        <v/>
      </c>
      <c r="AR11">
        <f>IF(E11="","",IF(OR(COUNTIF(Einstellungen!$B$5:$B$16,"x")=0,INDEX(Einstellungen!$B$5:$B$16,MONTH(EOMONTH(E11,IF(F11="",3,F11)+7)))="x"),EOMONTH(E11,IF(F11="",3,F11)+7),""))</f>
        <v/>
      </c>
      <c r="AS11">
        <f>IF(E11="","",IF(OR(COUNTIF(Einstellungen!$B$5:$B$16,"x")=0,INDEX(Einstellungen!$B$5:$B$16,MONTH(EOMONTH(E11,IF(F11="",3,F11)+8)))="x"),EOMONTH(E11,IF(F11="",3,F11)+8),""))</f>
        <v/>
      </c>
      <c r="AT11">
        <f>IF(E11="","",IF(OR(COUNTIF(Einstellungen!$B$5:$B$16,"x")=0,INDEX(Einstellungen!$B$5:$B$16,MONTH(EOMONTH(E11,IF(F11="",3,F11)+9)))="x"),EOMONTH(E11,IF(F11="",3,F11)+9),""))</f>
        <v/>
      </c>
      <c r="AU11">
        <f>IF(E11="","",IF(OR(COUNTIF(Einstellungen!$B$5:$B$16,"x")=0,INDEX(Einstellungen!$B$5:$B$16,MONTH(EOMONTH(E11,IF(F11="",3,F11)+10)))="x"),EOMONTH(E11,IF(F11="",3,F11)+10),""))</f>
        <v/>
      </c>
      <c r="AV11">
        <f>IF(E11="","",IF(OR(COUNTIF(Einstellungen!$B$5:$B$16,"x")=0,INDEX(Einstellungen!$B$5:$B$16,MONTH(EOMONTH(E11,IF(F11="",3,F11)+11)))="x"),EOMONTH(E11,IF(F11="",3,F11)+11),""))</f>
        <v/>
      </c>
      <c r="AW11">
        <f>IF(E11="","",IF(OR(COUNTIF(Einstellungen!$B$5:$B$16,"x")=0,INDEX(Einstellungen!$B$5:$B$16,MONTH(EOMONTH(E11,IF(F11="",3,F11)+12)))="x"),EOMONTH(E11,IF(F11="",3,F11)+12),""))</f>
        <v/>
      </c>
      <c r="AX11">
        <f>IF(E11="","",IF(OR(COUNTIF(Einstellungen!$B$5:$B$16,"x")=0,INDEX(Einstellungen!$B$5:$B$16,MONTH(EOMONTH(E11,IF(F11="",3,F11)+13)))="x"),EOMONTH(E11,IF(F11="",3,F11)+13),""))</f>
        <v/>
      </c>
      <c r="AY11">
        <f>IF(E11="","",IF(OR(COUNTIF(Einstellungen!$B$5:$B$16,"x")=0,INDEX(Einstellungen!$B$5:$B$16,MONTH(EOMONTH(E11,IF(F11="",3,F11)+14)))="x"),EOMONTH(E11,IF(F11="",3,F11)+14),""))</f>
        <v/>
      </c>
      <c r="AZ11">
        <f>IF(E11="","",IF(OR(COUNTIF(Einstellungen!$B$5:$B$16,"x")=0,INDEX(Einstellungen!$B$5:$B$16,MONTH(EOMONTH(E11,IF(F11="",3,F11)+15)))="x"),EOMONTH(E11,IF(F11="",3,F11)+15),""))</f>
        <v/>
      </c>
      <c r="BA11">
        <f>IF(E11="","",IF(OR(COUNTIF(Einstellungen!$B$5:$B$16,"x")=0,INDEX(Einstellungen!$B$5:$B$16,MONTH(EOMONTH(E11,IF(F11="",3,F11)+16)))="x"),EOMONTH(E11,IF(F11="",3,F11)+16),""))</f>
        <v/>
      </c>
      <c r="BB11">
        <f>IF(E11="","",IF(OR(COUNTIF(Einstellungen!$B$5:$B$16,"x")=0,INDEX(Einstellungen!$B$5:$B$16,MONTH(EOMONTH(E11,IF(F11="",3,F11)+17)))="x"),EOMONTH(E11,IF(F11="",3,F11)+17),""))</f>
        <v/>
      </c>
      <c r="BC11">
        <f>IF(E11="","",IF(OR(COUNTIF(Einstellungen!$B$5:$B$16,"x")=0,INDEX(Einstellungen!$B$5:$B$16,MONTH(EOMONTH(E11,IF(F11="",3,F11)+18)))="x"),EOMONTH(E11,IF(F11="",3,F11)+18),""))</f>
        <v/>
      </c>
      <c r="BD11">
        <f>IF(E11="","",IF(OR(COUNTIF(Einstellungen!$B$5:$B$16,"x")=0,INDEX(Einstellungen!$B$5:$B$16,MONTH(EOMONTH(E11,IF(F11="",3,F11)+19)))="x"),EOMONTH(E11,IF(F11="",3,F11)+19),""))</f>
        <v/>
      </c>
      <c r="BE11">
        <f>IF(E11="","",IF(OR(COUNTIF(Einstellungen!$B$5:$B$16,"x")=0,INDEX(Einstellungen!$B$5:$B$16,MONTH(EOMONTH(E11,IF(F11="",3,F11)+20)))="x"),EOMONTH(E11,IF(F11="",3,F11)+20),""))</f>
        <v/>
      </c>
      <c r="BF11">
        <f>IF(E11="","",IF(OR(COUNTIF(Einstellungen!$B$5:$B$16,"x")=0,INDEX(Einstellungen!$B$5:$B$16,MONTH(EOMONTH(E11,IF(F11="",3,F11)+21)))="x"),EOMONTH(E11,IF(F11="",3,F11)+21),""))</f>
        <v/>
      </c>
      <c r="BG11">
        <f>IF(E11="","",IF(OR(COUNTIF(Einstellungen!$B$5:$B$16,"x")=0,INDEX(Einstellungen!$B$5:$B$16,MONTH(EOMONTH(E11,IF(F11="",3,F11)+22)))="x"),EOMONTH(E11,IF(F11="",3,F11)+22),""))</f>
        <v/>
      </c>
      <c r="BH11">
        <f>IF(E11="","",IF(OR(COUNTIF(Einstellungen!$B$5:$B$16,"x")=0,INDEX(Einstellungen!$B$5:$B$16,MONTH(EOMONTH(E11,IF(F11="",3,F11)+23)))="x"),EOMONTH(E11,IF(F11="",3,F11)+23),""))</f>
        <v/>
      </c>
      <c r="BI11">
        <f>IF(AND(L11&lt;&gt;"",M11=""),L11,"")</f>
        <v/>
      </c>
      <c r="BJ11">
        <f>IF(AND(N11&lt;&gt;"",O11=""),N11,"")</f>
        <v/>
      </c>
      <c r="BK11">
        <f>IF(AND(P11&lt;&gt;"",Q11=""),P11,"")</f>
        <v/>
      </c>
      <c r="BL11">
        <f>IF(AND(R11&lt;&gt;"",S11=""),R11,"")</f>
        <v/>
      </c>
      <c r="BM11">
        <f>IF(AND(T11&lt;&gt;"",U11=""),T11,"")</f>
        <v/>
      </c>
      <c r="BN11">
        <f>IF(AND(V11&lt;&gt;"",W11=""),V11,"")</f>
        <v/>
      </c>
      <c r="BO11">
        <f>IF(AND(X11&lt;&gt;"",Y11=""),X11,"")</f>
        <v/>
      </c>
      <c r="BP11">
        <f>IF(AND(Z11&lt;&gt;"",AA11=""),Z11,"")</f>
        <v/>
      </c>
      <c r="BQ11">
        <f>IF(AND(AB11&lt;&gt;"",AC11=""),AB11,"")</f>
        <v/>
      </c>
      <c r="BR11">
        <f>IF(AND(AD11&lt;&gt;"",AE11=""),AD11,"")</f>
        <v/>
      </c>
      <c r="BS11">
        <f>IF(AF11="","",AF11+ROW()/100000)</f>
        <v/>
      </c>
    </row>
    <row r="12">
      <c r="A12" s="26" t="n"/>
      <c r="B12" s="23">
        <f>IF(A12="","",IFERROR(INDEX('Mein Haus'!$C$45:$C$104,A12)&amp;"",""))</f>
        <v/>
      </c>
      <c r="C12" s="23">
        <f>IF(A12="","",IFERROR(INDEX('Mein Haus'!$B$45:$B$104,A12)&amp;"",""))</f>
        <v/>
      </c>
      <c r="D12" s="16" t="n"/>
      <c r="E12" s="20" t="n"/>
      <c r="F12" s="26" t="n"/>
      <c r="G12" s="20" t="n"/>
      <c r="H12" s="21">
        <f>IF(G12&lt;&gt;"",G12,IF(E12="","",IF(COUNT(AK12:BH12)=0,"",MIN(AK12:BH12))))</f>
        <v/>
      </c>
      <c r="I12" s="20" t="n"/>
      <c r="J12" s="10">
        <f>IF(OR(H12="",I12=""),"",MAX(0,I12-H12-1))</f>
        <v/>
      </c>
      <c r="K12" s="11">
        <f>IF(J12="","",ROUND(N(IFERROR(INDEX('Mein Haus'!$G$45:$G$104,A12),0))*12/365*J12,2))</f>
        <v/>
      </c>
      <c r="L12" s="21">
        <f>IF(E12="","",E12+7)</f>
        <v/>
      </c>
      <c r="M12" s="16" t="n"/>
      <c r="N12" s="21">
        <f>IF(E12="","",E12)</f>
        <v/>
      </c>
      <c r="O12" s="16" t="n"/>
      <c r="P12" s="21">
        <f>IF(H12="","",WORKDAY(H12,-10,Einstellungen!$D$5:$D$34))</f>
        <v/>
      </c>
      <c r="Q12" s="16" t="n"/>
      <c r="R12" s="21">
        <f>IF(H12="","",H12-30)</f>
        <v/>
      </c>
      <c r="S12" s="16" t="n"/>
      <c r="T12" s="21">
        <f>IF(H12="","",WORKDAY(H12-1,1,Einstellungen!$D$5:$D$34))</f>
        <v/>
      </c>
      <c r="U12" s="16" t="n"/>
      <c r="V12" s="21">
        <f>IF(T12="","",WORKDAY(T12,2,Einstellungen!$D$5:$D$34))</f>
        <v/>
      </c>
      <c r="W12" s="16" t="n"/>
      <c r="X12" s="21">
        <f>IF(I12="","",I12)</f>
        <v/>
      </c>
      <c r="Y12" s="16" t="n"/>
      <c r="Z12" s="21">
        <f>IF(T12="","",T12+30)</f>
        <v/>
      </c>
      <c r="AA12" s="16" t="n"/>
      <c r="AB12" s="21">
        <f>IF(OR(H12="",Nebenkosten!$B$7=""),"",EDATE(Nebenkosten!$B$7,12*MAX(1,ROUNDUP(((YEAR(H12)-YEAR(Nebenkosten!$B$7))*12+MONTH(H12)-MONTH(Nebenkosten!$B$7)+1)/12,0))))</f>
        <v/>
      </c>
      <c r="AC12" s="16" t="n"/>
      <c r="AD12" s="21">
        <f>IF(H12="","",EDATE(H12,12))</f>
        <v/>
      </c>
      <c r="AE12" s="16" t="n"/>
      <c r="AF12" s="21">
        <f>IF(COUNT(BI12:BR12)=0,"",MIN(BI12:BR12))</f>
        <v/>
      </c>
      <c r="AG12" s="10">
        <f>IF(AF12="","",AF12-TODAY())</f>
        <v/>
      </c>
      <c r="AH12" s="23">
        <f>IF(AF12="","",INDEX($BI$7:$BR$7,MATCH(AF12,BI12:BR12,0)))</f>
        <v/>
      </c>
      <c r="AI12" s="23">
        <f>IF(A12="","",IF(B12="","ID ohne Mieter in «Mein Haus»",IF(AND(IFERROR(INDEX('Mein Haus'!$E$45:$E$104,A12),"")&lt;&gt;"",H12&lt;&gt;"",IFERROR(INDEX('Mein Haus'!$E$45:$E$104,A12),"")&lt;&gt;H12),"Mietende in «Mein Haus» weicht ab",IF(D12="Vermieter","Amtliches Formular? Familienwohnung: beide Ehegatten.",IF(D12="Ausserterminlich","Nachmieter zumutbar? Vereinbartes Ende eintragen.","")))))</f>
        <v/>
      </c>
      <c r="AK12">
        <f>IF(E12="","",IF(OR(COUNTIF(Einstellungen!$B$5:$B$16,"x")=0,INDEX(Einstellungen!$B$5:$B$16,MONTH(EOMONTH(E12,IF(F12="",3,F12)+0)))="x"),EOMONTH(E12,IF(F12="",3,F12)+0),""))</f>
        <v/>
      </c>
      <c r="AL12">
        <f>IF(E12="","",IF(OR(COUNTIF(Einstellungen!$B$5:$B$16,"x")=0,INDEX(Einstellungen!$B$5:$B$16,MONTH(EOMONTH(E12,IF(F12="",3,F12)+1)))="x"),EOMONTH(E12,IF(F12="",3,F12)+1),""))</f>
        <v/>
      </c>
      <c r="AM12">
        <f>IF(E12="","",IF(OR(COUNTIF(Einstellungen!$B$5:$B$16,"x")=0,INDEX(Einstellungen!$B$5:$B$16,MONTH(EOMONTH(E12,IF(F12="",3,F12)+2)))="x"),EOMONTH(E12,IF(F12="",3,F12)+2),""))</f>
        <v/>
      </c>
      <c r="AN12">
        <f>IF(E12="","",IF(OR(COUNTIF(Einstellungen!$B$5:$B$16,"x")=0,INDEX(Einstellungen!$B$5:$B$16,MONTH(EOMONTH(E12,IF(F12="",3,F12)+3)))="x"),EOMONTH(E12,IF(F12="",3,F12)+3),""))</f>
        <v/>
      </c>
      <c r="AO12">
        <f>IF(E12="","",IF(OR(COUNTIF(Einstellungen!$B$5:$B$16,"x")=0,INDEX(Einstellungen!$B$5:$B$16,MONTH(EOMONTH(E12,IF(F12="",3,F12)+4)))="x"),EOMONTH(E12,IF(F12="",3,F12)+4),""))</f>
        <v/>
      </c>
      <c r="AP12">
        <f>IF(E12="","",IF(OR(COUNTIF(Einstellungen!$B$5:$B$16,"x")=0,INDEX(Einstellungen!$B$5:$B$16,MONTH(EOMONTH(E12,IF(F12="",3,F12)+5)))="x"),EOMONTH(E12,IF(F12="",3,F12)+5),""))</f>
        <v/>
      </c>
      <c r="AQ12">
        <f>IF(E12="","",IF(OR(COUNTIF(Einstellungen!$B$5:$B$16,"x")=0,INDEX(Einstellungen!$B$5:$B$16,MONTH(EOMONTH(E12,IF(F12="",3,F12)+6)))="x"),EOMONTH(E12,IF(F12="",3,F12)+6),""))</f>
        <v/>
      </c>
      <c r="AR12">
        <f>IF(E12="","",IF(OR(COUNTIF(Einstellungen!$B$5:$B$16,"x")=0,INDEX(Einstellungen!$B$5:$B$16,MONTH(EOMONTH(E12,IF(F12="",3,F12)+7)))="x"),EOMONTH(E12,IF(F12="",3,F12)+7),""))</f>
        <v/>
      </c>
      <c r="AS12">
        <f>IF(E12="","",IF(OR(COUNTIF(Einstellungen!$B$5:$B$16,"x")=0,INDEX(Einstellungen!$B$5:$B$16,MONTH(EOMONTH(E12,IF(F12="",3,F12)+8)))="x"),EOMONTH(E12,IF(F12="",3,F12)+8),""))</f>
        <v/>
      </c>
      <c r="AT12">
        <f>IF(E12="","",IF(OR(COUNTIF(Einstellungen!$B$5:$B$16,"x")=0,INDEX(Einstellungen!$B$5:$B$16,MONTH(EOMONTH(E12,IF(F12="",3,F12)+9)))="x"),EOMONTH(E12,IF(F12="",3,F12)+9),""))</f>
        <v/>
      </c>
      <c r="AU12">
        <f>IF(E12="","",IF(OR(COUNTIF(Einstellungen!$B$5:$B$16,"x")=0,INDEX(Einstellungen!$B$5:$B$16,MONTH(EOMONTH(E12,IF(F12="",3,F12)+10)))="x"),EOMONTH(E12,IF(F12="",3,F12)+10),""))</f>
        <v/>
      </c>
      <c r="AV12">
        <f>IF(E12="","",IF(OR(COUNTIF(Einstellungen!$B$5:$B$16,"x")=0,INDEX(Einstellungen!$B$5:$B$16,MONTH(EOMONTH(E12,IF(F12="",3,F12)+11)))="x"),EOMONTH(E12,IF(F12="",3,F12)+11),""))</f>
        <v/>
      </c>
      <c r="AW12">
        <f>IF(E12="","",IF(OR(COUNTIF(Einstellungen!$B$5:$B$16,"x")=0,INDEX(Einstellungen!$B$5:$B$16,MONTH(EOMONTH(E12,IF(F12="",3,F12)+12)))="x"),EOMONTH(E12,IF(F12="",3,F12)+12),""))</f>
        <v/>
      </c>
      <c r="AX12">
        <f>IF(E12="","",IF(OR(COUNTIF(Einstellungen!$B$5:$B$16,"x")=0,INDEX(Einstellungen!$B$5:$B$16,MONTH(EOMONTH(E12,IF(F12="",3,F12)+13)))="x"),EOMONTH(E12,IF(F12="",3,F12)+13),""))</f>
        <v/>
      </c>
      <c r="AY12">
        <f>IF(E12="","",IF(OR(COUNTIF(Einstellungen!$B$5:$B$16,"x")=0,INDEX(Einstellungen!$B$5:$B$16,MONTH(EOMONTH(E12,IF(F12="",3,F12)+14)))="x"),EOMONTH(E12,IF(F12="",3,F12)+14),""))</f>
        <v/>
      </c>
      <c r="AZ12">
        <f>IF(E12="","",IF(OR(COUNTIF(Einstellungen!$B$5:$B$16,"x")=0,INDEX(Einstellungen!$B$5:$B$16,MONTH(EOMONTH(E12,IF(F12="",3,F12)+15)))="x"),EOMONTH(E12,IF(F12="",3,F12)+15),""))</f>
        <v/>
      </c>
      <c r="BA12">
        <f>IF(E12="","",IF(OR(COUNTIF(Einstellungen!$B$5:$B$16,"x")=0,INDEX(Einstellungen!$B$5:$B$16,MONTH(EOMONTH(E12,IF(F12="",3,F12)+16)))="x"),EOMONTH(E12,IF(F12="",3,F12)+16),""))</f>
        <v/>
      </c>
      <c r="BB12">
        <f>IF(E12="","",IF(OR(COUNTIF(Einstellungen!$B$5:$B$16,"x")=0,INDEX(Einstellungen!$B$5:$B$16,MONTH(EOMONTH(E12,IF(F12="",3,F12)+17)))="x"),EOMONTH(E12,IF(F12="",3,F12)+17),""))</f>
        <v/>
      </c>
      <c r="BC12">
        <f>IF(E12="","",IF(OR(COUNTIF(Einstellungen!$B$5:$B$16,"x")=0,INDEX(Einstellungen!$B$5:$B$16,MONTH(EOMONTH(E12,IF(F12="",3,F12)+18)))="x"),EOMONTH(E12,IF(F12="",3,F12)+18),""))</f>
        <v/>
      </c>
      <c r="BD12">
        <f>IF(E12="","",IF(OR(COUNTIF(Einstellungen!$B$5:$B$16,"x")=0,INDEX(Einstellungen!$B$5:$B$16,MONTH(EOMONTH(E12,IF(F12="",3,F12)+19)))="x"),EOMONTH(E12,IF(F12="",3,F12)+19),""))</f>
        <v/>
      </c>
      <c r="BE12">
        <f>IF(E12="","",IF(OR(COUNTIF(Einstellungen!$B$5:$B$16,"x")=0,INDEX(Einstellungen!$B$5:$B$16,MONTH(EOMONTH(E12,IF(F12="",3,F12)+20)))="x"),EOMONTH(E12,IF(F12="",3,F12)+20),""))</f>
        <v/>
      </c>
      <c r="BF12">
        <f>IF(E12="","",IF(OR(COUNTIF(Einstellungen!$B$5:$B$16,"x")=0,INDEX(Einstellungen!$B$5:$B$16,MONTH(EOMONTH(E12,IF(F12="",3,F12)+21)))="x"),EOMONTH(E12,IF(F12="",3,F12)+21),""))</f>
        <v/>
      </c>
      <c r="BG12">
        <f>IF(E12="","",IF(OR(COUNTIF(Einstellungen!$B$5:$B$16,"x")=0,INDEX(Einstellungen!$B$5:$B$16,MONTH(EOMONTH(E12,IF(F12="",3,F12)+22)))="x"),EOMONTH(E12,IF(F12="",3,F12)+22),""))</f>
        <v/>
      </c>
      <c r="BH12">
        <f>IF(E12="","",IF(OR(COUNTIF(Einstellungen!$B$5:$B$16,"x")=0,INDEX(Einstellungen!$B$5:$B$16,MONTH(EOMONTH(E12,IF(F12="",3,F12)+23)))="x"),EOMONTH(E12,IF(F12="",3,F12)+23),""))</f>
        <v/>
      </c>
      <c r="BI12">
        <f>IF(AND(L12&lt;&gt;"",M12=""),L12,"")</f>
        <v/>
      </c>
      <c r="BJ12">
        <f>IF(AND(N12&lt;&gt;"",O12=""),N12,"")</f>
        <v/>
      </c>
      <c r="BK12">
        <f>IF(AND(P12&lt;&gt;"",Q12=""),P12,"")</f>
        <v/>
      </c>
      <c r="BL12">
        <f>IF(AND(R12&lt;&gt;"",S12=""),R12,"")</f>
        <v/>
      </c>
      <c r="BM12">
        <f>IF(AND(T12&lt;&gt;"",U12=""),T12,"")</f>
        <v/>
      </c>
      <c r="BN12">
        <f>IF(AND(V12&lt;&gt;"",W12=""),V12,"")</f>
        <v/>
      </c>
      <c r="BO12">
        <f>IF(AND(X12&lt;&gt;"",Y12=""),X12,"")</f>
        <v/>
      </c>
      <c r="BP12">
        <f>IF(AND(Z12&lt;&gt;"",AA12=""),Z12,"")</f>
        <v/>
      </c>
      <c r="BQ12">
        <f>IF(AND(AB12&lt;&gt;"",AC12=""),AB12,"")</f>
        <v/>
      </c>
      <c r="BR12">
        <f>IF(AND(AD12&lt;&gt;"",AE12=""),AD12,"")</f>
        <v/>
      </c>
      <c r="BS12">
        <f>IF(AF12="","",AF12+ROW()/100000)</f>
        <v/>
      </c>
    </row>
    <row r="13">
      <c r="A13" s="26" t="n"/>
      <c r="B13" s="23">
        <f>IF(A13="","",IFERROR(INDEX('Mein Haus'!$C$45:$C$104,A13)&amp;"",""))</f>
        <v/>
      </c>
      <c r="C13" s="23">
        <f>IF(A13="","",IFERROR(INDEX('Mein Haus'!$B$45:$B$104,A13)&amp;"",""))</f>
        <v/>
      </c>
      <c r="D13" s="16" t="n"/>
      <c r="E13" s="20" t="n"/>
      <c r="F13" s="26" t="n"/>
      <c r="G13" s="20" t="n"/>
      <c r="H13" s="21">
        <f>IF(G13&lt;&gt;"",G13,IF(E13="","",IF(COUNT(AK13:BH13)=0,"",MIN(AK13:BH13))))</f>
        <v/>
      </c>
      <c r="I13" s="20" t="n"/>
      <c r="J13" s="10">
        <f>IF(OR(H13="",I13=""),"",MAX(0,I13-H13-1))</f>
        <v/>
      </c>
      <c r="K13" s="11">
        <f>IF(J13="","",ROUND(N(IFERROR(INDEX('Mein Haus'!$G$45:$G$104,A13),0))*12/365*J13,2))</f>
        <v/>
      </c>
      <c r="L13" s="21">
        <f>IF(E13="","",E13+7)</f>
        <v/>
      </c>
      <c r="M13" s="16" t="n"/>
      <c r="N13" s="21">
        <f>IF(E13="","",E13)</f>
        <v/>
      </c>
      <c r="O13" s="16" t="n"/>
      <c r="P13" s="21">
        <f>IF(H13="","",WORKDAY(H13,-10,Einstellungen!$D$5:$D$34))</f>
        <v/>
      </c>
      <c r="Q13" s="16" t="n"/>
      <c r="R13" s="21">
        <f>IF(H13="","",H13-30)</f>
        <v/>
      </c>
      <c r="S13" s="16" t="n"/>
      <c r="T13" s="21">
        <f>IF(H13="","",WORKDAY(H13-1,1,Einstellungen!$D$5:$D$34))</f>
        <v/>
      </c>
      <c r="U13" s="16" t="n"/>
      <c r="V13" s="21">
        <f>IF(T13="","",WORKDAY(T13,2,Einstellungen!$D$5:$D$34))</f>
        <v/>
      </c>
      <c r="W13" s="16" t="n"/>
      <c r="X13" s="21">
        <f>IF(I13="","",I13)</f>
        <v/>
      </c>
      <c r="Y13" s="16" t="n"/>
      <c r="Z13" s="21">
        <f>IF(T13="","",T13+30)</f>
        <v/>
      </c>
      <c r="AA13" s="16" t="n"/>
      <c r="AB13" s="21">
        <f>IF(OR(H13="",Nebenkosten!$B$7=""),"",EDATE(Nebenkosten!$B$7,12*MAX(1,ROUNDUP(((YEAR(H13)-YEAR(Nebenkosten!$B$7))*12+MONTH(H13)-MONTH(Nebenkosten!$B$7)+1)/12,0))))</f>
        <v/>
      </c>
      <c r="AC13" s="16" t="n"/>
      <c r="AD13" s="21">
        <f>IF(H13="","",EDATE(H13,12))</f>
        <v/>
      </c>
      <c r="AE13" s="16" t="n"/>
      <c r="AF13" s="21">
        <f>IF(COUNT(BI13:BR13)=0,"",MIN(BI13:BR13))</f>
        <v/>
      </c>
      <c r="AG13" s="10">
        <f>IF(AF13="","",AF13-TODAY())</f>
        <v/>
      </c>
      <c r="AH13" s="23">
        <f>IF(AF13="","",INDEX($BI$7:$BR$7,MATCH(AF13,BI13:BR13,0)))</f>
        <v/>
      </c>
      <c r="AI13" s="23">
        <f>IF(A13="","",IF(B13="","ID ohne Mieter in «Mein Haus»",IF(AND(IFERROR(INDEX('Mein Haus'!$E$45:$E$104,A13),"")&lt;&gt;"",H13&lt;&gt;"",IFERROR(INDEX('Mein Haus'!$E$45:$E$104,A13),"")&lt;&gt;H13),"Mietende in «Mein Haus» weicht ab",IF(D13="Vermieter","Amtliches Formular? Familienwohnung: beide Ehegatten.",IF(D13="Ausserterminlich","Nachmieter zumutbar? Vereinbartes Ende eintragen.","")))))</f>
        <v/>
      </c>
      <c r="AK13">
        <f>IF(E13="","",IF(OR(COUNTIF(Einstellungen!$B$5:$B$16,"x")=0,INDEX(Einstellungen!$B$5:$B$16,MONTH(EOMONTH(E13,IF(F13="",3,F13)+0)))="x"),EOMONTH(E13,IF(F13="",3,F13)+0),""))</f>
        <v/>
      </c>
      <c r="AL13">
        <f>IF(E13="","",IF(OR(COUNTIF(Einstellungen!$B$5:$B$16,"x")=0,INDEX(Einstellungen!$B$5:$B$16,MONTH(EOMONTH(E13,IF(F13="",3,F13)+1)))="x"),EOMONTH(E13,IF(F13="",3,F13)+1),""))</f>
        <v/>
      </c>
      <c r="AM13">
        <f>IF(E13="","",IF(OR(COUNTIF(Einstellungen!$B$5:$B$16,"x")=0,INDEX(Einstellungen!$B$5:$B$16,MONTH(EOMONTH(E13,IF(F13="",3,F13)+2)))="x"),EOMONTH(E13,IF(F13="",3,F13)+2),""))</f>
        <v/>
      </c>
      <c r="AN13">
        <f>IF(E13="","",IF(OR(COUNTIF(Einstellungen!$B$5:$B$16,"x")=0,INDEX(Einstellungen!$B$5:$B$16,MONTH(EOMONTH(E13,IF(F13="",3,F13)+3)))="x"),EOMONTH(E13,IF(F13="",3,F13)+3),""))</f>
        <v/>
      </c>
      <c r="AO13">
        <f>IF(E13="","",IF(OR(COUNTIF(Einstellungen!$B$5:$B$16,"x")=0,INDEX(Einstellungen!$B$5:$B$16,MONTH(EOMONTH(E13,IF(F13="",3,F13)+4)))="x"),EOMONTH(E13,IF(F13="",3,F13)+4),""))</f>
        <v/>
      </c>
      <c r="AP13">
        <f>IF(E13="","",IF(OR(COUNTIF(Einstellungen!$B$5:$B$16,"x")=0,INDEX(Einstellungen!$B$5:$B$16,MONTH(EOMONTH(E13,IF(F13="",3,F13)+5)))="x"),EOMONTH(E13,IF(F13="",3,F13)+5),""))</f>
        <v/>
      </c>
      <c r="AQ13">
        <f>IF(E13="","",IF(OR(COUNTIF(Einstellungen!$B$5:$B$16,"x")=0,INDEX(Einstellungen!$B$5:$B$16,MONTH(EOMONTH(E13,IF(F13="",3,F13)+6)))="x"),EOMONTH(E13,IF(F13="",3,F13)+6),""))</f>
        <v/>
      </c>
      <c r="AR13">
        <f>IF(E13="","",IF(OR(COUNTIF(Einstellungen!$B$5:$B$16,"x")=0,INDEX(Einstellungen!$B$5:$B$16,MONTH(EOMONTH(E13,IF(F13="",3,F13)+7)))="x"),EOMONTH(E13,IF(F13="",3,F13)+7),""))</f>
        <v/>
      </c>
      <c r="AS13">
        <f>IF(E13="","",IF(OR(COUNTIF(Einstellungen!$B$5:$B$16,"x")=0,INDEX(Einstellungen!$B$5:$B$16,MONTH(EOMONTH(E13,IF(F13="",3,F13)+8)))="x"),EOMONTH(E13,IF(F13="",3,F13)+8),""))</f>
        <v/>
      </c>
      <c r="AT13">
        <f>IF(E13="","",IF(OR(COUNTIF(Einstellungen!$B$5:$B$16,"x")=0,INDEX(Einstellungen!$B$5:$B$16,MONTH(EOMONTH(E13,IF(F13="",3,F13)+9)))="x"),EOMONTH(E13,IF(F13="",3,F13)+9),""))</f>
        <v/>
      </c>
      <c r="AU13">
        <f>IF(E13="","",IF(OR(COUNTIF(Einstellungen!$B$5:$B$16,"x")=0,INDEX(Einstellungen!$B$5:$B$16,MONTH(EOMONTH(E13,IF(F13="",3,F13)+10)))="x"),EOMONTH(E13,IF(F13="",3,F13)+10),""))</f>
        <v/>
      </c>
      <c r="AV13">
        <f>IF(E13="","",IF(OR(COUNTIF(Einstellungen!$B$5:$B$16,"x")=0,INDEX(Einstellungen!$B$5:$B$16,MONTH(EOMONTH(E13,IF(F13="",3,F13)+11)))="x"),EOMONTH(E13,IF(F13="",3,F13)+11),""))</f>
        <v/>
      </c>
      <c r="AW13">
        <f>IF(E13="","",IF(OR(COUNTIF(Einstellungen!$B$5:$B$16,"x")=0,INDEX(Einstellungen!$B$5:$B$16,MONTH(EOMONTH(E13,IF(F13="",3,F13)+12)))="x"),EOMONTH(E13,IF(F13="",3,F13)+12),""))</f>
        <v/>
      </c>
      <c r="AX13">
        <f>IF(E13="","",IF(OR(COUNTIF(Einstellungen!$B$5:$B$16,"x")=0,INDEX(Einstellungen!$B$5:$B$16,MONTH(EOMONTH(E13,IF(F13="",3,F13)+13)))="x"),EOMONTH(E13,IF(F13="",3,F13)+13),""))</f>
        <v/>
      </c>
      <c r="AY13">
        <f>IF(E13="","",IF(OR(COUNTIF(Einstellungen!$B$5:$B$16,"x")=0,INDEX(Einstellungen!$B$5:$B$16,MONTH(EOMONTH(E13,IF(F13="",3,F13)+14)))="x"),EOMONTH(E13,IF(F13="",3,F13)+14),""))</f>
        <v/>
      </c>
      <c r="AZ13">
        <f>IF(E13="","",IF(OR(COUNTIF(Einstellungen!$B$5:$B$16,"x")=0,INDEX(Einstellungen!$B$5:$B$16,MONTH(EOMONTH(E13,IF(F13="",3,F13)+15)))="x"),EOMONTH(E13,IF(F13="",3,F13)+15),""))</f>
        <v/>
      </c>
      <c r="BA13">
        <f>IF(E13="","",IF(OR(COUNTIF(Einstellungen!$B$5:$B$16,"x")=0,INDEX(Einstellungen!$B$5:$B$16,MONTH(EOMONTH(E13,IF(F13="",3,F13)+16)))="x"),EOMONTH(E13,IF(F13="",3,F13)+16),""))</f>
        <v/>
      </c>
      <c r="BB13">
        <f>IF(E13="","",IF(OR(COUNTIF(Einstellungen!$B$5:$B$16,"x")=0,INDEX(Einstellungen!$B$5:$B$16,MONTH(EOMONTH(E13,IF(F13="",3,F13)+17)))="x"),EOMONTH(E13,IF(F13="",3,F13)+17),""))</f>
        <v/>
      </c>
      <c r="BC13">
        <f>IF(E13="","",IF(OR(COUNTIF(Einstellungen!$B$5:$B$16,"x")=0,INDEX(Einstellungen!$B$5:$B$16,MONTH(EOMONTH(E13,IF(F13="",3,F13)+18)))="x"),EOMONTH(E13,IF(F13="",3,F13)+18),""))</f>
        <v/>
      </c>
      <c r="BD13">
        <f>IF(E13="","",IF(OR(COUNTIF(Einstellungen!$B$5:$B$16,"x")=0,INDEX(Einstellungen!$B$5:$B$16,MONTH(EOMONTH(E13,IF(F13="",3,F13)+19)))="x"),EOMONTH(E13,IF(F13="",3,F13)+19),""))</f>
        <v/>
      </c>
      <c r="BE13">
        <f>IF(E13="","",IF(OR(COUNTIF(Einstellungen!$B$5:$B$16,"x")=0,INDEX(Einstellungen!$B$5:$B$16,MONTH(EOMONTH(E13,IF(F13="",3,F13)+20)))="x"),EOMONTH(E13,IF(F13="",3,F13)+20),""))</f>
        <v/>
      </c>
      <c r="BF13">
        <f>IF(E13="","",IF(OR(COUNTIF(Einstellungen!$B$5:$B$16,"x")=0,INDEX(Einstellungen!$B$5:$B$16,MONTH(EOMONTH(E13,IF(F13="",3,F13)+21)))="x"),EOMONTH(E13,IF(F13="",3,F13)+21),""))</f>
        <v/>
      </c>
      <c r="BG13">
        <f>IF(E13="","",IF(OR(COUNTIF(Einstellungen!$B$5:$B$16,"x")=0,INDEX(Einstellungen!$B$5:$B$16,MONTH(EOMONTH(E13,IF(F13="",3,F13)+22)))="x"),EOMONTH(E13,IF(F13="",3,F13)+22),""))</f>
        <v/>
      </c>
      <c r="BH13">
        <f>IF(E13="","",IF(OR(COUNTIF(Einstellungen!$B$5:$B$16,"x")=0,INDEX(Einstellungen!$B$5:$B$16,MONTH(EOMONTH(E13,IF(F13="",3,F13)+23)))="x"),EOMONTH(E13,IF(F13="",3,F13)+23),""))</f>
        <v/>
      </c>
      <c r="BI13">
        <f>IF(AND(L13&lt;&gt;"",M13=""),L13,"")</f>
        <v/>
      </c>
      <c r="BJ13">
        <f>IF(AND(N13&lt;&gt;"",O13=""),N13,"")</f>
        <v/>
      </c>
      <c r="BK13">
        <f>IF(AND(P13&lt;&gt;"",Q13=""),P13,"")</f>
        <v/>
      </c>
      <c r="BL13">
        <f>IF(AND(R13&lt;&gt;"",S13=""),R13,"")</f>
        <v/>
      </c>
      <c r="BM13">
        <f>IF(AND(T13&lt;&gt;"",U13=""),T13,"")</f>
        <v/>
      </c>
      <c r="BN13">
        <f>IF(AND(V13&lt;&gt;"",W13=""),V13,"")</f>
        <v/>
      </c>
      <c r="BO13">
        <f>IF(AND(X13&lt;&gt;"",Y13=""),X13,"")</f>
        <v/>
      </c>
      <c r="BP13">
        <f>IF(AND(Z13&lt;&gt;"",AA13=""),Z13,"")</f>
        <v/>
      </c>
      <c r="BQ13">
        <f>IF(AND(AB13&lt;&gt;"",AC13=""),AB13,"")</f>
        <v/>
      </c>
      <c r="BR13">
        <f>IF(AND(AD13&lt;&gt;"",AE13=""),AD13,"")</f>
        <v/>
      </c>
      <c r="BS13">
        <f>IF(AF13="","",AF13+ROW()/100000)</f>
        <v/>
      </c>
    </row>
    <row r="14">
      <c r="A14" s="26" t="n"/>
      <c r="B14" s="23">
        <f>IF(A14="","",IFERROR(INDEX('Mein Haus'!$C$45:$C$104,A14)&amp;"",""))</f>
        <v/>
      </c>
      <c r="C14" s="23">
        <f>IF(A14="","",IFERROR(INDEX('Mein Haus'!$B$45:$B$104,A14)&amp;"",""))</f>
        <v/>
      </c>
      <c r="D14" s="16" t="n"/>
      <c r="E14" s="20" t="n"/>
      <c r="F14" s="26" t="n"/>
      <c r="G14" s="20" t="n"/>
      <c r="H14" s="21">
        <f>IF(G14&lt;&gt;"",G14,IF(E14="","",IF(COUNT(AK14:BH14)=0,"",MIN(AK14:BH14))))</f>
        <v/>
      </c>
      <c r="I14" s="20" t="n"/>
      <c r="J14" s="10">
        <f>IF(OR(H14="",I14=""),"",MAX(0,I14-H14-1))</f>
        <v/>
      </c>
      <c r="K14" s="11">
        <f>IF(J14="","",ROUND(N(IFERROR(INDEX('Mein Haus'!$G$45:$G$104,A14),0))*12/365*J14,2))</f>
        <v/>
      </c>
      <c r="L14" s="21">
        <f>IF(E14="","",E14+7)</f>
        <v/>
      </c>
      <c r="M14" s="16" t="n"/>
      <c r="N14" s="21">
        <f>IF(E14="","",E14)</f>
        <v/>
      </c>
      <c r="O14" s="16" t="n"/>
      <c r="P14" s="21">
        <f>IF(H14="","",WORKDAY(H14,-10,Einstellungen!$D$5:$D$34))</f>
        <v/>
      </c>
      <c r="Q14" s="16" t="n"/>
      <c r="R14" s="21">
        <f>IF(H14="","",H14-30)</f>
        <v/>
      </c>
      <c r="S14" s="16" t="n"/>
      <c r="T14" s="21">
        <f>IF(H14="","",WORKDAY(H14-1,1,Einstellungen!$D$5:$D$34))</f>
        <v/>
      </c>
      <c r="U14" s="16" t="n"/>
      <c r="V14" s="21">
        <f>IF(T14="","",WORKDAY(T14,2,Einstellungen!$D$5:$D$34))</f>
        <v/>
      </c>
      <c r="W14" s="16" t="n"/>
      <c r="X14" s="21">
        <f>IF(I14="","",I14)</f>
        <v/>
      </c>
      <c r="Y14" s="16" t="n"/>
      <c r="Z14" s="21">
        <f>IF(T14="","",T14+30)</f>
        <v/>
      </c>
      <c r="AA14" s="16" t="n"/>
      <c r="AB14" s="21">
        <f>IF(OR(H14="",Nebenkosten!$B$7=""),"",EDATE(Nebenkosten!$B$7,12*MAX(1,ROUNDUP(((YEAR(H14)-YEAR(Nebenkosten!$B$7))*12+MONTH(H14)-MONTH(Nebenkosten!$B$7)+1)/12,0))))</f>
        <v/>
      </c>
      <c r="AC14" s="16" t="n"/>
      <c r="AD14" s="21">
        <f>IF(H14="","",EDATE(H14,12))</f>
        <v/>
      </c>
      <c r="AE14" s="16" t="n"/>
      <c r="AF14" s="21">
        <f>IF(COUNT(BI14:BR14)=0,"",MIN(BI14:BR14))</f>
        <v/>
      </c>
      <c r="AG14" s="10">
        <f>IF(AF14="","",AF14-TODAY())</f>
        <v/>
      </c>
      <c r="AH14" s="23">
        <f>IF(AF14="","",INDEX($BI$7:$BR$7,MATCH(AF14,BI14:BR14,0)))</f>
        <v/>
      </c>
      <c r="AI14" s="23">
        <f>IF(A14="","",IF(B14="","ID ohne Mieter in «Mein Haus»",IF(AND(IFERROR(INDEX('Mein Haus'!$E$45:$E$104,A14),"")&lt;&gt;"",H14&lt;&gt;"",IFERROR(INDEX('Mein Haus'!$E$45:$E$104,A14),"")&lt;&gt;H14),"Mietende in «Mein Haus» weicht ab",IF(D14="Vermieter","Amtliches Formular? Familienwohnung: beide Ehegatten.",IF(D14="Ausserterminlich","Nachmieter zumutbar? Vereinbartes Ende eintragen.","")))))</f>
        <v/>
      </c>
      <c r="AK14">
        <f>IF(E14="","",IF(OR(COUNTIF(Einstellungen!$B$5:$B$16,"x")=0,INDEX(Einstellungen!$B$5:$B$16,MONTH(EOMONTH(E14,IF(F14="",3,F14)+0)))="x"),EOMONTH(E14,IF(F14="",3,F14)+0),""))</f>
        <v/>
      </c>
      <c r="AL14">
        <f>IF(E14="","",IF(OR(COUNTIF(Einstellungen!$B$5:$B$16,"x")=0,INDEX(Einstellungen!$B$5:$B$16,MONTH(EOMONTH(E14,IF(F14="",3,F14)+1)))="x"),EOMONTH(E14,IF(F14="",3,F14)+1),""))</f>
        <v/>
      </c>
      <c r="AM14">
        <f>IF(E14="","",IF(OR(COUNTIF(Einstellungen!$B$5:$B$16,"x")=0,INDEX(Einstellungen!$B$5:$B$16,MONTH(EOMONTH(E14,IF(F14="",3,F14)+2)))="x"),EOMONTH(E14,IF(F14="",3,F14)+2),""))</f>
        <v/>
      </c>
      <c r="AN14">
        <f>IF(E14="","",IF(OR(COUNTIF(Einstellungen!$B$5:$B$16,"x")=0,INDEX(Einstellungen!$B$5:$B$16,MONTH(EOMONTH(E14,IF(F14="",3,F14)+3)))="x"),EOMONTH(E14,IF(F14="",3,F14)+3),""))</f>
        <v/>
      </c>
      <c r="AO14">
        <f>IF(E14="","",IF(OR(COUNTIF(Einstellungen!$B$5:$B$16,"x")=0,INDEX(Einstellungen!$B$5:$B$16,MONTH(EOMONTH(E14,IF(F14="",3,F14)+4)))="x"),EOMONTH(E14,IF(F14="",3,F14)+4),""))</f>
        <v/>
      </c>
      <c r="AP14">
        <f>IF(E14="","",IF(OR(COUNTIF(Einstellungen!$B$5:$B$16,"x")=0,INDEX(Einstellungen!$B$5:$B$16,MONTH(EOMONTH(E14,IF(F14="",3,F14)+5)))="x"),EOMONTH(E14,IF(F14="",3,F14)+5),""))</f>
        <v/>
      </c>
      <c r="AQ14">
        <f>IF(E14="","",IF(OR(COUNTIF(Einstellungen!$B$5:$B$16,"x")=0,INDEX(Einstellungen!$B$5:$B$16,MONTH(EOMONTH(E14,IF(F14="",3,F14)+6)))="x"),EOMONTH(E14,IF(F14="",3,F14)+6),""))</f>
        <v/>
      </c>
      <c r="AR14">
        <f>IF(E14="","",IF(OR(COUNTIF(Einstellungen!$B$5:$B$16,"x")=0,INDEX(Einstellungen!$B$5:$B$16,MONTH(EOMONTH(E14,IF(F14="",3,F14)+7)))="x"),EOMONTH(E14,IF(F14="",3,F14)+7),""))</f>
        <v/>
      </c>
      <c r="AS14">
        <f>IF(E14="","",IF(OR(COUNTIF(Einstellungen!$B$5:$B$16,"x")=0,INDEX(Einstellungen!$B$5:$B$16,MONTH(EOMONTH(E14,IF(F14="",3,F14)+8)))="x"),EOMONTH(E14,IF(F14="",3,F14)+8),""))</f>
        <v/>
      </c>
      <c r="AT14">
        <f>IF(E14="","",IF(OR(COUNTIF(Einstellungen!$B$5:$B$16,"x")=0,INDEX(Einstellungen!$B$5:$B$16,MONTH(EOMONTH(E14,IF(F14="",3,F14)+9)))="x"),EOMONTH(E14,IF(F14="",3,F14)+9),""))</f>
        <v/>
      </c>
      <c r="AU14">
        <f>IF(E14="","",IF(OR(COUNTIF(Einstellungen!$B$5:$B$16,"x")=0,INDEX(Einstellungen!$B$5:$B$16,MONTH(EOMONTH(E14,IF(F14="",3,F14)+10)))="x"),EOMONTH(E14,IF(F14="",3,F14)+10),""))</f>
        <v/>
      </c>
      <c r="AV14">
        <f>IF(E14="","",IF(OR(COUNTIF(Einstellungen!$B$5:$B$16,"x")=0,INDEX(Einstellungen!$B$5:$B$16,MONTH(EOMONTH(E14,IF(F14="",3,F14)+11)))="x"),EOMONTH(E14,IF(F14="",3,F14)+11),""))</f>
        <v/>
      </c>
      <c r="AW14">
        <f>IF(E14="","",IF(OR(COUNTIF(Einstellungen!$B$5:$B$16,"x")=0,INDEX(Einstellungen!$B$5:$B$16,MONTH(EOMONTH(E14,IF(F14="",3,F14)+12)))="x"),EOMONTH(E14,IF(F14="",3,F14)+12),""))</f>
        <v/>
      </c>
      <c r="AX14">
        <f>IF(E14="","",IF(OR(COUNTIF(Einstellungen!$B$5:$B$16,"x")=0,INDEX(Einstellungen!$B$5:$B$16,MONTH(EOMONTH(E14,IF(F14="",3,F14)+13)))="x"),EOMONTH(E14,IF(F14="",3,F14)+13),""))</f>
        <v/>
      </c>
      <c r="AY14">
        <f>IF(E14="","",IF(OR(COUNTIF(Einstellungen!$B$5:$B$16,"x")=0,INDEX(Einstellungen!$B$5:$B$16,MONTH(EOMONTH(E14,IF(F14="",3,F14)+14)))="x"),EOMONTH(E14,IF(F14="",3,F14)+14),""))</f>
        <v/>
      </c>
      <c r="AZ14">
        <f>IF(E14="","",IF(OR(COUNTIF(Einstellungen!$B$5:$B$16,"x")=0,INDEX(Einstellungen!$B$5:$B$16,MONTH(EOMONTH(E14,IF(F14="",3,F14)+15)))="x"),EOMONTH(E14,IF(F14="",3,F14)+15),""))</f>
        <v/>
      </c>
      <c r="BA14">
        <f>IF(E14="","",IF(OR(COUNTIF(Einstellungen!$B$5:$B$16,"x")=0,INDEX(Einstellungen!$B$5:$B$16,MONTH(EOMONTH(E14,IF(F14="",3,F14)+16)))="x"),EOMONTH(E14,IF(F14="",3,F14)+16),""))</f>
        <v/>
      </c>
      <c r="BB14">
        <f>IF(E14="","",IF(OR(COUNTIF(Einstellungen!$B$5:$B$16,"x")=0,INDEX(Einstellungen!$B$5:$B$16,MONTH(EOMONTH(E14,IF(F14="",3,F14)+17)))="x"),EOMONTH(E14,IF(F14="",3,F14)+17),""))</f>
        <v/>
      </c>
      <c r="BC14">
        <f>IF(E14="","",IF(OR(COUNTIF(Einstellungen!$B$5:$B$16,"x")=0,INDEX(Einstellungen!$B$5:$B$16,MONTH(EOMONTH(E14,IF(F14="",3,F14)+18)))="x"),EOMONTH(E14,IF(F14="",3,F14)+18),""))</f>
        <v/>
      </c>
      <c r="BD14">
        <f>IF(E14="","",IF(OR(COUNTIF(Einstellungen!$B$5:$B$16,"x")=0,INDEX(Einstellungen!$B$5:$B$16,MONTH(EOMONTH(E14,IF(F14="",3,F14)+19)))="x"),EOMONTH(E14,IF(F14="",3,F14)+19),""))</f>
        <v/>
      </c>
      <c r="BE14">
        <f>IF(E14="","",IF(OR(COUNTIF(Einstellungen!$B$5:$B$16,"x")=0,INDEX(Einstellungen!$B$5:$B$16,MONTH(EOMONTH(E14,IF(F14="",3,F14)+20)))="x"),EOMONTH(E14,IF(F14="",3,F14)+20),""))</f>
        <v/>
      </c>
      <c r="BF14">
        <f>IF(E14="","",IF(OR(COUNTIF(Einstellungen!$B$5:$B$16,"x")=0,INDEX(Einstellungen!$B$5:$B$16,MONTH(EOMONTH(E14,IF(F14="",3,F14)+21)))="x"),EOMONTH(E14,IF(F14="",3,F14)+21),""))</f>
        <v/>
      </c>
      <c r="BG14">
        <f>IF(E14="","",IF(OR(COUNTIF(Einstellungen!$B$5:$B$16,"x")=0,INDEX(Einstellungen!$B$5:$B$16,MONTH(EOMONTH(E14,IF(F14="",3,F14)+22)))="x"),EOMONTH(E14,IF(F14="",3,F14)+22),""))</f>
        <v/>
      </c>
      <c r="BH14">
        <f>IF(E14="","",IF(OR(COUNTIF(Einstellungen!$B$5:$B$16,"x")=0,INDEX(Einstellungen!$B$5:$B$16,MONTH(EOMONTH(E14,IF(F14="",3,F14)+23)))="x"),EOMONTH(E14,IF(F14="",3,F14)+23),""))</f>
        <v/>
      </c>
      <c r="BI14">
        <f>IF(AND(L14&lt;&gt;"",M14=""),L14,"")</f>
        <v/>
      </c>
      <c r="BJ14">
        <f>IF(AND(N14&lt;&gt;"",O14=""),N14,"")</f>
        <v/>
      </c>
      <c r="BK14">
        <f>IF(AND(P14&lt;&gt;"",Q14=""),P14,"")</f>
        <v/>
      </c>
      <c r="BL14">
        <f>IF(AND(R14&lt;&gt;"",S14=""),R14,"")</f>
        <v/>
      </c>
      <c r="BM14">
        <f>IF(AND(T14&lt;&gt;"",U14=""),T14,"")</f>
        <v/>
      </c>
      <c r="BN14">
        <f>IF(AND(V14&lt;&gt;"",W14=""),V14,"")</f>
        <v/>
      </c>
      <c r="BO14">
        <f>IF(AND(X14&lt;&gt;"",Y14=""),X14,"")</f>
        <v/>
      </c>
      <c r="BP14">
        <f>IF(AND(Z14&lt;&gt;"",AA14=""),Z14,"")</f>
        <v/>
      </c>
      <c r="BQ14">
        <f>IF(AND(AB14&lt;&gt;"",AC14=""),AB14,"")</f>
        <v/>
      </c>
      <c r="BR14">
        <f>IF(AND(AD14&lt;&gt;"",AE14=""),AD14,"")</f>
        <v/>
      </c>
      <c r="BS14">
        <f>IF(AF14="","",AF14+ROW()/100000)</f>
        <v/>
      </c>
    </row>
    <row r="15">
      <c r="A15" s="26" t="n"/>
      <c r="B15" s="23">
        <f>IF(A15="","",IFERROR(INDEX('Mein Haus'!$C$45:$C$104,A15)&amp;"",""))</f>
        <v/>
      </c>
      <c r="C15" s="23">
        <f>IF(A15="","",IFERROR(INDEX('Mein Haus'!$B$45:$B$104,A15)&amp;"",""))</f>
        <v/>
      </c>
      <c r="D15" s="16" t="n"/>
      <c r="E15" s="20" t="n"/>
      <c r="F15" s="26" t="n"/>
      <c r="G15" s="20" t="n"/>
      <c r="H15" s="21">
        <f>IF(G15&lt;&gt;"",G15,IF(E15="","",IF(COUNT(AK15:BH15)=0,"",MIN(AK15:BH15))))</f>
        <v/>
      </c>
      <c r="I15" s="20" t="n"/>
      <c r="J15" s="10">
        <f>IF(OR(H15="",I15=""),"",MAX(0,I15-H15-1))</f>
        <v/>
      </c>
      <c r="K15" s="11">
        <f>IF(J15="","",ROUND(N(IFERROR(INDEX('Mein Haus'!$G$45:$G$104,A15),0))*12/365*J15,2))</f>
        <v/>
      </c>
      <c r="L15" s="21">
        <f>IF(E15="","",E15+7)</f>
        <v/>
      </c>
      <c r="M15" s="16" t="n"/>
      <c r="N15" s="21">
        <f>IF(E15="","",E15)</f>
        <v/>
      </c>
      <c r="O15" s="16" t="n"/>
      <c r="P15" s="21">
        <f>IF(H15="","",WORKDAY(H15,-10,Einstellungen!$D$5:$D$34))</f>
        <v/>
      </c>
      <c r="Q15" s="16" t="n"/>
      <c r="R15" s="21">
        <f>IF(H15="","",H15-30)</f>
        <v/>
      </c>
      <c r="S15" s="16" t="n"/>
      <c r="T15" s="21">
        <f>IF(H15="","",WORKDAY(H15-1,1,Einstellungen!$D$5:$D$34))</f>
        <v/>
      </c>
      <c r="U15" s="16" t="n"/>
      <c r="V15" s="21">
        <f>IF(T15="","",WORKDAY(T15,2,Einstellungen!$D$5:$D$34))</f>
        <v/>
      </c>
      <c r="W15" s="16" t="n"/>
      <c r="X15" s="21">
        <f>IF(I15="","",I15)</f>
        <v/>
      </c>
      <c r="Y15" s="16" t="n"/>
      <c r="Z15" s="21">
        <f>IF(T15="","",T15+30)</f>
        <v/>
      </c>
      <c r="AA15" s="16" t="n"/>
      <c r="AB15" s="21">
        <f>IF(OR(H15="",Nebenkosten!$B$7=""),"",EDATE(Nebenkosten!$B$7,12*MAX(1,ROUNDUP(((YEAR(H15)-YEAR(Nebenkosten!$B$7))*12+MONTH(H15)-MONTH(Nebenkosten!$B$7)+1)/12,0))))</f>
        <v/>
      </c>
      <c r="AC15" s="16" t="n"/>
      <c r="AD15" s="21">
        <f>IF(H15="","",EDATE(H15,12))</f>
        <v/>
      </c>
      <c r="AE15" s="16" t="n"/>
      <c r="AF15" s="21">
        <f>IF(COUNT(BI15:BR15)=0,"",MIN(BI15:BR15))</f>
        <v/>
      </c>
      <c r="AG15" s="10">
        <f>IF(AF15="","",AF15-TODAY())</f>
        <v/>
      </c>
      <c r="AH15" s="23">
        <f>IF(AF15="","",INDEX($BI$7:$BR$7,MATCH(AF15,BI15:BR15,0)))</f>
        <v/>
      </c>
      <c r="AI15" s="23">
        <f>IF(A15="","",IF(B15="","ID ohne Mieter in «Mein Haus»",IF(AND(IFERROR(INDEX('Mein Haus'!$E$45:$E$104,A15),"")&lt;&gt;"",H15&lt;&gt;"",IFERROR(INDEX('Mein Haus'!$E$45:$E$104,A15),"")&lt;&gt;H15),"Mietende in «Mein Haus» weicht ab",IF(D15="Vermieter","Amtliches Formular? Familienwohnung: beide Ehegatten.",IF(D15="Ausserterminlich","Nachmieter zumutbar? Vereinbartes Ende eintragen.","")))))</f>
        <v/>
      </c>
      <c r="AK15">
        <f>IF(E15="","",IF(OR(COUNTIF(Einstellungen!$B$5:$B$16,"x")=0,INDEX(Einstellungen!$B$5:$B$16,MONTH(EOMONTH(E15,IF(F15="",3,F15)+0)))="x"),EOMONTH(E15,IF(F15="",3,F15)+0),""))</f>
        <v/>
      </c>
      <c r="AL15">
        <f>IF(E15="","",IF(OR(COUNTIF(Einstellungen!$B$5:$B$16,"x")=0,INDEX(Einstellungen!$B$5:$B$16,MONTH(EOMONTH(E15,IF(F15="",3,F15)+1)))="x"),EOMONTH(E15,IF(F15="",3,F15)+1),""))</f>
        <v/>
      </c>
      <c r="AM15">
        <f>IF(E15="","",IF(OR(COUNTIF(Einstellungen!$B$5:$B$16,"x")=0,INDEX(Einstellungen!$B$5:$B$16,MONTH(EOMONTH(E15,IF(F15="",3,F15)+2)))="x"),EOMONTH(E15,IF(F15="",3,F15)+2),""))</f>
        <v/>
      </c>
      <c r="AN15">
        <f>IF(E15="","",IF(OR(COUNTIF(Einstellungen!$B$5:$B$16,"x")=0,INDEX(Einstellungen!$B$5:$B$16,MONTH(EOMONTH(E15,IF(F15="",3,F15)+3)))="x"),EOMONTH(E15,IF(F15="",3,F15)+3),""))</f>
        <v/>
      </c>
      <c r="AO15">
        <f>IF(E15="","",IF(OR(COUNTIF(Einstellungen!$B$5:$B$16,"x")=0,INDEX(Einstellungen!$B$5:$B$16,MONTH(EOMONTH(E15,IF(F15="",3,F15)+4)))="x"),EOMONTH(E15,IF(F15="",3,F15)+4),""))</f>
        <v/>
      </c>
      <c r="AP15">
        <f>IF(E15="","",IF(OR(COUNTIF(Einstellungen!$B$5:$B$16,"x")=0,INDEX(Einstellungen!$B$5:$B$16,MONTH(EOMONTH(E15,IF(F15="",3,F15)+5)))="x"),EOMONTH(E15,IF(F15="",3,F15)+5),""))</f>
        <v/>
      </c>
      <c r="AQ15">
        <f>IF(E15="","",IF(OR(COUNTIF(Einstellungen!$B$5:$B$16,"x")=0,INDEX(Einstellungen!$B$5:$B$16,MONTH(EOMONTH(E15,IF(F15="",3,F15)+6)))="x"),EOMONTH(E15,IF(F15="",3,F15)+6),""))</f>
        <v/>
      </c>
      <c r="AR15">
        <f>IF(E15="","",IF(OR(COUNTIF(Einstellungen!$B$5:$B$16,"x")=0,INDEX(Einstellungen!$B$5:$B$16,MONTH(EOMONTH(E15,IF(F15="",3,F15)+7)))="x"),EOMONTH(E15,IF(F15="",3,F15)+7),""))</f>
        <v/>
      </c>
      <c r="AS15">
        <f>IF(E15="","",IF(OR(COUNTIF(Einstellungen!$B$5:$B$16,"x")=0,INDEX(Einstellungen!$B$5:$B$16,MONTH(EOMONTH(E15,IF(F15="",3,F15)+8)))="x"),EOMONTH(E15,IF(F15="",3,F15)+8),""))</f>
        <v/>
      </c>
      <c r="AT15">
        <f>IF(E15="","",IF(OR(COUNTIF(Einstellungen!$B$5:$B$16,"x")=0,INDEX(Einstellungen!$B$5:$B$16,MONTH(EOMONTH(E15,IF(F15="",3,F15)+9)))="x"),EOMONTH(E15,IF(F15="",3,F15)+9),""))</f>
        <v/>
      </c>
      <c r="AU15">
        <f>IF(E15="","",IF(OR(COUNTIF(Einstellungen!$B$5:$B$16,"x")=0,INDEX(Einstellungen!$B$5:$B$16,MONTH(EOMONTH(E15,IF(F15="",3,F15)+10)))="x"),EOMONTH(E15,IF(F15="",3,F15)+10),""))</f>
        <v/>
      </c>
      <c r="AV15">
        <f>IF(E15="","",IF(OR(COUNTIF(Einstellungen!$B$5:$B$16,"x")=0,INDEX(Einstellungen!$B$5:$B$16,MONTH(EOMONTH(E15,IF(F15="",3,F15)+11)))="x"),EOMONTH(E15,IF(F15="",3,F15)+11),""))</f>
        <v/>
      </c>
      <c r="AW15">
        <f>IF(E15="","",IF(OR(COUNTIF(Einstellungen!$B$5:$B$16,"x")=0,INDEX(Einstellungen!$B$5:$B$16,MONTH(EOMONTH(E15,IF(F15="",3,F15)+12)))="x"),EOMONTH(E15,IF(F15="",3,F15)+12),""))</f>
        <v/>
      </c>
      <c r="AX15">
        <f>IF(E15="","",IF(OR(COUNTIF(Einstellungen!$B$5:$B$16,"x")=0,INDEX(Einstellungen!$B$5:$B$16,MONTH(EOMONTH(E15,IF(F15="",3,F15)+13)))="x"),EOMONTH(E15,IF(F15="",3,F15)+13),""))</f>
        <v/>
      </c>
      <c r="AY15">
        <f>IF(E15="","",IF(OR(COUNTIF(Einstellungen!$B$5:$B$16,"x")=0,INDEX(Einstellungen!$B$5:$B$16,MONTH(EOMONTH(E15,IF(F15="",3,F15)+14)))="x"),EOMONTH(E15,IF(F15="",3,F15)+14),""))</f>
        <v/>
      </c>
      <c r="AZ15">
        <f>IF(E15="","",IF(OR(COUNTIF(Einstellungen!$B$5:$B$16,"x")=0,INDEX(Einstellungen!$B$5:$B$16,MONTH(EOMONTH(E15,IF(F15="",3,F15)+15)))="x"),EOMONTH(E15,IF(F15="",3,F15)+15),""))</f>
        <v/>
      </c>
      <c r="BA15">
        <f>IF(E15="","",IF(OR(COUNTIF(Einstellungen!$B$5:$B$16,"x")=0,INDEX(Einstellungen!$B$5:$B$16,MONTH(EOMONTH(E15,IF(F15="",3,F15)+16)))="x"),EOMONTH(E15,IF(F15="",3,F15)+16),""))</f>
        <v/>
      </c>
      <c r="BB15">
        <f>IF(E15="","",IF(OR(COUNTIF(Einstellungen!$B$5:$B$16,"x")=0,INDEX(Einstellungen!$B$5:$B$16,MONTH(EOMONTH(E15,IF(F15="",3,F15)+17)))="x"),EOMONTH(E15,IF(F15="",3,F15)+17),""))</f>
        <v/>
      </c>
      <c r="BC15">
        <f>IF(E15="","",IF(OR(COUNTIF(Einstellungen!$B$5:$B$16,"x")=0,INDEX(Einstellungen!$B$5:$B$16,MONTH(EOMONTH(E15,IF(F15="",3,F15)+18)))="x"),EOMONTH(E15,IF(F15="",3,F15)+18),""))</f>
        <v/>
      </c>
      <c r="BD15">
        <f>IF(E15="","",IF(OR(COUNTIF(Einstellungen!$B$5:$B$16,"x")=0,INDEX(Einstellungen!$B$5:$B$16,MONTH(EOMONTH(E15,IF(F15="",3,F15)+19)))="x"),EOMONTH(E15,IF(F15="",3,F15)+19),""))</f>
        <v/>
      </c>
      <c r="BE15">
        <f>IF(E15="","",IF(OR(COUNTIF(Einstellungen!$B$5:$B$16,"x")=0,INDEX(Einstellungen!$B$5:$B$16,MONTH(EOMONTH(E15,IF(F15="",3,F15)+20)))="x"),EOMONTH(E15,IF(F15="",3,F15)+20),""))</f>
        <v/>
      </c>
      <c r="BF15">
        <f>IF(E15="","",IF(OR(COUNTIF(Einstellungen!$B$5:$B$16,"x")=0,INDEX(Einstellungen!$B$5:$B$16,MONTH(EOMONTH(E15,IF(F15="",3,F15)+21)))="x"),EOMONTH(E15,IF(F15="",3,F15)+21),""))</f>
        <v/>
      </c>
      <c r="BG15">
        <f>IF(E15="","",IF(OR(COUNTIF(Einstellungen!$B$5:$B$16,"x")=0,INDEX(Einstellungen!$B$5:$B$16,MONTH(EOMONTH(E15,IF(F15="",3,F15)+22)))="x"),EOMONTH(E15,IF(F15="",3,F15)+22),""))</f>
        <v/>
      </c>
      <c r="BH15">
        <f>IF(E15="","",IF(OR(COUNTIF(Einstellungen!$B$5:$B$16,"x")=0,INDEX(Einstellungen!$B$5:$B$16,MONTH(EOMONTH(E15,IF(F15="",3,F15)+23)))="x"),EOMONTH(E15,IF(F15="",3,F15)+23),""))</f>
        <v/>
      </c>
      <c r="BI15">
        <f>IF(AND(L15&lt;&gt;"",M15=""),L15,"")</f>
        <v/>
      </c>
      <c r="BJ15">
        <f>IF(AND(N15&lt;&gt;"",O15=""),N15,"")</f>
        <v/>
      </c>
      <c r="BK15">
        <f>IF(AND(P15&lt;&gt;"",Q15=""),P15,"")</f>
        <v/>
      </c>
      <c r="BL15">
        <f>IF(AND(R15&lt;&gt;"",S15=""),R15,"")</f>
        <v/>
      </c>
      <c r="BM15">
        <f>IF(AND(T15&lt;&gt;"",U15=""),T15,"")</f>
        <v/>
      </c>
      <c r="BN15">
        <f>IF(AND(V15&lt;&gt;"",W15=""),V15,"")</f>
        <v/>
      </c>
      <c r="BO15">
        <f>IF(AND(X15&lt;&gt;"",Y15=""),X15,"")</f>
        <v/>
      </c>
      <c r="BP15">
        <f>IF(AND(Z15&lt;&gt;"",AA15=""),Z15,"")</f>
        <v/>
      </c>
      <c r="BQ15">
        <f>IF(AND(AB15&lt;&gt;"",AC15=""),AB15,"")</f>
        <v/>
      </c>
      <c r="BR15">
        <f>IF(AND(AD15&lt;&gt;"",AE15=""),AD15,"")</f>
        <v/>
      </c>
      <c r="BS15">
        <f>IF(AF15="","",AF15+ROW()/100000)</f>
        <v/>
      </c>
    </row>
    <row r="16">
      <c r="A16" s="26" t="n"/>
      <c r="B16" s="23">
        <f>IF(A16="","",IFERROR(INDEX('Mein Haus'!$C$45:$C$104,A16)&amp;"",""))</f>
        <v/>
      </c>
      <c r="C16" s="23">
        <f>IF(A16="","",IFERROR(INDEX('Mein Haus'!$B$45:$B$104,A16)&amp;"",""))</f>
        <v/>
      </c>
      <c r="D16" s="16" t="n"/>
      <c r="E16" s="20" t="n"/>
      <c r="F16" s="26" t="n"/>
      <c r="G16" s="20" t="n"/>
      <c r="H16" s="21">
        <f>IF(G16&lt;&gt;"",G16,IF(E16="","",IF(COUNT(AK16:BH16)=0,"",MIN(AK16:BH16))))</f>
        <v/>
      </c>
      <c r="I16" s="20" t="n"/>
      <c r="J16" s="10">
        <f>IF(OR(H16="",I16=""),"",MAX(0,I16-H16-1))</f>
        <v/>
      </c>
      <c r="K16" s="11">
        <f>IF(J16="","",ROUND(N(IFERROR(INDEX('Mein Haus'!$G$45:$G$104,A16),0))*12/365*J16,2))</f>
        <v/>
      </c>
      <c r="L16" s="21">
        <f>IF(E16="","",E16+7)</f>
        <v/>
      </c>
      <c r="M16" s="16" t="n"/>
      <c r="N16" s="21">
        <f>IF(E16="","",E16)</f>
        <v/>
      </c>
      <c r="O16" s="16" t="n"/>
      <c r="P16" s="21">
        <f>IF(H16="","",WORKDAY(H16,-10,Einstellungen!$D$5:$D$34))</f>
        <v/>
      </c>
      <c r="Q16" s="16" t="n"/>
      <c r="R16" s="21">
        <f>IF(H16="","",H16-30)</f>
        <v/>
      </c>
      <c r="S16" s="16" t="n"/>
      <c r="T16" s="21">
        <f>IF(H16="","",WORKDAY(H16-1,1,Einstellungen!$D$5:$D$34))</f>
        <v/>
      </c>
      <c r="U16" s="16" t="n"/>
      <c r="V16" s="21">
        <f>IF(T16="","",WORKDAY(T16,2,Einstellungen!$D$5:$D$34))</f>
        <v/>
      </c>
      <c r="W16" s="16" t="n"/>
      <c r="X16" s="21">
        <f>IF(I16="","",I16)</f>
        <v/>
      </c>
      <c r="Y16" s="16" t="n"/>
      <c r="Z16" s="21">
        <f>IF(T16="","",T16+30)</f>
        <v/>
      </c>
      <c r="AA16" s="16" t="n"/>
      <c r="AB16" s="21">
        <f>IF(OR(H16="",Nebenkosten!$B$7=""),"",EDATE(Nebenkosten!$B$7,12*MAX(1,ROUNDUP(((YEAR(H16)-YEAR(Nebenkosten!$B$7))*12+MONTH(H16)-MONTH(Nebenkosten!$B$7)+1)/12,0))))</f>
        <v/>
      </c>
      <c r="AC16" s="16" t="n"/>
      <c r="AD16" s="21">
        <f>IF(H16="","",EDATE(H16,12))</f>
        <v/>
      </c>
      <c r="AE16" s="16" t="n"/>
      <c r="AF16" s="21">
        <f>IF(COUNT(BI16:BR16)=0,"",MIN(BI16:BR16))</f>
        <v/>
      </c>
      <c r="AG16" s="10">
        <f>IF(AF16="","",AF16-TODAY())</f>
        <v/>
      </c>
      <c r="AH16" s="23">
        <f>IF(AF16="","",INDEX($BI$7:$BR$7,MATCH(AF16,BI16:BR16,0)))</f>
        <v/>
      </c>
      <c r="AI16" s="23">
        <f>IF(A16="","",IF(B16="","ID ohne Mieter in «Mein Haus»",IF(AND(IFERROR(INDEX('Mein Haus'!$E$45:$E$104,A16),"")&lt;&gt;"",H16&lt;&gt;"",IFERROR(INDEX('Mein Haus'!$E$45:$E$104,A16),"")&lt;&gt;H16),"Mietende in «Mein Haus» weicht ab",IF(D16="Vermieter","Amtliches Formular? Familienwohnung: beide Ehegatten.",IF(D16="Ausserterminlich","Nachmieter zumutbar? Vereinbartes Ende eintragen.","")))))</f>
        <v/>
      </c>
      <c r="AK16">
        <f>IF(E16="","",IF(OR(COUNTIF(Einstellungen!$B$5:$B$16,"x")=0,INDEX(Einstellungen!$B$5:$B$16,MONTH(EOMONTH(E16,IF(F16="",3,F16)+0)))="x"),EOMONTH(E16,IF(F16="",3,F16)+0),""))</f>
        <v/>
      </c>
      <c r="AL16">
        <f>IF(E16="","",IF(OR(COUNTIF(Einstellungen!$B$5:$B$16,"x")=0,INDEX(Einstellungen!$B$5:$B$16,MONTH(EOMONTH(E16,IF(F16="",3,F16)+1)))="x"),EOMONTH(E16,IF(F16="",3,F16)+1),""))</f>
        <v/>
      </c>
      <c r="AM16">
        <f>IF(E16="","",IF(OR(COUNTIF(Einstellungen!$B$5:$B$16,"x")=0,INDEX(Einstellungen!$B$5:$B$16,MONTH(EOMONTH(E16,IF(F16="",3,F16)+2)))="x"),EOMONTH(E16,IF(F16="",3,F16)+2),""))</f>
        <v/>
      </c>
      <c r="AN16">
        <f>IF(E16="","",IF(OR(COUNTIF(Einstellungen!$B$5:$B$16,"x")=0,INDEX(Einstellungen!$B$5:$B$16,MONTH(EOMONTH(E16,IF(F16="",3,F16)+3)))="x"),EOMONTH(E16,IF(F16="",3,F16)+3),""))</f>
        <v/>
      </c>
      <c r="AO16">
        <f>IF(E16="","",IF(OR(COUNTIF(Einstellungen!$B$5:$B$16,"x")=0,INDEX(Einstellungen!$B$5:$B$16,MONTH(EOMONTH(E16,IF(F16="",3,F16)+4)))="x"),EOMONTH(E16,IF(F16="",3,F16)+4),""))</f>
        <v/>
      </c>
      <c r="AP16">
        <f>IF(E16="","",IF(OR(COUNTIF(Einstellungen!$B$5:$B$16,"x")=0,INDEX(Einstellungen!$B$5:$B$16,MONTH(EOMONTH(E16,IF(F16="",3,F16)+5)))="x"),EOMONTH(E16,IF(F16="",3,F16)+5),""))</f>
        <v/>
      </c>
      <c r="AQ16">
        <f>IF(E16="","",IF(OR(COUNTIF(Einstellungen!$B$5:$B$16,"x")=0,INDEX(Einstellungen!$B$5:$B$16,MONTH(EOMONTH(E16,IF(F16="",3,F16)+6)))="x"),EOMONTH(E16,IF(F16="",3,F16)+6),""))</f>
        <v/>
      </c>
      <c r="AR16">
        <f>IF(E16="","",IF(OR(COUNTIF(Einstellungen!$B$5:$B$16,"x")=0,INDEX(Einstellungen!$B$5:$B$16,MONTH(EOMONTH(E16,IF(F16="",3,F16)+7)))="x"),EOMONTH(E16,IF(F16="",3,F16)+7),""))</f>
        <v/>
      </c>
      <c r="AS16">
        <f>IF(E16="","",IF(OR(COUNTIF(Einstellungen!$B$5:$B$16,"x")=0,INDEX(Einstellungen!$B$5:$B$16,MONTH(EOMONTH(E16,IF(F16="",3,F16)+8)))="x"),EOMONTH(E16,IF(F16="",3,F16)+8),""))</f>
        <v/>
      </c>
      <c r="AT16">
        <f>IF(E16="","",IF(OR(COUNTIF(Einstellungen!$B$5:$B$16,"x")=0,INDEX(Einstellungen!$B$5:$B$16,MONTH(EOMONTH(E16,IF(F16="",3,F16)+9)))="x"),EOMONTH(E16,IF(F16="",3,F16)+9),""))</f>
        <v/>
      </c>
      <c r="AU16">
        <f>IF(E16="","",IF(OR(COUNTIF(Einstellungen!$B$5:$B$16,"x")=0,INDEX(Einstellungen!$B$5:$B$16,MONTH(EOMONTH(E16,IF(F16="",3,F16)+10)))="x"),EOMONTH(E16,IF(F16="",3,F16)+10),""))</f>
        <v/>
      </c>
      <c r="AV16">
        <f>IF(E16="","",IF(OR(COUNTIF(Einstellungen!$B$5:$B$16,"x")=0,INDEX(Einstellungen!$B$5:$B$16,MONTH(EOMONTH(E16,IF(F16="",3,F16)+11)))="x"),EOMONTH(E16,IF(F16="",3,F16)+11),""))</f>
        <v/>
      </c>
      <c r="AW16">
        <f>IF(E16="","",IF(OR(COUNTIF(Einstellungen!$B$5:$B$16,"x")=0,INDEX(Einstellungen!$B$5:$B$16,MONTH(EOMONTH(E16,IF(F16="",3,F16)+12)))="x"),EOMONTH(E16,IF(F16="",3,F16)+12),""))</f>
        <v/>
      </c>
      <c r="AX16">
        <f>IF(E16="","",IF(OR(COUNTIF(Einstellungen!$B$5:$B$16,"x")=0,INDEX(Einstellungen!$B$5:$B$16,MONTH(EOMONTH(E16,IF(F16="",3,F16)+13)))="x"),EOMONTH(E16,IF(F16="",3,F16)+13),""))</f>
        <v/>
      </c>
      <c r="AY16">
        <f>IF(E16="","",IF(OR(COUNTIF(Einstellungen!$B$5:$B$16,"x")=0,INDEX(Einstellungen!$B$5:$B$16,MONTH(EOMONTH(E16,IF(F16="",3,F16)+14)))="x"),EOMONTH(E16,IF(F16="",3,F16)+14),""))</f>
        <v/>
      </c>
      <c r="AZ16">
        <f>IF(E16="","",IF(OR(COUNTIF(Einstellungen!$B$5:$B$16,"x")=0,INDEX(Einstellungen!$B$5:$B$16,MONTH(EOMONTH(E16,IF(F16="",3,F16)+15)))="x"),EOMONTH(E16,IF(F16="",3,F16)+15),""))</f>
        <v/>
      </c>
      <c r="BA16">
        <f>IF(E16="","",IF(OR(COUNTIF(Einstellungen!$B$5:$B$16,"x")=0,INDEX(Einstellungen!$B$5:$B$16,MONTH(EOMONTH(E16,IF(F16="",3,F16)+16)))="x"),EOMONTH(E16,IF(F16="",3,F16)+16),""))</f>
        <v/>
      </c>
      <c r="BB16">
        <f>IF(E16="","",IF(OR(COUNTIF(Einstellungen!$B$5:$B$16,"x")=0,INDEX(Einstellungen!$B$5:$B$16,MONTH(EOMONTH(E16,IF(F16="",3,F16)+17)))="x"),EOMONTH(E16,IF(F16="",3,F16)+17),""))</f>
        <v/>
      </c>
      <c r="BC16">
        <f>IF(E16="","",IF(OR(COUNTIF(Einstellungen!$B$5:$B$16,"x")=0,INDEX(Einstellungen!$B$5:$B$16,MONTH(EOMONTH(E16,IF(F16="",3,F16)+18)))="x"),EOMONTH(E16,IF(F16="",3,F16)+18),""))</f>
        <v/>
      </c>
      <c r="BD16">
        <f>IF(E16="","",IF(OR(COUNTIF(Einstellungen!$B$5:$B$16,"x")=0,INDEX(Einstellungen!$B$5:$B$16,MONTH(EOMONTH(E16,IF(F16="",3,F16)+19)))="x"),EOMONTH(E16,IF(F16="",3,F16)+19),""))</f>
        <v/>
      </c>
      <c r="BE16">
        <f>IF(E16="","",IF(OR(COUNTIF(Einstellungen!$B$5:$B$16,"x")=0,INDEX(Einstellungen!$B$5:$B$16,MONTH(EOMONTH(E16,IF(F16="",3,F16)+20)))="x"),EOMONTH(E16,IF(F16="",3,F16)+20),""))</f>
        <v/>
      </c>
      <c r="BF16">
        <f>IF(E16="","",IF(OR(COUNTIF(Einstellungen!$B$5:$B$16,"x")=0,INDEX(Einstellungen!$B$5:$B$16,MONTH(EOMONTH(E16,IF(F16="",3,F16)+21)))="x"),EOMONTH(E16,IF(F16="",3,F16)+21),""))</f>
        <v/>
      </c>
      <c r="BG16">
        <f>IF(E16="","",IF(OR(COUNTIF(Einstellungen!$B$5:$B$16,"x")=0,INDEX(Einstellungen!$B$5:$B$16,MONTH(EOMONTH(E16,IF(F16="",3,F16)+22)))="x"),EOMONTH(E16,IF(F16="",3,F16)+22),""))</f>
        <v/>
      </c>
      <c r="BH16">
        <f>IF(E16="","",IF(OR(COUNTIF(Einstellungen!$B$5:$B$16,"x")=0,INDEX(Einstellungen!$B$5:$B$16,MONTH(EOMONTH(E16,IF(F16="",3,F16)+23)))="x"),EOMONTH(E16,IF(F16="",3,F16)+23),""))</f>
        <v/>
      </c>
      <c r="BI16">
        <f>IF(AND(L16&lt;&gt;"",M16=""),L16,"")</f>
        <v/>
      </c>
      <c r="BJ16">
        <f>IF(AND(N16&lt;&gt;"",O16=""),N16,"")</f>
        <v/>
      </c>
      <c r="BK16">
        <f>IF(AND(P16&lt;&gt;"",Q16=""),P16,"")</f>
        <v/>
      </c>
      <c r="BL16">
        <f>IF(AND(R16&lt;&gt;"",S16=""),R16,"")</f>
        <v/>
      </c>
      <c r="BM16">
        <f>IF(AND(T16&lt;&gt;"",U16=""),T16,"")</f>
        <v/>
      </c>
      <c r="BN16">
        <f>IF(AND(V16&lt;&gt;"",W16=""),V16,"")</f>
        <v/>
      </c>
      <c r="BO16">
        <f>IF(AND(X16&lt;&gt;"",Y16=""),X16,"")</f>
        <v/>
      </c>
      <c r="BP16">
        <f>IF(AND(Z16&lt;&gt;"",AA16=""),Z16,"")</f>
        <v/>
      </c>
      <c r="BQ16">
        <f>IF(AND(AB16&lt;&gt;"",AC16=""),AB16,"")</f>
        <v/>
      </c>
      <c r="BR16">
        <f>IF(AND(AD16&lt;&gt;"",AE16=""),AD16,"")</f>
        <v/>
      </c>
      <c r="BS16">
        <f>IF(AF16="","",AF16+ROW()/100000)</f>
        <v/>
      </c>
    </row>
    <row r="17">
      <c r="A17" s="26" t="n"/>
      <c r="B17" s="23">
        <f>IF(A17="","",IFERROR(INDEX('Mein Haus'!$C$45:$C$104,A17)&amp;"",""))</f>
        <v/>
      </c>
      <c r="C17" s="23">
        <f>IF(A17="","",IFERROR(INDEX('Mein Haus'!$B$45:$B$104,A17)&amp;"",""))</f>
        <v/>
      </c>
      <c r="D17" s="16" t="n"/>
      <c r="E17" s="20" t="n"/>
      <c r="F17" s="26" t="n"/>
      <c r="G17" s="20" t="n"/>
      <c r="H17" s="21">
        <f>IF(G17&lt;&gt;"",G17,IF(E17="","",IF(COUNT(AK17:BH17)=0,"",MIN(AK17:BH17))))</f>
        <v/>
      </c>
      <c r="I17" s="20" t="n"/>
      <c r="J17" s="10">
        <f>IF(OR(H17="",I17=""),"",MAX(0,I17-H17-1))</f>
        <v/>
      </c>
      <c r="K17" s="11">
        <f>IF(J17="","",ROUND(N(IFERROR(INDEX('Mein Haus'!$G$45:$G$104,A17),0))*12/365*J17,2))</f>
        <v/>
      </c>
      <c r="L17" s="21">
        <f>IF(E17="","",E17+7)</f>
        <v/>
      </c>
      <c r="M17" s="16" t="n"/>
      <c r="N17" s="21">
        <f>IF(E17="","",E17)</f>
        <v/>
      </c>
      <c r="O17" s="16" t="n"/>
      <c r="P17" s="21">
        <f>IF(H17="","",WORKDAY(H17,-10,Einstellungen!$D$5:$D$34))</f>
        <v/>
      </c>
      <c r="Q17" s="16" t="n"/>
      <c r="R17" s="21">
        <f>IF(H17="","",H17-30)</f>
        <v/>
      </c>
      <c r="S17" s="16" t="n"/>
      <c r="T17" s="21">
        <f>IF(H17="","",WORKDAY(H17-1,1,Einstellungen!$D$5:$D$34))</f>
        <v/>
      </c>
      <c r="U17" s="16" t="n"/>
      <c r="V17" s="21">
        <f>IF(T17="","",WORKDAY(T17,2,Einstellungen!$D$5:$D$34))</f>
        <v/>
      </c>
      <c r="W17" s="16" t="n"/>
      <c r="X17" s="21">
        <f>IF(I17="","",I17)</f>
        <v/>
      </c>
      <c r="Y17" s="16" t="n"/>
      <c r="Z17" s="21">
        <f>IF(T17="","",T17+30)</f>
        <v/>
      </c>
      <c r="AA17" s="16" t="n"/>
      <c r="AB17" s="21">
        <f>IF(OR(H17="",Nebenkosten!$B$7=""),"",EDATE(Nebenkosten!$B$7,12*MAX(1,ROUNDUP(((YEAR(H17)-YEAR(Nebenkosten!$B$7))*12+MONTH(H17)-MONTH(Nebenkosten!$B$7)+1)/12,0))))</f>
        <v/>
      </c>
      <c r="AC17" s="16" t="n"/>
      <c r="AD17" s="21">
        <f>IF(H17="","",EDATE(H17,12))</f>
        <v/>
      </c>
      <c r="AE17" s="16" t="n"/>
      <c r="AF17" s="21">
        <f>IF(COUNT(BI17:BR17)=0,"",MIN(BI17:BR17))</f>
        <v/>
      </c>
      <c r="AG17" s="10">
        <f>IF(AF17="","",AF17-TODAY())</f>
        <v/>
      </c>
      <c r="AH17" s="23">
        <f>IF(AF17="","",INDEX($BI$7:$BR$7,MATCH(AF17,BI17:BR17,0)))</f>
        <v/>
      </c>
      <c r="AI17" s="23">
        <f>IF(A17="","",IF(B17="","ID ohne Mieter in «Mein Haus»",IF(AND(IFERROR(INDEX('Mein Haus'!$E$45:$E$104,A17),"")&lt;&gt;"",H17&lt;&gt;"",IFERROR(INDEX('Mein Haus'!$E$45:$E$104,A17),"")&lt;&gt;H17),"Mietende in «Mein Haus» weicht ab",IF(D17="Vermieter","Amtliches Formular? Familienwohnung: beide Ehegatten.",IF(D17="Ausserterminlich","Nachmieter zumutbar? Vereinbartes Ende eintragen.","")))))</f>
        <v/>
      </c>
      <c r="AK17">
        <f>IF(E17="","",IF(OR(COUNTIF(Einstellungen!$B$5:$B$16,"x")=0,INDEX(Einstellungen!$B$5:$B$16,MONTH(EOMONTH(E17,IF(F17="",3,F17)+0)))="x"),EOMONTH(E17,IF(F17="",3,F17)+0),""))</f>
        <v/>
      </c>
      <c r="AL17">
        <f>IF(E17="","",IF(OR(COUNTIF(Einstellungen!$B$5:$B$16,"x")=0,INDEX(Einstellungen!$B$5:$B$16,MONTH(EOMONTH(E17,IF(F17="",3,F17)+1)))="x"),EOMONTH(E17,IF(F17="",3,F17)+1),""))</f>
        <v/>
      </c>
      <c r="AM17">
        <f>IF(E17="","",IF(OR(COUNTIF(Einstellungen!$B$5:$B$16,"x")=0,INDEX(Einstellungen!$B$5:$B$16,MONTH(EOMONTH(E17,IF(F17="",3,F17)+2)))="x"),EOMONTH(E17,IF(F17="",3,F17)+2),""))</f>
        <v/>
      </c>
      <c r="AN17">
        <f>IF(E17="","",IF(OR(COUNTIF(Einstellungen!$B$5:$B$16,"x")=0,INDEX(Einstellungen!$B$5:$B$16,MONTH(EOMONTH(E17,IF(F17="",3,F17)+3)))="x"),EOMONTH(E17,IF(F17="",3,F17)+3),""))</f>
        <v/>
      </c>
      <c r="AO17">
        <f>IF(E17="","",IF(OR(COUNTIF(Einstellungen!$B$5:$B$16,"x")=0,INDEX(Einstellungen!$B$5:$B$16,MONTH(EOMONTH(E17,IF(F17="",3,F17)+4)))="x"),EOMONTH(E17,IF(F17="",3,F17)+4),""))</f>
        <v/>
      </c>
      <c r="AP17">
        <f>IF(E17="","",IF(OR(COUNTIF(Einstellungen!$B$5:$B$16,"x")=0,INDEX(Einstellungen!$B$5:$B$16,MONTH(EOMONTH(E17,IF(F17="",3,F17)+5)))="x"),EOMONTH(E17,IF(F17="",3,F17)+5),""))</f>
        <v/>
      </c>
      <c r="AQ17">
        <f>IF(E17="","",IF(OR(COUNTIF(Einstellungen!$B$5:$B$16,"x")=0,INDEX(Einstellungen!$B$5:$B$16,MONTH(EOMONTH(E17,IF(F17="",3,F17)+6)))="x"),EOMONTH(E17,IF(F17="",3,F17)+6),""))</f>
        <v/>
      </c>
      <c r="AR17">
        <f>IF(E17="","",IF(OR(COUNTIF(Einstellungen!$B$5:$B$16,"x")=0,INDEX(Einstellungen!$B$5:$B$16,MONTH(EOMONTH(E17,IF(F17="",3,F17)+7)))="x"),EOMONTH(E17,IF(F17="",3,F17)+7),""))</f>
        <v/>
      </c>
      <c r="AS17">
        <f>IF(E17="","",IF(OR(COUNTIF(Einstellungen!$B$5:$B$16,"x")=0,INDEX(Einstellungen!$B$5:$B$16,MONTH(EOMONTH(E17,IF(F17="",3,F17)+8)))="x"),EOMONTH(E17,IF(F17="",3,F17)+8),""))</f>
        <v/>
      </c>
      <c r="AT17">
        <f>IF(E17="","",IF(OR(COUNTIF(Einstellungen!$B$5:$B$16,"x")=0,INDEX(Einstellungen!$B$5:$B$16,MONTH(EOMONTH(E17,IF(F17="",3,F17)+9)))="x"),EOMONTH(E17,IF(F17="",3,F17)+9),""))</f>
        <v/>
      </c>
      <c r="AU17">
        <f>IF(E17="","",IF(OR(COUNTIF(Einstellungen!$B$5:$B$16,"x")=0,INDEX(Einstellungen!$B$5:$B$16,MONTH(EOMONTH(E17,IF(F17="",3,F17)+10)))="x"),EOMONTH(E17,IF(F17="",3,F17)+10),""))</f>
        <v/>
      </c>
      <c r="AV17">
        <f>IF(E17="","",IF(OR(COUNTIF(Einstellungen!$B$5:$B$16,"x")=0,INDEX(Einstellungen!$B$5:$B$16,MONTH(EOMONTH(E17,IF(F17="",3,F17)+11)))="x"),EOMONTH(E17,IF(F17="",3,F17)+11),""))</f>
        <v/>
      </c>
      <c r="AW17">
        <f>IF(E17="","",IF(OR(COUNTIF(Einstellungen!$B$5:$B$16,"x")=0,INDEX(Einstellungen!$B$5:$B$16,MONTH(EOMONTH(E17,IF(F17="",3,F17)+12)))="x"),EOMONTH(E17,IF(F17="",3,F17)+12),""))</f>
        <v/>
      </c>
      <c r="AX17">
        <f>IF(E17="","",IF(OR(COUNTIF(Einstellungen!$B$5:$B$16,"x")=0,INDEX(Einstellungen!$B$5:$B$16,MONTH(EOMONTH(E17,IF(F17="",3,F17)+13)))="x"),EOMONTH(E17,IF(F17="",3,F17)+13),""))</f>
        <v/>
      </c>
      <c r="AY17">
        <f>IF(E17="","",IF(OR(COUNTIF(Einstellungen!$B$5:$B$16,"x")=0,INDEX(Einstellungen!$B$5:$B$16,MONTH(EOMONTH(E17,IF(F17="",3,F17)+14)))="x"),EOMONTH(E17,IF(F17="",3,F17)+14),""))</f>
        <v/>
      </c>
      <c r="AZ17">
        <f>IF(E17="","",IF(OR(COUNTIF(Einstellungen!$B$5:$B$16,"x")=0,INDEX(Einstellungen!$B$5:$B$16,MONTH(EOMONTH(E17,IF(F17="",3,F17)+15)))="x"),EOMONTH(E17,IF(F17="",3,F17)+15),""))</f>
        <v/>
      </c>
      <c r="BA17">
        <f>IF(E17="","",IF(OR(COUNTIF(Einstellungen!$B$5:$B$16,"x")=0,INDEX(Einstellungen!$B$5:$B$16,MONTH(EOMONTH(E17,IF(F17="",3,F17)+16)))="x"),EOMONTH(E17,IF(F17="",3,F17)+16),""))</f>
        <v/>
      </c>
      <c r="BB17">
        <f>IF(E17="","",IF(OR(COUNTIF(Einstellungen!$B$5:$B$16,"x")=0,INDEX(Einstellungen!$B$5:$B$16,MONTH(EOMONTH(E17,IF(F17="",3,F17)+17)))="x"),EOMONTH(E17,IF(F17="",3,F17)+17),""))</f>
        <v/>
      </c>
      <c r="BC17">
        <f>IF(E17="","",IF(OR(COUNTIF(Einstellungen!$B$5:$B$16,"x")=0,INDEX(Einstellungen!$B$5:$B$16,MONTH(EOMONTH(E17,IF(F17="",3,F17)+18)))="x"),EOMONTH(E17,IF(F17="",3,F17)+18),""))</f>
        <v/>
      </c>
      <c r="BD17">
        <f>IF(E17="","",IF(OR(COUNTIF(Einstellungen!$B$5:$B$16,"x")=0,INDEX(Einstellungen!$B$5:$B$16,MONTH(EOMONTH(E17,IF(F17="",3,F17)+19)))="x"),EOMONTH(E17,IF(F17="",3,F17)+19),""))</f>
        <v/>
      </c>
      <c r="BE17">
        <f>IF(E17="","",IF(OR(COUNTIF(Einstellungen!$B$5:$B$16,"x")=0,INDEX(Einstellungen!$B$5:$B$16,MONTH(EOMONTH(E17,IF(F17="",3,F17)+20)))="x"),EOMONTH(E17,IF(F17="",3,F17)+20),""))</f>
        <v/>
      </c>
      <c r="BF17">
        <f>IF(E17="","",IF(OR(COUNTIF(Einstellungen!$B$5:$B$16,"x")=0,INDEX(Einstellungen!$B$5:$B$16,MONTH(EOMONTH(E17,IF(F17="",3,F17)+21)))="x"),EOMONTH(E17,IF(F17="",3,F17)+21),""))</f>
        <v/>
      </c>
      <c r="BG17">
        <f>IF(E17="","",IF(OR(COUNTIF(Einstellungen!$B$5:$B$16,"x")=0,INDEX(Einstellungen!$B$5:$B$16,MONTH(EOMONTH(E17,IF(F17="",3,F17)+22)))="x"),EOMONTH(E17,IF(F17="",3,F17)+22),""))</f>
        <v/>
      </c>
      <c r="BH17">
        <f>IF(E17="","",IF(OR(COUNTIF(Einstellungen!$B$5:$B$16,"x")=0,INDEX(Einstellungen!$B$5:$B$16,MONTH(EOMONTH(E17,IF(F17="",3,F17)+23)))="x"),EOMONTH(E17,IF(F17="",3,F17)+23),""))</f>
        <v/>
      </c>
      <c r="BI17">
        <f>IF(AND(L17&lt;&gt;"",M17=""),L17,"")</f>
        <v/>
      </c>
      <c r="BJ17">
        <f>IF(AND(N17&lt;&gt;"",O17=""),N17,"")</f>
        <v/>
      </c>
      <c r="BK17">
        <f>IF(AND(P17&lt;&gt;"",Q17=""),P17,"")</f>
        <v/>
      </c>
      <c r="BL17">
        <f>IF(AND(R17&lt;&gt;"",S17=""),R17,"")</f>
        <v/>
      </c>
      <c r="BM17">
        <f>IF(AND(T17&lt;&gt;"",U17=""),T17,"")</f>
        <v/>
      </c>
      <c r="BN17">
        <f>IF(AND(V17&lt;&gt;"",W17=""),V17,"")</f>
        <v/>
      </c>
      <c r="BO17">
        <f>IF(AND(X17&lt;&gt;"",Y17=""),X17,"")</f>
        <v/>
      </c>
      <c r="BP17">
        <f>IF(AND(Z17&lt;&gt;"",AA17=""),Z17,"")</f>
        <v/>
      </c>
      <c r="BQ17">
        <f>IF(AND(AB17&lt;&gt;"",AC17=""),AB17,"")</f>
        <v/>
      </c>
      <c r="BR17">
        <f>IF(AND(AD17&lt;&gt;"",AE17=""),AD17,"")</f>
        <v/>
      </c>
      <c r="BS17">
        <f>IF(AF17="","",AF17+ROW()/100000)</f>
        <v/>
      </c>
    </row>
    <row r="18">
      <c r="A18" s="26" t="n"/>
      <c r="B18" s="23">
        <f>IF(A18="","",IFERROR(INDEX('Mein Haus'!$C$45:$C$104,A18)&amp;"",""))</f>
        <v/>
      </c>
      <c r="C18" s="23">
        <f>IF(A18="","",IFERROR(INDEX('Mein Haus'!$B$45:$B$104,A18)&amp;"",""))</f>
        <v/>
      </c>
      <c r="D18" s="16" t="n"/>
      <c r="E18" s="20" t="n"/>
      <c r="F18" s="26" t="n"/>
      <c r="G18" s="20" t="n"/>
      <c r="H18" s="21">
        <f>IF(G18&lt;&gt;"",G18,IF(E18="","",IF(COUNT(AK18:BH18)=0,"",MIN(AK18:BH18))))</f>
        <v/>
      </c>
      <c r="I18" s="20" t="n"/>
      <c r="J18" s="10">
        <f>IF(OR(H18="",I18=""),"",MAX(0,I18-H18-1))</f>
        <v/>
      </c>
      <c r="K18" s="11">
        <f>IF(J18="","",ROUND(N(IFERROR(INDEX('Mein Haus'!$G$45:$G$104,A18),0))*12/365*J18,2))</f>
        <v/>
      </c>
      <c r="L18" s="21">
        <f>IF(E18="","",E18+7)</f>
        <v/>
      </c>
      <c r="M18" s="16" t="n"/>
      <c r="N18" s="21">
        <f>IF(E18="","",E18)</f>
        <v/>
      </c>
      <c r="O18" s="16" t="n"/>
      <c r="P18" s="21">
        <f>IF(H18="","",WORKDAY(H18,-10,Einstellungen!$D$5:$D$34))</f>
        <v/>
      </c>
      <c r="Q18" s="16" t="n"/>
      <c r="R18" s="21">
        <f>IF(H18="","",H18-30)</f>
        <v/>
      </c>
      <c r="S18" s="16" t="n"/>
      <c r="T18" s="21">
        <f>IF(H18="","",WORKDAY(H18-1,1,Einstellungen!$D$5:$D$34))</f>
        <v/>
      </c>
      <c r="U18" s="16" t="n"/>
      <c r="V18" s="21">
        <f>IF(T18="","",WORKDAY(T18,2,Einstellungen!$D$5:$D$34))</f>
        <v/>
      </c>
      <c r="W18" s="16" t="n"/>
      <c r="X18" s="21">
        <f>IF(I18="","",I18)</f>
        <v/>
      </c>
      <c r="Y18" s="16" t="n"/>
      <c r="Z18" s="21">
        <f>IF(T18="","",T18+30)</f>
        <v/>
      </c>
      <c r="AA18" s="16" t="n"/>
      <c r="AB18" s="21">
        <f>IF(OR(H18="",Nebenkosten!$B$7=""),"",EDATE(Nebenkosten!$B$7,12*MAX(1,ROUNDUP(((YEAR(H18)-YEAR(Nebenkosten!$B$7))*12+MONTH(H18)-MONTH(Nebenkosten!$B$7)+1)/12,0))))</f>
        <v/>
      </c>
      <c r="AC18" s="16" t="n"/>
      <c r="AD18" s="21">
        <f>IF(H18="","",EDATE(H18,12))</f>
        <v/>
      </c>
      <c r="AE18" s="16" t="n"/>
      <c r="AF18" s="21">
        <f>IF(COUNT(BI18:BR18)=0,"",MIN(BI18:BR18))</f>
        <v/>
      </c>
      <c r="AG18" s="10">
        <f>IF(AF18="","",AF18-TODAY())</f>
        <v/>
      </c>
      <c r="AH18" s="23">
        <f>IF(AF18="","",INDEX($BI$7:$BR$7,MATCH(AF18,BI18:BR18,0)))</f>
        <v/>
      </c>
      <c r="AI18" s="23">
        <f>IF(A18="","",IF(B18="","ID ohne Mieter in «Mein Haus»",IF(AND(IFERROR(INDEX('Mein Haus'!$E$45:$E$104,A18),"")&lt;&gt;"",H18&lt;&gt;"",IFERROR(INDEX('Mein Haus'!$E$45:$E$104,A18),"")&lt;&gt;H18),"Mietende in «Mein Haus» weicht ab",IF(D18="Vermieter","Amtliches Formular? Familienwohnung: beide Ehegatten.",IF(D18="Ausserterminlich","Nachmieter zumutbar? Vereinbartes Ende eintragen.","")))))</f>
        <v/>
      </c>
      <c r="AK18">
        <f>IF(E18="","",IF(OR(COUNTIF(Einstellungen!$B$5:$B$16,"x")=0,INDEX(Einstellungen!$B$5:$B$16,MONTH(EOMONTH(E18,IF(F18="",3,F18)+0)))="x"),EOMONTH(E18,IF(F18="",3,F18)+0),""))</f>
        <v/>
      </c>
      <c r="AL18">
        <f>IF(E18="","",IF(OR(COUNTIF(Einstellungen!$B$5:$B$16,"x")=0,INDEX(Einstellungen!$B$5:$B$16,MONTH(EOMONTH(E18,IF(F18="",3,F18)+1)))="x"),EOMONTH(E18,IF(F18="",3,F18)+1),""))</f>
        <v/>
      </c>
      <c r="AM18">
        <f>IF(E18="","",IF(OR(COUNTIF(Einstellungen!$B$5:$B$16,"x")=0,INDEX(Einstellungen!$B$5:$B$16,MONTH(EOMONTH(E18,IF(F18="",3,F18)+2)))="x"),EOMONTH(E18,IF(F18="",3,F18)+2),""))</f>
        <v/>
      </c>
      <c r="AN18">
        <f>IF(E18="","",IF(OR(COUNTIF(Einstellungen!$B$5:$B$16,"x")=0,INDEX(Einstellungen!$B$5:$B$16,MONTH(EOMONTH(E18,IF(F18="",3,F18)+3)))="x"),EOMONTH(E18,IF(F18="",3,F18)+3),""))</f>
        <v/>
      </c>
      <c r="AO18">
        <f>IF(E18="","",IF(OR(COUNTIF(Einstellungen!$B$5:$B$16,"x")=0,INDEX(Einstellungen!$B$5:$B$16,MONTH(EOMONTH(E18,IF(F18="",3,F18)+4)))="x"),EOMONTH(E18,IF(F18="",3,F18)+4),""))</f>
        <v/>
      </c>
      <c r="AP18">
        <f>IF(E18="","",IF(OR(COUNTIF(Einstellungen!$B$5:$B$16,"x")=0,INDEX(Einstellungen!$B$5:$B$16,MONTH(EOMONTH(E18,IF(F18="",3,F18)+5)))="x"),EOMONTH(E18,IF(F18="",3,F18)+5),""))</f>
        <v/>
      </c>
      <c r="AQ18">
        <f>IF(E18="","",IF(OR(COUNTIF(Einstellungen!$B$5:$B$16,"x")=0,INDEX(Einstellungen!$B$5:$B$16,MONTH(EOMONTH(E18,IF(F18="",3,F18)+6)))="x"),EOMONTH(E18,IF(F18="",3,F18)+6),""))</f>
        <v/>
      </c>
      <c r="AR18">
        <f>IF(E18="","",IF(OR(COUNTIF(Einstellungen!$B$5:$B$16,"x")=0,INDEX(Einstellungen!$B$5:$B$16,MONTH(EOMONTH(E18,IF(F18="",3,F18)+7)))="x"),EOMONTH(E18,IF(F18="",3,F18)+7),""))</f>
        <v/>
      </c>
      <c r="AS18">
        <f>IF(E18="","",IF(OR(COUNTIF(Einstellungen!$B$5:$B$16,"x")=0,INDEX(Einstellungen!$B$5:$B$16,MONTH(EOMONTH(E18,IF(F18="",3,F18)+8)))="x"),EOMONTH(E18,IF(F18="",3,F18)+8),""))</f>
        <v/>
      </c>
      <c r="AT18">
        <f>IF(E18="","",IF(OR(COUNTIF(Einstellungen!$B$5:$B$16,"x")=0,INDEX(Einstellungen!$B$5:$B$16,MONTH(EOMONTH(E18,IF(F18="",3,F18)+9)))="x"),EOMONTH(E18,IF(F18="",3,F18)+9),""))</f>
        <v/>
      </c>
      <c r="AU18">
        <f>IF(E18="","",IF(OR(COUNTIF(Einstellungen!$B$5:$B$16,"x")=0,INDEX(Einstellungen!$B$5:$B$16,MONTH(EOMONTH(E18,IF(F18="",3,F18)+10)))="x"),EOMONTH(E18,IF(F18="",3,F18)+10),""))</f>
        <v/>
      </c>
      <c r="AV18">
        <f>IF(E18="","",IF(OR(COUNTIF(Einstellungen!$B$5:$B$16,"x")=0,INDEX(Einstellungen!$B$5:$B$16,MONTH(EOMONTH(E18,IF(F18="",3,F18)+11)))="x"),EOMONTH(E18,IF(F18="",3,F18)+11),""))</f>
        <v/>
      </c>
      <c r="AW18">
        <f>IF(E18="","",IF(OR(COUNTIF(Einstellungen!$B$5:$B$16,"x")=0,INDEX(Einstellungen!$B$5:$B$16,MONTH(EOMONTH(E18,IF(F18="",3,F18)+12)))="x"),EOMONTH(E18,IF(F18="",3,F18)+12),""))</f>
        <v/>
      </c>
      <c r="AX18">
        <f>IF(E18="","",IF(OR(COUNTIF(Einstellungen!$B$5:$B$16,"x")=0,INDEX(Einstellungen!$B$5:$B$16,MONTH(EOMONTH(E18,IF(F18="",3,F18)+13)))="x"),EOMONTH(E18,IF(F18="",3,F18)+13),""))</f>
        <v/>
      </c>
      <c r="AY18">
        <f>IF(E18="","",IF(OR(COUNTIF(Einstellungen!$B$5:$B$16,"x")=0,INDEX(Einstellungen!$B$5:$B$16,MONTH(EOMONTH(E18,IF(F18="",3,F18)+14)))="x"),EOMONTH(E18,IF(F18="",3,F18)+14),""))</f>
        <v/>
      </c>
      <c r="AZ18">
        <f>IF(E18="","",IF(OR(COUNTIF(Einstellungen!$B$5:$B$16,"x")=0,INDEX(Einstellungen!$B$5:$B$16,MONTH(EOMONTH(E18,IF(F18="",3,F18)+15)))="x"),EOMONTH(E18,IF(F18="",3,F18)+15),""))</f>
        <v/>
      </c>
      <c r="BA18">
        <f>IF(E18="","",IF(OR(COUNTIF(Einstellungen!$B$5:$B$16,"x")=0,INDEX(Einstellungen!$B$5:$B$16,MONTH(EOMONTH(E18,IF(F18="",3,F18)+16)))="x"),EOMONTH(E18,IF(F18="",3,F18)+16),""))</f>
        <v/>
      </c>
      <c r="BB18">
        <f>IF(E18="","",IF(OR(COUNTIF(Einstellungen!$B$5:$B$16,"x")=0,INDEX(Einstellungen!$B$5:$B$16,MONTH(EOMONTH(E18,IF(F18="",3,F18)+17)))="x"),EOMONTH(E18,IF(F18="",3,F18)+17),""))</f>
        <v/>
      </c>
      <c r="BC18">
        <f>IF(E18="","",IF(OR(COUNTIF(Einstellungen!$B$5:$B$16,"x")=0,INDEX(Einstellungen!$B$5:$B$16,MONTH(EOMONTH(E18,IF(F18="",3,F18)+18)))="x"),EOMONTH(E18,IF(F18="",3,F18)+18),""))</f>
        <v/>
      </c>
      <c r="BD18">
        <f>IF(E18="","",IF(OR(COUNTIF(Einstellungen!$B$5:$B$16,"x")=0,INDEX(Einstellungen!$B$5:$B$16,MONTH(EOMONTH(E18,IF(F18="",3,F18)+19)))="x"),EOMONTH(E18,IF(F18="",3,F18)+19),""))</f>
        <v/>
      </c>
      <c r="BE18">
        <f>IF(E18="","",IF(OR(COUNTIF(Einstellungen!$B$5:$B$16,"x")=0,INDEX(Einstellungen!$B$5:$B$16,MONTH(EOMONTH(E18,IF(F18="",3,F18)+20)))="x"),EOMONTH(E18,IF(F18="",3,F18)+20),""))</f>
        <v/>
      </c>
      <c r="BF18">
        <f>IF(E18="","",IF(OR(COUNTIF(Einstellungen!$B$5:$B$16,"x")=0,INDEX(Einstellungen!$B$5:$B$16,MONTH(EOMONTH(E18,IF(F18="",3,F18)+21)))="x"),EOMONTH(E18,IF(F18="",3,F18)+21),""))</f>
        <v/>
      </c>
      <c r="BG18">
        <f>IF(E18="","",IF(OR(COUNTIF(Einstellungen!$B$5:$B$16,"x")=0,INDEX(Einstellungen!$B$5:$B$16,MONTH(EOMONTH(E18,IF(F18="",3,F18)+22)))="x"),EOMONTH(E18,IF(F18="",3,F18)+22),""))</f>
        <v/>
      </c>
      <c r="BH18">
        <f>IF(E18="","",IF(OR(COUNTIF(Einstellungen!$B$5:$B$16,"x")=0,INDEX(Einstellungen!$B$5:$B$16,MONTH(EOMONTH(E18,IF(F18="",3,F18)+23)))="x"),EOMONTH(E18,IF(F18="",3,F18)+23),""))</f>
        <v/>
      </c>
      <c r="BI18">
        <f>IF(AND(L18&lt;&gt;"",M18=""),L18,"")</f>
        <v/>
      </c>
      <c r="BJ18">
        <f>IF(AND(N18&lt;&gt;"",O18=""),N18,"")</f>
        <v/>
      </c>
      <c r="BK18">
        <f>IF(AND(P18&lt;&gt;"",Q18=""),P18,"")</f>
        <v/>
      </c>
      <c r="BL18">
        <f>IF(AND(R18&lt;&gt;"",S18=""),R18,"")</f>
        <v/>
      </c>
      <c r="BM18">
        <f>IF(AND(T18&lt;&gt;"",U18=""),T18,"")</f>
        <v/>
      </c>
      <c r="BN18">
        <f>IF(AND(V18&lt;&gt;"",W18=""),V18,"")</f>
        <v/>
      </c>
      <c r="BO18">
        <f>IF(AND(X18&lt;&gt;"",Y18=""),X18,"")</f>
        <v/>
      </c>
      <c r="BP18">
        <f>IF(AND(Z18&lt;&gt;"",AA18=""),Z18,"")</f>
        <v/>
      </c>
      <c r="BQ18">
        <f>IF(AND(AB18&lt;&gt;"",AC18=""),AB18,"")</f>
        <v/>
      </c>
      <c r="BR18">
        <f>IF(AND(AD18&lt;&gt;"",AE18=""),AD18,"")</f>
        <v/>
      </c>
      <c r="BS18">
        <f>IF(AF18="","",AF18+ROW()/100000)</f>
        <v/>
      </c>
    </row>
    <row r="19">
      <c r="A19" s="26" t="n"/>
      <c r="B19" s="23">
        <f>IF(A19="","",IFERROR(INDEX('Mein Haus'!$C$45:$C$104,A19)&amp;"",""))</f>
        <v/>
      </c>
      <c r="C19" s="23">
        <f>IF(A19="","",IFERROR(INDEX('Mein Haus'!$B$45:$B$104,A19)&amp;"",""))</f>
        <v/>
      </c>
      <c r="D19" s="16" t="n"/>
      <c r="E19" s="20" t="n"/>
      <c r="F19" s="26" t="n"/>
      <c r="G19" s="20" t="n"/>
      <c r="H19" s="21">
        <f>IF(G19&lt;&gt;"",G19,IF(E19="","",IF(COUNT(AK19:BH19)=0,"",MIN(AK19:BH19))))</f>
        <v/>
      </c>
      <c r="I19" s="20" t="n"/>
      <c r="J19" s="10">
        <f>IF(OR(H19="",I19=""),"",MAX(0,I19-H19-1))</f>
        <v/>
      </c>
      <c r="K19" s="11">
        <f>IF(J19="","",ROUND(N(IFERROR(INDEX('Mein Haus'!$G$45:$G$104,A19),0))*12/365*J19,2))</f>
        <v/>
      </c>
      <c r="L19" s="21">
        <f>IF(E19="","",E19+7)</f>
        <v/>
      </c>
      <c r="M19" s="16" t="n"/>
      <c r="N19" s="21">
        <f>IF(E19="","",E19)</f>
        <v/>
      </c>
      <c r="O19" s="16" t="n"/>
      <c r="P19" s="21">
        <f>IF(H19="","",WORKDAY(H19,-10,Einstellungen!$D$5:$D$34))</f>
        <v/>
      </c>
      <c r="Q19" s="16" t="n"/>
      <c r="R19" s="21">
        <f>IF(H19="","",H19-30)</f>
        <v/>
      </c>
      <c r="S19" s="16" t="n"/>
      <c r="T19" s="21">
        <f>IF(H19="","",WORKDAY(H19-1,1,Einstellungen!$D$5:$D$34))</f>
        <v/>
      </c>
      <c r="U19" s="16" t="n"/>
      <c r="V19" s="21">
        <f>IF(T19="","",WORKDAY(T19,2,Einstellungen!$D$5:$D$34))</f>
        <v/>
      </c>
      <c r="W19" s="16" t="n"/>
      <c r="X19" s="21">
        <f>IF(I19="","",I19)</f>
        <v/>
      </c>
      <c r="Y19" s="16" t="n"/>
      <c r="Z19" s="21">
        <f>IF(T19="","",T19+30)</f>
        <v/>
      </c>
      <c r="AA19" s="16" t="n"/>
      <c r="AB19" s="21">
        <f>IF(OR(H19="",Nebenkosten!$B$7=""),"",EDATE(Nebenkosten!$B$7,12*MAX(1,ROUNDUP(((YEAR(H19)-YEAR(Nebenkosten!$B$7))*12+MONTH(H19)-MONTH(Nebenkosten!$B$7)+1)/12,0))))</f>
        <v/>
      </c>
      <c r="AC19" s="16" t="n"/>
      <c r="AD19" s="21">
        <f>IF(H19="","",EDATE(H19,12))</f>
        <v/>
      </c>
      <c r="AE19" s="16" t="n"/>
      <c r="AF19" s="21">
        <f>IF(COUNT(BI19:BR19)=0,"",MIN(BI19:BR19))</f>
        <v/>
      </c>
      <c r="AG19" s="10">
        <f>IF(AF19="","",AF19-TODAY())</f>
        <v/>
      </c>
      <c r="AH19" s="23">
        <f>IF(AF19="","",INDEX($BI$7:$BR$7,MATCH(AF19,BI19:BR19,0)))</f>
        <v/>
      </c>
      <c r="AI19" s="23">
        <f>IF(A19="","",IF(B19="","ID ohne Mieter in «Mein Haus»",IF(AND(IFERROR(INDEX('Mein Haus'!$E$45:$E$104,A19),"")&lt;&gt;"",H19&lt;&gt;"",IFERROR(INDEX('Mein Haus'!$E$45:$E$104,A19),"")&lt;&gt;H19),"Mietende in «Mein Haus» weicht ab",IF(D19="Vermieter","Amtliches Formular? Familienwohnung: beide Ehegatten.",IF(D19="Ausserterminlich","Nachmieter zumutbar? Vereinbartes Ende eintragen.","")))))</f>
        <v/>
      </c>
      <c r="AK19">
        <f>IF(E19="","",IF(OR(COUNTIF(Einstellungen!$B$5:$B$16,"x")=0,INDEX(Einstellungen!$B$5:$B$16,MONTH(EOMONTH(E19,IF(F19="",3,F19)+0)))="x"),EOMONTH(E19,IF(F19="",3,F19)+0),""))</f>
        <v/>
      </c>
      <c r="AL19">
        <f>IF(E19="","",IF(OR(COUNTIF(Einstellungen!$B$5:$B$16,"x")=0,INDEX(Einstellungen!$B$5:$B$16,MONTH(EOMONTH(E19,IF(F19="",3,F19)+1)))="x"),EOMONTH(E19,IF(F19="",3,F19)+1),""))</f>
        <v/>
      </c>
      <c r="AM19">
        <f>IF(E19="","",IF(OR(COUNTIF(Einstellungen!$B$5:$B$16,"x")=0,INDEX(Einstellungen!$B$5:$B$16,MONTH(EOMONTH(E19,IF(F19="",3,F19)+2)))="x"),EOMONTH(E19,IF(F19="",3,F19)+2),""))</f>
        <v/>
      </c>
      <c r="AN19">
        <f>IF(E19="","",IF(OR(COUNTIF(Einstellungen!$B$5:$B$16,"x")=0,INDEX(Einstellungen!$B$5:$B$16,MONTH(EOMONTH(E19,IF(F19="",3,F19)+3)))="x"),EOMONTH(E19,IF(F19="",3,F19)+3),""))</f>
        <v/>
      </c>
      <c r="AO19">
        <f>IF(E19="","",IF(OR(COUNTIF(Einstellungen!$B$5:$B$16,"x")=0,INDEX(Einstellungen!$B$5:$B$16,MONTH(EOMONTH(E19,IF(F19="",3,F19)+4)))="x"),EOMONTH(E19,IF(F19="",3,F19)+4),""))</f>
        <v/>
      </c>
      <c r="AP19">
        <f>IF(E19="","",IF(OR(COUNTIF(Einstellungen!$B$5:$B$16,"x")=0,INDEX(Einstellungen!$B$5:$B$16,MONTH(EOMONTH(E19,IF(F19="",3,F19)+5)))="x"),EOMONTH(E19,IF(F19="",3,F19)+5),""))</f>
        <v/>
      </c>
      <c r="AQ19">
        <f>IF(E19="","",IF(OR(COUNTIF(Einstellungen!$B$5:$B$16,"x")=0,INDEX(Einstellungen!$B$5:$B$16,MONTH(EOMONTH(E19,IF(F19="",3,F19)+6)))="x"),EOMONTH(E19,IF(F19="",3,F19)+6),""))</f>
        <v/>
      </c>
      <c r="AR19">
        <f>IF(E19="","",IF(OR(COUNTIF(Einstellungen!$B$5:$B$16,"x")=0,INDEX(Einstellungen!$B$5:$B$16,MONTH(EOMONTH(E19,IF(F19="",3,F19)+7)))="x"),EOMONTH(E19,IF(F19="",3,F19)+7),""))</f>
        <v/>
      </c>
      <c r="AS19">
        <f>IF(E19="","",IF(OR(COUNTIF(Einstellungen!$B$5:$B$16,"x")=0,INDEX(Einstellungen!$B$5:$B$16,MONTH(EOMONTH(E19,IF(F19="",3,F19)+8)))="x"),EOMONTH(E19,IF(F19="",3,F19)+8),""))</f>
        <v/>
      </c>
      <c r="AT19">
        <f>IF(E19="","",IF(OR(COUNTIF(Einstellungen!$B$5:$B$16,"x")=0,INDEX(Einstellungen!$B$5:$B$16,MONTH(EOMONTH(E19,IF(F19="",3,F19)+9)))="x"),EOMONTH(E19,IF(F19="",3,F19)+9),""))</f>
        <v/>
      </c>
      <c r="AU19">
        <f>IF(E19="","",IF(OR(COUNTIF(Einstellungen!$B$5:$B$16,"x")=0,INDEX(Einstellungen!$B$5:$B$16,MONTH(EOMONTH(E19,IF(F19="",3,F19)+10)))="x"),EOMONTH(E19,IF(F19="",3,F19)+10),""))</f>
        <v/>
      </c>
      <c r="AV19">
        <f>IF(E19="","",IF(OR(COUNTIF(Einstellungen!$B$5:$B$16,"x")=0,INDEX(Einstellungen!$B$5:$B$16,MONTH(EOMONTH(E19,IF(F19="",3,F19)+11)))="x"),EOMONTH(E19,IF(F19="",3,F19)+11),""))</f>
        <v/>
      </c>
      <c r="AW19">
        <f>IF(E19="","",IF(OR(COUNTIF(Einstellungen!$B$5:$B$16,"x")=0,INDEX(Einstellungen!$B$5:$B$16,MONTH(EOMONTH(E19,IF(F19="",3,F19)+12)))="x"),EOMONTH(E19,IF(F19="",3,F19)+12),""))</f>
        <v/>
      </c>
      <c r="AX19">
        <f>IF(E19="","",IF(OR(COUNTIF(Einstellungen!$B$5:$B$16,"x")=0,INDEX(Einstellungen!$B$5:$B$16,MONTH(EOMONTH(E19,IF(F19="",3,F19)+13)))="x"),EOMONTH(E19,IF(F19="",3,F19)+13),""))</f>
        <v/>
      </c>
      <c r="AY19">
        <f>IF(E19="","",IF(OR(COUNTIF(Einstellungen!$B$5:$B$16,"x")=0,INDEX(Einstellungen!$B$5:$B$16,MONTH(EOMONTH(E19,IF(F19="",3,F19)+14)))="x"),EOMONTH(E19,IF(F19="",3,F19)+14),""))</f>
        <v/>
      </c>
      <c r="AZ19">
        <f>IF(E19="","",IF(OR(COUNTIF(Einstellungen!$B$5:$B$16,"x")=0,INDEX(Einstellungen!$B$5:$B$16,MONTH(EOMONTH(E19,IF(F19="",3,F19)+15)))="x"),EOMONTH(E19,IF(F19="",3,F19)+15),""))</f>
        <v/>
      </c>
      <c r="BA19">
        <f>IF(E19="","",IF(OR(COUNTIF(Einstellungen!$B$5:$B$16,"x")=0,INDEX(Einstellungen!$B$5:$B$16,MONTH(EOMONTH(E19,IF(F19="",3,F19)+16)))="x"),EOMONTH(E19,IF(F19="",3,F19)+16),""))</f>
        <v/>
      </c>
      <c r="BB19">
        <f>IF(E19="","",IF(OR(COUNTIF(Einstellungen!$B$5:$B$16,"x")=0,INDEX(Einstellungen!$B$5:$B$16,MONTH(EOMONTH(E19,IF(F19="",3,F19)+17)))="x"),EOMONTH(E19,IF(F19="",3,F19)+17),""))</f>
        <v/>
      </c>
      <c r="BC19">
        <f>IF(E19="","",IF(OR(COUNTIF(Einstellungen!$B$5:$B$16,"x")=0,INDEX(Einstellungen!$B$5:$B$16,MONTH(EOMONTH(E19,IF(F19="",3,F19)+18)))="x"),EOMONTH(E19,IF(F19="",3,F19)+18),""))</f>
        <v/>
      </c>
      <c r="BD19">
        <f>IF(E19="","",IF(OR(COUNTIF(Einstellungen!$B$5:$B$16,"x")=0,INDEX(Einstellungen!$B$5:$B$16,MONTH(EOMONTH(E19,IF(F19="",3,F19)+19)))="x"),EOMONTH(E19,IF(F19="",3,F19)+19),""))</f>
        <v/>
      </c>
      <c r="BE19">
        <f>IF(E19="","",IF(OR(COUNTIF(Einstellungen!$B$5:$B$16,"x")=0,INDEX(Einstellungen!$B$5:$B$16,MONTH(EOMONTH(E19,IF(F19="",3,F19)+20)))="x"),EOMONTH(E19,IF(F19="",3,F19)+20),""))</f>
        <v/>
      </c>
      <c r="BF19">
        <f>IF(E19="","",IF(OR(COUNTIF(Einstellungen!$B$5:$B$16,"x")=0,INDEX(Einstellungen!$B$5:$B$16,MONTH(EOMONTH(E19,IF(F19="",3,F19)+21)))="x"),EOMONTH(E19,IF(F19="",3,F19)+21),""))</f>
        <v/>
      </c>
      <c r="BG19">
        <f>IF(E19="","",IF(OR(COUNTIF(Einstellungen!$B$5:$B$16,"x")=0,INDEX(Einstellungen!$B$5:$B$16,MONTH(EOMONTH(E19,IF(F19="",3,F19)+22)))="x"),EOMONTH(E19,IF(F19="",3,F19)+22),""))</f>
        <v/>
      </c>
      <c r="BH19">
        <f>IF(E19="","",IF(OR(COUNTIF(Einstellungen!$B$5:$B$16,"x")=0,INDEX(Einstellungen!$B$5:$B$16,MONTH(EOMONTH(E19,IF(F19="",3,F19)+23)))="x"),EOMONTH(E19,IF(F19="",3,F19)+23),""))</f>
        <v/>
      </c>
      <c r="BI19">
        <f>IF(AND(L19&lt;&gt;"",M19=""),L19,"")</f>
        <v/>
      </c>
      <c r="BJ19">
        <f>IF(AND(N19&lt;&gt;"",O19=""),N19,"")</f>
        <v/>
      </c>
      <c r="BK19">
        <f>IF(AND(P19&lt;&gt;"",Q19=""),P19,"")</f>
        <v/>
      </c>
      <c r="BL19">
        <f>IF(AND(R19&lt;&gt;"",S19=""),R19,"")</f>
        <v/>
      </c>
      <c r="BM19">
        <f>IF(AND(T19&lt;&gt;"",U19=""),T19,"")</f>
        <v/>
      </c>
      <c r="BN19">
        <f>IF(AND(V19&lt;&gt;"",W19=""),V19,"")</f>
        <v/>
      </c>
      <c r="BO19">
        <f>IF(AND(X19&lt;&gt;"",Y19=""),X19,"")</f>
        <v/>
      </c>
      <c r="BP19">
        <f>IF(AND(Z19&lt;&gt;"",AA19=""),Z19,"")</f>
        <v/>
      </c>
      <c r="BQ19">
        <f>IF(AND(AB19&lt;&gt;"",AC19=""),AB19,"")</f>
        <v/>
      </c>
      <c r="BR19">
        <f>IF(AND(AD19&lt;&gt;"",AE19=""),AD19,"")</f>
        <v/>
      </c>
      <c r="BS19">
        <f>IF(AF19="","",AF19+ROW()/100000)</f>
        <v/>
      </c>
    </row>
    <row r="20">
      <c r="A20" s="26" t="n"/>
      <c r="B20" s="23">
        <f>IF(A20="","",IFERROR(INDEX('Mein Haus'!$C$45:$C$104,A20)&amp;"",""))</f>
        <v/>
      </c>
      <c r="C20" s="23">
        <f>IF(A20="","",IFERROR(INDEX('Mein Haus'!$B$45:$B$104,A20)&amp;"",""))</f>
        <v/>
      </c>
      <c r="D20" s="16" t="n"/>
      <c r="E20" s="20" t="n"/>
      <c r="F20" s="26" t="n"/>
      <c r="G20" s="20" t="n"/>
      <c r="H20" s="21">
        <f>IF(G20&lt;&gt;"",G20,IF(E20="","",IF(COUNT(AK20:BH20)=0,"",MIN(AK20:BH20))))</f>
        <v/>
      </c>
      <c r="I20" s="20" t="n"/>
      <c r="J20" s="10">
        <f>IF(OR(H20="",I20=""),"",MAX(0,I20-H20-1))</f>
        <v/>
      </c>
      <c r="K20" s="11">
        <f>IF(J20="","",ROUND(N(IFERROR(INDEX('Mein Haus'!$G$45:$G$104,A20),0))*12/365*J20,2))</f>
        <v/>
      </c>
      <c r="L20" s="21">
        <f>IF(E20="","",E20+7)</f>
        <v/>
      </c>
      <c r="M20" s="16" t="n"/>
      <c r="N20" s="21">
        <f>IF(E20="","",E20)</f>
        <v/>
      </c>
      <c r="O20" s="16" t="n"/>
      <c r="P20" s="21">
        <f>IF(H20="","",WORKDAY(H20,-10,Einstellungen!$D$5:$D$34))</f>
        <v/>
      </c>
      <c r="Q20" s="16" t="n"/>
      <c r="R20" s="21">
        <f>IF(H20="","",H20-30)</f>
        <v/>
      </c>
      <c r="S20" s="16" t="n"/>
      <c r="T20" s="21">
        <f>IF(H20="","",WORKDAY(H20-1,1,Einstellungen!$D$5:$D$34))</f>
        <v/>
      </c>
      <c r="U20" s="16" t="n"/>
      <c r="V20" s="21">
        <f>IF(T20="","",WORKDAY(T20,2,Einstellungen!$D$5:$D$34))</f>
        <v/>
      </c>
      <c r="W20" s="16" t="n"/>
      <c r="X20" s="21">
        <f>IF(I20="","",I20)</f>
        <v/>
      </c>
      <c r="Y20" s="16" t="n"/>
      <c r="Z20" s="21">
        <f>IF(T20="","",T20+30)</f>
        <v/>
      </c>
      <c r="AA20" s="16" t="n"/>
      <c r="AB20" s="21">
        <f>IF(OR(H20="",Nebenkosten!$B$7=""),"",EDATE(Nebenkosten!$B$7,12*MAX(1,ROUNDUP(((YEAR(H20)-YEAR(Nebenkosten!$B$7))*12+MONTH(H20)-MONTH(Nebenkosten!$B$7)+1)/12,0))))</f>
        <v/>
      </c>
      <c r="AC20" s="16" t="n"/>
      <c r="AD20" s="21">
        <f>IF(H20="","",EDATE(H20,12))</f>
        <v/>
      </c>
      <c r="AE20" s="16" t="n"/>
      <c r="AF20" s="21">
        <f>IF(COUNT(BI20:BR20)=0,"",MIN(BI20:BR20))</f>
        <v/>
      </c>
      <c r="AG20" s="10">
        <f>IF(AF20="","",AF20-TODAY())</f>
        <v/>
      </c>
      <c r="AH20" s="23">
        <f>IF(AF20="","",INDEX($BI$7:$BR$7,MATCH(AF20,BI20:BR20,0)))</f>
        <v/>
      </c>
      <c r="AI20" s="23">
        <f>IF(A20="","",IF(B20="","ID ohne Mieter in «Mein Haus»",IF(AND(IFERROR(INDEX('Mein Haus'!$E$45:$E$104,A20),"")&lt;&gt;"",H20&lt;&gt;"",IFERROR(INDEX('Mein Haus'!$E$45:$E$104,A20),"")&lt;&gt;H20),"Mietende in «Mein Haus» weicht ab",IF(D20="Vermieter","Amtliches Formular? Familienwohnung: beide Ehegatten.",IF(D20="Ausserterminlich","Nachmieter zumutbar? Vereinbartes Ende eintragen.","")))))</f>
        <v/>
      </c>
      <c r="AK20">
        <f>IF(E20="","",IF(OR(COUNTIF(Einstellungen!$B$5:$B$16,"x")=0,INDEX(Einstellungen!$B$5:$B$16,MONTH(EOMONTH(E20,IF(F20="",3,F20)+0)))="x"),EOMONTH(E20,IF(F20="",3,F20)+0),""))</f>
        <v/>
      </c>
      <c r="AL20">
        <f>IF(E20="","",IF(OR(COUNTIF(Einstellungen!$B$5:$B$16,"x")=0,INDEX(Einstellungen!$B$5:$B$16,MONTH(EOMONTH(E20,IF(F20="",3,F20)+1)))="x"),EOMONTH(E20,IF(F20="",3,F20)+1),""))</f>
        <v/>
      </c>
      <c r="AM20">
        <f>IF(E20="","",IF(OR(COUNTIF(Einstellungen!$B$5:$B$16,"x")=0,INDEX(Einstellungen!$B$5:$B$16,MONTH(EOMONTH(E20,IF(F20="",3,F20)+2)))="x"),EOMONTH(E20,IF(F20="",3,F20)+2),""))</f>
        <v/>
      </c>
      <c r="AN20">
        <f>IF(E20="","",IF(OR(COUNTIF(Einstellungen!$B$5:$B$16,"x")=0,INDEX(Einstellungen!$B$5:$B$16,MONTH(EOMONTH(E20,IF(F20="",3,F20)+3)))="x"),EOMONTH(E20,IF(F20="",3,F20)+3),""))</f>
        <v/>
      </c>
      <c r="AO20">
        <f>IF(E20="","",IF(OR(COUNTIF(Einstellungen!$B$5:$B$16,"x")=0,INDEX(Einstellungen!$B$5:$B$16,MONTH(EOMONTH(E20,IF(F20="",3,F20)+4)))="x"),EOMONTH(E20,IF(F20="",3,F20)+4),""))</f>
        <v/>
      </c>
      <c r="AP20">
        <f>IF(E20="","",IF(OR(COUNTIF(Einstellungen!$B$5:$B$16,"x")=0,INDEX(Einstellungen!$B$5:$B$16,MONTH(EOMONTH(E20,IF(F20="",3,F20)+5)))="x"),EOMONTH(E20,IF(F20="",3,F20)+5),""))</f>
        <v/>
      </c>
      <c r="AQ20">
        <f>IF(E20="","",IF(OR(COUNTIF(Einstellungen!$B$5:$B$16,"x")=0,INDEX(Einstellungen!$B$5:$B$16,MONTH(EOMONTH(E20,IF(F20="",3,F20)+6)))="x"),EOMONTH(E20,IF(F20="",3,F20)+6),""))</f>
        <v/>
      </c>
      <c r="AR20">
        <f>IF(E20="","",IF(OR(COUNTIF(Einstellungen!$B$5:$B$16,"x")=0,INDEX(Einstellungen!$B$5:$B$16,MONTH(EOMONTH(E20,IF(F20="",3,F20)+7)))="x"),EOMONTH(E20,IF(F20="",3,F20)+7),""))</f>
        <v/>
      </c>
      <c r="AS20">
        <f>IF(E20="","",IF(OR(COUNTIF(Einstellungen!$B$5:$B$16,"x")=0,INDEX(Einstellungen!$B$5:$B$16,MONTH(EOMONTH(E20,IF(F20="",3,F20)+8)))="x"),EOMONTH(E20,IF(F20="",3,F20)+8),""))</f>
        <v/>
      </c>
      <c r="AT20">
        <f>IF(E20="","",IF(OR(COUNTIF(Einstellungen!$B$5:$B$16,"x")=0,INDEX(Einstellungen!$B$5:$B$16,MONTH(EOMONTH(E20,IF(F20="",3,F20)+9)))="x"),EOMONTH(E20,IF(F20="",3,F20)+9),""))</f>
        <v/>
      </c>
      <c r="AU20">
        <f>IF(E20="","",IF(OR(COUNTIF(Einstellungen!$B$5:$B$16,"x")=0,INDEX(Einstellungen!$B$5:$B$16,MONTH(EOMONTH(E20,IF(F20="",3,F20)+10)))="x"),EOMONTH(E20,IF(F20="",3,F20)+10),""))</f>
        <v/>
      </c>
      <c r="AV20">
        <f>IF(E20="","",IF(OR(COUNTIF(Einstellungen!$B$5:$B$16,"x")=0,INDEX(Einstellungen!$B$5:$B$16,MONTH(EOMONTH(E20,IF(F20="",3,F20)+11)))="x"),EOMONTH(E20,IF(F20="",3,F20)+11),""))</f>
        <v/>
      </c>
      <c r="AW20">
        <f>IF(E20="","",IF(OR(COUNTIF(Einstellungen!$B$5:$B$16,"x")=0,INDEX(Einstellungen!$B$5:$B$16,MONTH(EOMONTH(E20,IF(F20="",3,F20)+12)))="x"),EOMONTH(E20,IF(F20="",3,F20)+12),""))</f>
        <v/>
      </c>
      <c r="AX20">
        <f>IF(E20="","",IF(OR(COUNTIF(Einstellungen!$B$5:$B$16,"x")=0,INDEX(Einstellungen!$B$5:$B$16,MONTH(EOMONTH(E20,IF(F20="",3,F20)+13)))="x"),EOMONTH(E20,IF(F20="",3,F20)+13),""))</f>
        <v/>
      </c>
      <c r="AY20">
        <f>IF(E20="","",IF(OR(COUNTIF(Einstellungen!$B$5:$B$16,"x")=0,INDEX(Einstellungen!$B$5:$B$16,MONTH(EOMONTH(E20,IF(F20="",3,F20)+14)))="x"),EOMONTH(E20,IF(F20="",3,F20)+14),""))</f>
        <v/>
      </c>
      <c r="AZ20">
        <f>IF(E20="","",IF(OR(COUNTIF(Einstellungen!$B$5:$B$16,"x")=0,INDEX(Einstellungen!$B$5:$B$16,MONTH(EOMONTH(E20,IF(F20="",3,F20)+15)))="x"),EOMONTH(E20,IF(F20="",3,F20)+15),""))</f>
        <v/>
      </c>
      <c r="BA20">
        <f>IF(E20="","",IF(OR(COUNTIF(Einstellungen!$B$5:$B$16,"x")=0,INDEX(Einstellungen!$B$5:$B$16,MONTH(EOMONTH(E20,IF(F20="",3,F20)+16)))="x"),EOMONTH(E20,IF(F20="",3,F20)+16),""))</f>
        <v/>
      </c>
      <c r="BB20">
        <f>IF(E20="","",IF(OR(COUNTIF(Einstellungen!$B$5:$B$16,"x")=0,INDEX(Einstellungen!$B$5:$B$16,MONTH(EOMONTH(E20,IF(F20="",3,F20)+17)))="x"),EOMONTH(E20,IF(F20="",3,F20)+17),""))</f>
        <v/>
      </c>
      <c r="BC20">
        <f>IF(E20="","",IF(OR(COUNTIF(Einstellungen!$B$5:$B$16,"x")=0,INDEX(Einstellungen!$B$5:$B$16,MONTH(EOMONTH(E20,IF(F20="",3,F20)+18)))="x"),EOMONTH(E20,IF(F20="",3,F20)+18),""))</f>
        <v/>
      </c>
      <c r="BD20">
        <f>IF(E20="","",IF(OR(COUNTIF(Einstellungen!$B$5:$B$16,"x")=0,INDEX(Einstellungen!$B$5:$B$16,MONTH(EOMONTH(E20,IF(F20="",3,F20)+19)))="x"),EOMONTH(E20,IF(F20="",3,F20)+19),""))</f>
        <v/>
      </c>
      <c r="BE20">
        <f>IF(E20="","",IF(OR(COUNTIF(Einstellungen!$B$5:$B$16,"x")=0,INDEX(Einstellungen!$B$5:$B$16,MONTH(EOMONTH(E20,IF(F20="",3,F20)+20)))="x"),EOMONTH(E20,IF(F20="",3,F20)+20),""))</f>
        <v/>
      </c>
      <c r="BF20">
        <f>IF(E20="","",IF(OR(COUNTIF(Einstellungen!$B$5:$B$16,"x")=0,INDEX(Einstellungen!$B$5:$B$16,MONTH(EOMONTH(E20,IF(F20="",3,F20)+21)))="x"),EOMONTH(E20,IF(F20="",3,F20)+21),""))</f>
        <v/>
      </c>
      <c r="BG20">
        <f>IF(E20="","",IF(OR(COUNTIF(Einstellungen!$B$5:$B$16,"x")=0,INDEX(Einstellungen!$B$5:$B$16,MONTH(EOMONTH(E20,IF(F20="",3,F20)+22)))="x"),EOMONTH(E20,IF(F20="",3,F20)+22),""))</f>
        <v/>
      </c>
      <c r="BH20">
        <f>IF(E20="","",IF(OR(COUNTIF(Einstellungen!$B$5:$B$16,"x")=0,INDEX(Einstellungen!$B$5:$B$16,MONTH(EOMONTH(E20,IF(F20="",3,F20)+23)))="x"),EOMONTH(E20,IF(F20="",3,F20)+23),""))</f>
        <v/>
      </c>
      <c r="BI20">
        <f>IF(AND(L20&lt;&gt;"",M20=""),L20,"")</f>
        <v/>
      </c>
      <c r="BJ20">
        <f>IF(AND(N20&lt;&gt;"",O20=""),N20,"")</f>
        <v/>
      </c>
      <c r="BK20">
        <f>IF(AND(P20&lt;&gt;"",Q20=""),P20,"")</f>
        <v/>
      </c>
      <c r="BL20">
        <f>IF(AND(R20&lt;&gt;"",S20=""),R20,"")</f>
        <v/>
      </c>
      <c r="BM20">
        <f>IF(AND(T20&lt;&gt;"",U20=""),T20,"")</f>
        <v/>
      </c>
      <c r="BN20">
        <f>IF(AND(V20&lt;&gt;"",W20=""),V20,"")</f>
        <v/>
      </c>
      <c r="BO20">
        <f>IF(AND(X20&lt;&gt;"",Y20=""),X20,"")</f>
        <v/>
      </c>
      <c r="BP20">
        <f>IF(AND(Z20&lt;&gt;"",AA20=""),Z20,"")</f>
        <v/>
      </c>
      <c r="BQ20">
        <f>IF(AND(AB20&lt;&gt;"",AC20=""),AB20,"")</f>
        <v/>
      </c>
      <c r="BR20">
        <f>IF(AND(AD20&lt;&gt;"",AE20=""),AD20,"")</f>
        <v/>
      </c>
      <c r="BS20">
        <f>IF(AF20="","",AF20+ROW()/100000)</f>
        <v/>
      </c>
    </row>
    <row r="21">
      <c r="A21" s="26" t="n"/>
      <c r="B21" s="23">
        <f>IF(A21="","",IFERROR(INDEX('Mein Haus'!$C$45:$C$104,A21)&amp;"",""))</f>
        <v/>
      </c>
      <c r="C21" s="23">
        <f>IF(A21="","",IFERROR(INDEX('Mein Haus'!$B$45:$B$104,A21)&amp;"",""))</f>
        <v/>
      </c>
      <c r="D21" s="16" t="n"/>
      <c r="E21" s="20" t="n"/>
      <c r="F21" s="26" t="n"/>
      <c r="G21" s="20" t="n"/>
      <c r="H21" s="21">
        <f>IF(G21&lt;&gt;"",G21,IF(E21="","",IF(COUNT(AK21:BH21)=0,"",MIN(AK21:BH21))))</f>
        <v/>
      </c>
      <c r="I21" s="20" t="n"/>
      <c r="J21" s="10">
        <f>IF(OR(H21="",I21=""),"",MAX(0,I21-H21-1))</f>
        <v/>
      </c>
      <c r="K21" s="11">
        <f>IF(J21="","",ROUND(N(IFERROR(INDEX('Mein Haus'!$G$45:$G$104,A21),0))*12/365*J21,2))</f>
        <v/>
      </c>
      <c r="L21" s="21">
        <f>IF(E21="","",E21+7)</f>
        <v/>
      </c>
      <c r="M21" s="16" t="n"/>
      <c r="N21" s="21">
        <f>IF(E21="","",E21)</f>
        <v/>
      </c>
      <c r="O21" s="16" t="n"/>
      <c r="P21" s="21">
        <f>IF(H21="","",WORKDAY(H21,-10,Einstellungen!$D$5:$D$34))</f>
        <v/>
      </c>
      <c r="Q21" s="16" t="n"/>
      <c r="R21" s="21">
        <f>IF(H21="","",H21-30)</f>
        <v/>
      </c>
      <c r="S21" s="16" t="n"/>
      <c r="T21" s="21">
        <f>IF(H21="","",WORKDAY(H21-1,1,Einstellungen!$D$5:$D$34))</f>
        <v/>
      </c>
      <c r="U21" s="16" t="n"/>
      <c r="V21" s="21">
        <f>IF(T21="","",WORKDAY(T21,2,Einstellungen!$D$5:$D$34))</f>
        <v/>
      </c>
      <c r="W21" s="16" t="n"/>
      <c r="X21" s="21">
        <f>IF(I21="","",I21)</f>
        <v/>
      </c>
      <c r="Y21" s="16" t="n"/>
      <c r="Z21" s="21">
        <f>IF(T21="","",T21+30)</f>
        <v/>
      </c>
      <c r="AA21" s="16" t="n"/>
      <c r="AB21" s="21">
        <f>IF(OR(H21="",Nebenkosten!$B$7=""),"",EDATE(Nebenkosten!$B$7,12*MAX(1,ROUNDUP(((YEAR(H21)-YEAR(Nebenkosten!$B$7))*12+MONTH(H21)-MONTH(Nebenkosten!$B$7)+1)/12,0))))</f>
        <v/>
      </c>
      <c r="AC21" s="16" t="n"/>
      <c r="AD21" s="21">
        <f>IF(H21="","",EDATE(H21,12))</f>
        <v/>
      </c>
      <c r="AE21" s="16" t="n"/>
      <c r="AF21" s="21">
        <f>IF(COUNT(BI21:BR21)=0,"",MIN(BI21:BR21))</f>
        <v/>
      </c>
      <c r="AG21" s="10">
        <f>IF(AF21="","",AF21-TODAY())</f>
        <v/>
      </c>
      <c r="AH21" s="23">
        <f>IF(AF21="","",INDEX($BI$7:$BR$7,MATCH(AF21,BI21:BR21,0)))</f>
        <v/>
      </c>
      <c r="AI21" s="23">
        <f>IF(A21="","",IF(B21="","ID ohne Mieter in «Mein Haus»",IF(AND(IFERROR(INDEX('Mein Haus'!$E$45:$E$104,A21),"")&lt;&gt;"",H21&lt;&gt;"",IFERROR(INDEX('Mein Haus'!$E$45:$E$104,A21),"")&lt;&gt;H21),"Mietende in «Mein Haus» weicht ab",IF(D21="Vermieter","Amtliches Formular? Familienwohnung: beide Ehegatten.",IF(D21="Ausserterminlich","Nachmieter zumutbar? Vereinbartes Ende eintragen.","")))))</f>
        <v/>
      </c>
      <c r="AK21">
        <f>IF(E21="","",IF(OR(COUNTIF(Einstellungen!$B$5:$B$16,"x")=0,INDEX(Einstellungen!$B$5:$B$16,MONTH(EOMONTH(E21,IF(F21="",3,F21)+0)))="x"),EOMONTH(E21,IF(F21="",3,F21)+0),""))</f>
        <v/>
      </c>
      <c r="AL21">
        <f>IF(E21="","",IF(OR(COUNTIF(Einstellungen!$B$5:$B$16,"x")=0,INDEX(Einstellungen!$B$5:$B$16,MONTH(EOMONTH(E21,IF(F21="",3,F21)+1)))="x"),EOMONTH(E21,IF(F21="",3,F21)+1),""))</f>
        <v/>
      </c>
      <c r="AM21">
        <f>IF(E21="","",IF(OR(COUNTIF(Einstellungen!$B$5:$B$16,"x")=0,INDEX(Einstellungen!$B$5:$B$16,MONTH(EOMONTH(E21,IF(F21="",3,F21)+2)))="x"),EOMONTH(E21,IF(F21="",3,F21)+2),""))</f>
        <v/>
      </c>
      <c r="AN21">
        <f>IF(E21="","",IF(OR(COUNTIF(Einstellungen!$B$5:$B$16,"x")=0,INDEX(Einstellungen!$B$5:$B$16,MONTH(EOMONTH(E21,IF(F21="",3,F21)+3)))="x"),EOMONTH(E21,IF(F21="",3,F21)+3),""))</f>
        <v/>
      </c>
      <c r="AO21">
        <f>IF(E21="","",IF(OR(COUNTIF(Einstellungen!$B$5:$B$16,"x")=0,INDEX(Einstellungen!$B$5:$B$16,MONTH(EOMONTH(E21,IF(F21="",3,F21)+4)))="x"),EOMONTH(E21,IF(F21="",3,F21)+4),""))</f>
        <v/>
      </c>
      <c r="AP21">
        <f>IF(E21="","",IF(OR(COUNTIF(Einstellungen!$B$5:$B$16,"x")=0,INDEX(Einstellungen!$B$5:$B$16,MONTH(EOMONTH(E21,IF(F21="",3,F21)+5)))="x"),EOMONTH(E21,IF(F21="",3,F21)+5),""))</f>
        <v/>
      </c>
      <c r="AQ21">
        <f>IF(E21="","",IF(OR(COUNTIF(Einstellungen!$B$5:$B$16,"x")=0,INDEX(Einstellungen!$B$5:$B$16,MONTH(EOMONTH(E21,IF(F21="",3,F21)+6)))="x"),EOMONTH(E21,IF(F21="",3,F21)+6),""))</f>
        <v/>
      </c>
      <c r="AR21">
        <f>IF(E21="","",IF(OR(COUNTIF(Einstellungen!$B$5:$B$16,"x")=0,INDEX(Einstellungen!$B$5:$B$16,MONTH(EOMONTH(E21,IF(F21="",3,F21)+7)))="x"),EOMONTH(E21,IF(F21="",3,F21)+7),""))</f>
        <v/>
      </c>
      <c r="AS21">
        <f>IF(E21="","",IF(OR(COUNTIF(Einstellungen!$B$5:$B$16,"x")=0,INDEX(Einstellungen!$B$5:$B$16,MONTH(EOMONTH(E21,IF(F21="",3,F21)+8)))="x"),EOMONTH(E21,IF(F21="",3,F21)+8),""))</f>
        <v/>
      </c>
      <c r="AT21">
        <f>IF(E21="","",IF(OR(COUNTIF(Einstellungen!$B$5:$B$16,"x")=0,INDEX(Einstellungen!$B$5:$B$16,MONTH(EOMONTH(E21,IF(F21="",3,F21)+9)))="x"),EOMONTH(E21,IF(F21="",3,F21)+9),""))</f>
        <v/>
      </c>
      <c r="AU21">
        <f>IF(E21="","",IF(OR(COUNTIF(Einstellungen!$B$5:$B$16,"x")=0,INDEX(Einstellungen!$B$5:$B$16,MONTH(EOMONTH(E21,IF(F21="",3,F21)+10)))="x"),EOMONTH(E21,IF(F21="",3,F21)+10),""))</f>
        <v/>
      </c>
      <c r="AV21">
        <f>IF(E21="","",IF(OR(COUNTIF(Einstellungen!$B$5:$B$16,"x")=0,INDEX(Einstellungen!$B$5:$B$16,MONTH(EOMONTH(E21,IF(F21="",3,F21)+11)))="x"),EOMONTH(E21,IF(F21="",3,F21)+11),""))</f>
        <v/>
      </c>
      <c r="AW21">
        <f>IF(E21="","",IF(OR(COUNTIF(Einstellungen!$B$5:$B$16,"x")=0,INDEX(Einstellungen!$B$5:$B$16,MONTH(EOMONTH(E21,IF(F21="",3,F21)+12)))="x"),EOMONTH(E21,IF(F21="",3,F21)+12),""))</f>
        <v/>
      </c>
      <c r="AX21">
        <f>IF(E21="","",IF(OR(COUNTIF(Einstellungen!$B$5:$B$16,"x")=0,INDEX(Einstellungen!$B$5:$B$16,MONTH(EOMONTH(E21,IF(F21="",3,F21)+13)))="x"),EOMONTH(E21,IF(F21="",3,F21)+13),""))</f>
        <v/>
      </c>
      <c r="AY21">
        <f>IF(E21="","",IF(OR(COUNTIF(Einstellungen!$B$5:$B$16,"x")=0,INDEX(Einstellungen!$B$5:$B$16,MONTH(EOMONTH(E21,IF(F21="",3,F21)+14)))="x"),EOMONTH(E21,IF(F21="",3,F21)+14),""))</f>
        <v/>
      </c>
      <c r="AZ21">
        <f>IF(E21="","",IF(OR(COUNTIF(Einstellungen!$B$5:$B$16,"x")=0,INDEX(Einstellungen!$B$5:$B$16,MONTH(EOMONTH(E21,IF(F21="",3,F21)+15)))="x"),EOMONTH(E21,IF(F21="",3,F21)+15),""))</f>
        <v/>
      </c>
      <c r="BA21">
        <f>IF(E21="","",IF(OR(COUNTIF(Einstellungen!$B$5:$B$16,"x")=0,INDEX(Einstellungen!$B$5:$B$16,MONTH(EOMONTH(E21,IF(F21="",3,F21)+16)))="x"),EOMONTH(E21,IF(F21="",3,F21)+16),""))</f>
        <v/>
      </c>
      <c r="BB21">
        <f>IF(E21="","",IF(OR(COUNTIF(Einstellungen!$B$5:$B$16,"x")=0,INDEX(Einstellungen!$B$5:$B$16,MONTH(EOMONTH(E21,IF(F21="",3,F21)+17)))="x"),EOMONTH(E21,IF(F21="",3,F21)+17),""))</f>
        <v/>
      </c>
      <c r="BC21">
        <f>IF(E21="","",IF(OR(COUNTIF(Einstellungen!$B$5:$B$16,"x")=0,INDEX(Einstellungen!$B$5:$B$16,MONTH(EOMONTH(E21,IF(F21="",3,F21)+18)))="x"),EOMONTH(E21,IF(F21="",3,F21)+18),""))</f>
        <v/>
      </c>
      <c r="BD21">
        <f>IF(E21="","",IF(OR(COUNTIF(Einstellungen!$B$5:$B$16,"x")=0,INDEX(Einstellungen!$B$5:$B$16,MONTH(EOMONTH(E21,IF(F21="",3,F21)+19)))="x"),EOMONTH(E21,IF(F21="",3,F21)+19),""))</f>
        <v/>
      </c>
      <c r="BE21">
        <f>IF(E21="","",IF(OR(COUNTIF(Einstellungen!$B$5:$B$16,"x")=0,INDEX(Einstellungen!$B$5:$B$16,MONTH(EOMONTH(E21,IF(F21="",3,F21)+20)))="x"),EOMONTH(E21,IF(F21="",3,F21)+20),""))</f>
        <v/>
      </c>
      <c r="BF21">
        <f>IF(E21="","",IF(OR(COUNTIF(Einstellungen!$B$5:$B$16,"x")=0,INDEX(Einstellungen!$B$5:$B$16,MONTH(EOMONTH(E21,IF(F21="",3,F21)+21)))="x"),EOMONTH(E21,IF(F21="",3,F21)+21),""))</f>
        <v/>
      </c>
      <c r="BG21">
        <f>IF(E21="","",IF(OR(COUNTIF(Einstellungen!$B$5:$B$16,"x")=0,INDEX(Einstellungen!$B$5:$B$16,MONTH(EOMONTH(E21,IF(F21="",3,F21)+22)))="x"),EOMONTH(E21,IF(F21="",3,F21)+22),""))</f>
        <v/>
      </c>
      <c r="BH21">
        <f>IF(E21="","",IF(OR(COUNTIF(Einstellungen!$B$5:$B$16,"x")=0,INDEX(Einstellungen!$B$5:$B$16,MONTH(EOMONTH(E21,IF(F21="",3,F21)+23)))="x"),EOMONTH(E21,IF(F21="",3,F21)+23),""))</f>
        <v/>
      </c>
      <c r="BI21">
        <f>IF(AND(L21&lt;&gt;"",M21=""),L21,"")</f>
        <v/>
      </c>
      <c r="BJ21">
        <f>IF(AND(N21&lt;&gt;"",O21=""),N21,"")</f>
        <v/>
      </c>
      <c r="BK21">
        <f>IF(AND(P21&lt;&gt;"",Q21=""),P21,"")</f>
        <v/>
      </c>
      <c r="BL21">
        <f>IF(AND(R21&lt;&gt;"",S21=""),R21,"")</f>
        <v/>
      </c>
      <c r="BM21">
        <f>IF(AND(T21&lt;&gt;"",U21=""),T21,"")</f>
        <v/>
      </c>
      <c r="BN21">
        <f>IF(AND(V21&lt;&gt;"",W21=""),V21,"")</f>
        <v/>
      </c>
      <c r="BO21">
        <f>IF(AND(X21&lt;&gt;"",Y21=""),X21,"")</f>
        <v/>
      </c>
      <c r="BP21">
        <f>IF(AND(Z21&lt;&gt;"",AA21=""),Z21,"")</f>
        <v/>
      </c>
      <c r="BQ21">
        <f>IF(AND(AB21&lt;&gt;"",AC21=""),AB21,"")</f>
        <v/>
      </c>
      <c r="BR21">
        <f>IF(AND(AD21&lt;&gt;"",AE21=""),AD21,"")</f>
        <v/>
      </c>
      <c r="BS21">
        <f>IF(AF21="","",AF21+ROW()/100000)</f>
        <v/>
      </c>
    </row>
    <row r="22">
      <c r="A22" s="26" t="n"/>
      <c r="B22" s="23">
        <f>IF(A22="","",IFERROR(INDEX('Mein Haus'!$C$45:$C$104,A22)&amp;"",""))</f>
        <v/>
      </c>
      <c r="C22" s="23">
        <f>IF(A22="","",IFERROR(INDEX('Mein Haus'!$B$45:$B$104,A22)&amp;"",""))</f>
        <v/>
      </c>
      <c r="D22" s="16" t="n"/>
      <c r="E22" s="20" t="n"/>
      <c r="F22" s="26" t="n"/>
      <c r="G22" s="20" t="n"/>
      <c r="H22" s="21">
        <f>IF(G22&lt;&gt;"",G22,IF(E22="","",IF(COUNT(AK22:BH22)=0,"",MIN(AK22:BH22))))</f>
        <v/>
      </c>
      <c r="I22" s="20" t="n"/>
      <c r="J22" s="10">
        <f>IF(OR(H22="",I22=""),"",MAX(0,I22-H22-1))</f>
        <v/>
      </c>
      <c r="K22" s="11">
        <f>IF(J22="","",ROUND(N(IFERROR(INDEX('Mein Haus'!$G$45:$G$104,A22),0))*12/365*J22,2))</f>
        <v/>
      </c>
      <c r="L22" s="21">
        <f>IF(E22="","",E22+7)</f>
        <v/>
      </c>
      <c r="M22" s="16" t="n"/>
      <c r="N22" s="21">
        <f>IF(E22="","",E22)</f>
        <v/>
      </c>
      <c r="O22" s="16" t="n"/>
      <c r="P22" s="21">
        <f>IF(H22="","",WORKDAY(H22,-10,Einstellungen!$D$5:$D$34))</f>
        <v/>
      </c>
      <c r="Q22" s="16" t="n"/>
      <c r="R22" s="21">
        <f>IF(H22="","",H22-30)</f>
        <v/>
      </c>
      <c r="S22" s="16" t="n"/>
      <c r="T22" s="21">
        <f>IF(H22="","",WORKDAY(H22-1,1,Einstellungen!$D$5:$D$34))</f>
        <v/>
      </c>
      <c r="U22" s="16" t="n"/>
      <c r="V22" s="21">
        <f>IF(T22="","",WORKDAY(T22,2,Einstellungen!$D$5:$D$34))</f>
        <v/>
      </c>
      <c r="W22" s="16" t="n"/>
      <c r="X22" s="21">
        <f>IF(I22="","",I22)</f>
        <v/>
      </c>
      <c r="Y22" s="16" t="n"/>
      <c r="Z22" s="21">
        <f>IF(T22="","",T22+30)</f>
        <v/>
      </c>
      <c r="AA22" s="16" t="n"/>
      <c r="AB22" s="21">
        <f>IF(OR(H22="",Nebenkosten!$B$7=""),"",EDATE(Nebenkosten!$B$7,12*MAX(1,ROUNDUP(((YEAR(H22)-YEAR(Nebenkosten!$B$7))*12+MONTH(H22)-MONTH(Nebenkosten!$B$7)+1)/12,0))))</f>
        <v/>
      </c>
      <c r="AC22" s="16" t="n"/>
      <c r="AD22" s="21">
        <f>IF(H22="","",EDATE(H22,12))</f>
        <v/>
      </c>
      <c r="AE22" s="16" t="n"/>
      <c r="AF22" s="21">
        <f>IF(COUNT(BI22:BR22)=0,"",MIN(BI22:BR22))</f>
        <v/>
      </c>
      <c r="AG22" s="10">
        <f>IF(AF22="","",AF22-TODAY())</f>
        <v/>
      </c>
      <c r="AH22" s="23">
        <f>IF(AF22="","",INDEX($BI$7:$BR$7,MATCH(AF22,BI22:BR22,0)))</f>
        <v/>
      </c>
      <c r="AI22" s="23">
        <f>IF(A22="","",IF(B22="","ID ohne Mieter in «Mein Haus»",IF(AND(IFERROR(INDEX('Mein Haus'!$E$45:$E$104,A22),"")&lt;&gt;"",H22&lt;&gt;"",IFERROR(INDEX('Mein Haus'!$E$45:$E$104,A22),"")&lt;&gt;H22),"Mietende in «Mein Haus» weicht ab",IF(D22="Vermieter","Amtliches Formular? Familienwohnung: beide Ehegatten.",IF(D22="Ausserterminlich","Nachmieter zumutbar? Vereinbartes Ende eintragen.","")))))</f>
        <v/>
      </c>
      <c r="AK22">
        <f>IF(E22="","",IF(OR(COUNTIF(Einstellungen!$B$5:$B$16,"x")=0,INDEX(Einstellungen!$B$5:$B$16,MONTH(EOMONTH(E22,IF(F22="",3,F22)+0)))="x"),EOMONTH(E22,IF(F22="",3,F22)+0),""))</f>
        <v/>
      </c>
      <c r="AL22">
        <f>IF(E22="","",IF(OR(COUNTIF(Einstellungen!$B$5:$B$16,"x")=0,INDEX(Einstellungen!$B$5:$B$16,MONTH(EOMONTH(E22,IF(F22="",3,F22)+1)))="x"),EOMONTH(E22,IF(F22="",3,F22)+1),""))</f>
        <v/>
      </c>
      <c r="AM22">
        <f>IF(E22="","",IF(OR(COUNTIF(Einstellungen!$B$5:$B$16,"x")=0,INDEX(Einstellungen!$B$5:$B$16,MONTH(EOMONTH(E22,IF(F22="",3,F22)+2)))="x"),EOMONTH(E22,IF(F22="",3,F22)+2),""))</f>
        <v/>
      </c>
      <c r="AN22">
        <f>IF(E22="","",IF(OR(COUNTIF(Einstellungen!$B$5:$B$16,"x")=0,INDEX(Einstellungen!$B$5:$B$16,MONTH(EOMONTH(E22,IF(F22="",3,F22)+3)))="x"),EOMONTH(E22,IF(F22="",3,F22)+3),""))</f>
        <v/>
      </c>
      <c r="AO22">
        <f>IF(E22="","",IF(OR(COUNTIF(Einstellungen!$B$5:$B$16,"x")=0,INDEX(Einstellungen!$B$5:$B$16,MONTH(EOMONTH(E22,IF(F22="",3,F22)+4)))="x"),EOMONTH(E22,IF(F22="",3,F22)+4),""))</f>
        <v/>
      </c>
      <c r="AP22">
        <f>IF(E22="","",IF(OR(COUNTIF(Einstellungen!$B$5:$B$16,"x")=0,INDEX(Einstellungen!$B$5:$B$16,MONTH(EOMONTH(E22,IF(F22="",3,F22)+5)))="x"),EOMONTH(E22,IF(F22="",3,F22)+5),""))</f>
        <v/>
      </c>
      <c r="AQ22">
        <f>IF(E22="","",IF(OR(COUNTIF(Einstellungen!$B$5:$B$16,"x")=0,INDEX(Einstellungen!$B$5:$B$16,MONTH(EOMONTH(E22,IF(F22="",3,F22)+6)))="x"),EOMONTH(E22,IF(F22="",3,F22)+6),""))</f>
        <v/>
      </c>
      <c r="AR22">
        <f>IF(E22="","",IF(OR(COUNTIF(Einstellungen!$B$5:$B$16,"x")=0,INDEX(Einstellungen!$B$5:$B$16,MONTH(EOMONTH(E22,IF(F22="",3,F22)+7)))="x"),EOMONTH(E22,IF(F22="",3,F22)+7),""))</f>
        <v/>
      </c>
      <c r="AS22">
        <f>IF(E22="","",IF(OR(COUNTIF(Einstellungen!$B$5:$B$16,"x")=0,INDEX(Einstellungen!$B$5:$B$16,MONTH(EOMONTH(E22,IF(F22="",3,F22)+8)))="x"),EOMONTH(E22,IF(F22="",3,F22)+8),""))</f>
        <v/>
      </c>
      <c r="AT22">
        <f>IF(E22="","",IF(OR(COUNTIF(Einstellungen!$B$5:$B$16,"x")=0,INDEX(Einstellungen!$B$5:$B$16,MONTH(EOMONTH(E22,IF(F22="",3,F22)+9)))="x"),EOMONTH(E22,IF(F22="",3,F22)+9),""))</f>
        <v/>
      </c>
      <c r="AU22">
        <f>IF(E22="","",IF(OR(COUNTIF(Einstellungen!$B$5:$B$16,"x")=0,INDEX(Einstellungen!$B$5:$B$16,MONTH(EOMONTH(E22,IF(F22="",3,F22)+10)))="x"),EOMONTH(E22,IF(F22="",3,F22)+10),""))</f>
        <v/>
      </c>
      <c r="AV22">
        <f>IF(E22="","",IF(OR(COUNTIF(Einstellungen!$B$5:$B$16,"x")=0,INDEX(Einstellungen!$B$5:$B$16,MONTH(EOMONTH(E22,IF(F22="",3,F22)+11)))="x"),EOMONTH(E22,IF(F22="",3,F22)+11),""))</f>
        <v/>
      </c>
      <c r="AW22">
        <f>IF(E22="","",IF(OR(COUNTIF(Einstellungen!$B$5:$B$16,"x")=0,INDEX(Einstellungen!$B$5:$B$16,MONTH(EOMONTH(E22,IF(F22="",3,F22)+12)))="x"),EOMONTH(E22,IF(F22="",3,F22)+12),""))</f>
        <v/>
      </c>
      <c r="AX22">
        <f>IF(E22="","",IF(OR(COUNTIF(Einstellungen!$B$5:$B$16,"x")=0,INDEX(Einstellungen!$B$5:$B$16,MONTH(EOMONTH(E22,IF(F22="",3,F22)+13)))="x"),EOMONTH(E22,IF(F22="",3,F22)+13),""))</f>
        <v/>
      </c>
      <c r="AY22">
        <f>IF(E22="","",IF(OR(COUNTIF(Einstellungen!$B$5:$B$16,"x")=0,INDEX(Einstellungen!$B$5:$B$16,MONTH(EOMONTH(E22,IF(F22="",3,F22)+14)))="x"),EOMONTH(E22,IF(F22="",3,F22)+14),""))</f>
        <v/>
      </c>
      <c r="AZ22">
        <f>IF(E22="","",IF(OR(COUNTIF(Einstellungen!$B$5:$B$16,"x")=0,INDEX(Einstellungen!$B$5:$B$16,MONTH(EOMONTH(E22,IF(F22="",3,F22)+15)))="x"),EOMONTH(E22,IF(F22="",3,F22)+15),""))</f>
        <v/>
      </c>
      <c r="BA22">
        <f>IF(E22="","",IF(OR(COUNTIF(Einstellungen!$B$5:$B$16,"x")=0,INDEX(Einstellungen!$B$5:$B$16,MONTH(EOMONTH(E22,IF(F22="",3,F22)+16)))="x"),EOMONTH(E22,IF(F22="",3,F22)+16),""))</f>
        <v/>
      </c>
      <c r="BB22">
        <f>IF(E22="","",IF(OR(COUNTIF(Einstellungen!$B$5:$B$16,"x")=0,INDEX(Einstellungen!$B$5:$B$16,MONTH(EOMONTH(E22,IF(F22="",3,F22)+17)))="x"),EOMONTH(E22,IF(F22="",3,F22)+17),""))</f>
        <v/>
      </c>
      <c r="BC22">
        <f>IF(E22="","",IF(OR(COUNTIF(Einstellungen!$B$5:$B$16,"x")=0,INDEX(Einstellungen!$B$5:$B$16,MONTH(EOMONTH(E22,IF(F22="",3,F22)+18)))="x"),EOMONTH(E22,IF(F22="",3,F22)+18),""))</f>
        <v/>
      </c>
      <c r="BD22">
        <f>IF(E22="","",IF(OR(COUNTIF(Einstellungen!$B$5:$B$16,"x")=0,INDEX(Einstellungen!$B$5:$B$16,MONTH(EOMONTH(E22,IF(F22="",3,F22)+19)))="x"),EOMONTH(E22,IF(F22="",3,F22)+19),""))</f>
        <v/>
      </c>
      <c r="BE22">
        <f>IF(E22="","",IF(OR(COUNTIF(Einstellungen!$B$5:$B$16,"x")=0,INDEX(Einstellungen!$B$5:$B$16,MONTH(EOMONTH(E22,IF(F22="",3,F22)+20)))="x"),EOMONTH(E22,IF(F22="",3,F22)+20),""))</f>
        <v/>
      </c>
      <c r="BF22">
        <f>IF(E22="","",IF(OR(COUNTIF(Einstellungen!$B$5:$B$16,"x")=0,INDEX(Einstellungen!$B$5:$B$16,MONTH(EOMONTH(E22,IF(F22="",3,F22)+21)))="x"),EOMONTH(E22,IF(F22="",3,F22)+21),""))</f>
        <v/>
      </c>
      <c r="BG22">
        <f>IF(E22="","",IF(OR(COUNTIF(Einstellungen!$B$5:$B$16,"x")=0,INDEX(Einstellungen!$B$5:$B$16,MONTH(EOMONTH(E22,IF(F22="",3,F22)+22)))="x"),EOMONTH(E22,IF(F22="",3,F22)+22),""))</f>
        <v/>
      </c>
      <c r="BH22">
        <f>IF(E22="","",IF(OR(COUNTIF(Einstellungen!$B$5:$B$16,"x")=0,INDEX(Einstellungen!$B$5:$B$16,MONTH(EOMONTH(E22,IF(F22="",3,F22)+23)))="x"),EOMONTH(E22,IF(F22="",3,F22)+23),""))</f>
        <v/>
      </c>
      <c r="BI22">
        <f>IF(AND(L22&lt;&gt;"",M22=""),L22,"")</f>
        <v/>
      </c>
      <c r="BJ22">
        <f>IF(AND(N22&lt;&gt;"",O22=""),N22,"")</f>
        <v/>
      </c>
      <c r="BK22">
        <f>IF(AND(P22&lt;&gt;"",Q22=""),P22,"")</f>
        <v/>
      </c>
      <c r="BL22">
        <f>IF(AND(R22&lt;&gt;"",S22=""),R22,"")</f>
        <v/>
      </c>
      <c r="BM22">
        <f>IF(AND(T22&lt;&gt;"",U22=""),T22,"")</f>
        <v/>
      </c>
      <c r="BN22">
        <f>IF(AND(V22&lt;&gt;"",W22=""),V22,"")</f>
        <v/>
      </c>
      <c r="BO22">
        <f>IF(AND(X22&lt;&gt;"",Y22=""),X22,"")</f>
        <v/>
      </c>
      <c r="BP22">
        <f>IF(AND(Z22&lt;&gt;"",AA22=""),Z22,"")</f>
        <v/>
      </c>
      <c r="BQ22">
        <f>IF(AND(AB22&lt;&gt;"",AC22=""),AB22,"")</f>
        <v/>
      </c>
      <c r="BR22">
        <f>IF(AND(AD22&lt;&gt;"",AE22=""),AD22,"")</f>
        <v/>
      </c>
      <c r="BS22">
        <f>IF(AF22="","",AF22+ROW()/100000)</f>
        <v/>
      </c>
    </row>
    <row r="23">
      <c r="A23" s="26" t="n"/>
      <c r="B23" s="23">
        <f>IF(A23="","",IFERROR(INDEX('Mein Haus'!$C$45:$C$104,A23)&amp;"",""))</f>
        <v/>
      </c>
      <c r="C23" s="23">
        <f>IF(A23="","",IFERROR(INDEX('Mein Haus'!$B$45:$B$104,A23)&amp;"",""))</f>
        <v/>
      </c>
      <c r="D23" s="16" t="n"/>
      <c r="E23" s="20" t="n"/>
      <c r="F23" s="26" t="n"/>
      <c r="G23" s="20" t="n"/>
      <c r="H23" s="21">
        <f>IF(G23&lt;&gt;"",G23,IF(E23="","",IF(COUNT(AK23:BH23)=0,"",MIN(AK23:BH23))))</f>
        <v/>
      </c>
      <c r="I23" s="20" t="n"/>
      <c r="J23" s="10">
        <f>IF(OR(H23="",I23=""),"",MAX(0,I23-H23-1))</f>
        <v/>
      </c>
      <c r="K23" s="11">
        <f>IF(J23="","",ROUND(N(IFERROR(INDEX('Mein Haus'!$G$45:$G$104,A23),0))*12/365*J23,2))</f>
        <v/>
      </c>
      <c r="L23" s="21">
        <f>IF(E23="","",E23+7)</f>
        <v/>
      </c>
      <c r="M23" s="16" t="n"/>
      <c r="N23" s="21">
        <f>IF(E23="","",E23)</f>
        <v/>
      </c>
      <c r="O23" s="16" t="n"/>
      <c r="P23" s="21">
        <f>IF(H23="","",WORKDAY(H23,-10,Einstellungen!$D$5:$D$34))</f>
        <v/>
      </c>
      <c r="Q23" s="16" t="n"/>
      <c r="R23" s="21">
        <f>IF(H23="","",H23-30)</f>
        <v/>
      </c>
      <c r="S23" s="16" t="n"/>
      <c r="T23" s="21">
        <f>IF(H23="","",WORKDAY(H23-1,1,Einstellungen!$D$5:$D$34))</f>
        <v/>
      </c>
      <c r="U23" s="16" t="n"/>
      <c r="V23" s="21">
        <f>IF(T23="","",WORKDAY(T23,2,Einstellungen!$D$5:$D$34))</f>
        <v/>
      </c>
      <c r="W23" s="16" t="n"/>
      <c r="X23" s="21">
        <f>IF(I23="","",I23)</f>
        <v/>
      </c>
      <c r="Y23" s="16" t="n"/>
      <c r="Z23" s="21">
        <f>IF(T23="","",T23+30)</f>
        <v/>
      </c>
      <c r="AA23" s="16" t="n"/>
      <c r="AB23" s="21">
        <f>IF(OR(H23="",Nebenkosten!$B$7=""),"",EDATE(Nebenkosten!$B$7,12*MAX(1,ROUNDUP(((YEAR(H23)-YEAR(Nebenkosten!$B$7))*12+MONTH(H23)-MONTH(Nebenkosten!$B$7)+1)/12,0))))</f>
        <v/>
      </c>
      <c r="AC23" s="16" t="n"/>
      <c r="AD23" s="21">
        <f>IF(H23="","",EDATE(H23,12))</f>
        <v/>
      </c>
      <c r="AE23" s="16" t="n"/>
      <c r="AF23" s="21">
        <f>IF(COUNT(BI23:BR23)=0,"",MIN(BI23:BR23))</f>
        <v/>
      </c>
      <c r="AG23" s="10">
        <f>IF(AF23="","",AF23-TODAY())</f>
        <v/>
      </c>
      <c r="AH23" s="23">
        <f>IF(AF23="","",INDEX($BI$7:$BR$7,MATCH(AF23,BI23:BR23,0)))</f>
        <v/>
      </c>
      <c r="AI23" s="23">
        <f>IF(A23="","",IF(B23="","ID ohne Mieter in «Mein Haus»",IF(AND(IFERROR(INDEX('Mein Haus'!$E$45:$E$104,A23),"")&lt;&gt;"",H23&lt;&gt;"",IFERROR(INDEX('Mein Haus'!$E$45:$E$104,A23),"")&lt;&gt;H23),"Mietende in «Mein Haus» weicht ab",IF(D23="Vermieter","Amtliches Formular? Familienwohnung: beide Ehegatten.",IF(D23="Ausserterminlich","Nachmieter zumutbar? Vereinbartes Ende eintragen.","")))))</f>
        <v/>
      </c>
      <c r="AK23">
        <f>IF(E23="","",IF(OR(COUNTIF(Einstellungen!$B$5:$B$16,"x")=0,INDEX(Einstellungen!$B$5:$B$16,MONTH(EOMONTH(E23,IF(F23="",3,F23)+0)))="x"),EOMONTH(E23,IF(F23="",3,F23)+0),""))</f>
        <v/>
      </c>
      <c r="AL23">
        <f>IF(E23="","",IF(OR(COUNTIF(Einstellungen!$B$5:$B$16,"x")=0,INDEX(Einstellungen!$B$5:$B$16,MONTH(EOMONTH(E23,IF(F23="",3,F23)+1)))="x"),EOMONTH(E23,IF(F23="",3,F23)+1),""))</f>
        <v/>
      </c>
      <c r="AM23">
        <f>IF(E23="","",IF(OR(COUNTIF(Einstellungen!$B$5:$B$16,"x")=0,INDEX(Einstellungen!$B$5:$B$16,MONTH(EOMONTH(E23,IF(F23="",3,F23)+2)))="x"),EOMONTH(E23,IF(F23="",3,F23)+2),""))</f>
        <v/>
      </c>
      <c r="AN23">
        <f>IF(E23="","",IF(OR(COUNTIF(Einstellungen!$B$5:$B$16,"x")=0,INDEX(Einstellungen!$B$5:$B$16,MONTH(EOMONTH(E23,IF(F23="",3,F23)+3)))="x"),EOMONTH(E23,IF(F23="",3,F23)+3),""))</f>
        <v/>
      </c>
      <c r="AO23">
        <f>IF(E23="","",IF(OR(COUNTIF(Einstellungen!$B$5:$B$16,"x")=0,INDEX(Einstellungen!$B$5:$B$16,MONTH(EOMONTH(E23,IF(F23="",3,F23)+4)))="x"),EOMONTH(E23,IF(F23="",3,F23)+4),""))</f>
        <v/>
      </c>
      <c r="AP23">
        <f>IF(E23="","",IF(OR(COUNTIF(Einstellungen!$B$5:$B$16,"x")=0,INDEX(Einstellungen!$B$5:$B$16,MONTH(EOMONTH(E23,IF(F23="",3,F23)+5)))="x"),EOMONTH(E23,IF(F23="",3,F23)+5),""))</f>
        <v/>
      </c>
      <c r="AQ23">
        <f>IF(E23="","",IF(OR(COUNTIF(Einstellungen!$B$5:$B$16,"x")=0,INDEX(Einstellungen!$B$5:$B$16,MONTH(EOMONTH(E23,IF(F23="",3,F23)+6)))="x"),EOMONTH(E23,IF(F23="",3,F23)+6),""))</f>
        <v/>
      </c>
      <c r="AR23">
        <f>IF(E23="","",IF(OR(COUNTIF(Einstellungen!$B$5:$B$16,"x")=0,INDEX(Einstellungen!$B$5:$B$16,MONTH(EOMONTH(E23,IF(F23="",3,F23)+7)))="x"),EOMONTH(E23,IF(F23="",3,F23)+7),""))</f>
        <v/>
      </c>
      <c r="AS23">
        <f>IF(E23="","",IF(OR(COUNTIF(Einstellungen!$B$5:$B$16,"x")=0,INDEX(Einstellungen!$B$5:$B$16,MONTH(EOMONTH(E23,IF(F23="",3,F23)+8)))="x"),EOMONTH(E23,IF(F23="",3,F23)+8),""))</f>
        <v/>
      </c>
      <c r="AT23">
        <f>IF(E23="","",IF(OR(COUNTIF(Einstellungen!$B$5:$B$16,"x")=0,INDEX(Einstellungen!$B$5:$B$16,MONTH(EOMONTH(E23,IF(F23="",3,F23)+9)))="x"),EOMONTH(E23,IF(F23="",3,F23)+9),""))</f>
        <v/>
      </c>
      <c r="AU23">
        <f>IF(E23="","",IF(OR(COUNTIF(Einstellungen!$B$5:$B$16,"x")=0,INDEX(Einstellungen!$B$5:$B$16,MONTH(EOMONTH(E23,IF(F23="",3,F23)+10)))="x"),EOMONTH(E23,IF(F23="",3,F23)+10),""))</f>
        <v/>
      </c>
      <c r="AV23">
        <f>IF(E23="","",IF(OR(COUNTIF(Einstellungen!$B$5:$B$16,"x")=0,INDEX(Einstellungen!$B$5:$B$16,MONTH(EOMONTH(E23,IF(F23="",3,F23)+11)))="x"),EOMONTH(E23,IF(F23="",3,F23)+11),""))</f>
        <v/>
      </c>
      <c r="AW23">
        <f>IF(E23="","",IF(OR(COUNTIF(Einstellungen!$B$5:$B$16,"x")=0,INDEX(Einstellungen!$B$5:$B$16,MONTH(EOMONTH(E23,IF(F23="",3,F23)+12)))="x"),EOMONTH(E23,IF(F23="",3,F23)+12),""))</f>
        <v/>
      </c>
      <c r="AX23">
        <f>IF(E23="","",IF(OR(COUNTIF(Einstellungen!$B$5:$B$16,"x")=0,INDEX(Einstellungen!$B$5:$B$16,MONTH(EOMONTH(E23,IF(F23="",3,F23)+13)))="x"),EOMONTH(E23,IF(F23="",3,F23)+13),""))</f>
        <v/>
      </c>
      <c r="AY23">
        <f>IF(E23="","",IF(OR(COUNTIF(Einstellungen!$B$5:$B$16,"x")=0,INDEX(Einstellungen!$B$5:$B$16,MONTH(EOMONTH(E23,IF(F23="",3,F23)+14)))="x"),EOMONTH(E23,IF(F23="",3,F23)+14),""))</f>
        <v/>
      </c>
      <c r="AZ23">
        <f>IF(E23="","",IF(OR(COUNTIF(Einstellungen!$B$5:$B$16,"x")=0,INDEX(Einstellungen!$B$5:$B$16,MONTH(EOMONTH(E23,IF(F23="",3,F23)+15)))="x"),EOMONTH(E23,IF(F23="",3,F23)+15),""))</f>
        <v/>
      </c>
      <c r="BA23">
        <f>IF(E23="","",IF(OR(COUNTIF(Einstellungen!$B$5:$B$16,"x")=0,INDEX(Einstellungen!$B$5:$B$16,MONTH(EOMONTH(E23,IF(F23="",3,F23)+16)))="x"),EOMONTH(E23,IF(F23="",3,F23)+16),""))</f>
        <v/>
      </c>
      <c r="BB23">
        <f>IF(E23="","",IF(OR(COUNTIF(Einstellungen!$B$5:$B$16,"x")=0,INDEX(Einstellungen!$B$5:$B$16,MONTH(EOMONTH(E23,IF(F23="",3,F23)+17)))="x"),EOMONTH(E23,IF(F23="",3,F23)+17),""))</f>
        <v/>
      </c>
      <c r="BC23">
        <f>IF(E23="","",IF(OR(COUNTIF(Einstellungen!$B$5:$B$16,"x")=0,INDEX(Einstellungen!$B$5:$B$16,MONTH(EOMONTH(E23,IF(F23="",3,F23)+18)))="x"),EOMONTH(E23,IF(F23="",3,F23)+18),""))</f>
        <v/>
      </c>
      <c r="BD23">
        <f>IF(E23="","",IF(OR(COUNTIF(Einstellungen!$B$5:$B$16,"x")=0,INDEX(Einstellungen!$B$5:$B$16,MONTH(EOMONTH(E23,IF(F23="",3,F23)+19)))="x"),EOMONTH(E23,IF(F23="",3,F23)+19),""))</f>
        <v/>
      </c>
      <c r="BE23">
        <f>IF(E23="","",IF(OR(COUNTIF(Einstellungen!$B$5:$B$16,"x")=0,INDEX(Einstellungen!$B$5:$B$16,MONTH(EOMONTH(E23,IF(F23="",3,F23)+20)))="x"),EOMONTH(E23,IF(F23="",3,F23)+20),""))</f>
        <v/>
      </c>
      <c r="BF23">
        <f>IF(E23="","",IF(OR(COUNTIF(Einstellungen!$B$5:$B$16,"x")=0,INDEX(Einstellungen!$B$5:$B$16,MONTH(EOMONTH(E23,IF(F23="",3,F23)+21)))="x"),EOMONTH(E23,IF(F23="",3,F23)+21),""))</f>
        <v/>
      </c>
      <c r="BG23">
        <f>IF(E23="","",IF(OR(COUNTIF(Einstellungen!$B$5:$B$16,"x")=0,INDEX(Einstellungen!$B$5:$B$16,MONTH(EOMONTH(E23,IF(F23="",3,F23)+22)))="x"),EOMONTH(E23,IF(F23="",3,F23)+22),""))</f>
        <v/>
      </c>
      <c r="BH23">
        <f>IF(E23="","",IF(OR(COUNTIF(Einstellungen!$B$5:$B$16,"x")=0,INDEX(Einstellungen!$B$5:$B$16,MONTH(EOMONTH(E23,IF(F23="",3,F23)+23)))="x"),EOMONTH(E23,IF(F23="",3,F23)+23),""))</f>
        <v/>
      </c>
      <c r="BI23">
        <f>IF(AND(L23&lt;&gt;"",M23=""),L23,"")</f>
        <v/>
      </c>
      <c r="BJ23">
        <f>IF(AND(N23&lt;&gt;"",O23=""),N23,"")</f>
        <v/>
      </c>
      <c r="BK23">
        <f>IF(AND(P23&lt;&gt;"",Q23=""),P23,"")</f>
        <v/>
      </c>
      <c r="BL23">
        <f>IF(AND(R23&lt;&gt;"",S23=""),R23,"")</f>
        <v/>
      </c>
      <c r="BM23">
        <f>IF(AND(T23&lt;&gt;"",U23=""),T23,"")</f>
        <v/>
      </c>
      <c r="BN23">
        <f>IF(AND(V23&lt;&gt;"",W23=""),V23,"")</f>
        <v/>
      </c>
      <c r="BO23">
        <f>IF(AND(X23&lt;&gt;"",Y23=""),X23,"")</f>
        <v/>
      </c>
      <c r="BP23">
        <f>IF(AND(Z23&lt;&gt;"",AA23=""),Z23,"")</f>
        <v/>
      </c>
      <c r="BQ23">
        <f>IF(AND(AB23&lt;&gt;"",AC23=""),AB23,"")</f>
        <v/>
      </c>
      <c r="BR23">
        <f>IF(AND(AD23&lt;&gt;"",AE23=""),AD23,"")</f>
        <v/>
      </c>
      <c r="BS23">
        <f>IF(AF23="","",AF23+ROW()/100000)</f>
        <v/>
      </c>
    </row>
    <row r="24">
      <c r="A24" s="26" t="n"/>
      <c r="B24" s="23">
        <f>IF(A24="","",IFERROR(INDEX('Mein Haus'!$C$45:$C$104,A24)&amp;"",""))</f>
        <v/>
      </c>
      <c r="C24" s="23">
        <f>IF(A24="","",IFERROR(INDEX('Mein Haus'!$B$45:$B$104,A24)&amp;"",""))</f>
        <v/>
      </c>
      <c r="D24" s="16" t="n"/>
      <c r="E24" s="20" t="n"/>
      <c r="F24" s="26" t="n"/>
      <c r="G24" s="20" t="n"/>
      <c r="H24" s="21">
        <f>IF(G24&lt;&gt;"",G24,IF(E24="","",IF(COUNT(AK24:BH24)=0,"",MIN(AK24:BH24))))</f>
        <v/>
      </c>
      <c r="I24" s="20" t="n"/>
      <c r="J24" s="10">
        <f>IF(OR(H24="",I24=""),"",MAX(0,I24-H24-1))</f>
        <v/>
      </c>
      <c r="K24" s="11">
        <f>IF(J24="","",ROUND(N(IFERROR(INDEX('Mein Haus'!$G$45:$G$104,A24),0))*12/365*J24,2))</f>
        <v/>
      </c>
      <c r="L24" s="21">
        <f>IF(E24="","",E24+7)</f>
        <v/>
      </c>
      <c r="M24" s="16" t="n"/>
      <c r="N24" s="21">
        <f>IF(E24="","",E24)</f>
        <v/>
      </c>
      <c r="O24" s="16" t="n"/>
      <c r="P24" s="21">
        <f>IF(H24="","",WORKDAY(H24,-10,Einstellungen!$D$5:$D$34))</f>
        <v/>
      </c>
      <c r="Q24" s="16" t="n"/>
      <c r="R24" s="21">
        <f>IF(H24="","",H24-30)</f>
        <v/>
      </c>
      <c r="S24" s="16" t="n"/>
      <c r="T24" s="21">
        <f>IF(H24="","",WORKDAY(H24-1,1,Einstellungen!$D$5:$D$34))</f>
        <v/>
      </c>
      <c r="U24" s="16" t="n"/>
      <c r="V24" s="21">
        <f>IF(T24="","",WORKDAY(T24,2,Einstellungen!$D$5:$D$34))</f>
        <v/>
      </c>
      <c r="W24" s="16" t="n"/>
      <c r="X24" s="21">
        <f>IF(I24="","",I24)</f>
        <v/>
      </c>
      <c r="Y24" s="16" t="n"/>
      <c r="Z24" s="21">
        <f>IF(T24="","",T24+30)</f>
        <v/>
      </c>
      <c r="AA24" s="16" t="n"/>
      <c r="AB24" s="21">
        <f>IF(OR(H24="",Nebenkosten!$B$7=""),"",EDATE(Nebenkosten!$B$7,12*MAX(1,ROUNDUP(((YEAR(H24)-YEAR(Nebenkosten!$B$7))*12+MONTH(H24)-MONTH(Nebenkosten!$B$7)+1)/12,0))))</f>
        <v/>
      </c>
      <c r="AC24" s="16" t="n"/>
      <c r="AD24" s="21">
        <f>IF(H24="","",EDATE(H24,12))</f>
        <v/>
      </c>
      <c r="AE24" s="16" t="n"/>
      <c r="AF24" s="21">
        <f>IF(COUNT(BI24:BR24)=0,"",MIN(BI24:BR24))</f>
        <v/>
      </c>
      <c r="AG24" s="10">
        <f>IF(AF24="","",AF24-TODAY())</f>
        <v/>
      </c>
      <c r="AH24" s="23">
        <f>IF(AF24="","",INDEX($BI$7:$BR$7,MATCH(AF24,BI24:BR24,0)))</f>
        <v/>
      </c>
      <c r="AI24" s="23">
        <f>IF(A24="","",IF(B24="","ID ohne Mieter in «Mein Haus»",IF(AND(IFERROR(INDEX('Mein Haus'!$E$45:$E$104,A24),"")&lt;&gt;"",H24&lt;&gt;"",IFERROR(INDEX('Mein Haus'!$E$45:$E$104,A24),"")&lt;&gt;H24),"Mietende in «Mein Haus» weicht ab",IF(D24="Vermieter","Amtliches Formular? Familienwohnung: beide Ehegatten.",IF(D24="Ausserterminlich","Nachmieter zumutbar? Vereinbartes Ende eintragen.","")))))</f>
        <v/>
      </c>
      <c r="AK24">
        <f>IF(E24="","",IF(OR(COUNTIF(Einstellungen!$B$5:$B$16,"x")=0,INDEX(Einstellungen!$B$5:$B$16,MONTH(EOMONTH(E24,IF(F24="",3,F24)+0)))="x"),EOMONTH(E24,IF(F24="",3,F24)+0),""))</f>
        <v/>
      </c>
      <c r="AL24">
        <f>IF(E24="","",IF(OR(COUNTIF(Einstellungen!$B$5:$B$16,"x")=0,INDEX(Einstellungen!$B$5:$B$16,MONTH(EOMONTH(E24,IF(F24="",3,F24)+1)))="x"),EOMONTH(E24,IF(F24="",3,F24)+1),""))</f>
        <v/>
      </c>
      <c r="AM24">
        <f>IF(E24="","",IF(OR(COUNTIF(Einstellungen!$B$5:$B$16,"x")=0,INDEX(Einstellungen!$B$5:$B$16,MONTH(EOMONTH(E24,IF(F24="",3,F24)+2)))="x"),EOMONTH(E24,IF(F24="",3,F24)+2),""))</f>
        <v/>
      </c>
      <c r="AN24">
        <f>IF(E24="","",IF(OR(COUNTIF(Einstellungen!$B$5:$B$16,"x")=0,INDEX(Einstellungen!$B$5:$B$16,MONTH(EOMONTH(E24,IF(F24="",3,F24)+3)))="x"),EOMONTH(E24,IF(F24="",3,F24)+3),""))</f>
        <v/>
      </c>
      <c r="AO24">
        <f>IF(E24="","",IF(OR(COUNTIF(Einstellungen!$B$5:$B$16,"x")=0,INDEX(Einstellungen!$B$5:$B$16,MONTH(EOMONTH(E24,IF(F24="",3,F24)+4)))="x"),EOMONTH(E24,IF(F24="",3,F24)+4),""))</f>
        <v/>
      </c>
      <c r="AP24">
        <f>IF(E24="","",IF(OR(COUNTIF(Einstellungen!$B$5:$B$16,"x")=0,INDEX(Einstellungen!$B$5:$B$16,MONTH(EOMONTH(E24,IF(F24="",3,F24)+5)))="x"),EOMONTH(E24,IF(F24="",3,F24)+5),""))</f>
        <v/>
      </c>
      <c r="AQ24">
        <f>IF(E24="","",IF(OR(COUNTIF(Einstellungen!$B$5:$B$16,"x")=0,INDEX(Einstellungen!$B$5:$B$16,MONTH(EOMONTH(E24,IF(F24="",3,F24)+6)))="x"),EOMONTH(E24,IF(F24="",3,F24)+6),""))</f>
        <v/>
      </c>
      <c r="AR24">
        <f>IF(E24="","",IF(OR(COUNTIF(Einstellungen!$B$5:$B$16,"x")=0,INDEX(Einstellungen!$B$5:$B$16,MONTH(EOMONTH(E24,IF(F24="",3,F24)+7)))="x"),EOMONTH(E24,IF(F24="",3,F24)+7),""))</f>
        <v/>
      </c>
      <c r="AS24">
        <f>IF(E24="","",IF(OR(COUNTIF(Einstellungen!$B$5:$B$16,"x")=0,INDEX(Einstellungen!$B$5:$B$16,MONTH(EOMONTH(E24,IF(F24="",3,F24)+8)))="x"),EOMONTH(E24,IF(F24="",3,F24)+8),""))</f>
        <v/>
      </c>
      <c r="AT24">
        <f>IF(E24="","",IF(OR(COUNTIF(Einstellungen!$B$5:$B$16,"x")=0,INDEX(Einstellungen!$B$5:$B$16,MONTH(EOMONTH(E24,IF(F24="",3,F24)+9)))="x"),EOMONTH(E24,IF(F24="",3,F24)+9),""))</f>
        <v/>
      </c>
      <c r="AU24">
        <f>IF(E24="","",IF(OR(COUNTIF(Einstellungen!$B$5:$B$16,"x")=0,INDEX(Einstellungen!$B$5:$B$16,MONTH(EOMONTH(E24,IF(F24="",3,F24)+10)))="x"),EOMONTH(E24,IF(F24="",3,F24)+10),""))</f>
        <v/>
      </c>
      <c r="AV24">
        <f>IF(E24="","",IF(OR(COUNTIF(Einstellungen!$B$5:$B$16,"x")=0,INDEX(Einstellungen!$B$5:$B$16,MONTH(EOMONTH(E24,IF(F24="",3,F24)+11)))="x"),EOMONTH(E24,IF(F24="",3,F24)+11),""))</f>
        <v/>
      </c>
      <c r="AW24">
        <f>IF(E24="","",IF(OR(COUNTIF(Einstellungen!$B$5:$B$16,"x")=0,INDEX(Einstellungen!$B$5:$B$16,MONTH(EOMONTH(E24,IF(F24="",3,F24)+12)))="x"),EOMONTH(E24,IF(F24="",3,F24)+12),""))</f>
        <v/>
      </c>
      <c r="AX24">
        <f>IF(E24="","",IF(OR(COUNTIF(Einstellungen!$B$5:$B$16,"x")=0,INDEX(Einstellungen!$B$5:$B$16,MONTH(EOMONTH(E24,IF(F24="",3,F24)+13)))="x"),EOMONTH(E24,IF(F24="",3,F24)+13),""))</f>
        <v/>
      </c>
      <c r="AY24">
        <f>IF(E24="","",IF(OR(COUNTIF(Einstellungen!$B$5:$B$16,"x")=0,INDEX(Einstellungen!$B$5:$B$16,MONTH(EOMONTH(E24,IF(F24="",3,F24)+14)))="x"),EOMONTH(E24,IF(F24="",3,F24)+14),""))</f>
        <v/>
      </c>
      <c r="AZ24">
        <f>IF(E24="","",IF(OR(COUNTIF(Einstellungen!$B$5:$B$16,"x")=0,INDEX(Einstellungen!$B$5:$B$16,MONTH(EOMONTH(E24,IF(F24="",3,F24)+15)))="x"),EOMONTH(E24,IF(F24="",3,F24)+15),""))</f>
        <v/>
      </c>
      <c r="BA24">
        <f>IF(E24="","",IF(OR(COUNTIF(Einstellungen!$B$5:$B$16,"x")=0,INDEX(Einstellungen!$B$5:$B$16,MONTH(EOMONTH(E24,IF(F24="",3,F24)+16)))="x"),EOMONTH(E24,IF(F24="",3,F24)+16),""))</f>
        <v/>
      </c>
      <c r="BB24">
        <f>IF(E24="","",IF(OR(COUNTIF(Einstellungen!$B$5:$B$16,"x")=0,INDEX(Einstellungen!$B$5:$B$16,MONTH(EOMONTH(E24,IF(F24="",3,F24)+17)))="x"),EOMONTH(E24,IF(F24="",3,F24)+17),""))</f>
        <v/>
      </c>
      <c r="BC24">
        <f>IF(E24="","",IF(OR(COUNTIF(Einstellungen!$B$5:$B$16,"x")=0,INDEX(Einstellungen!$B$5:$B$16,MONTH(EOMONTH(E24,IF(F24="",3,F24)+18)))="x"),EOMONTH(E24,IF(F24="",3,F24)+18),""))</f>
        <v/>
      </c>
      <c r="BD24">
        <f>IF(E24="","",IF(OR(COUNTIF(Einstellungen!$B$5:$B$16,"x")=0,INDEX(Einstellungen!$B$5:$B$16,MONTH(EOMONTH(E24,IF(F24="",3,F24)+19)))="x"),EOMONTH(E24,IF(F24="",3,F24)+19),""))</f>
        <v/>
      </c>
      <c r="BE24">
        <f>IF(E24="","",IF(OR(COUNTIF(Einstellungen!$B$5:$B$16,"x")=0,INDEX(Einstellungen!$B$5:$B$16,MONTH(EOMONTH(E24,IF(F24="",3,F24)+20)))="x"),EOMONTH(E24,IF(F24="",3,F24)+20),""))</f>
        <v/>
      </c>
      <c r="BF24">
        <f>IF(E24="","",IF(OR(COUNTIF(Einstellungen!$B$5:$B$16,"x")=0,INDEX(Einstellungen!$B$5:$B$16,MONTH(EOMONTH(E24,IF(F24="",3,F24)+21)))="x"),EOMONTH(E24,IF(F24="",3,F24)+21),""))</f>
        <v/>
      </c>
      <c r="BG24">
        <f>IF(E24="","",IF(OR(COUNTIF(Einstellungen!$B$5:$B$16,"x")=0,INDEX(Einstellungen!$B$5:$B$16,MONTH(EOMONTH(E24,IF(F24="",3,F24)+22)))="x"),EOMONTH(E24,IF(F24="",3,F24)+22),""))</f>
        <v/>
      </c>
      <c r="BH24">
        <f>IF(E24="","",IF(OR(COUNTIF(Einstellungen!$B$5:$B$16,"x")=0,INDEX(Einstellungen!$B$5:$B$16,MONTH(EOMONTH(E24,IF(F24="",3,F24)+23)))="x"),EOMONTH(E24,IF(F24="",3,F24)+23),""))</f>
        <v/>
      </c>
      <c r="BI24">
        <f>IF(AND(L24&lt;&gt;"",M24=""),L24,"")</f>
        <v/>
      </c>
      <c r="BJ24">
        <f>IF(AND(N24&lt;&gt;"",O24=""),N24,"")</f>
        <v/>
      </c>
      <c r="BK24">
        <f>IF(AND(P24&lt;&gt;"",Q24=""),P24,"")</f>
        <v/>
      </c>
      <c r="BL24">
        <f>IF(AND(R24&lt;&gt;"",S24=""),R24,"")</f>
        <v/>
      </c>
      <c r="BM24">
        <f>IF(AND(T24&lt;&gt;"",U24=""),T24,"")</f>
        <v/>
      </c>
      <c r="BN24">
        <f>IF(AND(V24&lt;&gt;"",W24=""),V24,"")</f>
        <v/>
      </c>
      <c r="BO24">
        <f>IF(AND(X24&lt;&gt;"",Y24=""),X24,"")</f>
        <v/>
      </c>
      <c r="BP24">
        <f>IF(AND(Z24&lt;&gt;"",AA24=""),Z24,"")</f>
        <v/>
      </c>
      <c r="BQ24">
        <f>IF(AND(AB24&lt;&gt;"",AC24=""),AB24,"")</f>
        <v/>
      </c>
      <c r="BR24">
        <f>IF(AND(AD24&lt;&gt;"",AE24=""),AD24,"")</f>
        <v/>
      </c>
      <c r="BS24">
        <f>IF(AF24="","",AF24+ROW()/100000)</f>
        <v/>
      </c>
    </row>
    <row r="25">
      <c r="A25" s="26" t="n"/>
      <c r="B25" s="23">
        <f>IF(A25="","",IFERROR(INDEX('Mein Haus'!$C$45:$C$104,A25)&amp;"",""))</f>
        <v/>
      </c>
      <c r="C25" s="23">
        <f>IF(A25="","",IFERROR(INDEX('Mein Haus'!$B$45:$B$104,A25)&amp;"",""))</f>
        <v/>
      </c>
      <c r="D25" s="16" t="n"/>
      <c r="E25" s="20" t="n"/>
      <c r="F25" s="26" t="n"/>
      <c r="G25" s="20" t="n"/>
      <c r="H25" s="21">
        <f>IF(G25&lt;&gt;"",G25,IF(E25="","",IF(COUNT(AK25:BH25)=0,"",MIN(AK25:BH25))))</f>
        <v/>
      </c>
      <c r="I25" s="20" t="n"/>
      <c r="J25" s="10">
        <f>IF(OR(H25="",I25=""),"",MAX(0,I25-H25-1))</f>
        <v/>
      </c>
      <c r="K25" s="11">
        <f>IF(J25="","",ROUND(N(IFERROR(INDEX('Mein Haus'!$G$45:$G$104,A25),0))*12/365*J25,2))</f>
        <v/>
      </c>
      <c r="L25" s="21">
        <f>IF(E25="","",E25+7)</f>
        <v/>
      </c>
      <c r="M25" s="16" t="n"/>
      <c r="N25" s="21">
        <f>IF(E25="","",E25)</f>
        <v/>
      </c>
      <c r="O25" s="16" t="n"/>
      <c r="P25" s="21">
        <f>IF(H25="","",WORKDAY(H25,-10,Einstellungen!$D$5:$D$34))</f>
        <v/>
      </c>
      <c r="Q25" s="16" t="n"/>
      <c r="R25" s="21">
        <f>IF(H25="","",H25-30)</f>
        <v/>
      </c>
      <c r="S25" s="16" t="n"/>
      <c r="T25" s="21">
        <f>IF(H25="","",WORKDAY(H25-1,1,Einstellungen!$D$5:$D$34))</f>
        <v/>
      </c>
      <c r="U25" s="16" t="n"/>
      <c r="V25" s="21">
        <f>IF(T25="","",WORKDAY(T25,2,Einstellungen!$D$5:$D$34))</f>
        <v/>
      </c>
      <c r="W25" s="16" t="n"/>
      <c r="X25" s="21">
        <f>IF(I25="","",I25)</f>
        <v/>
      </c>
      <c r="Y25" s="16" t="n"/>
      <c r="Z25" s="21">
        <f>IF(T25="","",T25+30)</f>
        <v/>
      </c>
      <c r="AA25" s="16" t="n"/>
      <c r="AB25" s="21">
        <f>IF(OR(H25="",Nebenkosten!$B$7=""),"",EDATE(Nebenkosten!$B$7,12*MAX(1,ROUNDUP(((YEAR(H25)-YEAR(Nebenkosten!$B$7))*12+MONTH(H25)-MONTH(Nebenkosten!$B$7)+1)/12,0))))</f>
        <v/>
      </c>
      <c r="AC25" s="16" t="n"/>
      <c r="AD25" s="21">
        <f>IF(H25="","",EDATE(H25,12))</f>
        <v/>
      </c>
      <c r="AE25" s="16" t="n"/>
      <c r="AF25" s="21">
        <f>IF(COUNT(BI25:BR25)=0,"",MIN(BI25:BR25))</f>
        <v/>
      </c>
      <c r="AG25" s="10">
        <f>IF(AF25="","",AF25-TODAY())</f>
        <v/>
      </c>
      <c r="AH25" s="23">
        <f>IF(AF25="","",INDEX($BI$7:$BR$7,MATCH(AF25,BI25:BR25,0)))</f>
        <v/>
      </c>
      <c r="AI25" s="23">
        <f>IF(A25="","",IF(B25="","ID ohne Mieter in «Mein Haus»",IF(AND(IFERROR(INDEX('Mein Haus'!$E$45:$E$104,A25),"")&lt;&gt;"",H25&lt;&gt;"",IFERROR(INDEX('Mein Haus'!$E$45:$E$104,A25),"")&lt;&gt;H25),"Mietende in «Mein Haus» weicht ab",IF(D25="Vermieter","Amtliches Formular? Familienwohnung: beide Ehegatten.",IF(D25="Ausserterminlich","Nachmieter zumutbar? Vereinbartes Ende eintragen.","")))))</f>
        <v/>
      </c>
      <c r="AK25">
        <f>IF(E25="","",IF(OR(COUNTIF(Einstellungen!$B$5:$B$16,"x")=0,INDEX(Einstellungen!$B$5:$B$16,MONTH(EOMONTH(E25,IF(F25="",3,F25)+0)))="x"),EOMONTH(E25,IF(F25="",3,F25)+0),""))</f>
        <v/>
      </c>
      <c r="AL25">
        <f>IF(E25="","",IF(OR(COUNTIF(Einstellungen!$B$5:$B$16,"x")=0,INDEX(Einstellungen!$B$5:$B$16,MONTH(EOMONTH(E25,IF(F25="",3,F25)+1)))="x"),EOMONTH(E25,IF(F25="",3,F25)+1),""))</f>
        <v/>
      </c>
      <c r="AM25">
        <f>IF(E25="","",IF(OR(COUNTIF(Einstellungen!$B$5:$B$16,"x")=0,INDEX(Einstellungen!$B$5:$B$16,MONTH(EOMONTH(E25,IF(F25="",3,F25)+2)))="x"),EOMONTH(E25,IF(F25="",3,F25)+2),""))</f>
        <v/>
      </c>
      <c r="AN25">
        <f>IF(E25="","",IF(OR(COUNTIF(Einstellungen!$B$5:$B$16,"x")=0,INDEX(Einstellungen!$B$5:$B$16,MONTH(EOMONTH(E25,IF(F25="",3,F25)+3)))="x"),EOMONTH(E25,IF(F25="",3,F25)+3),""))</f>
        <v/>
      </c>
      <c r="AO25">
        <f>IF(E25="","",IF(OR(COUNTIF(Einstellungen!$B$5:$B$16,"x")=0,INDEX(Einstellungen!$B$5:$B$16,MONTH(EOMONTH(E25,IF(F25="",3,F25)+4)))="x"),EOMONTH(E25,IF(F25="",3,F25)+4),""))</f>
        <v/>
      </c>
      <c r="AP25">
        <f>IF(E25="","",IF(OR(COUNTIF(Einstellungen!$B$5:$B$16,"x")=0,INDEX(Einstellungen!$B$5:$B$16,MONTH(EOMONTH(E25,IF(F25="",3,F25)+5)))="x"),EOMONTH(E25,IF(F25="",3,F25)+5),""))</f>
        <v/>
      </c>
      <c r="AQ25">
        <f>IF(E25="","",IF(OR(COUNTIF(Einstellungen!$B$5:$B$16,"x")=0,INDEX(Einstellungen!$B$5:$B$16,MONTH(EOMONTH(E25,IF(F25="",3,F25)+6)))="x"),EOMONTH(E25,IF(F25="",3,F25)+6),""))</f>
        <v/>
      </c>
      <c r="AR25">
        <f>IF(E25="","",IF(OR(COUNTIF(Einstellungen!$B$5:$B$16,"x")=0,INDEX(Einstellungen!$B$5:$B$16,MONTH(EOMONTH(E25,IF(F25="",3,F25)+7)))="x"),EOMONTH(E25,IF(F25="",3,F25)+7),""))</f>
        <v/>
      </c>
      <c r="AS25">
        <f>IF(E25="","",IF(OR(COUNTIF(Einstellungen!$B$5:$B$16,"x")=0,INDEX(Einstellungen!$B$5:$B$16,MONTH(EOMONTH(E25,IF(F25="",3,F25)+8)))="x"),EOMONTH(E25,IF(F25="",3,F25)+8),""))</f>
        <v/>
      </c>
      <c r="AT25">
        <f>IF(E25="","",IF(OR(COUNTIF(Einstellungen!$B$5:$B$16,"x")=0,INDEX(Einstellungen!$B$5:$B$16,MONTH(EOMONTH(E25,IF(F25="",3,F25)+9)))="x"),EOMONTH(E25,IF(F25="",3,F25)+9),""))</f>
        <v/>
      </c>
      <c r="AU25">
        <f>IF(E25="","",IF(OR(COUNTIF(Einstellungen!$B$5:$B$16,"x")=0,INDEX(Einstellungen!$B$5:$B$16,MONTH(EOMONTH(E25,IF(F25="",3,F25)+10)))="x"),EOMONTH(E25,IF(F25="",3,F25)+10),""))</f>
        <v/>
      </c>
      <c r="AV25">
        <f>IF(E25="","",IF(OR(COUNTIF(Einstellungen!$B$5:$B$16,"x")=0,INDEX(Einstellungen!$B$5:$B$16,MONTH(EOMONTH(E25,IF(F25="",3,F25)+11)))="x"),EOMONTH(E25,IF(F25="",3,F25)+11),""))</f>
        <v/>
      </c>
      <c r="AW25">
        <f>IF(E25="","",IF(OR(COUNTIF(Einstellungen!$B$5:$B$16,"x")=0,INDEX(Einstellungen!$B$5:$B$16,MONTH(EOMONTH(E25,IF(F25="",3,F25)+12)))="x"),EOMONTH(E25,IF(F25="",3,F25)+12),""))</f>
        <v/>
      </c>
      <c r="AX25">
        <f>IF(E25="","",IF(OR(COUNTIF(Einstellungen!$B$5:$B$16,"x")=0,INDEX(Einstellungen!$B$5:$B$16,MONTH(EOMONTH(E25,IF(F25="",3,F25)+13)))="x"),EOMONTH(E25,IF(F25="",3,F25)+13),""))</f>
        <v/>
      </c>
      <c r="AY25">
        <f>IF(E25="","",IF(OR(COUNTIF(Einstellungen!$B$5:$B$16,"x")=0,INDEX(Einstellungen!$B$5:$B$16,MONTH(EOMONTH(E25,IF(F25="",3,F25)+14)))="x"),EOMONTH(E25,IF(F25="",3,F25)+14),""))</f>
        <v/>
      </c>
      <c r="AZ25">
        <f>IF(E25="","",IF(OR(COUNTIF(Einstellungen!$B$5:$B$16,"x")=0,INDEX(Einstellungen!$B$5:$B$16,MONTH(EOMONTH(E25,IF(F25="",3,F25)+15)))="x"),EOMONTH(E25,IF(F25="",3,F25)+15),""))</f>
        <v/>
      </c>
      <c r="BA25">
        <f>IF(E25="","",IF(OR(COUNTIF(Einstellungen!$B$5:$B$16,"x")=0,INDEX(Einstellungen!$B$5:$B$16,MONTH(EOMONTH(E25,IF(F25="",3,F25)+16)))="x"),EOMONTH(E25,IF(F25="",3,F25)+16),""))</f>
        <v/>
      </c>
      <c r="BB25">
        <f>IF(E25="","",IF(OR(COUNTIF(Einstellungen!$B$5:$B$16,"x")=0,INDEX(Einstellungen!$B$5:$B$16,MONTH(EOMONTH(E25,IF(F25="",3,F25)+17)))="x"),EOMONTH(E25,IF(F25="",3,F25)+17),""))</f>
        <v/>
      </c>
      <c r="BC25">
        <f>IF(E25="","",IF(OR(COUNTIF(Einstellungen!$B$5:$B$16,"x")=0,INDEX(Einstellungen!$B$5:$B$16,MONTH(EOMONTH(E25,IF(F25="",3,F25)+18)))="x"),EOMONTH(E25,IF(F25="",3,F25)+18),""))</f>
        <v/>
      </c>
      <c r="BD25">
        <f>IF(E25="","",IF(OR(COUNTIF(Einstellungen!$B$5:$B$16,"x")=0,INDEX(Einstellungen!$B$5:$B$16,MONTH(EOMONTH(E25,IF(F25="",3,F25)+19)))="x"),EOMONTH(E25,IF(F25="",3,F25)+19),""))</f>
        <v/>
      </c>
      <c r="BE25">
        <f>IF(E25="","",IF(OR(COUNTIF(Einstellungen!$B$5:$B$16,"x")=0,INDEX(Einstellungen!$B$5:$B$16,MONTH(EOMONTH(E25,IF(F25="",3,F25)+20)))="x"),EOMONTH(E25,IF(F25="",3,F25)+20),""))</f>
        <v/>
      </c>
      <c r="BF25">
        <f>IF(E25="","",IF(OR(COUNTIF(Einstellungen!$B$5:$B$16,"x")=0,INDEX(Einstellungen!$B$5:$B$16,MONTH(EOMONTH(E25,IF(F25="",3,F25)+21)))="x"),EOMONTH(E25,IF(F25="",3,F25)+21),""))</f>
        <v/>
      </c>
      <c r="BG25">
        <f>IF(E25="","",IF(OR(COUNTIF(Einstellungen!$B$5:$B$16,"x")=0,INDEX(Einstellungen!$B$5:$B$16,MONTH(EOMONTH(E25,IF(F25="",3,F25)+22)))="x"),EOMONTH(E25,IF(F25="",3,F25)+22),""))</f>
        <v/>
      </c>
      <c r="BH25">
        <f>IF(E25="","",IF(OR(COUNTIF(Einstellungen!$B$5:$B$16,"x")=0,INDEX(Einstellungen!$B$5:$B$16,MONTH(EOMONTH(E25,IF(F25="",3,F25)+23)))="x"),EOMONTH(E25,IF(F25="",3,F25)+23),""))</f>
        <v/>
      </c>
      <c r="BI25">
        <f>IF(AND(L25&lt;&gt;"",M25=""),L25,"")</f>
        <v/>
      </c>
      <c r="BJ25">
        <f>IF(AND(N25&lt;&gt;"",O25=""),N25,"")</f>
        <v/>
      </c>
      <c r="BK25">
        <f>IF(AND(P25&lt;&gt;"",Q25=""),P25,"")</f>
        <v/>
      </c>
      <c r="BL25">
        <f>IF(AND(R25&lt;&gt;"",S25=""),R25,"")</f>
        <v/>
      </c>
      <c r="BM25">
        <f>IF(AND(T25&lt;&gt;"",U25=""),T25,"")</f>
        <v/>
      </c>
      <c r="BN25">
        <f>IF(AND(V25&lt;&gt;"",W25=""),V25,"")</f>
        <v/>
      </c>
      <c r="BO25">
        <f>IF(AND(X25&lt;&gt;"",Y25=""),X25,"")</f>
        <v/>
      </c>
      <c r="BP25">
        <f>IF(AND(Z25&lt;&gt;"",AA25=""),Z25,"")</f>
        <v/>
      </c>
      <c r="BQ25">
        <f>IF(AND(AB25&lt;&gt;"",AC25=""),AB25,"")</f>
        <v/>
      </c>
      <c r="BR25">
        <f>IF(AND(AD25&lt;&gt;"",AE25=""),AD25,"")</f>
        <v/>
      </c>
      <c r="BS25">
        <f>IF(AF25="","",AF25+ROW()/100000)</f>
        <v/>
      </c>
    </row>
    <row r="26">
      <c r="A26" s="26" t="n"/>
      <c r="B26" s="23">
        <f>IF(A26="","",IFERROR(INDEX('Mein Haus'!$C$45:$C$104,A26)&amp;"",""))</f>
        <v/>
      </c>
      <c r="C26" s="23">
        <f>IF(A26="","",IFERROR(INDEX('Mein Haus'!$B$45:$B$104,A26)&amp;"",""))</f>
        <v/>
      </c>
      <c r="D26" s="16" t="n"/>
      <c r="E26" s="20" t="n"/>
      <c r="F26" s="26" t="n"/>
      <c r="G26" s="20" t="n"/>
      <c r="H26" s="21">
        <f>IF(G26&lt;&gt;"",G26,IF(E26="","",IF(COUNT(AK26:BH26)=0,"",MIN(AK26:BH26))))</f>
        <v/>
      </c>
      <c r="I26" s="20" t="n"/>
      <c r="J26" s="10">
        <f>IF(OR(H26="",I26=""),"",MAX(0,I26-H26-1))</f>
        <v/>
      </c>
      <c r="K26" s="11">
        <f>IF(J26="","",ROUND(N(IFERROR(INDEX('Mein Haus'!$G$45:$G$104,A26),0))*12/365*J26,2))</f>
        <v/>
      </c>
      <c r="L26" s="21">
        <f>IF(E26="","",E26+7)</f>
        <v/>
      </c>
      <c r="M26" s="16" t="n"/>
      <c r="N26" s="21">
        <f>IF(E26="","",E26)</f>
        <v/>
      </c>
      <c r="O26" s="16" t="n"/>
      <c r="P26" s="21">
        <f>IF(H26="","",WORKDAY(H26,-10,Einstellungen!$D$5:$D$34))</f>
        <v/>
      </c>
      <c r="Q26" s="16" t="n"/>
      <c r="R26" s="21">
        <f>IF(H26="","",H26-30)</f>
        <v/>
      </c>
      <c r="S26" s="16" t="n"/>
      <c r="T26" s="21">
        <f>IF(H26="","",WORKDAY(H26-1,1,Einstellungen!$D$5:$D$34))</f>
        <v/>
      </c>
      <c r="U26" s="16" t="n"/>
      <c r="V26" s="21">
        <f>IF(T26="","",WORKDAY(T26,2,Einstellungen!$D$5:$D$34))</f>
        <v/>
      </c>
      <c r="W26" s="16" t="n"/>
      <c r="X26" s="21">
        <f>IF(I26="","",I26)</f>
        <v/>
      </c>
      <c r="Y26" s="16" t="n"/>
      <c r="Z26" s="21">
        <f>IF(T26="","",T26+30)</f>
        <v/>
      </c>
      <c r="AA26" s="16" t="n"/>
      <c r="AB26" s="21">
        <f>IF(OR(H26="",Nebenkosten!$B$7=""),"",EDATE(Nebenkosten!$B$7,12*MAX(1,ROUNDUP(((YEAR(H26)-YEAR(Nebenkosten!$B$7))*12+MONTH(H26)-MONTH(Nebenkosten!$B$7)+1)/12,0))))</f>
        <v/>
      </c>
      <c r="AC26" s="16" t="n"/>
      <c r="AD26" s="21">
        <f>IF(H26="","",EDATE(H26,12))</f>
        <v/>
      </c>
      <c r="AE26" s="16" t="n"/>
      <c r="AF26" s="21">
        <f>IF(COUNT(BI26:BR26)=0,"",MIN(BI26:BR26))</f>
        <v/>
      </c>
      <c r="AG26" s="10">
        <f>IF(AF26="","",AF26-TODAY())</f>
        <v/>
      </c>
      <c r="AH26" s="23">
        <f>IF(AF26="","",INDEX($BI$7:$BR$7,MATCH(AF26,BI26:BR26,0)))</f>
        <v/>
      </c>
      <c r="AI26" s="23">
        <f>IF(A26="","",IF(B26="","ID ohne Mieter in «Mein Haus»",IF(AND(IFERROR(INDEX('Mein Haus'!$E$45:$E$104,A26),"")&lt;&gt;"",H26&lt;&gt;"",IFERROR(INDEX('Mein Haus'!$E$45:$E$104,A26),"")&lt;&gt;H26),"Mietende in «Mein Haus» weicht ab",IF(D26="Vermieter","Amtliches Formular? Familienwohnung: beide Ehegatten.",IF(D26="Ausserterminlich","Nachmieter zumutbar? Vereinbartes Ende eintragen.","")))))</f>
        <v/>
      </c>
      <c r="AK26">
        <f>IF(E26="","",IF(OR(COUNTIF(Einstellungen!$B$5:$B$16,"x")=0,INDEX(Einstellungen!$B$5:$B$16,MONTH(EOMONTH(E26,IF(F26="",3,F26)+0)))="x"),EOMONTH(E26,IF(F26="",3,F26)+0),""))</f>
        <v/>
      </c>
      <c r="AL26">
        <f>IF(E26="","",IF(OR(COUNTIF(Einstellungen!$B$5:$B$16,"x")=0,INDEX(Einstellungen!$B$5:$B$16,MONTH(EOMONTH(E26,IF(F26="",3,F26)+1)))="x"),EOMONTH(E26,IF(F26="",3,F26)+1),""))</f>
        <v/>
      </c>
      <c r="AM26">
        <f>IF(E26="","",IF(OR(COUNTIF(Einstellungen!$B$5:$B$16,"x")=0,INDEX(Einstellungen!$B$5:$B$16,MONTH(EOMONTH(E26,IF(F26="",3,F26)+2)))="x"),EOMONTH(E26,IF(F26="",3,F26)+2),""))</f>
        <v/>
      </c>
      <c r="AN26">
        <f>IF(E26="","",IF(OR(COUNTIF(Einstellungen!$B$5:$B$16,"x")=0,INDEX(Einstellungen!$B$5:$B$16,MONTH(EOMONTH(E26,IF(F26="",3,F26)+3)))="x"),EOMONTH(E26,IF(F26="",3,F26)+3),""))</f>
        <v/>
      </c>
      <c r="AO26">
        <f>IF(E26="","",IF(OR(COUNTIF(Einstellungen!$B$5:$B$16,"x")=0,INDEX(Einstellungen!$B$5:$B$16,MONTH(EOMONTH(E26,IF(F26="",3,F26)+4)))="x"),EOMONTH(E26,IF(F26="",3,F26)+4),""))</f>
        <v/>
      </c>
      <c r="AP26">
        <f>IF(E26="","",IF(OR(COUNTIF(Einstellungen!$B$5:$B$16,"x")=0,INDEX(Einstellungen!$B$5:$B$16,MONTH(EOMONTH(E26,IF(F26="",3,F26)+5)))="x"),EOMONTH(E26,IF(F26="",3,F26)+5),""))</f>
        <v/>
      </c>
      <c r="AQ26">
        <f>IF(E26="","",IF(OR(COUNTIF(Einstellungen!$B$5:$B$16,"x")=0,INDEX(Einstellungen!$B$5:$B$16,MONTH(EOMONTH(E26,IF(F26="",3,F26)+6)))="x"),EOMONTH(E26,IF(F26="",3,F26)+6),""))</f>
        <v/>
      </c>
      <c r="AR26">
        <f>IF(E26="","",IF(OR(COUNTIF(Einstellungen!$B$5:$B$16,"x")=0,INDEX(Einstellungen!$B$5:$B$16,MONTH(EOMONTH(E26,IF(F26="",3,F26)+7)))="x"),EOMONTH(E26,IF(F26="",3,F26)+7),""))</f>
        <v/>
      </c>
      <c r="AS26">
        <f>IF(E26="","",IF(OR(COUNTIF(Einstellungen!$B$5:$B$16,"x")=0,INDEX(Einstellungen!$B$5:$B$16,MONTH(EOMONTH(E26,IF(F26="",3,F26)+8)))="x"),EOMONTH(E26,IF(F26="",3,F26)+8),""))</f>
        <v/>
      </c>
      <c r="AT26">
        <f>IF(E26="","",IF(OR(COUNTIF(Einstellungen!$B$5:$B$16,"x")=0,INDEX(Einstellungen!$B$5:$B$16,MONTH(EOMONTH(E26,IF(F26="",3,F26)+9)))="x"),EOMONTH(E26,IF(F26="",3,F26)+9),""))</f>
        <v/>
      </c>
      <c r="AU26">
        <f>IF(E26="","",IF(OR(COUNTIF(Einstellungen!$B$5:$B$16,"x")=0,INDEX(Einstellungen!$B$5:$B$16,MONTH(EOMONTH(E26,IF(F26="",3,F26)+10)))="x"),EOMONTH(E26,IF(F26="",3,F26)+10),""))</f>
        <v/>
      </c>
      <c r="AV26">
        <f>IF(E26="","",IF(OR(COUNTIF(Einstellungen!$B$5:$B$16,"x")=0,INDEX(Einstellungen!$B$5:$B$16,MONTH(EOMONTH(E26,IF(F26="",3,F26)+11)))="x"),EOMONTH(E26,IF(F26="",3,F26)+11),""))</f>
        <v/>
      </c>
      <c r="AW26">
        <f>IF(E26="","",IF(OR(COUNTIF(Einstellungen!$B$5:$B$16,"x")=0,INDEX(Einstellungen!$B$5:$B$16,MONTH(EOMONTH(E26,IF(F26="",3,F26)+12)))="x"),EOMONTH(E26,IF(F26="",3,F26)+12),""))</f>
        <v/>
      </c>
      <c r="AX26">
        <f>IF(E26="","",IF(OR(COUNTIF(Einstellungen!$B$5:$B$16,"x")=0,INDEX(Einstellungen!$B$5:$B$16,MONTH(EOMONTH(E26,IF(F26="",3,F26)+13)))="x"),EOMONTH(E26,IF(F26="",3,F26)+13),""))</f>
        <v/>
      </c>
      <c r="AY26">
        <f>IF(E26="","",IF(OR(COUNTIF(Einstellungen!$B$5:$B$16,"x")=0,INDEX(Einstellungen!$B$5:$B$16,MONTH(EOMONTH(E26,IF(F26="",3,F26)+14)))="x"),EOMONTH(E26,IF(F26="",3,F26)+14),""))</f>
        <v/>
      </c>
      <c r="AZ26">
        <f>IF(E26="","",IF(OR(COUNTIF(Einstellungen!$B$5:$B$16,"x")=0,INDEX(Einstellungen!$B$5:$B$16,MONTH(EOMONTH(E26,IF(F26="",3,F26)+15)))="x"),EOMONTH(E26,IF(F26="",3,F26)+15),""))</f>
        <v/>
      </c>
      <c r="BA26">
        <f>IF(E26="","",IF(OR(COUNTIF(Einstellungen!$B$5:$B$16,"x")=0,INDEX(Einstellungen!$B$5:$B$16,MONTH(EOMONTH(E26,IF(F26="",3,F26)+16)))="x"),EOMONTH(E26,IF(F26="",3,F26)+16),""))</f>
        <v/>
      </c>
      <c r="BB26">
        <f>IF(E26="","",IF(OR(COUNTIF(Einstellungen!$B$5:$B$16,"x")=0,INDEX(Einstellungen!$B$5:$B$16,MONTH(EOMONTH(E26,IF(F26="",3,F26)+17)))="x"),EOMONTH(E26,IF(F26="",3,F26)+17),""))</f>
        <v/>
      </c>
      <c r="BC26">
        <f>IF(E26="","",IF(OR(COUNTIF(Einstellungen!$B$5:$B$16,"x")=0,INDEX(Einstellungen!$B$5:$B$16,MONTH(EOMONTH(E26,IF(F26="",3,F26)+18)))="x"),EOMONTH(E26,IF(F26="",3,F26)+18),""))</f>
        <v/>
      </c>
      <c r="BD26">
        <f>IF(E26="","",IF(OR(COUNTIF(Einstellungen!$B$5:$B$16,"x")=0,INDEX(Einstellungen!$B$5:$B$16,MONTH(EOMONTH(E26,IF(F26="",3,F26)+19)))="x"),EOMONTH(E26,IF(F26="",3,F26)+19),""))</f>
        <v/>
      </c>
      <c r="BE26">
        <f>IF(E26="","",IF(OR(COUNTIF(Einstellungen!$B$5:$B$16,"x")=0,INDEX(Einstellungen!$B$5:$B$16,MONTH(EOMONTH(E26,IF(F26="",3,F26)+20)))="x"),EOMONTH(E26,IF(F26="",3,F26)+20),""))</f>
        <v/>
      </c>
      <c r="BF26">
        <f>IF(E26="","",IF(OR(COUNTIF(Einstellungen!$B$5:$B$16,"x")=0,INDEX(Einstellungen!$B$5:$B$16,MONTH(EOMONTH(E26,IF(F26="",3,F26)+21)))="x"),EOMONTH(E26,IF(F26="",3,F26)+21),""))</f>
        <v/>
      </c>
      <c r="BG26">
        <f>IF(E26="","",IF(OR(COUNTIF(Einstellungen!$B$5:$B$16,"x")=0,INDEX(Einstellungen!$B$5:$B$16,MONTH(EOMONTH(E26,IF(F26="",3,F26)+22)))="x"),EOMONTH(E26,IF(F26="",3,F26)+22),""))</f>
        <v/>
      </c>
      <c r="BH26">
        <f>IF(E26="","",IF(OR(COUNTIF(Einstellungen!$B$5:$B$16,"x")=0,INDEX(Einstellungen!$B$5:$B$16,MONTH(EOMONTH(E26,IF(F26="",3,F26)+23)))="x"),EOMONTH(E26,IF(F26="",3,F26)+23),""))</f>
        <v/>
      </c>
      <c r="BI26">
        <f>IF(AND(L26&lt;&gt;"",M26=""),L26,"")</f>
        <v/>
      </c>
      <c r="BJ26">
        <f>IF(AND(N26&lt;&gt;"",O26=""),N26,"")</f>
        <v/>
      </c>
      <c r="BK26">
        <f>IF(AND(P26&lt;&gt;"",Q26=""),P26,"")</f>
        <v/>
      </c>
      <c r="BL26">
        <f>IF(AND(R26&lt;&gt;"",S26=""),R26,"")</f>
        <v/>
      </c>
      <c r="BM26">
        <f>IF(AND(T26&lt;&gt;"",U26=""),T26,"")</f>
        <v/>
      </c>
      <c r="BN26">
        <f>IF(AND(V26&lt;&gt;"",W26=""),V26,"")</f>
        <v/>
      </c>
      <c r="BO26">
        <f>IF(AND(X26&lt;&gt;"",Y26=""),X26,"")</f>
        <v/>
      </c>
      <c r="BP26">
        <f>IF(AND(Z26&lt;&gt;"",AA26=""),Z26,"")</f>
        <v/>
      </c>
      <c r="BQ26">
        <f>IF(AND(AB26&lt;&gt;"",AC26=""),AB26,"")</f>
        <v/>
      </c>
      <c r="BR26">
        <f>IF(AND(AD26&lt;&gt;"",AE26=""),AD26,"")</f>
        <v/>
      </c>
      <c r="BS26">
        <f>IF(AF26="","",AF26+ROW()/100000)</f>
        <v/>
      </c>
    </row>
    <row r="27">
      <c r="A27" s="26" t="n"/>
      <c r="B27" s="23">
        <f>IF(A27="","",IFERROR(INDEX('Mein Haus'!$C$45:$C$104,A27)&amp;"",""))</f>
        <v/>
      </c>
      <c r="C27" s="23">
        <f>IF(A27="","",IFERROR(INDEX('Mein Haus'!$B$45:$B$104,A27)&amp;"",""))</f>
        <v/>
      </c>
      <c r="D27" s="16" t="n"/>
      <c r="E27" s="20" t="n"/>
      <c r="F27" s="26" t="n"/>
      <c r="G27" s="20" t="n"/>
      <c r="H27" s="21">
        <f>IF(G27&lt;&gt;"",G27,IF(E27="","",IF(COUNT(AK27:BH27)=0,"",MIN(AK27:BH27))))</f>
        <v/>
      </c>
      <c r="I27" s="20" t="n"/>
      <c r="J27" s="10">
        <f>IF(OR(H27="",I27=""),"",MAX(0,I27-H27-1))</f>
        <v/>
      </c>
      <c r="K27" s="11">
        <f>IF(J27="","",ROUND(N(IFERROR(INDEX('Mein Haus'!$G$45:$G$104,A27),0))*12/365*J27,2))</f>
        <v/>
      </c>
      <c r="L27" s="21">
        <f>IF(E27="","",E27+7)</f>
        <v/>
      </c>
      <c r="M27" s="16" t="n"/>
      <c r="N27" s="21">
        <f>IF(E27="","",E27)</f>
        <v/>
      </c>
      <c r="O27" s="16" t="n"/>
      <c r="P27" s="21">
        <f>IF(H27="","",WORKDAY(H27,-10,Einstellungen!$D$5:$D$34))</f>
        <v/>
      </c>
      <c r="Q27" s="16" t="n"/>
      <c r="R27" s="21">
        <f>IF(H27="","",H27-30)</f>
        <v/>
      </c>
      <c r="S27" s="16" t="n"/>
      <c r="T27" s="21">
        <f>IF(H27="","",WORKDAY(H27-1,1,Einstellungen!$D$5:$D$34))</f>
        <v/>
      </c>
      <c r="U27" s="16" t="n"/>
      <c r="V27" s="21">
        <f>IF(T27="","",WORKDAY(T27,2,Einstellungen!$D$5:$D$34))</f>
        <v/>
      </c>
      <c r="W27" s="16" t="n"/>
      <c r="X27" s="21">
        <f>IF(I27="","",I27)</f>
        <v/>
      </c>
      <c r="Y27" s="16" t="n"/>
      <c r="Z27" s="21">
        <f>IF(T27="","",T27+30)</f>
        <v/>
      </c>
      <c r="AA27" s="16" t="n"/>
      <c r="AB27" s="21">
        <f>IF(OR(H27="",Nebenkosten!$B$7=""),"",EDATE(Nebenkosten!$B$7,12*MAX(1,ROUNDUP(((YEAR(H27)-YEAR(Nebenkosten!$B$7))*12+MONTH(H27)-MONTH(Nebenkosten!$B$7)+1)/12,0))))</f>
        <v/>
      </c>
      <c r="AC27" s="16" t="n"/>
      <c r="AD27" s="21">
        <f>IF(H27="","",EDATE(H27,12))</f>
        <v/>
      </c>
      <c r="AE27" s="16" t="n"/>
      <c r="AF27" s="21">
        <f>IF(COUNT(BI27:BR27)=0,"",MIN(BI27:BR27))</f>
        <v/>
      </c>
      <c r="AG27" s="10">
        <f>IF(AF27="","",AF27-TODAY())</f>
        <v/>
      </c>
      <c r="AH27" s="23">
        <f>IF(AF27="","",INDEX($BI$7:$BR$7,MATCH(AF27,BI27:BR27,0)))</f>
        <v/>
      </c>
      <c r="AI27" s="23">
        <f>IF(A27="","",IF(B27="","ID ohne Mieter in «Mein Haus»",IF(AND(IFERROR(INDEX('Mein Haus'!$E$45:$E$104,A27),"")&lt;&gt;"",H27&lt;&gt;"",IFERROR(INDEX('Mein Haus'!$E$45:$E$104,A27),"")&lt;&gt;H27),"Mietende in «Mein Haus» weicht ab",IF(D27="Vermieter","Amtliches Formular? Familienwohnung: beide Ehegatten.",IF(D27="Ausserterminlich","Nachmieter zumutbar? Vereinbartes Ende eintragen.","")))))</f>
        <v/>
      </c>
      <c r="AK27">
        <f>IF(E27="","",IF(OR(COUNTIF(Einstellungen!$B$5:$B$16,"x")=0,INDEX(Einstellungen!$B$5:$B$16,MONTH(EOMONTH(E27,IF(F27="",3,F27)+0)))="x"),EOMONTH(E27,IF(F27="",3,F27)+0),""))</f>
        <v/>
      </c>
      <c r="AL27">
        <f>IF(E27="","",IF(OR(COUNTIF(Einstellungen!$B$5:$B$16,"x")=0,INDEX(Einstellungen!$B$5:$B$16,MONTH(EOMONTH(E27,IF(F27="",3,F27)+1)))="x"),EOMONTH(E27,IF(F27="",3,F27)+1),""))</f>
        <v/>
      </c>
      <c r="AM27">
        <f>IF(E27="","",IF(OR(COUNTIF(Einstellungen!$B$5:$B$16,"x")=0,INDEX(Einstellungen!$B$5:$B$16,MONTH(EOMONTH(E27,IF(F27="",3,F27)+2)))="x"),EOMONTH(E27,IF(F27="",3,F27)+2),""))</f>
        <v/>
      </c>
      <c r="AN27">
        <f>IF(E27="","",IF(OR(COUNTIF(Einstellungen!$B$5:$B$16,"x")=0,INDEX(Einstellungen!$B$5:$B$16,MONTH(EOMONTH(E27,IF(F27="",3,F27)+3)))="x"),EOMONTH(E27,IF(F27="",3,F27)+3),""))</f>
        <v/>
      </c>
      <c r="AO27">
        <f>IF(E27="","",IF(OR(COUNTIF(Einstellungen!$B$5:$B$16,"x")=0,INDEX(Einstellungen!$B$5:$B$16,MONTH(EOMONTH(E27,IF(F27="",3,F27)+4)))="x"),EOMONTH(E27,IF(F27="",3,F27)+4),""))</f>
        <v/>
      </c>
      <c r="AP27">
        <f>IF(E27="","",IF(OR(COUNTIF(Einstellungen!$B$5:$B$16,"x")=0,INDEX(Einstellungen!$B$5:$B$16,MONTH(EOMONTH(E27,IF(F27="",3,F27)+5)))="x"),EOMONTH(E27,IF(F27="",3,F27)+5),""))</f>
        <v/>
      </c>
      <c r="AQ27">
        <f>IF(E27="","",IF(OR(COUNTIF(Einstellungen!$B$5:$B$16,"x")=0,INDEX(Einstellungen!$B$5:$B$16,MONTH(EOMONTH(E27,IF(F27="",3,F27)+6)))="x"),EOMONTH(E27,IF(F27="",3,F27)+6),""))</f>
        <v/>
      </c>
      <c r="AR27">
        <f>IF(E27="","",IF(OR(COUNTIF(Einstellungen!$B$5:$B$16,"x")=0,INDEX(Einstellungen!$B$5:$B$16,MONTH(EOMONTH(E27,IF(F27="",3,F27)+7)))="x"),EOMONTH(E27,IF(F27="",3,F27)+7),""))</f>
        <v/>
      </c>
      <c r="AS27">
        <f>IF(E27="","",IF(OR(COUNTIF(Einstellungen!$B$5:$B$16,"x")=0,INDEX(Einstellungen!$B$5:$B$16,MONTH(EOMONTH(E27,IF(F27="",3,F27)+8)))="x"),EOMONTH(E27,IF(F27="",3,F27)+8),""))</f>
        <v/>
      </c>
      <c r="AT27">
        <f>IF(E27="","",IF(OR(COUNTIF(Einstellungen!$B$5:$B$16,"x")=0,INDEX(Einstellungen!$B$5:$B$16,MONTH(EOMONTH(E27,IF(F27="",3,F27)+9)))="x"),EOMONTH(E27,IF(F27="",3,F27)+9),""))</f>
        <v/>
      </c>
      <c r="AU27">
        <f>IF(E27="","",IF(OR(COUNTIF(Einstellungen!$B$5:$B$16,"x")=0,INDEX(Einstellungen!$B$5:$B$16,MONTH(EOMONTH(E27,IF(F27="",3,F27)+10)))="x"),EOMONTH(E27,IF(F27="",3,F27)+10),""))</f>
        <v/>
      </c>
      <c r="AV27">
        <f>IF(E27="","",IF(OR(COUNTIF(Einstellungen!$B$5:$B$16,"x")=0,INDEX(Einstellungen!$B$5:$B$16,MONTH(EOMONTH(E27,IF(F27="",3,F27)+11)))="x"),EOMONTH(E27,IF(F27="",3,F27)+11),""))</f>
        <v/>
      </c>
      <c r="AW27">
        <f>IF(E27="","",IF(OR(COUNTIF(Einstellungen!$B$5:$B$16,"x")=0,INDEX(Einstellungen!$B$5:$B$16,MONTH(EOMONTH(E27,IF(F27="",3,F27)+12)))="x"),EOMONTH(E27,IF(F27="",3,F27)+12),""))</f>
        <v/>
      </c>
      <c r="AX27">
        <f>IF(E27="","",IF(OR(COUNTIF(Einstellungen!$B$5:$B$16,"x")=0,INDEX(Einstellungen!$B$5:$B$16,MONTH(EOMONTH(E27,IF(F27="",3,F27)+13)))="x"),EOMONTH(E27,IF(F27="",3,F27)+13),""))</f>
        <v/>
      </c>
      <c r="AY27">
        <f>IF(E27="","",IF(OR(COUNTIF(Einstellungen!$B$5:$B$16,"x")=0,INDEX(Einstellungen!$B$5:$B$16,MONTH(EOMONTH(E27,IF(F27="",3,F27)+14)))="x"),EOMONTH(E27,IF(F27="",3,F27)+14),""))</f>
        <v/>
      </c>
      <c r="AZ27">
        <f>IF(E27="","",IF(OR(COUNTIF(Einstellungen!$B$5:$B$16,"x")=0,INDEX(Einstellungen!$B$5:$B$16,MONTH(EOMONTH(E27,IF(F27="",3,F27)+15)))="x"),EOMONTH(E27,IF(F27="",3,F27)+15),""))</f>
        <v/>
      </c>
      <c r="BA27">
        <f>IF(E27="","",IF(OR(COUNTIF(Einstellungen!$B$5:$B$16,"x")=0,INDEX(Einstellungen!$B$5:$B$16,MONTH(EOMONTH(E27,IF(F27="",3,F27)+16)))="x"),EOMONTH(E27,IF(F27="",3,F27)+16),""))</f>
        <v/>
      </c>
      <c r="BB27">
        <f>IF(E27="","",IF(OR(COUNTIF(Einstellungen!$B$5:$B$16,"x")=0,INDEX(Einstellungen!$B$5:$B$16,MONTH(EOMONTH(E27,IF(F27="",3,F27)+17)))="x"),EOMONTH(E27,IF(F27="",3,F27)+17),""))</f>
        <v/>
      </c>
      <c r="BC27">
        <f>IF(E27="","",IF(OR(COUNTIF(Einstellungen!$B$5:$B$16,"x")=0,INDEX(Einstellungen!$B$5:$B$16,MONTH(EOMONTH(E27,IF(F27="",3,F27)+18)))="x"),EOMONTH(E27,IF(F27="",3,F27)+18),""))</f>
        <v/>
      </c>
      <c r="BD27">
        <f>IF(E27="","",IF(OR(COUNTIF(Einstellungen!$B$5:$B$16,"x")=0,INDEX(Einstellungen!$B$5:$B$16,MONTH(EOMONTH(E27,IF(F27="",3,F27)+19)))="x"),EOMONTH(E27,IF(F27="",3,F27)+19),""))</f>
        <v/>
      </c>
      <c r="BE27">
        <f>IF(E27="","",IF(OR(COUNTIF(Einstellungen!$B$5:$B$16,"x")=0,INDEX(Einstellungen!$B$5:$B$16,MONTH(EOMONTH(E27,IF(F27="",3,F27)+20)))="x"),EOMONTH(E27,IF(F27="",3,F27)+20),""))</f>
        <v/>
      </c>
      <c r="BF27">
        <f>IF(E27="","",IF(OR(COUNTIF(Einstellungen!$B$5:$B$16,"x")=0,INDEX(Einstellungen!$B$5:$B$16,MONTH(EOMONTH(E27,IF(F27="",3,F27)+21)))="x"),EOMONTH(E27,IF(F27="",3,F27)+21),""))</f>
        <v/>
      </c>
      <c r="BG27">
        <f>IF(E27="","",IF(OR(COUNTIF(Einstellungen!$B$5:$B$16,"x")=0,INDEX(Einstellungen!$B$5:$B$16,MONTH(EOMONTH(E27,IF(F27="",3,F27)+22)))="x"),EOMONTH(E27,IF(F27="",3,F27)+22),""))</f>
        <v/>
      </c>
      <c r="BH27">
        <f>IF(E27="","",IF(OR(COUNTIF(Einstellungen!$B$5:$B$16,"x")=0,INDEX(Einstellungen!$B$5:$B$16,MONTH(EOMONTH(E27,IF(F27="",3,F27)+23)))="x"),EOMONTH(E27,IF(F27="",3,F27)+23),""))</f>
        <v/>
      </c>
      <c r="BI27">
        <f>IF(AND(L27&lt;&gt;"",M27=""),L27,"")</f>
        <v/>
      </c>
      <c r="BJ27">
        <f>IF(AND(N27&lt;&gt;"",O27=""),N27,"")</f>
        <v/>
      </c>
      <c r="BK27">
        <f>IF(AND(P27&lt;&gt;"",Q27=""),P27,"")</f>
        <v/>
      </c>
      <c r="BL27">
        <f>IF(AND(R27&lt;&gt;"",S27=""),R27,"")</f>
        <v/>
      </c>
      <c r="BM27">
        <f>IF(AND(T27&lt;&gt;"",U27=""),T27,"")</f>
        <v/>
      </c>
      <c r="BN27">
        <f>IF(AND(V27&lt;&gt;"",W27=""),V27,"")</f>
        <v/>
      </c>
      <c r="BO27">
        <f>IF(AND(X27&lt;&gt;"",Y27=""),X27,"")</f>
        <v/>
      </c>
      <c r="BP27">
        <f>IF(AND(Z27&lt;&gt;"",AA27=""),Z27,"")</f>
        <v/>
      </c>
      <c r="BQ27">
        <f>IF(AND(AB27&lt;&gt;"",AC27=""),AB27,"")</f>
        <v/>
      </c>
      <c r="BR27">
        <f>IF(AND(AD27&lt;&gt;"",AE27=""),AD27,"")</f>
        <v/>
      </c>
      <c r="BS27">
        <f>IF(AF27="","",AF27+ROW()/100000)</f>
        <v/>
      </c>
    </row>
    <row r="28">
      <c r="A28" s="26" t="n"/>
      <c r="B28" s="23">
        <f>IF(A28="","",IFERROR(INDEX('Mein Haus'!$C$45:$C$104,A28)&amp;"",""))</f>
        <v/>
      </c>
      <c r="C28" s="23">
        <f>IF(A28="","",IFERROR(INDEX('Mein Haus'!$B$45:$B$104,A28)&amp;"",""))</f>
        <v/>
      </c>
      <c r="D28" s="16" t="n"/>
      <c r="E28" s="20" t="n"/>
      <c r="F28" s="26" t="n"/>
      <c r="G28" s="20" t="n"/>
      <c r="H28" s="21">
        <f>IF(G28&lt;&gt;"",G28,IF(E28="","",IF(COUNT(AK28:BH28)=0,"",MIN(AK28:BH28))))</f>
        <v/>
      </c>
      <c r="I28" s="20" t="n"/>
      <c r="J28" s="10">
        <f>IF(OR(H28="",I28=""),"",MAX(0,I28-H28-1))</f>
        <v/>
      </c>
      <c r="K28" s="11">
        <f>IF(J28="","",ROUND(N(IFERROR(INDEX('Mein Haus'!$G$45:$G$104,A28),0))*12/365*J28,2))</f>
        <v/>
      </c>
      <c r="L28" s="21">
        <f>IF(E28="","",E28+7)</f>
        <v/>
      </c>
      <c r="M28" s="16" t="n"/>
      <c r="N28" s="21">
        <f>IF(E28="","",E28)</f>
        <v/>
      </c>
      <c r="O28" s="16" t="n"/>
      <c r="P28" s="21">
        <f>IF(H28="","",WORKDAY(H28,-10,Einstellungen!$D$5:$D$34))</f>
        <v/>
      </c>
      <c r="Q28" s="16" t="n"/>
      <c r="R28" s="21">
        <f>IF(H28="","",H28-30)</f>
        <v/>
      </c>
      <c r="S28" s="16" t="n"/>
      <c r="T28" s="21">
        <f>IF(H28="","",WORKDAY(H28-1,1,Einstellungen!$D$5:$D$34))</f>
        <v/>
      </c>
      <c r="U28" s="16" t="n"/>
      <c r="V28" s="21">
        <f>IF(T28="","",WORKDAY(T28,2,Einstellungen!$D$5:$D$34))</f>
        <v/>
      </c>
      <c r="W28" s="16" t="n"/>
      <c r="X28" s="21">
        <f>IF(I28="","",I28)</f>
        <v/>
      </c>
      <c r="Y28" s="16" t="n"/>
      <c r="Z28" s="21">
        <f>IF(T28="","",T28+30)</f>
        <v/>
      </c>
      <c r="AA28" s="16" t="n"/>
      <c r="AB28" s="21">
        <f>IF(OR(H28="",Nebenkosten!$B$7=""),"",EDATE(Nebenkosten!$B$7,12*MAX(1,ROUNDUP(((YEAR(H28)-YEAR(Nebenkosten!$B$7))*12+MONTH(H28)-MONTH(Nebenkosten!$B$7)+1)/12,0))))</f>
        <v/>
      </c>
      <c r="AC28" s="16" t="n"/>
      <c r="AD28" s="21">
        <f>IF(H28="","",EDATE(H28,12))</f>
        <v/>
      </c>
      <c r="AE28" s="16" t="n"/>
      <c r="AF28" s="21">
        <f>IF(COUNT(BI28:BR28)=0,"",MIN(BI28:BR28))</f>
        <v/>
      </c>
      <c r="AG28" s="10">
        <f>IF(AF28="","",AF28-TODAY())</f>
        <v/>
      </c>
      <c r="AH28" s="23">
        <f>IF(AF28="","",INDEX($BI$7:$BR$7,MATCH(AF28,BI28:BR28,0)))</f>
        <v/>
      </c>
      <c r="AI28" s="23">
        <f>IF(A28="","",IF(B28="","ID ohne Mieter in «Mein Haus»",IF(AND(IFERROR(INDEX('Mein Haus'!$E$45:$E$104,A28),"")&lt;&gt;"",H28&lt;&gt;"",IFERROR(INDEX('Mein Haus'!$E$45:$E$104,A28),"")&lt;&gt;H28),"Mietende in «Mein Haus» weicht ab",IF(D28="Vermieter","Amtliches Formular? Familienwohnung: beide Ehegatten.",IF(D28="Ausserterminlich","Nachmieter zumutbar? Vereinbartes Ende eintragen.","")))))</f>
        <v/>
      </c>
      <c r="AK28">
        <f>IF(E28="","",IF(OR(COUNTIF(Einstellungen!$B$5:$B$16,"x")=0,INDEX(Einstellungen!$B$5:$B$16,MONTH(EOMONTH(E28,IF(F28="",3,F28)+0)))="x"),EOMONTH(E28,IF(F28="",3,F28)+0),""))</f>
        <v/>
      </c>
      <c r="AL28">
        <f>IF(E28="","",IF(OR(COUNTIF(Einstellungen!$B$5:$B$16,"x")=0,INDEX(Einstellungen!$B$5:$B$16,MONTH(EOMONTH(E28,IF(F28="",3,F28)+1)))="x"),EOMONTH(E28,IF(F28="",3,F28)+1),""))</f>
        <v/>
      </c>
      <c r="AM28">
        <f>IF(E28="","",IF(OR(COUNTIF(Einstellungen!$B$5:$B$16,"x")=0,INDEX(Einstellungen!$B$5:$B$16,MONTH(EOMONTH(E28,IF(F28="",3,F28)+2)))="x"),EOMONTH(E28,IF(F28="",3,F28)+2),""))</f>
        <v/>
      </c>
      <c r="AN28">
        <f>IF(E28="","",IF(OR(COUNTIF(Einstellungen!$B$5:$B$16,"x")=0,INDEX(Einstellungen!$B$5:$B$16,MONTH(EOMONTH(E28,IF(F28="",3,F28)+3)))="x"),EOMONTH(E28,IF(F28="",3,F28)+3),""))</f>
        <v/>
      </c>
      <c r="AO28">
        <f>IF(E28="","",IF(OR(COUNTIF(Einstellungen!$B$5:$B$16,"x")=0,INDEX(Einstellungen!$B$5:$B$16,MONTH(EOMONTH(E28,IF(F28="",3,F28)+4)))="x"),EOMONTH(E28,IF(F28="",3,F28)+4),""))</f>
        <v/>
      </c>
      <c r="AP28">
        <f>IF(E28="","",IF(OR(COUNTIF(Einstellungen!$B$5:$B$16,"x")=0,INDEX(Einstellungen!$B$5:$B$16,MONTH(EOMONTH(E28,IF(F28="",3,F28)+5)))="x"),EOMONTH(E28,IF(F28="",3,F28)+5),""))</f>
        <v/>
      </c>
      <c r="AQ28">
        <f>IF(E28="","",IF(OR(COUNTIF(Einstellungen!$B$5:$B$16,"x")=0,INDEX(Einstellungen!$B$5:$B$16,MONTH(EOMONTH(E28,IF(F28="",3,F28)+6)))="x"),EOMONTH(E28,IF(F28="",3,F28)+6),""))</f>
        <v/>
      </c>
      <c r="AR28">
        <f>IF(E28="","",IF(OR(COUNTIF(Einstellungen!$B$5:$B$16,"x")=0,INDEX(Einstellungen!$B$5:$B$16,MONTH(EOMONTH(E28,IF(F28="",3,F28)+7)))="x"),EOMONTH(E28,IF(F28="",3,F28)+7),""))</f>
        <v/>
      </c>
      <c r="AS28">
        <f>IF(E28="","",IF(OR(COUNTIF(Einstellungen!$B$5:$B$16,"x")=0,INDEX(Einstellungen!$B$5:$B$16,MONTH(EOMONTH(E28,IF(F28="",3,F28)+8)))="x"),EOMONTH(E28,IF(F28="",3,F28)+8),""))</f>
        <v/>
      </c>
      <c r="AT28">
        <f>IF(E28="","",IF(OR(COUNTIF(Einstellungen!$B$5:$B$16,"x")=0,INDEX(Einstellungen!$B$5:$B$16,MONTH(EOMONTH(E28,IF(F28="",3,F28)+9)))="x"),EOMONTH(E28,IF(F28="",3,F28)+9),""))</f>
        <v/>
      </c>
      <c r="AU28">
        <f>IF(E28="","",IF(OR(COUNTIF(Einstellungen!$B$5:$B$16,"x")=0,INDEX(Einstellungen!$B$5:$B$16,MONTH(EOMONTH(E28,IF(F28="",3,F28)+10)))="x"),EOMONTH(E28,IF(F28="",3,F28)+10),""))</f>
        <v/>
      </c>
      <c r="AV28">
        <f>IF(E28="","",IF(OR(COUNTIF(Einstellungen!$B$5:$B$16,"x")=0,INDEX(Einstellungen!$B$5:$B$16,MONTH(EOMONTH(E28,IF(F28="",3,F28)+11)))="x"),EOMONTH(E28,IF(F28="",3,F28)+11),""))</f>
        <v/>
      </c>
      <c r="AW28">
        <f>IF(E28="","",IF(OR(COUNTIF(Einstellungen!$B$5:$B$16,"x")=0,INDEX(Einstellungen!$B$5:$B$16,MONTH(EOMONTH(E28,IF(F28="",3,F28)+12)))="x"),EOMONTH(E28,IF(F28="",3,F28)+12),""))</f>
        <v/>
      </c>
      <c r="AX28">
        <f>IF(E28="","",IF(OR(COUNTIF(Einstellungen!$B$5:$B$16,"x")=0,INDEX(Einstellungen!$B$5:$B$16,MONTH(EOMONTH(E28,IF(F28="",3,F28)+13)))="x"),EOMONTH(E28,IF(F28="",3,F28)+13),""))</f>
        <v/>
      </c>
      <c r="AY28">
        <f>IF(E28="","",IF(OR(COUNTIF(Einstellungen!$B$5:$B$16,"x")=0,INDEX(Einstellungen!$B$5:$B$16,MONTH(EOMONTH(E28,IF(F28="",3,F28)+14)))="x"),EOMONTH(E28,IF(F28="",3,F28)+14),""))</f>
        <v/>
      </c>
      <c r="AZ28">
        <f>IF(E28="","",IF(OR(COUNTIF(Einstellungen!$B$5:$B$16,"x")=0,INDEX(Einstellungen!$B$5:$B$16,MONTH(EOMONTH(E28,IF(F28="",3,F28)+15)))="x"),EOMONTH(E28,IF(F28="",3,F28)+15),""))</f>
        <v/>
      </c>
      <c r="BA28">
        <f>IF(E28="","",IF(OR(COUNTIF(Einstellungen!$B$5:$B$16,"x")=0,INDEX(Einstellungen!$B$5:$B$16,MONTH(EOMONTH(E28,IF(F28="",3,F28)+16)))="x"),EOMONTH(E28,IF(F28="",3,F28)+16),""))</f>
        <v/>
      </c>
      <c r="BB28">
        <f>IF(E28="","",IF(OR(COUNTIF(Einstellungen!$B$5:$B$16,"x")=0,INDEX(Einstellungen!$B$5:$B$16,MONTH(EOMONTH(E28,IF(F28="",3,F28)+17)))="x"),EOMONTH(E28,IF(F28="",3,F28)+17),""))</f>
        <v/>
      </c>
      <c r="BC28">
        <f>IF(E28="","",IF(OR(COUNTIF(Einstellungen!$B$5:$B$16,"x")=0,INDEX(Einstellungen!$B$5:$B$16,MONTH(EOMONTH(E28,IF(F28="",3,F28)+18)))="x"),EOMONTH(E28,IF(F28="",3,F28)+18),""))</f>
        <v/>
      </c>
      <c r="BD28">
        <f>IF(E28="","",IF(OR(COUNTIF(Einstellungen!$B$5:$B$16,"x")=0,INDEX(Einstellungen!$B$5:$B$16,MONTH(EOMONTH(E28,IF(F28="",3,F28)+19)))="x"),EOMONTH(E28,IF(F28="",3,F28)+19),""))</f>
        <v/>
      </c>
      <c r="BE28">
        <f>IF(E28="","",IF(OR(COUNTIF(Einstellungen!$B$5:$B$16,"x")=0,INDEX(Einstellungen!$B$5:$B$16,MONTH(EOMONTH(E28,IF(F28="",3,F28)+20)))="x"),EOMONTH(E28,IF(F28="",3,F28)+20),""))</f>
        <v/>
      </c>
      <c r="BF28">
        <f>IF(E28="","",IF(OR(COUNTIF(Einstellungen!$B$5:$B$16,"x")=0,INDEX(Einstellungen!$B$5:$B$16,MONTH(EOMONTH(E28,IF(F28="",3,F28)+21)))="x"),EOMONTH(E28,IF(F28="",3,F28)+21),""))</f>
        <v/>
      </c>
      <c r="BG28">
        <f>IF(E28="","",IF(OR(COUNTIF(Einstellungen!$B$5:$B$16,"x")=0,INDEX(Einstellungen!$B$5:$B$16,MONTH(EOMONTH(E28,IF(F28="",3,F28)+22)))="x"),EOMONTH(E28,IF(F28="",3,F28)+22),""))</f>
        <v/>
      </c>
      <c r="BH28">
        <f>IF(E28="","",IF(OR(COUNTIF(Einstellungen!$B$5:$B$16,"x")=0,INDEX(Einstellungen!$B$5:$B$16,MONTH(EOMONTH(E28,IF(F28="",3,F28)+23)))="x"),EOMONTH(E28,IF(F28="",3,F28)+23),""))</f>
        <v/>
      </c>
      <c r="BI28">
        <f>IF(AND(L28&lt;&gt;"",M28=""),L28,"")</f>
        <v/>
      </c>
      <c r="BJ28">
        <f>IF(AND(N28&lt;&gt;"",O28=""),N28,"")</f>
        <v/>
      </c>
      <c r="BK28">
        <f>IF(AND(P28&lt;&gt;"",Q28=""),P28,"")</f>
        <v/>
      </c>
      <c r="BL28">
        <f>IF(AND(R28&lt;&gt;"",S28=""),R28,"")</f>
        <v/>
      </c>
      <c r="BM28">
        <f>IF(AND(T28&lt;&gt;"",U28=""),T28,"")</f>
        <v/>
      </c>
      <c r="BN28">
        <f>IF(AND(V28&lt;&gt;"",W28=""),V28,"")</f>
        <v/>
      </c>
      <c r="BO28">
        <f>IF(AND(X28&lt;&gt;"",Y28=""),X28,"")</f>
        <v/>
      </c>
      <c r="BP28">
        <f>IF(AND(Z28&lt;&gt;"",AA28=""),Z28,"")</f>
        <v/>
      </c>
      <c r="BQ28">
        <f>IF(AND(AB28&lt;&gt;"",AC28=""),AB28,"")</f>
        <v/>
      </c>
      <c r="BR28">
        <f>IF(AND(AD28&lt;&gt;"",AE28=""),AD28,"")</f>
        <v/>
      </c>
      <c r="BS28">
        <f>IF(AF28="","",AF28+ROW()/100000)</f>
        <v/>
      </c>
    </row>
  </sheetData>
  <sheetProtection selectLockedCells="0" selectUnlockedCells="0" sheet="1" objects="0" insertRows="1" insertHyperlinks="1" autoFilter="1" scenarios="0" formatColumns="0" deleteColumns="1" insertColumns="1" pivotTables="1" deleteRows="1" formatCells="1" formatRows="0" sort="1"/>
  <conditionalFormatting sqref="AF9:AG28">
    <cfRule type="expression" priority="1" dxfId="0">
      <formula>AND($AG9&lt;&gt;"",$AG9&lt;0)</formula>
    </cfRule>
    <cfRule type="expression" priority="2" dxfId="1">
      <formula>AND($AG9&lt;&gt;"",$AG9&gt;=0,$AG9&lt;=7)</formula>
    </cfRule>
  </conditionalFormatting>
  <conditionalFormatting sqref="AI9:AI28">
    <cfRule type="expression" priority="3" dxfId="0">
      <formula>LEFT(AI9,2)="ID"</formula>
    </cfRule>
  </conditionalFormatting>
  <dataValidations count="3">
    <dataValidation sqref="A9 A10 A11 A12 A13 A14 A15 A16 A17 A18 A19 A20 A21 A22 A23 A24 A25 A26 A27 A28" showDropDown="0" showInputMessage="0" showErrorMessage="0" allowBlank="1" type="whole" operator="between">
      <formula1>1</formula1>
      <formula2>60</formula2>
    </dataValidation>
    <dataValidation sqref="D9 D10 D11 D12 D13 D14 D15 D16 D17 D18 D19 D20 D21 D22 D23 D24 D25 D26 D27 D28" showDropDown="0" showInputMessage="0" showErrorMessage="0" allowBlank="1" type="list">
      <formula1>"Mieter,Vermieter,Ausserterminlich"</formula1>
    </dataValidation>
    <dataValidation sqref="M9 M10 M11 M12 M13 M14 M15 M16 M17 M18 M19 M20 M21 M22 M23 M24 M25 M26 M27 M28 O9 O10 O11 O12 O13 O14 O15 O16 O17 O18 O19 O20 O21 O22 O23 O24 O25 O26 O27 O28 Q9 Q10 Q11 Q12 Q13 Q14 Q15 Q16 Q17 Q18 Q19 Q20 Q21 Q22 Q23 Q24 Q25 Q26 Q27 Q28 S9 S10 S11 S12 S13 S14 S15 S16 S17 S18 S19 S20 S21 S22 S23 S24 S25 S26 S27 S28 U9 U10 U11 U12 U13 U14 U15 U16 U17 U18 U19 U20 U21 U22 U23 U24 U25 U26 U27 U28 W9 W10 W11 W12 W13 W14 W15 W16 W17 W18 W19 W20 W21 W22 W23 W24 W25 W26 W27 W28 Y9 Y10 Y11 Y12 Y13 Y14 Y15 Y16 Y17 Y18 Y19 Y20 Y21 Y22 Y23 Y24 Y25 Y26 Y27 Y28 AA9 AA10 AA11 AA12 AA13 AA14 AA15 AA16 AA17 AA18 AA19 AA20 AA21 AA22 AA23 AA24 AA25 AA26 AA27 AA28 AC9 AC10 AC11 AC12 AC13 AC14 AC15 AC16 AC17 AC18 AC19 AC20 AC21 AC22 AC23 AC24 AC25 AC26 AC27 AC28 AE9 AE10 AE11 AE12 AE13 AE14 AE15 AE16 AE17 AE18 AE19 AE20 AE21 AE22 AE23 AE24 AE25 AE26 AE27 AE28" showDropDown="0" showInputMessage="0" showErrorMessage="0" allowBlank="1" type="list">
      <formula1>"x"</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fitToPage="1"/>
  </sheetPr>
  <dimension ref="A1:F19"/>
  <sheetViews>
    <sheetView workbookViewId="0">
      <selection activeCell="A1" sqref="A1"/>
    </sheetView>
  </sheetViews>
  <sheetFormatPr baseColWidth="8" defaultRowHeight="15"/>
  <cols>
    <col width="38" customWidth="1" min="1" max="1"/>
    <col width="12" customWidth="1" min="2" max="2"/>
    <col width="11" customWidth="1" min="3" max="3"/>
    <col width="70" customWidth="1" min="4" max="4"/>
    <col width="2" customWidth="1" min="5" max="5"/>
    <col width="30" customWidth="1" min="6" max="6"/>
  </cols>
  <sheetData>
    <row r="1">
      <c r="A1" s="14" t="inlineStr">
        <is>
          <t>Checkliste Mieterwechsel</t>
        </is>
      </c>
      <c r="F1" s="27" t="inlineStr">
        <is>
          <t>Zeile im Blatt «Mieterwechsel» (wird nicht gedruckt):</t>
        </is>
      </c>
    </row>
    <row r="2">
      <c r="F2" s="26" t="n">
        <v>1</v>
      </c>
    </row>
    <row r="3">
      <c r="A3" s="15" t="inlineStr">
        <is>
          <t>Liegenschaft</t>
        </is>
      </c>
      <c r="B3" s="5">
        <f>'Mein Haus'!B4</f>
        <v/>
      </c>
    </row>
    <row r="4">
      <c r="A4" s="15" t="inlineStr">
        <is>
          <t>Mieter</t>
        </is>
      </c>
      <c r="B4" s="5">
        <f>INDEX(Mieterwechsel!$B$9:$B$28,$F$2)&amp;""</f>
        <v/>
      </c>
    </row>
    <row r="5">
      <c r="A5" s="15" t="inlineStr">
        <is>
          <t>Einheit</t>
        </is>
      </c>
      <c r="B5" s="5">
        <f>INDEX(Mieterwechsel!$C$9:$C$28,$F$2)&amp;""</f>
        <v/>
      </c>
    </row>
    <row r="6">
      <c r="A6" s="15" t="inlineStr">
        <is>
          <t>Ende Mietverhältnis</t>
        </is>
      </c>
      <c r="B6" s="28">
        <f>IF(INDEX(Mieterwechsel!$H$9:$H$28,$F$2)="","",INDEX(Mieterwechsel!$H$9:$H$28,$F$2))</f>
        <v/>
      </c>
    </row>
    <row r="7">
      <c r="A7" s="15" t="inlineStr">
        <is>
          <t>Neuer Mieter ab</t>
        </is>
      </c>
      <c r="B7" s="28">
        <f>IF(INDEX(Mieterwechsel!$I$9:$I$28,$F$2)="","",INDEX(Mieterwechsel!$I$9:$I$28,$F$2))</f>
        <v/>
      </c>
    </row>
    <row r="9">
      <c r="A9" s="6" t="inlineStr">
        <is>
          <t>Schritt</t>
        </is>
      </c>
      <c r="B9" s="6" t="inlineStr">
        <is>
          <t>Datum</t>
        </is>
      </c>
      <c r="C9" s="6" t="inlineStr">
        <is>
          <t>Status</t>
        </is>
      </c>
      <c r="D9" s="6" t="inlineStr">
        <is>
          <t>Was zu tun ist</t>
        </is>
      </c>
    </row>
    <row r="10" ht="30" customHeight="1">
      <c r="A10" s="29" t="inlineStr">
        <is>
          <t>1. Kündigung schriftlich bestätigen</t>
        </is>
      </c>
      <c r="B10" s="30">
        <f>IF(INDEX(Mieterwechsel!$L$9:$L$28,$F$2)="","",INDEX(Mieterwechsel!$L$9:$L$28,$F$2))</f>
        <v/>
      </c>
      <c r="C10" s="31">
        <f>IF(INDEX(Mieterwechsel!$M$9:$M$28,$F$2)="x","erledigt",IF(INDEX(Mieterwechsel!$L$9:$L$28,$F$2)="","–",IF(INDEX(Mieterwechsel!$L$9:$L$28,$F$2)&lt;TODAY(),"überfällig","offen")))</f>
        <v/>
      </c>
      <c r="D10" s="32" t="inlineStr">
        <is>
          <t>Eingang bestätigen; bei Mieterkündigung Form und Termin prüfen.</t>
        </is>
      </c>
    </row>
    <row r="11" ht="30" customHeight="1">
      <c r="A11" s="29" t="inlineStr">
        <is>
          <t>2. Nachmieter suchen / Inserat</t>
        </is>
      </c>
      <c r="B11" s="30">
        <f>IF(INDEX(Mieterwechsel!$N$9:$N$28,$F$2)="","",INDEX(Mieterwechsel!$N$9:$N$28,$F$2))</f>
        <v/>
      </c>
      <c r="C11" s="31">
        <f>IF(INDEX(Mieterwechsel!$O$9:$O$28,$F$2)="x","erledigt",IF(INDEX(Mieterwechsel!$N$9:$N$28,$F$2)="","–",IF(INDEX(Mieterwechsel!$N$9:$N$28,$F$2)&lt;TODAY(),"überfällig","offen")))</f>
        <v/>
      </c>
      <c r="D11" s="32" t="inlineStr">
        <is>
          <t>Inserat schalten, Besichtigungen planen. Bei ausserterminlicher Kündigung: Nachmieter prüfen (Art. 264 OR).</t>
        </is>
      </c>
    </row>
    <row r="12" ht="30" customHeight="1">
      <c r="A12" s="29" t="inlineStr">
        <is>
          <t>3. Vorabnahme</t>
        </is>
      </c>
      <c r="B12" s="30">
        <f>IF(INDEX(Mieterwechsel!$P$9:$P$28,$F$2)="","",INDEX(Mieterwechsel!$P$9:$P$28,$F$2))</f>
        <v/>
      </c>
      <c r="C12" s="31">
        <f>IF(INDEX(Mieterwechsel!$Q$9:$Q$28,$F$2)="x","erledigt",IF(INDEX(Mieterwechsel!$P$9:$P$28,$F$2)="","–",IF(INDEX(Mieterwechsel!$P$9:$P$28,$F$2)&lt;TODAY(),"überfällig","offen")))</f>
        <v/>
      </c>
      <c r="D12" s="32" t="inlineStr">
        <is>
          <t>Wohnung mit dem Mieter begehen, notwendige Arbeiten absprechen.</t>
        </is>
      </c>
    </row>
    <row r="13" ht="30" customHeight="1">
      <c r="A13" s="29" t="inlineStr">
        <is>
          <t>4. Neuen Mietvertrag abschliessen</t>
        </is>
      </c>
      <c r="B13" s="30">
        <f>IF(INDEX(Mieterwechsel!$R$9:$R$28,$F$2)="","",INDEX(Mieterwechsel!$R$9:$R$28,$F$2))</f>
        <v/>
      </c>
      <c r="C13" s="31">
        <f>IF(INDEX(Mieterwechsel!$S$9:$S$28,$F$2)="x","erledigt",IF(INDEX(Mieterwechsel!$R$9:$R$28,$F$2)="","–",IF(INDEX(Mieterwechsel!$R$9:$R$28,$F$2)&lt;TODAY(),"überfällig","offen")))</f>
        <v/>
      </c>
      <c r="D13" s="32" t="inlineStr">
        <is>
          <t>Sollfrist 30 Tage vor Mietende, damit kein Leerstand entsteht.</t>
        </is>
      </c>
    </row>
    <row r="14" ht="30" customHeight="1">
      <c r="A14" s="29" t="inlineStr">
        <is>
          <t>5. Abnahme · Protokoll · Zähler · Schlüssel</t>
        </is>
      </c>
      <c r="B14" s="30">
        <f>IF(INDEX(Mieterwechsel!$T$9:$T$28,$F$2)="","",INDEX(Mieterwechsel!$T$9:$T$28,$F$2))</f>
        <v/>
      </c>
      <c r="C14" s="31">
        <f>IF(INDEX(Mieterwechsel!$U$9:$U$28,$F$2)="x","erledigt",IF(INDEX(Mieterwechsel!$T$9:$T$28,$F$2)="","–",IF(INDEX(Mieterwechsel!$T$9:$T$28,$F$2)&lt;TODAY(),"überfällig","offen")))</f>
        <v/>
      </c>
      <c r="D14" s="32" t="inlineStr">
        <is>
          <t>Blatt «Rückgabe»: Zählerstände, Schlüssel und Mängel erfassen, «Protokoll» drucken und unterschreiben.</t>
        </is>
      </c>
    </row>
    <row r="15" ht="30" customHeight="1">
      <c r="A15" s="29" t="inlineStr">
        <is>
          <t>6. Mängelrüge schriftlich</t>
        </is>
      </c>
      <c r="B15" s="30">
        <f>IF(INDEX(Mieterwechsel!$V$9:$V$28,$F$2)="","",INDEX(Mieterwechsel!$V$9:$V$28,$F$2))</f>
        <v/>
      </c>
      <c r="C15" s="31">
        <f>IF(INDEX(Mieterwechsel!$W$9:$W$28,$F$2)="x","erledigt",IF(INDEX(Mieterwechsel!$V$9:$V$28,$F$2)="","–",IF(INDEX(Mieterwechsel!$V$9:$V$28,$F$2)&lt;TODAY(),"überfällig","offen")))</f>
        <v/>
      </c>
      <c r="D15" s="32" t="inlineStr">
        <is>
          <t>Sofort nach der Abnahme rügen (Art. 267a OR), sonst verwirkt.</t>
        </is>
      </c>
    </row>
    <row r="16" ht="30" customHeight="1">
      <c r="A16" s="29" t="inlineStr">
        <is>
          <t>7. Übergabe an Neumieter</t>
        </is>
      </c>
      <c r="B16" s="30">
        <f>IF(INDEX(Mieterwechsel!$X$9:$X$28,$F$2)="","",INDEX(Mieterwechsel!$X$9:$X$28,$F$2))</f>
        <v/>
      </c>
      <c r="C16" s="31">
        <f>IF(INDEX(Mieterwechsel!$Y$9:$Y$28,$F$2)="x","erledigt",IF(INDEX(Mieterwechsel!$X$9:$X$28,$F$2)="","–",IF(INDEX(Mieterwechsel!$X$9:$X$28,$F$2)&lt;TODAY(),"überfällig","offen")))</f>
        <v/>
      </c>
      <c r="D16" s="32" t="inlineStr">
        <is>
          <t>Mit Protokoll übergeben; Neumieter kann das Rückgabeprotokoll des Vormieters verlangen (Art. 256a OR).</t>
        </is>
      </c>
    </row>
    <row r="17" ht="30" customHeight="1">
      <c r="A17" s="29" t="inlineStr">
        <is>
          <t>8. Kaution abrechnen</t>
        </is>
      </c>
      <c r="B17" s="30">
        <f>IF(INDEX(Mieterwechsel!$Z$9:$Z$28,$F$2)="","",INDEX(Mieterwechsel!$Z$9:$Z$28,$F$2))</f>
        <v/>
      </c>
      <c r="C17" s="31">
        <f>IF(INDEX(Mieterwechsel!$AA$9:$AA$28,$F$2)="x","erledigt",IF(INDEX(Mieterwechsel!$Z$9:$Z$28,$F$2)="","–",IF(INDEX(Mieterwechsel!$Z$9:$Z$28,$F$2)&lt;TODAY(),"überfällig","offen")))</f>
        <v/>
      </c>
      <c r="D17" s="32" t="inlineStr">
        <is>
          <t>Blatt «Kautionsabrechnung» und «Freigabe Kaution».</t>
        </is>
      </c>
    </row>
    <row r="18" ht="30" customHeight="1">
      <c r="A18" s="29" t="inlineStr">
        <is>
          <t>9. Nebenkosten-Schlussabrechnung</t>
        </is>
      </c>
      <c r="B18" s="30">
        <f>IF(INDEX(Mieterwechsel!$AB$9:$AB$28,$F$2)="","",INDEX(Mieterwechsel!$AB$9:$AB$28,$F$2))</f>
        <v/>
      </c>
      <c r="C18" s="31">
        <f>IF(INDEX(Mieterwechsel!$AC$9:$AC$28,$F$2)="x","erledigt",IF(INDEX(Mieterwechsel!$AB$9:$AB$28,$F$2)="","–",IF(INDEX(Mieterwechsel!$AB$9:$AB$28,$F$2)&lt;TODAY(),"überfällig","offen")))</f>
        <v/>
      </c>
      <c r="D18" s="32" t="inlineStr">
        <is>
          <t>Nach Ende der Abrechnungsperiode, Blatt «Nebenkosten».</t>
        </is>
      </c>
    </row>
    <row r="19" ht="30" customHeight="1">
      <c r="A19" s="29" t="inlineStr">
        <is>
          <t>10. Kautionsfrist (1 Jahr nach Mietende)</t>
        </is>
      </c>
      <c r="B19" s="30">
        <f>IF(INDEX(Mieterwechsel!$AD$9:$AD$28,$F$2)="","",INDEX(Mieterwechsel!$AD$9:$AD$28,$F$2))</f>
        <v/>
      </c>
      <c r="C19" s="31">
        <f>IF(INDEX(Mieterwechsel!$AE$9:$AE$28,$F$2)="x","erledigt",IF(INDEX(Mieterwechsel!$AD$9:$AD$28,$F$2)="","–",IF(INDEX(Mieterwechsel!$AD$9:$AD$28,$F$2)&lt;TODAY(),"überfällig","offen")))</f>
        <v/>
      </c>
      <c r="D19" s="32" t="inlineStr">
        <is>
          <t>Ohne geltend gemachten Anspruch kann der Mieter die Kaution allein herausverlangen (Art. 257e OR).</t>
        </is>
      </c>
    </row>
  </sheetData>
  <sheetProtection selectLockedCells="0" selectUnlockedCells="0" sheet="1" objects="0" insertRows="1" insertHyperlinks="1" autoFilter="1" scenarios="0" formatColumns="0" deleteColumns="1" insertColumns="1" pivotTables="1" deleteRows="1" formatCells="1" formatRows="0" sort="1"/>
  <conditionalFormatting sqref="C10:C19">
    <cfRule type="expression" priority="1" dxfId="0">
      <formula>C10="überfällig"</formula>
    </cfRule>
    <cfRule type="expression" priority="2" dxfId="2">
      <formula>C10="erledigt"</formula>
    </cfRule>
  </conditionalFormatting>
  <dataValidations count="1">
    <dataValidation sqref="F2" showDropDown="0" showInputMessage="0" showErrorMessage="0" allowBlank="0" type="whole" operator="between">
      <formula1>1</formula1>
      <formula2>20</formula2>
    </dataValidation>
  </dataValidations>
  <pageMargins left="0.75" right="0.75" top="1" bottom="1" header="0.5" footer="0.5"/>
  <pageSetup orientation="landscape" fitToHeight="1" fitToWidth="1"/>
</worksheet>
</file>

<file path=xl/worksheets/sheet5.xml><?xml version="1.0" encoding="utf-8"?>
<worksheet xmlns="http://schemas.openxmlformats.org/spreadsheetml/2006/main">
  <sheetPr>
    <outlinePr summaryBelow="1" summaryRight="1"/>
    <pageSetUpPr/>
  </sheetPr>
  <dimension ref="A1:W131"/>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5" customWidth="1" min="3" max="3"/>
    <col width="30" customWidth="1" min="4" max="4"/>
    <col width="17" customWidth="1" min="5" max="5"/>
    <col width="12" customWidth="1" min="6" max="6"/>
    <col width="12" customWidth="1" min="7" max="7"/>
    <col width="10" customWidth="1" min="8" max="8"/>
    <col width="10" customWidth="1" min="9" max="9"/>
    <col width="9" customWidth="1" min="10" max="10"/>
    <col width="12" customWidth="1" min="11" max="11"/>
    <col width="20" customWidth="1" min="12" max="12"/>
    <col width="9" customWidth="1" min="13" max="13"/>
    <col width="11" customWidth="1" min="14" max="14"/>
    <col width="12" customWidth="1" min="15" max="15"/>
    <col width="12" customWidth="1" min="16" max="16"/>
    <col width="13" customWidth="1" min="17" max="17"/>
    <col width="11" customWidth="1" min="18" max="18"/>
    <col width="12" customWidth="1" min="19" max="19"/>
    <col width="12" customWidth="1" min="20" max="20"/>
    <col width="11" customWidth="1" min="21" max="21"/>
    <col width="11" customWidth="1" min="22" max="22"/>
    <col width="26" customWidth="1" min="23" max="23"/>
  </cols>
  <sheetData>
    <row r="1">
      <c r="A1" s="14" t="inlineStr">
        <is>
          <t>Wohnungsrückgabe: Protokoll, Schaden &amp; Kaution</t>
        </is>
      </c>
    </row>
    <row r="2">
      <c r="H2" s="24" t="inlineStr">
        <is>
          <t>START: Pro Auszug eine Zeile «Fälle»; Mängel unten mit derselben ID. Lebensdauer aus der paritätischen Tabelle HEV/MV.</t>
        </is>
      </c>
    </row>
    <row r="3">
      <c r="A3" s="15" t="inlineStr">
        <is>
          <t>Auszug für Protokoll, Abrechnung und Freigabe: Mietverhältnis-ID</t>
        </is>
      </c>
      <c r="E3" s="26" t="n">
        <v>5</v>
      </c>
      <c r="H3" s="24" t="inlineStr">
        <is>
          <t>BERECHNUNG: Mieteranteil = Kosten × (1 − Alter ÷ Lebensdauer); normale Abnutzung und Vorbestehendes = 0. Kaution wird aufgeteilt.</t>
        </is>
      </c>
    </row>
    <row r="4">
      <c r="H4" s="24" t="inlineStr">
        <is>
          <t>ERGEBNIS: Spalte «An Vermieter» / «An Mieter»; «Prüfen» meldet fehlende Angaben.</t>
        </is>
      </c>
    </row>
    <row r="5">
      <c r="H5" s="24" t="inlineStr">
        <is>
          <t>AUSGABE: Blätter «Protokoll», «Kautionsabrechnung», «Freigabe Kaution» für die oben gewählte ID.</t>
        </is>
      </c>
    </row>
    <row r="7" ht="42" customHeight="1">
      <c r="A7" s="6" t="inlineStr">
        <is>
          <t>ID</t>
        </is>
      </c>
      <c r="B7" s="6" t="inlineStr">
        <is>
          <t>Mieter</t>
        </is>
      </c>
      <c r="C7" s="6" t="inlineStr">
        <is>
          <t>Mietende</t>
        </is>
      </c>
      <c r="D7" s="6" t="inlineStr">
        <is>
          <t>Abnahme am</t>
        </is>
      </c>
      <c r="E7" s="6" t="inlineStr">
        <is>
          <t>Anwesend</t>
        </is>
      </c>
      <c r="F7" s="6" t="inlineStr">
        <is>
          <t>Zähler Strom</t>
        </is>
      </c>
      <c r="G7" s="6" t="inlineStr">
        <is>
          <t>Zähler Wasser</t>
        </is>
      </c>
      <c r="H7" s="6" t="inlineStr">
        <is>
          <t>Zähler Wärme</t>
        </is>
      </c>
      <c r="I7" s="6" t="inlineStr">
        <is>
          <t>Schlüssel erhalten</t>
        </is>
      </c>
      <c r="J7" s="6" t="inlineStr">
        <is>
          <t>Kaution</t>
        </is>
      </c>
      <c r="K7" s="6" t="inlineStr">
        <is>
          <t>Kautionszins</t>
        </is>
      </c>
      <c r="L7" s="6" t="inlineStr">
        <is>
          <t>Ausstehende Mietzinse</t>
        </is>
      </c>
      <c r="M7" s="6" t="inlineStr">
        <is>
          <t>NK-Saldo (aus Nebenkosten)</t>
        </is>
      </c>
      <c r="N7" s="6" t="inlineStr">
        <is>
          <t>NK-Saldo manuell</t>
        </is>
      </c>
      <c r="O7" s="6" t="inlineStr">
        <is>
          <t>Weitere Forderungen</t>
        </is>
      </c>
      <c r="P7" s="6" t="inlineStr">
        <is>
          <t>Schäden zulasten Mieter</t>
        </is>
      </c>
      <c r="Q7" s="6" t="inlineStr">
        <is>
          <t>Total Forderungen</t>
        </is>
      </c>
      <c r="R7" s="6" t="inlineStr">
        <is>
          <t>Kaution inkl. Zins</t>
        </is>
      </c>
      <c r="S7" s="6" t="inlineStr">
        <is>
          <t>An Vermieter</t>
        </is>
      </c>
      <c r="T7" s="6" t="inlineStr">
        <is>
          <t>An Mieter</t>
        </is>
      </c>
      <c r="U7" s="6" t="inlineStr">
        <is>
          <t>Restforderung</t>
        </is>
      </c>
      <c r="V7" s="6" t="inlineStr">
        <is>
          <t>Zusätzlich vom Vermieter</t>
        </is>
      </c>
      <c r="W7" s="6" t="inlineStr">
        <is>
          <t>Prüfen</t>
        </is>
      </c>
    </row>
    <row r="8">
      <c r="A8" s="26" t="n">
        <v>5</v>
      </c>
      <c r="B8" s="23">
        <f>IF(A8="","",IFERROR(INDEX('Mein Haus'!$C$45:$C$104,A8)&amp;"",""))</f>
        <v/>
      </c>
      <c r="C8" s="21">
        <f>IF(A8="","",IFERROR(IF(INDEX('Mein Haus'!$F$45:$F$104,A8)="","",INDEX('Mein Haus'!$F$45:$F$104,A8)),""))</f>
        <v/>
      </c>
      <c r="D8" s="20" t="n">
        <v>45930</v>
      </c>
      <c r="E8" s="16" t="inlineStr">
        <is>
          <t>T. Weber, H. Beispiel</t>
        </is>
      </c>
      <c r="F8" s="26" t="n">
        <v>12873</v>
      </c>
      <c r="G8" s="26" t="n"/>
      <c r="H8" s="26" t="n"/>
      <c r="I8" s="16" t="inlineStr">
        <is>
          <t>4 von 5</t>
        </is>
      </c>
      <c r="J8" s="11">
        <f>IF(A8="","",IFERROR(N(INDEX('Mein Haus'!$I$45:$I$104,A8)),0))</f>
        <v/>
      </c>
      <c r="K8" s="22" t="n">
        <v>9.800000000000001</v>
      </c>
      <c r="L8" s="22" t="n">
        <v>0</v>
      </c>
      <c r="M8" s="11">
        <f>IF(A8="","",IFERROR(INDEX('NK Verteilung'!$BB$5:$BB$64,A8),0))</f>
        <v/>
      </c>
      <c r="N8" s="22" t="n"/>
      <c r="O8" s="22" t="n">
        <v>0</v>
      </c>
      <c r="P8" s="11">
        <f>IF(A8="","",SUMIF($A$32:$A$131,A8,$K$32:$K$131))</f>
        <v/>
      </c>
      <c r="Q8" s="33">
        <f>IF(A8="","",P8+N(L8)+IF(N8&lt;&gt;"",N8,N(M8))+N(O8))</f>
        <v/>
      </c>
      <c r="R8" s="11">
        <f>IF(A8="","",N(J8)+N(K8))</f>
        <v/>
      </c>
      <c r="S8" s="33">
        <f>IF(A8="","",MAX(0,MIN(Q8,R8)))</f>
        <v/>
      </c>
      <c r="T8" s="33">
        <f>IF(A8="","",R8-S8)</f>
        <v/>
      </c>
      <c r="U8" s="11">
        <f>IF(A8="","",MAX(0,Q8-R8))</f>
        <v/>
      </c>
      <c r="V8" s="11">
        <f>IF(A8="","",MAX(0,-Q8))</f>
        <v/>
      </c>
      <c r="W8" s="23">
        <f>IF(A8="","",IF(B8="","ID ohne Mieter",IF(C8="","Mietende fehlt",IF(AND(D8&lt;&gt;"",D8-C8&gt;5),"Abnahme &gt; 5 Tage nach Mietende: Rügefrist",""))))</f>
        <v/>
      </c>
    </row>
    <row r="9">
      <c r="A9" s="26" t="n"/>
      <c r="B9" s="23">
        <f>IF(A9="","",IFERROR(INDEX('Mein Haus'!$C$45:$C$104,A9)&amp;"",""))</f>
        <v/>
      </c>
      <c r="C9" s="21">
        <f>IF(A9="","",IFERROR(IF(INDEX('Mein Haus'!$F$45:$F$104,A9)="","",INDEX('Mein Haus'!$F$45:$F$104,A9)),""))</f>
        <v/>
      </c>
      <c r="D9" s="20" t="n"/>
      <c r="E9" s="16" t="n"/>
      <c r="F9" s="26" t="n"/>
      <c r="G9" s="26" t="n"/>
      <c r="H9" s="26" t="n"/>
      <c r="I9" s="16" t="n"/>
      <c r="J9" s="11">
        <f>IF(A9="","",IFERROR(N(INDEX('Mein Haus'!$I$45:$I$104,A9)),0))</f>
        <v/>
      </c>
      <c r="K9" s="22" t="n"/>
      <c r="L9" s="22" t="n"/>
      <c r="M9" s="11">
        <f>IF(A9="","",IFERROR(INDEX('NK Verteilung'!$BB$5:$BB$64,A9),0))</f>
        <v/>
      </c>
      <c r="N9" s="22" t="n"/>
      <c r="O9" s="22" t="n"/>
      <c r="P9" s="11">
        <f>IF(A9="","",SUMIF($A$32:$A$131,A9,$K$32:$K$131))</f>
        <v/>
      </c>
      <c r="Q9" s="33">
        <f>IF(A9="","",P9+N(L9)+IF(N9&lt;&gt;"",N9,N(M9))+N(O9))</f>
        <v/>
      </c>
      <c r="R9" s="11">
        <f>IF(A9="","",N(J9)+N(K9))</f>
        <v/>
      </c>
      <c r="S9" s="33">
        <f>IF(A9="","",MAX(0,MIN(Q9,R9)))</f>
        <v/>
      </c>
      <c r="T9" s="33">
        <f>IF(A9="","",R9-S9)</f>
        <v/>
      </c>
      <c r="U9" s="11">
        <f>IF(A9="","",MAX(0,Q9-R9))</f>
        <v/>
      </c>
      <c r="V9" s="11">
        <f>IF(A9="","",MAX(0,-Q9))</f>
        <v/>
      </c>
      <c r="W9" s="23">
        <f>IF(A9="","",IF(B9="","ID ohne Mieter",IF(C9="","Mietende fehlt",IF(AND(D9&lt;&gt;"",D9-C9&gt;5),"Abnahme &gt; 5 Tage nach Mietende: Rügefrist",""))))</f>
        <v/>
      </c>
    </row>
    <row r="10">
      <c r="A10" s="26" t="n"/>
      <c r="B10" s="23">
        <f>IF(A10="","",IFERROR(INDEX('Mein Haus'!$C$45:$C$104,A10)&amp;"",""))</f>
        <v/>
      </c>
      <c r="C10" s="21">
        <f>IF(A10="","",IFERROR(IF(INDEX('Mein Haus'!$F$45:$F$104,A10)="","",INDEX('Mein Haus'!$F$45:$F$104,A10)),""))</f>
        <v/>
      </c>
      <c r="D10" s="20" t="n"/>
      <c r="E10" s="16" t="n"/>
      <c r="F10" s="26" t="n"/>
      <c r="G10" s="26" t="n"/>
      <c r="H10" s="26" t="n"/>
      <c r="I10" s="16" t="n"/>
      <c r="J10" s="11">
        <f>IF(A10="","",IFERROR(N(INDEX('Mein Haus'!$I$45:$I$104,A10)),0))</f>
        <v/>
      </c>
      <c r="K10" s="22" t="n"/>
      <c r="L10" s="22" t="n"/>
      <c r="M10" s="11">
        <f>IF(A10="","",IFERROR(INDEX('NK Verteilung'!$BB$5:$BB$64,A10),0))</f>
        <v/>
      </c>
      <c r="N10" s="22" t="n"/>
      <c r="O10" s="22" t="n"/>
      <c r="P10" s="11">
        <f>IF(A10="","",SUMIF($A$32:$A$131,A10,$K$32:$K$131))</f>
        <v/>
      </c>
      <c r="Q10" s="33">
        <f>IF(A10="","",P10+N(L10)+IF(N10&lt;&gt;"",N10,N(M10))+N(O10))</f>
        <v/>
      </c>
      <c r="R10" s="11">
        <f>IF(A10="","",N(J10)+N(K10))</f>
        <v/>
      </c>
      <c r="S10" s="33">
        <f>IF(A10="","",MAX(0,MIN(Q10,R10)))</f>
        <v/>
      </c>
      <c r="T10" s="33">
        <f>IF(A10="","",R10-S10)</f>
        <v/>
      </c>
      <c r="U10" s="11">
        <f>IF(A10="","",MAX(0,Q10-R10))</f>
        <v/>
      </c>
      <c r="V10" s="11">
        <f>IF(A10="","",MAX(0,-Q10))</f>
        <v/>
      </c>
      <c r="W10" s="23">
        <f>IF(A10="","",IF(B10="","ID ohne Mieter",IF(C10="","Mietende fehlt",IF(AND(D10&lt;&gt;"",D10-C10&gt;5),"Abnahme &gt; 5 Tage nach Mietende: Rügefrist",""))))</f>
        <v/>
      </c>
    </row>
    <row r="11">
      <c r="A11" s="26" t="n"/>
      <c r="B11" s="23">
        <f>IF(A11="","",IFERROR(INDEX('Mein Haus'!$C$45:$C$104,A11)&amp;"",""))</f>
        <v/>
      </c>
      <c r="C11" s="21">
        <f>IF(A11="","",IFERROR(IF(INDEX('Mein Haus'!$F$45:$F$104,A11)="","",INDEX('Mein Haus'!$F$45:$F$104,A11)),""))</f>
        <v/>
      </c>
      <c r="D11" s="20" t="n"/>
      <c r="E11" s="16" t="n"/>
      <c r="F11" s="26" t="n"/>
      <c r="G11" s="26" t="n"/>
      <c r="H11" s="26" t="n"/>
      <c r="I11" s="16" t="n"/>
      <c r="J11" s="11">
        <f>IF(A11="","",IFERROR(N(INDEX('Mein Haus'!$I$45:$I$104,A11)),0))</f>
        <v/>
      </c>
      <c r="K11" s="22" t="n"/>
      <c r="L11" s="22" t="n"/>
      <c r="M11" s="11">
        <f>IF(A11="","",IFERROR(INDEX('NK Verteilung'!$BB$5:$BB$64,A11),0))</f>
        <v/>
      </c>
      <c r="N11" s="22" t="n"/>
      <c r="O11" s="22" t="n"/>
      <c r="P11" s="11">
        <f>IF(A11="","",SUMIF($A$32:$A$131,A11,$K$32:$K$131))</f>
        <v/>
      </c>
      <c r="Q11" s="33">
        <f>IF(A11="","",P11+N(L11)+IF(N11&lt;&gt;"",N11,N(M11))+N(O11))</f>
        <v/>
      </c>
      <c r="R11" s="11">
        <f>IF(A11="","",N(J11)+N(K11))</f>
        <v/>
      </c>
      <c r="S11" s="33">
        <f>IF(A11="","",MAX(0,MIN(Q11,R11)))</f>
        <v/>
      </c>
      <c r="T11" s="33">
        <f>IF(A11="","",R11-S11)</f>
        <v/>
      </c>
      <c r="U11" s="11">
        <f>IF(A11="","",MAX(0,Q11-R11))</f>
        <v/>
      </c>
      <c r="V11" s="11">
        <f>IF(A11="","",MAX(0,-Q11))</f>
        <v/>
      </c>
      <c r="W11" s="23">
        <f>IF(A11="","",IF(B11="","ID ohne Mieter",IF(C11="","Mietende fehlt",IF(AND(D11&lt;&gt;"",D11-C11&gt;5),"Abnahme &gt; 5 Tage nach Mietende: Rügefrist",""))))</f>
        <v/>
      </c>
    </row>
    <row r="12">
      <c r="A12" s="26" t="n"/>
      <c r="B12" s="23">
        <f>IF(A12="","",IFERROR(INDEX('Mein Haus'!$C$45:$C$104,A12)&amp;"",""))</f>
        <v/>
      </c>
      <c r="C12" s="21">
        <f>IF(A12="","",IFERROR(IF(INDEX('Mein Haus'!$F$45:$F$104,A12)="","",INDEX('Mein Haus'!$F$45:$F$104,A12)),""))</f>
        <v/>
      </c>
      <c r="D12" s="20" t="n"/>
      <c r="E12" s="16" t="n"/>
      <c r="F12" s="26" t="n"/>
      <c r="G12" s="26" t="n"/>
      <c r="H12" s="26" t="n"/>
      <c r="I12" s="16" t="n"/>
      <c r="J12" s="11">
        <f>IF(A12="","",IFERROR(N(INDEX('Mein Haus'!$I$45:$I$104,A12)),0))</f>
        <v/>
      </c>
      <c r="K12" s="22" t="n"/>
      <c r="L12" s="22" t="n"/>
      <c r="M12" s="11">
        <f>IF(A12="","",IFERROR(INDEX('NK Verteilung'!$BB$5:$BB$64,A12),0))</f>
        <v/>
      </c>
      <c r="N12" s="22" t="n"/>
      <c r="O12" s="22" t="n"/>
      <c r="P12" s="11">
        <f>IF(A12="","",SUMIF($A$32:$A$131,A12,$K$32:$K$131))</f>
        <v/>
      </c>
      <c r="Q12" s="33">
        <f>IF(A12="","",P12+N(L12)+IF(N12&lt;&gt;"",N12,N(M12))+N(O12))</f>
        <v/>
      </c>
      <c r="R12" s="11">
        <f>IF(A12="","",N(J12)+N(K12))</f>
        <v/>
      </c>
      <c r="S12" s="33">
        <f>IF(A12="","",MAX(0,MIN(Q12,R12)))</f>
        <v/>
      </c>
      <c r="T12" s="33">
        <f>IF(A12="","",R12-S12)</f>
        <v/>
      </c>
      <c r="U12" s="11">
        <f>IF(A12="","",MAX(0,Q12-R12))</f>
        <v/>
      </c>
      <c r="V12" s="11">
        <f>IF(A12="","",MAX(0,-Q12))</f>
        <v/>
      </c>
      <c r="W12" s="23">
        <f>IF(A12="","",IF(B12="","ID ohne Mieter",IF(C12="","Mietende fehlt",IF(AND(D12&lt;&gt;"",D12-C12&gt;5),"Abnahme &gt; 5 Tage nach Mietende: Rügefrist",""))))</f>
        <v/>
      </c>
    </row>
    <row r="13">
      <c r="A13" s="26" t="n"/>
      <c r="B13" s="23">
        <f>IF(A13="","",IFERROR(INDEX('Mein Haus'!$C$45:$C$104,A13)&amp;"",""))</f>
        <v/>
      </c>
      <c r="C13" s="21">
        <f>IF(A13="","",IFERROR(IF(INDEX('Mein Haus'!$F$45:$F$104,A13)="","",INDEX('Mein Haus'!$F$45:$F$104,A13)),""))</f>
        <v/>
      </c>
      <c r="D13" s="20" t="n"/>
      <c r="E13" s="16" t="n"/>
      <c r="F13" s="26" t="n"/>
      <c r="G13" s="26" t="n"/>
      <c r="H13" s="26" t="n"/>
      <c r="I13" s="16" t="n"/>
      <c r="J13" s="11">
        <f>IF(A13="","",IFERROR(N(INDEX('Mein Haus'!$I$45:$I$104,A13)),0))</f>
        <v/>
      </c>
      <c r="K13" s="22" t="n"/>
      <c r="L13" s="22" t="n"/>
      <c r="M13" s="11">
        <f>IF(A13="","",IFERROR(INDEX('NK Verteilung'!$BB$5:$BB$64,A13),0))</f>
        <v/>
      </c>
      <c r="N13" s="22" t="n"/>
      <c r="O13" s="22" t="n"/>
      <c r="P13" s="11">
        <f>IF(A13="","",SUMIF($A$32:$A$131,A13,$K$32:$K$131))</f>
        <v/>
      </c>
      <c r="Q13" s="33">
        <f>IF(A13="","",P13+N(L13)+IF(N13&lt;&gt;"",N13,N(M13))+N(O13))</f>
        <v/>
      </c>
      <c r="R13" s="11">
        <f>IF(A13="","",N(J13)+N(K13))</f>
        <v/>
      </c>
      <c r="S13" s="33">
        <f>IF(A13="","",MAX(0,MIN(Q13,R13)))</f>
        <v/>
      </c>
      <c r="T13" s="33">
        <f>IF(A13="","",R13-S13)</f>
        <v/>
      </c>
      <c r="U13" s="11">
        <f>IF(A13="","",MAX(0,Q13-R13))</f>
        <v/>
      </c>
      <c r="V13" s="11">
        <f>IF(A13="","",MAX(0,-Q13))</f>
        <v/>
      </c>
      <c r="W13" s="23">
        <f>IF(A13="","",IF(B13="","ID ohne Mieter",IF(C13="","Mietende fehlt",IF(AND(D13&lt;&gt;"",D13-C13&gt;5),"Abnahme &gt; 5 Tage nach Mietende: Rügefrist",""))))</f>
        <v/>
      </c>
    </row>
    <row r="14">
      <c r="A14" s="26" t="n"/>
      <c r="B14" s="23">
        <f>IF(A14="","",IFERROR(INDEX('Mein Haus'!$C$45:$C$104,A14)&amp;"",""))</f>
        <v/>
      </c>
      <c r="C14" s="21">
        <f>IF(A14="","",IFERROR(IF(INDEX('Mein Haus'!$F$45:$F$104,A14)="","",INDEX('Mein Haus'!$F$45:$F$104,A14)),""))</f>
        <v/>
      </c>
      <c r="D14" s="20" t="n"/>
      <c r="E14" s="16" t="n"/>
      <c r="F14" s="26" t="n"/>
      <c r="G14" s="26" t="n"/>
      <c r="H14" s="26" t="n"/>
      <c r="I14" s="16" t="n"/>
      <c r="J14" s="11">
        <f>IF(A14="","",IFERROR(N(INDEX('Mein Haus'!$I$45:$I$104,A14)),0))</f>
        <v/>
      </c>
      <c r="K14" s="22" t="n"/>
      <c r="L14" s="22" t="n"/>
      <c r="M14" s="11">
        <f>IF(A14="","",IFERROR(INDEX('NK Verteilung'!$BB$5:$BB$64,A14),0))</f>
        <v/>
      </c>
      <c r="N14" s="22" t="n"/>
      <c r="O14" s="22" t="n"/>
      <c r="P14" s="11">
        <f>IF(A14="","",SUMIF($A$32:$A$131,A14,$K$32:$K$131))</f>
        <v/>
      </c>
      <c r="Q14" s="33">
        <f>IF(A14="","",P14+N(L14)+IF(N14&lt;&gt;"",N14,N(M14))+N(O14))</f>
        <v/>
      </c>
      <c r="R14" s="11">
        <f>IF(A14="","",N(J14)+N(K14))</f>
        <v/>
      </c>
      <c r="S14" s="33">
        <f>IF(A14="","",MAX(0,MIN(Q14,R14)))</f>
        <v/>
      </c>
      <c r="T14" s="33">
        <f>IF(A14="","",R14-S14)</f>
        <v/>
      </c>
      <c r="U14" s="11">
        <f>IF(A14="","",MAX(0,Q14-R14))</f>
        <v/>
      </c>
      <c r="V14" s="11">
        <f>IF(A14="","",MAX(0,-Q14))</f>
        <v/>
      </c>
      <c r="W14" s="23">
        <f>IF(A14="","",IF(B14="","ID ohne Mieter",IF(C14="","Mietende fehlt",IF(AND(D14&lt;&gt;"",D14-C14&gt;5),"Abnahme &gt; 5 Tage nach Mietende: Rügefrist",""))))</f>
        <v/>
      </c>
    </row>
    <row r="15">
      <c r="A15" s="26" t="n"/>
      <c r="B15" s="23">
        <f>IF(A15="","",IFERROR(INDEX('Mein Haus'!$C$45:$C$104,A15)&amp;"",""))</f>
        <v/>
      </c>
      <c r="C15" s="21">
        <f>IF(A15="","",IFERROR(IF(INDEX('Mein Haus'!$F$45:$F$104,A15)="","",INDEX('Mein Haus'!$F$45:$F$104,A15)),""))</f>
        <v/>
      </c>
      <c r="D15" s="20" t="n"/>
      <c r="E15" s="16" t="n"/>
      <c r="F15" s="26" t="n"/>
      <c r="G15" s="26" t="n"/>
      <c r="H15" s="26" t="n"/>
      <c r="I15" s="16" t="n"/>
      <c r="J15" s="11">
        <f>IF(A15="","",IFERROR(N(INDEX('Mein Haus'!$I$45:$I$104,A15)),0))</f>
        <v/>
      </c>
      <c r="K15" s="22" t="n"/>
      <c r="L15" s="22" t="n"/>
      <c r="M15" s="11">
        <f>IF(A15="","",IFERROR(INDEX('NK Verteilung'!$BB$5:$BB$64,A15),0))</f>
        <v/>
      </c>
      <c r="N15" s="22" t="n"/>
      <c r="O15" s="22" t="n"/>
      <c r="P15" s="11">
        <f>IF(A15="","",SUMIF($A$32:$A$131,A15,$K$32:$K$131))</f>
        <v/>
      </c>
      <c r="Q15" s="33">
        <f>IF(A15="","",P15+N(L15)+IF(N15&lt;&gt;"",N15,N(M15))+N(O15))</f>
        <v/>
      </c>
      <c r="R15" s="11">
        <f>IF(A15="","",N(J15)+N(K15))</f>
        <v/>
      </c>
      <c r="S15" s="33">
        <f>IF(A15="","",MAX(0,MIN(Q15,R15)))</f>
        <v/>
      </c>
      <c r="T15" s="33">
        <f>IF(A15="","",R15-S15)</f>
        <v/>
      </c>
      <c r="U15" s="11">
        <f>IF(A15="","",MAX(0,Q15-R15))</f>
        <v/>
      </c>
      <c r="V15" s="11">
        <f>IF(A15="","",MAX(0,-Q15))</f>
        <v/>
      </c>
      <c r="W15" s="23">
        <f>IF(A15="","",IF(B15="","ID ohne Mieter",IF(C15="","Mietende fehlt",IF(AND(D15&lt;&gt;"",D15-C15&gt;5),"Abnahme &gt; 5 Tage nach Mietende: Rügefrist",""))))</f>
        <v/>
      </c>
    </row>
    <row r="16">
      <c r="A16" s="26" t="n"/>
      <c r="B16" s="23">
        <f>IF(A16="","",IFERROR(INDEX('Mein Haus'!$C$45:$C$104,A16)&amp;"",""))</f>
        <v/>
      </c>
      <c r="C16" s="21">
        <f>IF(A16="","",IFERROR(IF(INDEX('Mein Haus'!$F$45:$F$104,A16)="","",INDEX('Mein Haus'!$F$45:$F$104,A16)),""))</f>
        <v/>
      </c>
      <c r="D16" s="20" t="n"/>
      <c r="E16" s="16" t="n"/>
      <c r="F16" s="26" t="n"/>
      <c r="G16" s="26" t="n"/>
      <c r="H16" s="26" t="n"/>
      <c r="I16" s="16" t="n"/>
      <c r="J16" s="11">
        <f>IF(A16="","",IFERROR(N(INDEX('Mein Haus'!$I$45:$I$104,A16)),0))</f>
        <v/>
      </c>
      <c r="K16" s="22" t="n"/>
      <c r="L16" s="22" t="n"/>
      <c r="M16" s="11">
        <f>IF(A16="","",IFERROR(INDEX('NK Verteilung'!$BB$5:$BB$64,A16),0))</f>
        <v/>
      </c>
      <c r="N16" s="22" t="n"/>
      <c r="O16" s="22" t="n"/>
      <c r="P16" s="11">
        <f>IF(A16="","",SUMIF($A$32:$A$131,A16,$K$32:$K$131))</f>
        <v/>
      </c>
      <c r="Q16" s="33">
        <f>IF(A16="","",P16+N(L16)+IF(N16&lt;&gt;"",N16,N(M16))+N(O16))</f>
        <v/>
      </c>
      <c r="R16" s="11">
        <f>IF(A16="","",N(J16)+N(K16))</f>
        <v/>
      </c>
      <c r="S16" s="33">
        <f>IF(A16="","",MAX(0,MIN(Q16,R16)))</f>
        <v/>
      </c>
      <c r="T16" s="33">
        <f>IF(A16="","",R16-S16)</f>
        <v/>
      </c>
      <c r="U16" s="11">
        <f>IF(A16="","",MAX(0,Q16-R16))</f>
        <v/>
      </c>
      <c r="V16" s="11">
        <f>IF(A16="","",MAX(0,-Q16))</f>
        <v/>
      </c>
      <c r="W16" s="23">
        <f>IF(A16="","",IF(B16="","ID ohne Mieter",IF(C16="","Mietende fehlt",IF(AND(D16&lt;&gt;"",D16-C16&gt;5),"Abnahme &gt; 5 Tage nach Mietende: Rügefrist",""))))</f>
        <v/>
      </c>
    </row>
    <row r="17">
      <c r="A17" s="26" t="n"/>
      <c r="B17" s="23">
        <f>IF(A17="","",IFERROR(INDEX('Mein Haus'!$C$45:$C$104,A17)&amp;"",""))</f>
        <v/>
      </c>
      <c r="C17" s="21">
        <f>IF(A17="","",IFERROR(IF(INDEX('Mein Haus'!$F$45:$F$104,A17)="","",INDEX('Mein Haus'!$F$45:$F$104,A17)),""))</f>
        <v/>
      </c>
      <c r="D17" s="20" t="n"/>
      <c r="E17" s="16" t="n"/>
      <c r="F17" s="26" t="n"/>
      <c r="G17" s="26" t="n"/>
      <c r="H17" s="26" t="n"/>
      <c r="I17" s="16" t="n"/>
      <c r="J17" s="11">
        <f>IF(A17="","",IFERROR(N(INDEX('Mein Haus'!$I$45:$I$104,A17)),0))</f>
        <v/>
      </c>
      <c r="K17" s="22" t="n"/>
      <c r="L17" s="22" t="n"/>
      <c r="M17" s="11">
        <f>IF(A17="","",IFERROR(INDEX('NK Verteilung'!$BB$5:$BB$64,A17),0))</f>
        <v/>
      </c>
      <c r="N17" s="22" t="n"/>
      <c r="O17" s="22" t="n"/>
      <c r="P17" s="11">
        <f>IF(A17="","",SUMIF($A$32:$A$131,A17,$K$32:$K$131))</f>
        <v/>
      </c>
      <c r="Q17" s="33">
        <f>IF(A17="","",P17+N(L17)+IF(N17&lt;&gt;"",N17,N(M17))+N(O17))</f>
        <v/>
      </c>
      <c r="R17" s="11">
        <f>IF(A17="","",N(J17)+N(K17))</f>
        <v/>
      </c>
      <c r="S17" s="33">
        <f>IF(A17="","",MAX(0,MIN(Q17,R17)))</f>
        <v/>
      </c>
      <c r="T17" s="33">
        <f>IF(A17="","",R17-S17)</f>
        <v/>
      </c>
      <c r="U17" s="11">
        <f>IF(A17="","",MAX(0,Q17-R17))</f>
        <v/>
      </c>
      <c r="V17" s="11">
        <f>IF(A17="","",MAX(0,-Q17))</f>
        <v/>
      </c>
      <c r="W17" s="23">
        <f>IF(A17="","",IF(B17="","ID ohne Mieter",IF(C17="","Mietende fehlt",IF(AND(D17&lt;&gt;"",D17-C17&gt;5),"Abnahme &gt; 5 Tage nach Mietende: Rügefrist",""))))</f>
        <v/>
      </c>
    </row>
    <row r="18">
      <c r="A18" s="26" t="n"/>
      <c r="B18" s="23">
        <f>IF(A18="","",IFERROR(INDEX('Mein Haus'!$C$45:$C$104,A18)&amp;"",""))</f>
        <v/>
      </c>
      <c r="C18" s="21">
        <f>IF(A18="","",IFERROR(IF(INDEX('Mein Haus'!$F$45:$F$104,A18)="","",INDEX('Mein Haus'!$F$45:$F$104,A18)),""))</f>
        <v/>
      </c>
      <c r="D18" s="20" t="n"/>
      <c r="E18" s="16" t="n"/>
      <c r="F18" s="26" t="n"/>
      <c r="G18" s="26" t="n"/>
      <c r="H18" s="26" t="n"/>
      <c r="I18" s="16" t="n"/>
      <c r="J18" s="11">
        <f>IF(A18="","",IFERROR(N(INDEX('Mein Haus'!$I$45:$I$104,A18)),0))</f>
        <v/>
      </c>
      <c r="K18" s="22" t="n"/>
      <c r="L18" s="22" t="n"/>
      <c r="M18" s="11">
        <f>IF(A18="","",IFERROR(INDEX('NK Verteilung'!$BB$5:$BB$64,A18),0))</f>
        <v/>
      </c>
      <c r="N18" s="22" t="n"/>
      <c r="O18" s="22" t="n"/>
      <c r="P18" s="11">
        <f>IF(A18="","",SUMIF($A$32:$A$131,A18,$K$32:$K$131))</f>
        <v/>
      </c>
      <c r="Q18" s="33">
        <f>IF(A18="","",P18+N(L18)+IF(N18&lt;&gt;"",N18,N(M18))+N(O18))</f>
        <v/>
      </c>
      <c r="R18" s="11">
        <f>IF(A18="","",N(J18)+N(K18))</f>
        <v/>
      </c>
      <c r="S18" s="33">
        <f>IF(A18="","",MAX(0,MIN(Q18,R18)))</f>
        <v/>
      </c>
      <c r="T18" s="33">
        <f>IF(A18="","",R18-S18)</f>
        <v/>
      </c>
      <c r="U18" s="11">
        <f>IF(A18="","",MAX(0,Q18-R18))</f>
        <v/>
      </c>
      <c r="V18" s="11">
        <f>IF(A18="","",MAX(0,-Q18))</f>
        <v/>
      </c>
      <c r="W18" s="23">
        <f>IF(A18="","",IF(B18="","ID ohne Mieter",IF(C18="","Mietende fehlt",IF(AND(D18&lt;&gt;"",D18-C18&gt;5),"Abnahme &gt; 5 Tage nach Mietende: Rügefrist",""))))</f>
        <v/>
      </c>
    </row>
    <row r="19">
      <c r="A19" s="26" t="n"/>
      <c r="B19" s="23">
        <f>IF(A19="","",IFERROR(INDEX('Mein Haus'!$C$45:$C$104,A19)&amp;"",""))</f>
        <v/>
      </c>
      <c r="C19" s="21">
        <f>IF(A19="","",IFERROR(IF(INDEX('Mein Haus'!$F$45:$F$104,A19)="","",INDEX('Mein Haus'!$F$45:$F$104,A19)),""))</f>
        <v/>
      </c>
      <c r="D19" s="20" t="n"/>
      <c r="E19" s="16" t="n"/>
      <c r="F19" s="26" t="n"/>
      <c r="G19" s="26" t="n"/>
      <c r="H19" s="26" t="n"/>
      <c r="I19" s="16" t="n"/>
      <c r="J19" s="11">
        <f>IF(A19="","",IFERROR(N(INDEX('Mein Haus'!$I$45:$I$104,A19)),0))</f>
        <v/>
      </c>
      <c r="K19" s="22" t="n"/>
      <c r="L19" s="22" t="n"/>
      <c r="M19" s="11">
        <f>IF(A19="","",IFERROR(INDEX('NK Verteilung'!$BB$5:$BB$64,A19),0))</f>
        <v/>
      </c>
      <c r="N19" s="22" t="n"/>
      <c r="O19" s="22" t="n"/>
      <c r="P19" s="11">
        <f>IF(A19="","",SUMIF($A$32:$A$131,A19,$K$32:$K$131))</f>
        <v/>
      </c>
      <c r="Q19" s="33">
        <f>IF(A19="","",P19+N(L19)+IF(N19&lt;&gt;"",N19,N(M19))+N(O19))</f>
        <v/>
      </c>
      <c r="R19" s="11">
        <f>IF(A19="","",N(J19)+N(K19))</f>
        <v/>
      </c>
      <c r="S19" s="33">
        <f>IF(A19="","",MAX(0,MIN(Q19,R19)))</f>
        <v/>
      </c>
      <c r="T19" s="33">
        <f>IF(A19="","",R19-S19)</f>
        <v/>
      </c>
      <c r="U19" s="11">
        <f>IF(A19="","",MAX(0,Q19-R19))</f>
        <v/>
      </c>
      <c r="V19" s="11">
        <f>IF(A19="","",MAX(0,-Q19))</f>
        <v/>
      </c>
      <c r="W19" s="23">
        <f>IF(A19="","",IF(B19="","ID ohne Mieter",IF(C19="","Mietende fehlt",IF(AND(D19&lt;&gt;"",D19-C19&gt;5),"Abnahme &gt; 5 Tage nach Mietende: Rügefrist",""))))</f>
        <v/>
      </c>
    </row>
    <row r="20">
      <c r="A20" s="26" t="n"/>
      <c r="B20" s="23">
        <f>IF(A20="","",IFERROR(INDEX('Mein Haus'!$C$45:$C$104,A20)&amp;"",""))</f>
        <v/>
      </c>
      <c r="C20" s="21">
        <f>IF(A20="","",IFERROR(IF(INDEX('Mein Haus'!$F$45:$F$104,A20)="","",INDEX('Mein Haus'!$F$45:$F$104,A20)),""))</f>
        <v/>
      </c>
      <c r="D20" s="20" t="n"/>
      <c r="E20" s="16" t="n"/>
      <c r="F20" s="26" t="n"/>
      <c r="G20" s="26" t="n"/>
      <c r="H20" s="26" t="n"/>
      <c r="I20" s="16" t="n"/>
      <c r="J20" s="11">
        <f>IF(A20="","",IFERROR(N(INDEX('Mein Haus'!$I$45:$I$104,A20)),0))</f>
        <v/>
      </c>
      <c r="K20" s="22" t="n"/>
      <c r="L20" s="22" t="n"/>
      <c r="M20" s="11">
        <f>IF(A20="","",IFERROR(INDEX('NK Verteilung'!$BB$5:$BB$64,A20),0))</f>
        <v/>
      </c>
      <c r="N20" s="22" t="n"/>
      <c r="O20" s="22" t="n"/>
      <c r="P20" s="11">
        <f>IF(A20="","",SUMIF($A$32:$A$131,A20,$K$32:$K$131))</f>
        <v/>
      </c>
      <c r="Q20" s="33">
        <f>IF(A20="","",P20+N(L20)+IF(N20&lt;&gt;"",N20,N(M20))+N(O20))</f>
        <v/>
      </c>
      <c r="R20" s="11">
        <f>IF(A20="","",N(J20)+N(K20))</f>
        <v/>
      </c>
      <c r="S20" s="33">
        <f>IF(A20="","",MAX(0,MIN(Q20,R20)))</f>
        <v/>
      </c>
      <c r="T20" s="33">
        <f>IF(A20="","",R20-S20)</f>
        <v/>
      </c>
      <c r="U20" s="11">
        <f>IF(A20="","",MAX(0,Q20-R20))</f>
        <v/>
      </c>
      <c r="V20" s="11">
        <f>IF(A20="","",MAX(0,-Q20))</f>
        <v/>
      </c>
      <c r="W20" s="23">
        <f>IF(A20="","",IF(B20="","ID ohne Mieter",IF(C20="","Mietende fehlt",IF(AND(D20&lt;&gt;"",D20-C20&gt;5),"Abnahme &gt; 5 Tage nach Mietende: Rügefrist",""))))</f>
        <v/>
      </c>
    </row>
    <row r="21">
      <c r="A21" s="26" t="n"/>
      <c r="B21" s="23">
        <f>IF(A21="","",IFERROR(INDEX('Mein Haus'!$C$45:$C$104,A21)&amp;"",""))</f>
        <v/>
      </c>
      <c r="C21" s="21">
        <f>IF(A21="","",IFERROR(IF(INDEX('Mein Haus'!$F$45:$F$104,A21)="","",INDEX('Mein Haus'!$F$45:$F$104,A21)),""))</f>
        <v/>
      </c>
      <c r="D21" s="20" t="n"/>
      <c r="E21" s="16" t="n"/>
      <c r="F21" s="26" t="n"/>
      <c r="G21" s="26" t="n"/>
      <c r="H21" s="26" t="n"/>
      <c r="I21" s="16" t="n"/>
      <c r="J21" s="11">
        <f>IF(A21="","",IFERROR(N(INDEX('Mein Haus'!$I$45:$I$104,A21)),0))</f>
        <v/>
      </c>
      <c r="K21" s="22" t="n"/>
      <c r="L21" s="22" t="n"/>
      <c r="M21" s="11">
        <f>IF(A21="","",IFERROR(INDEX('NK Verteilung'!$BB$5:$BB$64,A21),0))</f>
        <v/>
      </c>
      <c r="N21" s="22" t="n"/>
      <c r="O21" s="22" t="n"/>
      <c r="P21" s="11">
        <f>IF(A21="","",SUMIF($A$32:$A$131,A21,$K$32:$K$131))</f>
        <v/>
      </c>
      <c r="Q21" s="33">
        <f>IF(A21="","",P21+N(L21)+IF(N21&lt;&gt;"",N21,N(M21))+N(O21))</f>
        <v/>
      </c>
      <c r="R21" s="11">
        <f>IF(A21="","",N(J21)+N(K21))</f>
        <v/>
      </c>
      <c r="S21" s="33">
        <f>IF(A21="","",MAX(0,MIN(Q21,R21)))</f>
        <v/>
      </c>
      <c r="T21" s="33">
        <f>IF(A21="","",R21-S21)</f>
        <v/>
      </c>
      <c r="U21" s="11">
        <f>IF(A21="","",MAX(0,Q21-R21))</f>
        <v/>
      </c>
      <c r="V21" s="11">
        <f>IF(A21="","",MAX(0,-Q21))</f>
        <v/>
      </c>
      <c r="W21" s="23">
        <f>IF(A21="","",IF(B21="","ID ohne Mieter",IF(C21="","Mietende fehlt",IF(AND(D21&lt;&gt;"",D21-C21&gt;5),"Abnahme &gt; 5 Tage nach Mietende: Rügefrist",""))))</f>
        <v/>
      </c>
    </row>
    <row r="22">
      <c r="A22" s="26" t="n"/>
      <c r="B22" s="23">
        <f>IF(A22="","",IFERROR(INDEX('Mein Haus'!$C$45:$C$104,A22)&amp;"",""))</f>
        <v/>
      </c>
      <c r="C22" s="21">
        <f>IF(A22="","",IFERROR(IF(INDEX('Mein Haus'!$F$45:$F$104,A22)="","",INDEX('Mein Haus'!$F$45:$F$104,A22)),""))</f>
        <v/>
      </c>
      <c r="D22" s="20" t="n"/>
      <c r="E22" s="16" t="n"/>
      <c r="F22" s="26" t="n"/>
      <c r="G22" s="26" t="n"/>
      <c r="H22" s="26" t="n"/>
      <c r="I22" s="16" t="n"/>
      <c r="J22" s="11">
        <f>IF(A22="","",IFERROR(N(INDEX('Mein Haus'!$I$45:$I$104,A22)),0))</f>
        <v/>
      </c>
      <c r="K22" s="22" t="n"/>
      <c r="L22" s="22" t="n"/>
      <c r="M22" s="11">
        <f>IF(A22="","",IFERROR(INDEX('NK Verteilung'!$BB$5:$BB$64,A22),0))</f>
        <v/>
      </c>
      <c r="N22" s="22" t="n"/>
      <c r="O22" s="22" t="n"/>
      <c r="P22" s="11">
        <f>IF(A22="","",SUMIF($A$32:$A$131,A22,$K$32:$K$131))</f>
        <v/>
      </c>
      <c r="Q22" s="33">
        <f>IF(A22="","",P22+N(L22)+IF(N22&lt;&gt;"",N22,N(M22))+N(O22))</f>
        <v/>
      </c>
      <c r="R22" s="11">
        <f>IF(A22="","",N(J22)+N(K22))</f>
        <v/>
      </c>
      <c r="S22" s="33">
        <f>IF(A22="","",MAX(0,MIN(Q22,R22)))</f>
        <v/>
      </c>
      <c r="T22" s="33">
        <f>IF(A22="","",R22-S22)</f>
        <v/>
      </c>
      <c r="U22" s="11">
        <f>IF(A22="","",MAX(0,Q22-R22))</f>
        <v/>
      </c>
      <c r="V22" s="11">
        <f>IF(A22="","",MAX(0,-Q22))</f>
        <v/>
      </c>
      <c r="W22" s="23">
        <f>IF(A22="","",IF(B22="","ID ohne Mieter",IF(C22="","Mietende fehlt",IF(AND(D22&lt;&gt;"",D22-C22&gt;5),"Abnahme &gt; 5 Tage nach Mietende: Rügefrist",""))))</f>
        <v/>
      </c>
    </row>
    <row r="23">
      <c r="A23" s="26" t="n"/>
      <c r="B23" s="23">
        <f>IF(A23="","",IFERROR(INDEX('Mein Haus'!$C$45:$C$104,A23)&amp;"",""))</f>
        <v/>
      </c>
      <c r="C23" s="21">
        <f>IF(A23="","",IFERROR(IF(INDEX('Mein Haus'!$F$45:$F$104,A23)="","",INDEX('Mein Haus'!$F$45:$F$104,A23)),""))</f>
        <v/>
      </c>
      <c r="D23" s="20" t="n"/>
      <c r="E23" s="16" t="n"/>
      <c r="F23" s="26" t="n"/>
      <c r="G23" s="26" t="n"/>
      <c r="H23" s="26" t="n"/>
      <c r="I23" s="16" t="n"/>
      <c r="J23" s="11">
        <f>IF(A23="","",IFERROR(N(INDEX('Mein Haus'!$I$45:$I$104,A23)),0))</f>
        <v/>
      </c>
      <c r="K23" s="22" t="n"/>
      <c r="L23" s="22" t="n"/>
      <c r="M23" s="11">
        <f>IF(A23="","",IFERROR(INDEX('NK Verteilung'!$BB$5:$BB$64,A23),0))</f>
        <v/>
      </c>
      <c r="N23" s="22" t="n"/>
      <c r="O23" s="22" t="n"/>
      <c r="P23" s="11">
        <f>IF(A23="","",SUMIF($A$32:$A$131,A23,$K$32:$K$131))</f>
        <v/>
      </c>
      <c r="Q23" s="33">
        <f>IF(A23="","",P23+N(L23)+IF(N23&lt;&gt;"",N23,N(M23))+N(O23))</f>
        <v/>
      </c>
      <c r="R23" s="11">
        <f>IF(A23="","",N(J23)+N(K23))</f>
        <v/>
      </c>
      <c r="S23" s="33">
        <f>IF(A23="","",MAX(0,MIN(Q23,R23)))</f>
        <v/>
      </c>
      <c r="T23" s="33">
        <f>IF(A23="","",R23-S23)</f>
        <v/>
      </c>
      <c r="U23" s="11">
        <f>IF(A23="","",MAX(0,Q23-R23))</f>
        <v/>
      </c>
      <c r="V23" s="11">
        <f>IF(A23="","",MAX(0,-Q23))</f>
        <v/>
      </c>
      <c r="W23" s="23">
        <f>IF(A23="","",IF(B23="","ID ohne Mieter",IF(C23="","Mietende fehlt",IF(AND(D23&lt;&gt;"",D23-C23&gt;5),"Abnahme &gt; 5 Tage nach Mietende: Rügefrist",""))))</f>
        <v/>
      </c>
    </row>
    <row r="24">
      <c r="A24" s="26" t="n"/>
      <c r="B24" s="23">
        <f>IF(A24="","",IFERROR(INDEX('Mein Haus'!$C$45:$C$104,A24)&amp;"",""))</f>
        <v/>
      </c>
      <c r="C24" s="21">
        <f>IF(A24="","",IFERROR(IF(INDEX('Mein Haus'!$F$45:$F$104,A24)="","",INDEX('Mein Haus'!$F$45:$F$104,A24)),""))</f>
        <v/>
      </c>
      <c r="D24" s="20" t="n"/>
      <c r="E24" s="16" t="n"/>
      <c r="F24" s="26" t="n"/>
      <c r="G24" s="26" t="n"/>
      <c r="H24" s="26" t="n"/>
      <c r="I24" s="16" t="n"/>
      <c r="J24" s="11">
        <f>IF(A24="","",IFERROR(N(INDEX('Mein Haus'!$I$45:$I$104,A24)),0))</f>
        <v/>
      </c>
      <c r="K24" s="22" t="n"/>
      <c r="L24" s="22" t="n"/>
      <c r="M24" s="11">
        <f>IF(A24="","",IFERROR(INDEX('NK Verteilung'!$BB$5:$BB$64,A24),0))</f>
        <v/>
      </c>
      <c r="N24" s="22" t="n"/>
      <c r="O24" s="22" t="n"/>
      <c r="P24" s="11">
        <f>IF(A24="","",SUMIF($A$32:$A$131,A24,$K$32:$K$131))</f>
        <v/>
      </c>
      <c r="Q24" s="33">
        <f>IF(A24="","",P24+N(L24)+IF(N24&lt;&gt;"",N24,N(M24))+N(O24))</f>
        <v/>
      </c>
      <c r="R24" s="11">
        <f>IF(A24="","",N(J24)+N(K24))</f>
        <v/>
      </c>
      <c r="S24" s="33">
        <f>IF(A24="","",MAX(0,MIN(Q24,R24)))</f>
        <v/>
      </c>
      <c r="T24" s="33">
        <f>IF(A24="","",R24-S24)</f>
        <v/>
      </c>
      <c r="U24" s="11">
        <f>IF(A24="","",MAX(0,Q24-R24))</f>
        <v/>
      </c>
      <c r="V24" s="11">
        <f>IF(A24="","",MAX(0,-Q24))</f>
        <v/>
      </c>
      <c r="W24" s="23">
        <f>IF(A24="","",IF(B24="","ID ohne Mieter",IF(C24="","Mietende fehlt",IF(AND(D24&lt;&gt;"",D24-C24&gt;5),"Abnahme &gt; 5 Tage nach Mietende: Rügefrist",""))))</f>
        <v/>
      </c>
    </row>
    <row r="25">
      <c r="A25" s="26" t="n"/>
      <c r="B25" s="23">
        <f>IF(A25="","",IFERROR(INDEX('Mein Haus'!$C$45:$C$104,A25)&amp;"",""))</f>
        <v/>
      </c>
      <c r="C25" s="21">
        <f>IF(A25="","",IFERROR(IF(INDEX('Mein Haus'!$F$45:$F$104,A25)="","",INDEX('Mein Haus'!$F$45:$F$104,A25)),""))</f>
        <v/>
      </c>
      <c r="D25" s="20" t="n"/>
      <c r="E25" s="16" t="n"/>
      <c r="F25" s="26" t="n"/>
      <c r="G25" s="26" t="n"/>
      <c r="H25" s="26" t="n"/>
      <c r="I25" s="16" t="n"/>
      <c r="J25" s="11">
        <f>IF(A25="","",IFERROR(N(INDEX('Mein Haus'!$I$45:$I$104,A25)),0))</f>
        <v/>
      </c>
      <c r="K25" s="22" t="n"/>
      <c r="L25" s="22" t="n"/>
      <c r="M25" s="11">
        <f>IF(A25="","",IFERROR(INDEX('NK Verteilung'!$BB$5:$BB$64,A25),0))</f>
        <v/>
      </c>
      <c r="N25" s="22" t="n"/>
      <c r="O25" s="22" t="n"/>
      <c r="P25" s="11">
        <f>IF(A25="","",SUMIF($A$32:$A$131,A25,$K$32:$K$131))</f>
        <v/>
      </c>
      <c r="Q25" s="33">
        <f>IF(A25="","",P25+N(L25)+IF(N25&lt;&gt;"",N25,N(M25))+N(O25))</f>
        <v/>
      </c>
      <c r="R25" s="11">
        <f>IF(A25="","",N(J25)+N(K25))</f>
        <v/>
      </c>
      <c r="S25" s="33">
        <f>IF(A25="","",MAX(0,MIN(Q25,R25)))</f>
        <v/>
      </c>
      <c r="T25" s="33">
        <f>IF(A25="","",R25-S25)</f>
        <v/>
      </c>
      <c r="U25" s="11">
        <f>IF(A25="","",MAX(0,Q25-R25))</f>
        <v/>
      </c>
      <c r="V25" s="11">
        <f>IF(A25="","",MAX(0,-Q25))</f>
        <v/>
      </c>
      <c r="W25" s="23">
        <f>IF(A25="","",IF(B25="","ID ohne Mieter",IF(C25="","Mietende fehlt",IF(AND(D25&lt;&gt;"",D25-C25&gt;5),"Abnahme &gt; 5 Tage nach Mietende: Rügefrist",""))))</f>
        <v/>
      </c>
    </row>
    <row r="26">
      <c r="A26" s="26" t="n"/>
      <c r="B26" s="23">
        <f>IF(A26="","",IFERROR(INDEX('Mein Haus'!$C$45:$C$104,A26)&amp;"",""))</f>
        <v/>
      </c>
      <c r="C26" s="21">
        <f>IF(A26="","",IFERROR(IF(INDEX('Mein Haus'!$F$45:$F$104,A26)="","",INDEX('Mein Haus'!$F$45:$F$104,A26)),""))</f>
        <v/>
      </c>
      <c r="D26" s="20" t="n"/>
      <c r="E26" s="16" t="n"/>
      <c r="F26" s="26" t="n"/>
      <c r="G26" s="26" t="n"/>
      <c r="H26" s="26" t="n"/>
      <c r="I26" s="16" t="n"/>
      <c r="J26" s="11">
        <f>IF(A26="","",IFERROR(N(INDEX('Mein Haus'!$I$45:$I$104,A26)),0))</f>
        <v/>
      </c>
      <c r="K26" s="22" t="n"/>
      <c r="L26" s="22" t="n"/>
      <c r="M26" s="11">
        <f>IF(A26="","",IFERROR(INDEX('NK Verteilung'!$BB$5:$BB$64,A26),0))</f>
        <v/>
      </c>
      <c r="N26" s="22" t="n"/>
      <c r="O26" s="22" t="n"/>
      <c r="P26" s="11">
        <f>IF(A26="","",SUMIF($A$32:$A$131,A26,$K$32:$K$131))</f>
        <v/>
      </c>
      <c r="Q26" s="33">
        <f>IF(A26="","",P26+N(L26)+IF(N26&lt;&gt;"",N26,N(M26))+N(O26))</f>
        <v/>
      </c>
      <c r="R26" s="11">
        <f>IF(A26="","",N(J26)+N(K26))</f>
        <v/>
      </c>
      <c r="S26" s="33">
        <f>IF(A26="","",MAX(0,MIN(Q26,R26)))</f>
        <v/>
      </c>
      <c r="T26" s="33">
        <f>IF(A26="","",R26-S26)</f>
        <v/>
      </c>
      <c r="U26" s="11">
        <f>IF(A26="","",MAX(0,Q26-R26))</f>
        <v/>
      </c>
      <c r="V26" s="11">
        <f>IF(A26="","",MAX(0,-Q26))</f>
        <v/>
      </c>
      <c r="W26" s="23">
        <f>IF(A26="","",IF(B26="","ID ohne Mieter",IF(C26="","Mietende fehlt",IF(AND(D26&lt;&gt;"",D26-C26&gt;5),"Abnahme &gt; 5 Tage nach Mietende: Rügefrist",""))))</f>
        <v/>
      </c>
    </row>
    <row r="27">
      <c r="A27" s="26" t="n"/>
      <c r="B27" s="23">
        <f>IF(A27="","",IFERROR(INDEX('Mein Haus'!$C$45:$C$104,A27)&amp;"",""))</f>
        <v/>
      </c>
      <c r="C27" s="21">
        <f>IF(A27="","",IFERROR(IF(INDEX('Mein Haus'!$F$45:$F$104,A27)="","",INDEX('Mein Haus'!$F$45:$F$104,A27)),""))</f>
        <v/>
      </c>
      <c r="D27" s="20" t="n"/>
      <c r="E27" s="16" t="n"/>
      <c r="F27" s="26" t="n"/>
      <c r="G27" s="26" t="n"/>
      <c r="H27" s="26" t="n"/>
      <c r="I27" s="16" t="n"/>
      <c r="J27" s="11">
        <f>IF(A27="","",IFERROR(N(INDEX('Mein Haus'!$I$45:$I$104,A27)),0))</f>
        <v/>
      </c>
      <c r="K27" s="22" t="n"/>
      <c r="L27" s="22" t="n"/>
      <c r="M27" s="11">
        <f>IF(A27="","",IFERROR(INDEX('NK Verteilung'!$BB$5:$BB$64,A27),0))</f>
        <v/>
      </c>
      <c r="N27" s="22" t="n"/>
      <c r="O27" s="22" t="n"/>
      <c r="P27" s="11">
        <f>IF(A27="","",SUMIF($A$32:$A$131,A27,$K$32:$K$131))</f>
        <v/>
      </c>
      <c r="Q27" s="33">
        <f>IF(A27="","",P27+N(L27)+IF(N27&lt;&gt;"",N27,N(M27))+N(O27))</f>
        <v/>
      </c>
      <c r="R27" s="11">
        <f>IF(A27="","",N(J27)+N(K27))</f>
        <v/>
      </c>
      <c r="S27" s="33">
        <f>IF(A27="","",MAX(0,MIN(Q27,R27)))</f>
        <v/>
      </c>
      <c r="T27" s="33">
        <f>IF(A27="","",R27-S27)</f>
        <v/>
      </c>
      <c r="U27" s="11">
        <f>IF(A27="","",MAX(0,Q27-R27))</f>
        <v/>
      </c>
      <c r="V27" s="11">
        <f>IF(A27="","",MAX(0,-Q27))</f>
        <v/>
      </c>
      <c r="W27" s="23">
        <f>IF(A27="","",IF(B27="","ID ohne Mieter",IF(C27="","Mietende fehlt",IF(AND(D27&lt;&gt;"",D27-C27&gt;5),"Abnahme &gt; 5 Tage nach Mietende: Rügefrist",""))))</f>
        <v/>
      </c>
    </row>
    <row r="30">
      <c r="A30" s="34" t="inlineStr">
        <is>
          <t>Mängel (Abnahmeprotokoll)</t>
        </is>
      </c>
    </row>
    <row r="31" ht="42" customHeight="1">
      <c r="A31" s="6" t="inlineStr">
        <is>
          <t>ID</t>
        </is>
      </c>
      <c r="B31" s="6" t="inlineStr">
        <is>
          <t>Raum</t>
        </is>
      </c>
      <c r="C31" s="6" t="inlineStr">
        <is>
          <t>Bauteil</t>
        </is>
      </c>
      <c r="D31" s="6" t="inlineStr">
        <is>
          <t>Mangel / Zustand</t>
        </is>
      </c>
      <c r="E31" s="6" t="inlineStr">
        <is>
          <t>Ursache</t>
        </is>
      </c>
      <c r="F31" s="6" t="inlineStr">
        <is>
          <t>Kosten laut Offerte</t>
        </is>
      </c>
      <c r="G31" s="6" t="inlineStr">
        <is>
          <t>Einbau / letzte Erneuerung</t>
        </is>
      </c>
      <c r="H31" s="6" t="inlineStr">
        <is>
          <t>Lebensdauer Jahre</t>
        </is>
      </c>
      <c r="I31" s="6" t="inlineStr">
        <is>
          <t>Alter bei Mietende</t>
        </is>
      </c>
      <c r="J31" s="6" t="inlineStr">
        <is>
          <t>Restwert</t>
        </is>
      </c>
      <c r="K31" s="6" t="inlineStr">
        <is>
          <t>Zulasten Mieter</t>
        </is>
      </c>
      <c r="L31" s="6" t="inlineStr">
        <is>
          <t>Prüfen</t>
        </is>
      </c>
      <c r="M31" s="6" t="inlineStr">
        <is>
          <t>Nr. im Ausdruck</t>
        </is>
      </c>
      <c r="N31" s="6" t="inlineStr">
        <is>
          <t>Mietende</t>
        </is>
      </c>
    </row>
    <row r="32">
      <c r="A32" s="26" t="n">
        <v>5</v>
      </c>
      <c r="B32" s="16" t="inlineStr">
        <is>
          <t>Wohnzimmer</t>
        </is>
      </c>
      <c r="C32" s="16" t="inlineStr">
        <is>
          <t>Wandanstrich</t>
        </is>
      </c>
      <c r="D32" s="16" t="inlineStr">
        <is>
          <t>Starke Nikotinverfärbung</t>
        </is>
      </c>
      <c r="E32" s="16" t="inlineStr">
        <is>
          <t>Mieter</t>
        </is>
      </c>
      <c r="F32" s="22" t="n">
        <v>1800</v>
      </c>
      <c r="G32" s="20" t="n">
        <v>43556</v>
      </c>
      <c r="H32" s="26" t="n">
        <v>8</v>
      </c>
      <c r="I32" s="35">
        <f>IF(OR(G32="",N32=""),"",(N32-G32)/365.25)</f>
        <v/>
      </c>
      <c r="J32" s="36">
        <f>IF(F32="","",IF(E32&lt;&gt;"Mieter",0,IF(H32="",1,IF(OR(G32="",N32=""),"",MAX(0,1-I32/H32)))))</f>
        <v/>
      </c>
      <c r="K32" s="11">
        <f>IF(OR(J32="",F32=""),0,ROUND(F32*J32*20,0)/20)</f>
        <v/>
      </c>
      <c r="L32" s="23">
        <f>IF(AND(A32="",B32="",F32=""),"",IF(A32="","ID fehlt",IF(F32="","",IF(F32&lt;0,"Kosten negativ",IF(E32="","Ursache wählen",IF(N32="","Mietende fehlt",IF(AND(G32&lt;&gt;"",G32&gt;N32),"Einbau nach Mietende",IF(AND(E32="Mieter",H32&lt;&gt;"",G32=""),"Einbaudatum fehlt",IF(AND(E32="Mieter",H32&lt;&gt;"",H32&lt;=0),"Lebensdauer ungültig","")))))))))</f>
        <v/>
      </c>
      <c r="M32" s="10">
        <f>IF(AND(A32&lt;&gt;"",A32=$E$3),COUNTIF($A$32:A32,$E$3),"")</f>
        <v/>
      </c>
      <c r="N32" s="21">
        <f>IF(A32="","",IFERROR(IF(INDEX('Mein Haus'!$F$45:$F$104,A32)="","",INDEX('Mein Haus'!$F$45:$F$104,A32)),""))</f>
        <v/>
      </c>
    </row>
    <row r="33">
      <c r="A33" s="26" t="n">
        <v>5</v>
      </c>
      <c r="B33" s="16" t="inlineStr">
        <is>
          <t>Küche</t>
        </is>
      </c>
      <c r="C33" s="16" t="inlineStr">
        <is>
          <t>Backofen</t>
        </is>
      </c>
      <c r="D33" s="16" t="inlineStr">
        <is>
          <t>Türglas gesprungen</t>
        </is>
      </c>
      <c r="E33" s="16" t="inlineStr">
        <is>
          <t>Mieter</t>
        </is>
      </c>
      <c r="F33" s="22" t="n">
        <v>950</v>
      </c>
      <c r="G33" s="20" t="n">
        <v>41791</v>
      </c>
      <c r="H33" s="26" t="n">
        <v>15</v>
      </c>
      <c r="I33" s="35">
        <f>IF(OR(G33="",N33=""),"",(N33-G33)/365.25)</f>
        <v/>
      </c>
      <c r="J33" s="36">
        <f>IF(F33="","",IF(E33&lt;&gt;"Mieter",0,IF(H33="",1,IF(OR(G33="",N33=""),"",MAX(0,1-I33/H33)))))</f>
        <v/>
      </c>
      <c r="K33" s="11">
        <f>IF(OR(J33="",F33=""),0,ROUND(F33*J33*20,0)/20)</f>
        <v/>
      </c>
      <c r="L33" s="23">
        <f>IF(AND(A33="",B33="",F33=""),"",IF(A33="","ID fehlt",IF(F33="","",IF(F33&lt;0,"Kosten negativ",IF(E33="","Ursache wählen",IF(N33="","Mietende fehlt",IF(AND(G33&lt;&gt;"",G33&gt;N33),"Einbau nach Mietende",IF(AND(E33="Mieter",H33&lt;&gt;"",G33=""),"Einbaudatum fehlt",IF(AND(E33="Mieter",H33&lt;&gt;"",H33&lt;=0),"Lebensdauer ungültig","")))))))))</f>
        <v/>
      </c>
      <c r="M33" s="10">
        <f>IF(AND(A33&lt;&gt;"",A33=$E$3),COUNTIF($A$32:A33,$E$3),"")</f>
        <v/>
      </c>
      <c r="N33" s="21">
        <f>IF(A33="","",IFERROR(IF(INDEX('Mein Haus'!$F$45:$F$104,A33)="","",INDEX('Mein Haus'!$F$45:$F$104,A33)),""))</f>
        <v/>
      </c>
    </row>
    <row r="34">
      <c r="A34" s="26" t="n">
        <v>5</v>
      </c>
      <c r="B34" s="16" t="inlineStr">
        <is>
          <t>Wohnzimmer</t>
        </is>
      </c>
      <c r="C34" s="16" t="inlineStr">
        <is>
          <t>Parkett</t>
        </is>
      </c>
      <c r="D34" s="16" t="inlineStr">
        <is>
          <t>Wasserflecken vor Balkontür</t>
        </is>
      </c>
      <c r="E34" s="16" t="inlineStr">
        <is>
          <t>Mieter</t>
        </is>
      </c>
      <c r="F34" s="22" t="n">
        <v>2400</v>
      </c>
      <c r="G34" s="20" t="n">
        <v>38353</v>
      </c>
      <c r="H34" s="26" t="n">
        <v>40</v>
      </c>
      <c r="I34" s="35">
        <f>IF(OR(G34="",N34=""),"",(N34-G34)/365.25)</f>
        <v/>
      </c>
      <c r="J34" s="36">
        <f>IF(F34="","",IF(E34&lt;&gt;"Mieter",0,IF(H34="",1,IF(OR(G34="",N34=""),"",MAX(0,1-I34/H34)))))</f>
        <v/>
      </c>
      <c r="K34" s="11">
        <f>IF(OR(J34="",F34=""),0,ROUND(F34*J34*20,0)/20)</f>
        <v/>
      </c>
      <c r="L34" s="23">
        <f>IF(AND(A34="",B34="",F34=""),"",IF(A34="","ID fehlt",IF(F34="","",IF(F34&lt;0,"Kosten negativ",IF(E34="","Ursache wählen",IF(N34="","Mietende fehlt",IF(AND(G34&lt;&gt;"",G34&gt;N34),"Einbau nach Mietende",IF(AND(E34="Mieter",H34&lt;&gt;"",G34=""),"Einbaudatum fehlt",IF(AND(E34="Mieter",H34&lt;&gt;"",H34&lt;=0),"Lebensdauer ungültig","")))))))))</f>
        <v/>
      </c>
      <c r="M34" s="10">
        <f>IF(AND(A34&lt;&gt;"",A34=$E$3),COUNTIF($A$32:A34,$E$3),"")</f>
        <v/>
      </c>
      <c r="N34" s="21">
        <f>IF(A34="","",IFERROR(IF(INDEX('Mein Haus'!$F$45:$F$104,A34)="","",INDEX('Mein Haus'!$F$45:$F$104,A34)),""))</f>
        <v/>
      </c>
    </row>
    <row r="35">
      <c r="A35" s="26" t="n">
        <v>5</v>
      </c>
      <c r="B35" s="16" t="inlineStr">
        <is>
          <t>Schlafzimmer</t>
        </is>
      </c>
      <c r="C35" s="16" t="inlineStr">
        <is>
          <t>Teppich</t>
        </is>
      </c>
      <c r="D35" s="16" t="inlineStr">
        <is>
          <t>Laufspuren</t>
        </is>
      </c>
      <c r="E35" s="16" t="inlineStr">
        <is>
          <t>Normale Abnutzung</t>
        </is>
      </c>
      <c r="F35" s="22" t="n">
        <v>1200</v>
      </c>
      <c r="G35" s="20" t="n">
        <v>42430</v>
      </c>
      <c r="H35" s="26" t="n">
        <v>10</v>
      </c>
      <c r="I35" s="35">
        <f>IF(OR(G35="",N35=""),"",(N35-G35)/365.25)</f>
        <v/>
      </c>
      <c r="J35" s="36">
        <f>IF(F35="","",IF(E35&lt;&gt;"Mieter",0,IF(H35="",1,IF(OR(G35="",N35=""),"",MAX(0,1-I35/H35)))))</f>
        <v/>
      </c>
      <c r="K35" s="11">
        <f>IF(OR(J35="",F35=""),0,ROUND(F35*J35*20,0)/20)</f>
        <v/>
      </c>
      <c r="L35" s="23">
        <f>IF(AND(A35="",B35="",F35=""),"",IF(A35="","ID fehlt",IF(F35="","",IF(F35&lt;0,"Kosten negativ",IF(E35="","Ursache wählen",IF(N35="","Mietende fehlt",IF(AND(G35&lt;&gt;"",G35&gt;N35),"Einbau nach Mietende",IF(AND(E35="Mieter",H35&lt;&gt;"",G35=""),"Einbaudatum fehlt",IF(AND(E35="Mieter",H35&lt;&gt;"",H35&lt;=0),"Lebensdauer ungültig","")))))))))</f>
        <v/>
      </c>
      <c r="M35" s="10">
        <f>IF(AND(A35&lt;&gt;"",A35=$E$3),COUNTIF($A$32:A35,$E$3),"")</f>
        <v/>
      </c>
      <c r="N35" s="21">
        <f>IF(A35="","",IFERROR(IF(INDEX('Mein Haus'!$F$45:$F$104,A35)="","",INDEX('Mein Haus'!$F$45:$F$104,A35)),""))</f>
        <v/>
      </c>
    </row>
    <row r="36">
      <c r="A36" s="26" t="n">
        <v>5</v>
      </c>
      <c r="B36" s="16" t="inlineStr">
        <is>
          <t>Bad</t>
        </is>
      </c>
      <c r="C36" s="16" t="inlineStr">
        <is>
          <t>Spiegelschrank</t>
        </is>
      </c>
      <c r="D36" s="16" t="inlineStr">
        <is>
          <t>Kratzer (im Eintrittsprotokoll vermerkt)</t>
        </is>
      </c>
      <c r="E36" s="16" t="inlineStr">
        <is>
          <t>Vorbestehend</t>
        </is>
      </c>
      <c r="F36" s="22" t="n"/>
      <c r="G36" s="20" t="n"/>
      <c r="H36" s="26" t="n"/>
      <c r="I36" s="35">
        <f>IF(OR(G36="",N36=""),"",(N36-G36)/365.25)</f>
        <v/>
      </c>
      <c r="J36" s="36">
        <f>IF(F36="","",IF(E36&lt;&gt;"Mieter",0,IF(H36="",1,IF(OR(G36="",N36=""),"",MAX(0,1-I36/H36)))))</f>
        <v/>
      </c>
      <c r="K36" s="11">
        <f>IF(OR(J36="",F36=""),0,ROUND(F36*J36*20,0)/20)</f>
        <v/>
      </c>
      <c r="L36" s="23">
        <f>IF(AND(A36="",B36="",F36=""),"",IF(A36="","ID fehlt",IF(F36="","",IF(F36&lt;0,"Kosten negativ",IF(E36="","Ursache wählen",IF(N36="","Mietende fehlt",IF(AND(G36&lt;&gt;"",G36&gt;N36),"Einbau nach Mietende",IF(AND(E36="Mieter",H36&lt;&gt;"",G36=""),"Einbaudatum fehlt",IF(AND(E36="Mieter",H36&lt;&gt;"",H36&lt;=0),"Lebensdauer ungültig","")))))))))</f>
        <v/>
      </c>
      <c r="M36" s="10">
        <f>IF(AND(A36&lt;&gt;"",A36=$E$3),COUNTIF($A$32:A36,$E$3),"")</f>
        <v/>
      </c>
      <c r="N36" s="21">
        <f>IF(A36="","",IFERROR(IF(INDEX('Mein Haus'!$F$45:$F$104,A36)="","",INDEX('Mein Haus'!$F$45:$F$104,A36)),""))</f>
        <v/>
      </c>
    </row>
    <row r="37">
      <c r="A37" s="26" t="n">
        <v>5</v>
      </c>
      <c r="B37" s="16" t="inlineStr">
        <is>
          <t>Eingang</t>
        </is>
      </c>
      <c r="C37" s="16" t="inlineStr">
        <is>
          <t>Schlüssel</t>
        </is>
      </c>
      <c r="D37" s="16" t="inlineStr">
        <is>
          <t>1 Wohnungsschlüssel fehlt</t>
        </is>
      </c>
      <c r="E37" s="16" t="inlineStr">
        <is>
          <t>Mieter</t>
        </is>
      </c>
      <c r="F37" s="22" t="n">
        <v>180</v>
      </c>
      <c r="G37" s="20" t="n"/>
      <c r="H37" s="26" t="n"/>
      <c r="I37" s="35">
        <f>IF(OR(G37="",N37=""),"",(N37-G37)/365.25)</f>
        <v/>
      </c>
      <c r="J37" s="36">
        <f>IF(F37="","",IF(E37&lt;&gt;"Mieter",0,IF(H37="",1,IF(OR(G37="",N37=""),"",MAX(0,1-I37/H37)))))</f>
        <v/>
      </c>
      <c r="K37" s="11">
        <f>IF(OR(J37="",F37=""),0,ROUND(F37*J37*20,0)/20)</f>
        <v/>
      </c>
      <c r="L37" s="23">
        <f>IF(AND(A37="",B37="",F37=""),"",IF(A37="","ID fehlt",IF(F37="","",IF(F37&lt;0,"Kosten negativ",IF(E37="","Ursache wählen",IF(N37="","Mietende fehlt",IF(AND(G37&lt;&gt;"",G37&gt;N37),"Einbau nach Mietende",IF(AND(E37="Mieter",H37&lt;&gt;"",G37=""),"Einbaudatum fehlt",IF(AND(E37="Mieter",H37&lt;&gt;"",H37&lt;=0),"Lebensdauer ungültig","")))))))))</f>
        <v/>
      </c>
      <c r="M37" s="10">
        <f>IF(AND(A37&lt;&gt;"",A37=$E$3),COUNTIF($A$32:A37,$E$3),"")</f>
        <v/>
      </c>
      <c r="N37" s="21">
        <f>IF(A37="","",IFERROR(IF(INDEX('Mein Haus'!$F$45:$F$104,A37)="","",INDEX('Mein Haus'!$F$45:$F$104,A37)),""))</f>
        <v/>
      </c>
    </row>
    <row r="38">
      <c r="A38" s="26" t="n"/>
      <c r="B38" s="16" t="n"/>
      <c r="C38" s="16" t="n"/>
      <c r="D38" s="16" t="n"/>
      <c r="E38" s="16" t="n"/>
      <c r="F38" s="22" t="n"/>
      <c r="G38" s="20" t="n"/>
      <c r="H38" s="26" t="n"/>
      <c r="I38" s="35">
        <f>IF(OR(G38="",N38=""),"",(N38-G38)/365.25)</f>
        <v/>
      </c>
      <c r="J38" s="36">
        <f>IF(F38="","",IF(E38&lt;&gt;"Mieter",0,IF(H38="",1,IF(OR(G38="",N38=""),"",MAX(0,1-I38/H38)))))</f>
        <v/>
      </c>
      <c r="K38" s="11">
        <f>IF(OR(J38="",F38=""),0,ROUND(F38*J38*20,0)/20)</f>
        <v/>
      </c>
      <c r="L38" s="23">
        <f>IF(AND(A38="",B38="",F38=""),"",IF(A38="","ID fehlt",IF(F38="","",IF(F38&lt;0,"Kosten negativ",IF(E38="","Ursache wählen",IF(N38="","Mietende fehlt",IF(AND(G38&lt;&gt;"",G38&gt;N38),"Einbau nach Mietende",IF(AND(E38="Mieter",H38&lt;&gt;"",G38=""),"Einbaudatum fehlt",IF(AND(E38="Mieter",H38&lt;&gt;"",H38&lt;=0),"Lebensdauer ungültig","")))))))))</f>
        <v/>
      </c>
      <c r="M38" s="10">
        <f>IF(AND(A38&lt;&gt;"",A38=$E$3),COUNTIF($A$32:A38,$E$3),"")</f>
        <v/>
      </c>
      <c r="N38" s="21">
        <f>IF(A38="","",IFERROR(IF(INDEX('Mein Haus'!$F$45:$F$104,A38)="","",INDEX('Mein Haus'!$F$45:$F$104,A38)),""))</f>
        <v/>
      </c>
    </row>
    <row r="39">
      <c r="A39" s="26" t="n"/>
      <c r="B39" s="16" t="n"/>
      <c r="C39" s="16" t="n"/>
      <c r="D39" s="16" t="n"/>
      <c r="E39" s="16" t="n"/>
      <c r="F39" s="22" t="n"/>
      <c r="G39" s="20" t="n"/>
      <c r="H39" s="26" t="n"/>
      <c r="I39" s="35">
        <f>IF(OR(G39="",N39=""),"",(N39-G39)/365.25)</f>
        <v/>
      </c>
      <c r="J39" s="36">
        <f>IF(F39="","",IF(E39&lt;&gt;"Mieter",0,IF(H39="",1,IF(OR(G39="",N39=""),"",MAX(0,1-I39/H39)))))</f>
        <v/>
      </c>
      <c r="K39" s="11">
        <f>IF(OR(J39="",F39=""),0,ROUND(F39*J39*20,0)/20)</f>
        <v/>
      </c>
      <c r="L39" s="23">
        <f>IF(AND(A39="",B39="",F39=""),"",IF(A39="","ID fehlt",IF(F39="","",IF(F39&lt;0,"Kosten negativ",IF(E39="","Ursache wählen",IF(N39="","Mietende fehlt",IF(AND(G39&lt;&gt;"",G39&gt;N39),"Einbau nach Mietende",IF(AND(E39="Mieter",H39&lt;&gt;"",G39=""),"Einbaudatum fehlt",IF(AND(E39="Mieter",H39&lt;&gt;"",H39&lt;=0),"Lebensdauer ungültig","")))))))))</f>
        <v/>
      </c>
      <c r="M39" s="10">
        <f>IF(AND(A39&lt;&gt;"",A39=$E$3),COUNTIF($A$32:A39,$E$3),"")</f>
        <v/>
      </c>
      <c r="N39" s="21">
        <f>IF(A39="","",IFERROR(IF(INDEX('Mein Haus'!$F$45:$F$104,A39)="","",INDEX('Mein Haus'!$F$45:$F$104,A39)),""))</f>
        <v/>
      </c>
    </row>
    <row r="40">
      <c r="A40" s="26" t="n"/>
      <c r="B40" s="16" t="n"/>
      <c r="C40" s="16" t="n"/>
      <c r="D40" s="16" t="n"/>
      <c r="E40" s="16" t="n"/>
      <c r="F40" s="22" t="n"/>
      <c r="G40" s="20" t="n"/>
      <c r="H40" s="26" t="n"/>
      <c r="I40" s="35">
        <f>IF(OR(G40="",N40=""),"",(N40-G40)/365.25)</f>
        <v/>
      </c>
      <c r="J40" s="36">
        <f>IF(F40="","",IF(E40&lt;&gt;"Mieter",0,IF(H40="",1,IF(OR(G40="",N40=""),"",MAX(0,1-I40/H40)))))</f>
        <v/>
      </c>
      <c r="K40" s="11">
        <f>IF(OR(J40="",F40=""),0,ROUND(F40*J40*20,0)/20)</f>
        <v/>
      </c>
      <c r="L40" s="23">
        <f>IF(AND(A40="",B40="",F40=""),"",IF(A40="","ID fehlt",IF(F40="","",IF(F40&lt;0,"Kosten negativ",IF(E40="","Ursache wählen",IF(N40="","Mietende fehlt",IF(AND(G40&lt;&gt;"",G40&gt;N40),"Einbau nach Mietende",IF(AND(E40="Mieter",H40&lt;&gt;"",G40=""),"Einbaudatum fehlt",IF(AND(E40="Mieter",H40&lt;&gt;"",H40&lt;=0),"Lebensdauer ungültig","")))))))))</f>
        <v/>
      </c>
      <c r="M40" s="10">
        <f>IF(AND(A40&lt;&gt;"",A40=$E$3),COUNTIF($A$32:A40,$E$3),"")</f>
        <v/>
      </c>
      <c r="N40" s="21">
        <f>IF(A40="","",IFERROR(IF(INDEX('Mein Haus'!$F$45:$F$104,A40)="","",INDEX('Mein Haus'!$F$45:$F$104,A40)),""))</f>
        <v/>
      </c>
    </row>
    <row r="41">
      <c r="A41" s="26" t="n"/>
      <c r="B41" s="16" t="n"/>
      <c r="C41" s="16" t="n"/>
      <c r="D41" s="16" t="n"/>
      <c r="E41" s="16" t="n"/>
      <c r="F41" s="22" t="n"/>
      <c r="G41" s="20" t="n"/>
      <c r="H41" s="26" t="n"/>
      <c r="I41" s="35">
        <f>IF(OR(G41="",N41=""),"",(N41-G41)/365.25)</f>
        <v/>
      </c>
      <c r="J41" s="36">
        <f>IF(F41="","",IF(E41&lt;&gt;"Mieter",0,IF(H41="",1,IF(OR(G41="",N41=""),"",MAX(0,1-I41/H41)))))</f>
        <v/>
      </c>
      <c r="K41" s="11">
        <f>IF(OR(J41="",F41=""),0,ROUND(F41*J41*20,0)/20)</f>
        <v/>
      </c>
      <c r="L41" s="23">
        <f>IF(AND(A41="",B41="",F41=""),"",IF(A41="","ID fehlt",IF(F41="","",IF(F41&lt;0,"Kosten negativ",IF(E41="","Ursache wählen",IF(N41="","Mietende fehlt",IF(AND(G41&lt;&gt;"",G41&gt;N41),"Einbau nach Mietende",IF(AND(E41="Mieter",H41&lt;&gt;"",G41=""),"Einbaudatum fehlt",IF(AND(E41="Mieter",H41&lt;&gt;"",H41&lt;=0),"Lebensdauer ungültig","")))))))))</f>
        <v/>
      </c>
      <c r="M41" s="10">
        <f>IF(AND(A41&lt;&gt;"",A41=$E$3),COUNTIF($A$32:A41,$E$3),"")</f>
        <v/>
      </c>
      <c r="N41" s="21">
        <f>IF(A41="","",IFERROR(IF(INDEX('Mein Haus'!$F$45:$F$104,A41)="","",INDEX('Mein Haus'!$F$45:$F$104,A41)),""))</f>
        <v/>
      </c>
    </row>
    <row r="42">
      <c r="A42" s="26" t="n"/>
      <c r="B42" s="16" t="n"/>
      <c r="C42" s="16" t="n"/>
      <c r="D42" s="16" t="n"/>
      <c r="E42" s="16" t="n"/>
      <c r="F42" s="22" t="n"/>
      <c r="G42" s="20" t="n"/>
      <c r="H42" s="26" t="n"/>
      <c r="I42" s="35">
        <f>IF(OR(G42="",N42=""),"",(N42-G42)/365.25)</f>
        <v/>
      </c>
      <c r="J42" s="36">
        <f>IF(F42="","",IF(E42&lt;&gt;"Mieter",0,IF(H42="",1,IF(OR(G42="",N42=""),"",MAX(0,1-I42/H42)))))</f>
        <v/>
      </c>
      <c r="K42" s="11">
        <f>IF(OR(J42="",F42=""),0,ROUND(F42*J42*20,0)/20)</f>
        <v/>
      </c>
      <c r="L42" s="23">
        <f>IF(AND(A42="",B42="",F42=""),"",IF(A42="","ID fehlt",IF(F42="","",IF(F42&lt;0,"Kosten negativ",IF(E42="","Ursache wählen",IF(N42="","Mietende fehlt",IF(AND(G42&lt;&gt;"",G42&gt;N42),"Einbau nach Mietende",IF(AND(E42="Mieter",H42&lt;&gt;"",G42=""),"Einbaudatum fehlt",IF(AND(E42="Mieter",H42&lt;&gt;"",H42&lt;=0),"Lebensdauer ungültig","")))))))))</f>
        <v/>
      </c>
      <c r="M42" s="10">
        <f>IF(AND(A42&lt;&gt;"",A42=$E$3),COUNTIF($A$32:A42,$E$3),"")</f>
        <v/>
      </c>
      <c r="N42" s="21">
        <f>IF(A42="","",IFERROR(IF(INDEX('Mein Haus'!$F$45:$F$104,A42)="","",INDEX('Mein Haus'!$F$45:$F$104,A42)),""))</f>
        <v/>
      </c>
    </row>
    <row r="43">
      <c r="A43" s="26" t="n"/>
      <c r="B43" s="16" t="n"/>
      <c r="C43" s="16" t="n"/>
      <c r="D43" s="16" t="n"/>
      <c r="E43" s="16" t="n"/>
      <c r="F43" s="22" t="n"/>
      <c r="G43" s="20" t="n"/>
      <c r="H43" s="26" t="n"/>
      <c r="I43" s="35">
        <f>IF(OR(G43="",N43=""),"",(N43-G43)/365.25)</f>
        <v/>
      </c>
      <c r="J43" s="36">
        <f>IF(F43="","",IF(E43&lt;&gt;"Mieter",0,IF(H43="",1,IF(OR(G43="",N43=""),"",MAX(0,1-I43/H43)))))</f>
        <v/>
      </c>
      <c r="K43" s="11">
        <f>IF(OR(J43="",F43=""),0,ROUND(F43*J43*20,0)/20)</f>
        <v/>
      </c>
      <c r="L43" s="23">
        <f>IF(AND(A43="",B43="",F43=""),"",IF(A43="","ID fehlt",IF(F43="","",IF(F43&lt;0,"Kosten negativ",IF(E43="","Ursache wählen",IF(N43="","Mietende fehlt",IF(AND(G43&lt;&gt;"",G43&gt;N43),"Einbau nach Mietende",IF(AND(E43="Mieter",H43&lt;&gt;"",G43=""),"Einbaudatum fehlt",IF(AND(E43="Mieter",H43&lt;&gt;"",H43&lt;=0),"Lebensdauer ungültig","")))))))))</f>
        <v/>
      </c>
      <c r="M43" s="10">
        <f>IF(AND(A43&lt;&gt;"",A43=$E$3),COUNTIF($A$32:A43,$E$3),"")</f>
        <v/>
      </c>
      <c r="N43" s="21">
        <f>IF(A43="","",IFERROR(IF(INDEX('Mein Haus'!$F$45:$F$104,A43)="","",INDEX('Mein Haus'!$F$45:$F$104,A43)),""))</f>
        <v/>
      </c>
    </row>
    <row r="44">
      <c r="A44" s="26" t="n"/>
      <c r="B44" s="16" t="n"/>
      <c r="C44" s="16" t="n"/>
      <c r="D44" s="16" t="n"/>
      <c r="E44" s="16" t="n"/>
      <c r="F44" s="22" t="n"/>
      <c r="G44" s="20" t="n"/>
      <c r="H44" s="26" t="n"/>
      <c r="I44" s="35">
        <f>IF(OR(G44="",N44=""),"",(N44-G44)/365.25)</f>
        <v/>
      </c>
      <c r="J44" s="36">
        <f>IF(F44="","",IF(E44&lt;&gt;"Mieter",0,IF(H44="",1,IF(OR(G44="",N44=""),"",MAX(0,1-I44/H44)))))</f>
        <v/>
      </c>
      <c r="K44" s="11">
        <f>IF(OR(J44="",F44=""),0,ROUND(F44*J44*20,0)/20)</f>
        <v/>
      </c>
      <c r="L44" s="23">
        <f>IF(AND(A44="",B44="",F44=""),"",IF(A44="","ID fehlt",IF(F44="","",IF(F44&lt;0,"Kosten negativ",IF(E44="","Ursache wählen",IF(N44="","Mietende fehlt",IF(AND(G44&lt;&gt;"",G44&gt;N44),"Einbau nach Mietende",IF(AND(E44="Mieter",H44&lt;&gt;"",G44=""),"Einbaudatum fehlt",IF(AND(E44="Mieter",H44&lt;&gt;"",H44&lt;=0),"Lebensdauer ungültig","")))))))))</f>
        <v/>
      </c>
      <c r="M44" s="10">
        <f>IF(AND(A44&lt;&gt;"",A44=$E$3),COUNTIF($A$32:A44,$E$3),"")</f>
        <v/>
      </c>
      <c r="N44" s="21">
        <f>IF(A44="","",IFERROR(IF(INDEX('Mein Haus'!$F$45:$F$104,A44)="","",INDEX('Mein Haus'!$F$45:$F$104,A44)),""))</f>
        <v/>
      </c>
    </row>
    <row r="45">
      <c r="A45" s="26" t="n"/>
      <c r="B45" s="16" t="n"/>
      <c r="C45" s="16" t="n"/>
      <c r="D45" s="16" t="n"/>
      <c r="E45" s="16" t="n"/>
      <c r="F45" s="22" t="n"/>
      <c r="G45" s="20" t="n"/>
      <c r="H45" s="26" t="n"/>
      <c r="I45" s="35">
        <f>IF(OR(G45="",N45=""),"",(N45-G45)/365.25)</f>
        <v/>
      </c>
      <c r="J45" s="36">
        <f>IF(F45="","",IF(E45&lt;&gt;"Mieter",0,IF(H45="",1,IF(OR(G45="",N45=""),"",MAX(0,1-I45/H45)))))</f>
        <v/>
      </c>
      <c r="K45" s="11">
        <f>IF(OR(J45="",F45=""),0,ROUND(F45*J45*20,0)/20)</f>
        <v/>
      </c>
      <c r="L45" s="23">
        <f>IF(AND(A45="",B45="",F45=""),"",IF(A45="","ID fehlt",IF(F45="","",IF(F45&lt;0,"Kosten negativ",IF(E45="","Ursache wählen",IF(N45="","Mietende fehlt",IF(AND(G45&lt;&gt;"",G45&gt;N45),"Einbau nach Mietende",IF(AND(E45="Mieter",H45&lt;&gt;"",G45=""),"Einbaudatum fehlt",IF(AND(E45="Mieter",H45&lt;&gt;"",H45&lt;=0),"Lebensdauer ungültig","")))))))))</f>
        <v/>
      </c>
      <c r="M45" s="10">
        <f>IF(AND(A45&lt;&gt;"",A45=$E$3),COUNTIF($A$32:A45,$E$3),"")</f>
        <v/>
      </c>
      <c r="N45" s="21">
        <f>IF(A45="","",IFERROR(IF(INDEX('Mein Haus'!$F$45:$F$104,A45)="","",INDEX('Mein Haus'!$F$45:$F$104,A45)),""))</f>
        <v/>
      </c>
    </row>
    <row r="46">
      <c r="A46" s="26" t="n"/>
      <c r="B46" s="16" t="n"/>
      <c r="C46" s="16" t="n"/>
      <c r="D46" s="16" t="n"/>
      <c r="E46" s="16" t="n"/>
      <c r="F46" s="22" t="n"/>
      <c r="G46" s="20" t="n"/>
      <c r="H46" s="26" t="n"/>
      <c r="I46" s="35">
        <f>IF(OR(G46="",N46=""),"",(N46-G46)/365.25)</f>
        <v/>
      </c>
      <c r="J46" s="36">
        <f>IF(F46="","",IF(E46&lt;&gt;"Mieter",0,IF(H46="",1,IF(OR(G46="",N46=""),"",MAX(0,1-I46/H46)))))</f>
        <v/>
      </c>
      <c r="K46" s="11">
        <f>IF(OR(J46="",F46=""),0,ROUND(F46*J46*20,0)/20)</f>
        <v/>
      </c>
      <c r="L46" s="23">
        <f>IF(AND(A46="",B46="",F46=""),"",IF(A46="","ID fehlt",IF(F46="","",IF(F46&lt;0,"Kosten negativ",IF(E46="","Ursache wählen",IF(N46="","Mietende fehlt",IF(AND(G46&lt;&gt;"",G46&gt;N46),"Einbau nach Mietende",IF(AND(E46="Mieter",H46&lt;&gt;"",G46=""),"Einbaudatum fehlt",IF(AND(E46="Mieter",H46&lt;&gt;"",H46&lt;=0),"Lebensdauer ungültig","")))))))))</f>
        <v/>
      </c>
      <c r="M46" s="10">
        <f>IF(AND(A46&lt;&gt;"",A46=$E$3),COUNTIF($A$32:A46,$E$3),"")</f>
        <v/>
      </c>
      <c r="N46" s="21">
        <f>IF(A46="","",IFERROR(IF(INDEX('Mein Haus'!$F$45:$F$104,A46)="","",INDEX('Mein Haus'!$F$45:$F$104,A46)),""))</f>
        <v/>
      </c>
    </row>
    <row r="47">
      <c r="A47" s="26" t="n"/>
      <c r="B47" s="16" t="n"/>
      <c r="C47" s="16" t="n"/>
      <c r="D47" s="16" t="n"/>
      <c r="E47" s="16" t="n"/>
      <c r="F47" s="22" t="n"/>
      <c r="G47" s="20" t="n"/>
      <c r="H47" s="26" t="n"/>
      <c r="I47" s="35">
        <f>IF(OR(G47="",N47=""),"",(N47-G47)/365.25)</f>
        <v/>
      </c>
      <c r="J47" s="36">
        <f>IF(F47="","",IF(E47&lt;&gt;"Mieter",0,IF(H47="",1,IF(OR(G47="",N47=""),"",MAX(0,1-I47/H47)))))</f>
        <v/>
      </c>
      <c r="K47" s="11">
        <f>IF(OR(J47="",F47=""),0,ROUND(F47*J47*20,0)/20)</f>
        <v/>
      </c>
      <c r="L47" s="23">
        <f>IF(AND(A47="",B47="",F47=""),"",IF(A47="","ID fehlt",IF(F47="","",IF(F47&lt;0,"Kosten negativ",IF(E47="","Ursache wählen",IF(N47="","Mietende fehlt",IF(AND(G47&lt;&gt;"",G47&gt;N47),"Einbau nach Mietende",IF(AND(E47="Mieter",H47&lt;&gt;"",G47=""),"Einbaudatum fehlt",IF(AND(E47="Mieter",H47&lt;&gt;"",H47&lt;=0),"Lebensdauer ungültig","")))))))))</f>
        <v/>
      </c>
      <c r="M47" s="10">
        <f>IF(AND(A47&lt;&gt;"",A47=$E$3),COUNTIF($A$32:A47,$E$3),"")</f>
        <v/>
      </c>
      <c r="N47" s="21">
        <f>IF(A47="","",IFERROR(IF(INDEX('Mein Haus'!$F$45:$F$104,A47)="","",INDEX('Mein Haus'!$F$45:$F$104,A47)),""))</f>
        <v/>
      </c>
    </row>
    <row r="48">
      <c r="A48" s="26" t="n"/>
      <c r="B48" s="16" t="n"/>
      <c r="C48" s="16" t="n"/>
      <c r="D48" s="16" t="n"/>
      <c r="E48" s="16" t="n"/>
      <c r="F48" s="22" t="n"/>
      <c r="G48" s="20" t="n"/>
      <c r="H48" s="26" t="n"/>
      <c r="I48" s="35">
        <f>IF(OR(G48="",N48=""),"",(N48-G48)/365.25)</f>
        <v/>
      </c>
      <c r="J48" s="36">
        <f>IF(F48="","",IF(E48&lt;&gt;"Mieter",0,IF(H48="",1,IF(OR(G48="",N48=""),"",MAX(0,1-I48/H48)))))</f>
        <v/>
      </c>
      <c r="K48" s="11">
        <f>IF(OR(J48="",F48=""),0,ROUND(F48*J48*20,0)/20)</f>
        <v/>
      </c>
      <c r="L48" s="23">
        <f>IF(AND(A48="",B48="",F48=""),"",IF(A48="","ID fehlt",IF(F48="","",IF(F48&lt;0,"Kosten negativ",IF(E48="","Ursache wählen",IF(N48="","Mietende fehlt",IF(AND(G48&lt;&gt;"",G48&gt;N48),"Einbau nach Mietende",IF(AND(E48="Mieter",H48&lt;&gt;"",G48=""),"Einbaudatum fehlt",IF(AND(E48="Mieter",H48&lt;&gt;"",H48&lt;=0),"Lebensdauer ungültig","")))))))))</f>
        <v/>
      </c>
      <c r="M48" s="10">
        <f>IF(AND(A48&lt;&gt;"",A48=$E$3),COUNTIF($A$32:A48,$E$3),"")</f>
        <v/>
      </c>
      <c r="N48" s="21">
        <f>IF(A48="","",IFERROR(IF(INDEX('Mein Haus'!$F$45:$F$104,A48)="","",INDEX('Mein Haus'!$F$45:$F$104,A48)),""))</f>
        <v/>
      </c>
    </row>
    <row r="49">
      <c r="A49" s="26" t="n"/>
      <c r="B49" s="16" t="n"/>
      <c r="C49" s="16" t="n"/>
      <c r="D49" s="16" t="n"/>
      <c r="E49" s="16" t="n"/>
      <c r="F49" s="22" t="n"/>
      <c r="G49" s="20" t="n"/>
      <c r="H49" s="26" t="n"/>
      <c r="I49" s="35">
        <f>IF(OR(G49="",N49=""),"",(N49-G49)/365.25)</f>
        <v/>
      </c>
      <c r="J49" s="36">
        <f>IF(F49="","",IF(E49&lt;&gt;"Mieter",0,IF(H49="",1,IF(OR(G49="",N49=""),"",MAX(0,1-I49/H49)))))</f>
        <v/>
      </c>
      <c r="K49" s="11">
        <f>IF(OR(J49="",F49=""),0,ROUND(F49*J49*20,0)/20)</f>
        <v/>
      </c>
      <c r="L49" s="23">
        <f>IF(AND(A49="",B49="",F49=""),"",IF(A49="","ID fehlt",IF(F49="","",IF(F49&lt;0,"Kosten negativ",IF(E49="","Ursache wählen",IF(N49="","Mietende fehlt",IF(AND(G49&lt;&gt;"",G49&gt;N49),"Einbau nach Mietende",IF(AND(E49="Mieter",H49&lt;&gt;"",G49=""),"Einbaudatum fehlt",IF(AND(E49="Mieter",H49&lt;&gt;"",H49&lt;=0),"Lebensdauer ungültig","")))))))))</f>
        <v/>
      </c>
      <c r="M49" s="10">
        <f>IF(AND(A49&lt;&gt;"",A49=$E$3),COUNTIF($A$32:A49,$E$3),"")</f>
        <v/>
      </c>
      <c r="N49" s="21">
        <f>IF(A49="","",IFERROR(IF(INDEX('Mein Haus'!$F$45:$F$104,A49)="","",INDEX('Mein Haus'!$F$45:$F$104,A49)),""))</f>
        <v/>
      </c>
    </row>
    <row r="50">
      <c r="A50" s="26" t="n"/>
      <c r="B50" s="16" t="n"/>
      <c r="C50" s="16" t="n"/>
      <c r="D50" s="16" t="n"/>
      <c r="E50" s="16" t="n"/>
      <c r="F50" s="22" t="n"/>
      <c r="G50" s="20" t="n"/>
      <c r="H50" s="26" t="n"/>
      <c r="I50" s="35">
        <f>IF(OR(G50="",N50=""),"",(N50-G50)/365.25)</f>
        <v/>
      </c>
      <c r="J50" s="36">
        <f>IF(F50="","",IF(E50&lt;&gt;"Mieter",0,IF(H50="",1,IF(OR(G50="",N50=""),"",MAX(0,1-I50/H50)))))</f>
        <v/>
      </c>
      <c r="K50" s="11">
        <f>IF(OR(J50="",F50=""),0,ROUND(F50*J50*20,0)/20)</f>
        <v/>
      </c>
      <c r="L50" s="23">
        <f>IF(AND(A50="",B50="",F50=""),"",IF(A50="","ID fehlt",IF(F50="","",IF(F50&lt;0,"Kosten negativ",IF(E50="","Ursache wählen",IF(N50="","Mietende fehlt",IF(AND(G50&lt;&gt;"",G50&gt;N50),"Einbau nach Mietende",IF(AND(E50="Mieter",H50&lt;&gt;"",G50=""),"Einbaudatum fehlt",IF(AND(E50="Mieter",H50&lt;&gt;"",H50&lt;=0),"Lebensdauer ungültig","")))))))))</f>
        <v/>
      </c>
      <c r="M50" s="10">
        <f>IF(AND(A50&lt;&gt;"",A50=$E$3),COUNTIF($A$32:A50,$E$3),"")</f>
        <v/>
      </c>
      <c r="N50" s="21">
        <f>IF(A50="","",IFERROR(IF(INDEX('Mein Haus'!$F$45:$F$104,A50)="","",INDEX('Mein Haus'!$F$45:$F$104,A50)),""))</f>
        <v/>
      </c>
    </row>
    <row r="51">
      <c r="A51" s="26" t="n"/>
      <c r="B51" s="16" t="n"/>
      <c r="C51" s="16" t="n"/>
      <c r="D51" s="16" t="n"/>
      <c r="E51" s="16" t="n"/>
      <c r="F51" s="22" t="n"/>
      <c r="G51" s="20" t="n"/>
      <c r="H51" s="26" t="n"/>
      <c r="I51" s="35">
        <f>IF(OR(G51="",N51=""),"",(N51-G51)/365.25)</f>
        <v/>
      </c>
      <c r="J51" s="36">
        <f>IF(F51="","",IF(E51&lt;&gt;"Mieter",0,IF(H51="",1,IF(OR(G51="",N51=""),"",MAX(0,1-I51/H51)))))</f>
        <v/>
      </c>
      <c r="K51" s="11">
        <f>IF(OR(J51="",F51=""),0,ROUND(F51*J51*20,0)/20)</f>
        <v/>
      </c>
      <c r="L51" s="23">
        <f>IF(AND(A51="",B51="",F51=""),"",IF(A51="","ID fehlt",IF(F51="","",IF(F51&lt;0,"Kosten negativ",IF(E51="","Ursache wählen",IF(N51="","Mietende fehlt",IF(AND(G51&lt;&gt;"",G51&gt;N51),"Einbau nach Mietende",IF(AND(E51="Mieter",H51&lt;&gt;"",G51=""),"Einbaudatum fehlt",IF(AND(E51="Mieter",H51&lt;&gt;"",H51&lt;=0),"Lebensdauer ungültig","")))))))))</f>
        <v/>
      </c>
      <c r="M51" s="10">
        <f>IF(AND(A51&lt;&gt;"",A51=$E$3),COUNTIF($A$32:A51,$E$3),"")</f>
        <v/>
      </c>
      <c r="N51" s="21">
        <f>IF(A51="","",IFERROR(IF(INDEX('Mein Haus'!$F$45:$F$104,A51)="","",INDEX('Mein Haus'!$F$45:$F$104,A51)),""))</f>
        <v/>
      </c>
    </row>
    <row r="52">
      <c r="A52" s="26" t="n"/>
      <c r="B52" s="16" t="n"/>
      <c r="C52" s="16" t="n"/>
      <c r="D52" s="16" t="n"/>
      <c r="E52" s="16" t="n"/>
      <c r="F52" s="22" t="n"/>
      <c r="G52" s="20" t="n"/>
      <c r="H52" s="26" t="n"/>
      <c r="I52" s="35">
        <f>IF(OR(G52="",N52=""),"",(N52-G52)/365.25)</f>
        <v/>
      </c>
      <c r="J52" s="36">
        <f>IF(F52="","",IF(E52&lt;&gt;"Mieter",0,IF(H52="",1,IF(OR(G52="",N52=""),"",MAX(0,1-I52/H52)))))</f>
        <v/>
      </c>
      <c r="K52" s="11">
        <f>IF(OR(J52="",F52=""),0,ROUND(F52*J52*20,0)/20)</f>
        <v/>
      </c>
      <c r="L52" s="23">
        <f>IF(AND(A52="",B52="",F52=""),"",IF(A52="","ID fehlt",IF(F52="","",IF(F52&lt;0,"Kosten negativ",IF(E52="","Ursache wählen",IF(N52="","Mietende fehlt",IF(AND(G52&lt;&gt;"",G52&gt;N52),"Einbau nach Mietende",IF(AND(E52="Mieter",H52&lt;&gt;"",G52=""),"Einbaudatum fehlt",IF(AND(E52="Mieter",H52&lt;&gt;"",H52&lt;=0),"Lebensdauer ungültig","")))))))))</f>
        <v/>
      </c>
      <c r="M52" s="10">
        <f>IF(AND(A52&lt;&gt;"",A52=$E$3),COUNTIF($A$32:A52,$E$3),"")</f>
        <v/>
      </c>
      <c r="N52" s="21">
        <f>IF(A52="","",IFERROR(IF(INDEX('Mein Haus'!$F$45:$F$104,A52)="","",INDEX('Mein Haus'!$F$45:$F$104,A52)),""))</f>
        <v/>
      </c>
    </row>
    <row r="53">
      <c r="A53" s="26" t="n"/>
      <c r="B53" s="16" t="n"/>
      <c r="C53" s="16" t="n"/>
      <c r="D53" s="16" t="n"/>
      <c r="E53" s="16" t="n"/>
      <c r="F53" s="22" t="n"/>
      <c r="G53" s="20" t="n"/>
      <c r="H53" s="26" t="n"/>
      <c r="I53" s="35">
        <f>IF(OR(G53="",N53=""),"",(N53-G53)/365.25)</f>
        <v/>
      </c>
      <c r="J53" s="36">
        <f>IF(F53="","",IF(E53&lt;&gt;"Mieter",0,IF(H53="",1,IF(OR(G53="",N53=""),"",MAX(0,1-I53/H53)))))</f>
        <v/>
      </c>
      <c r="K53" s="11">
        <f>IF(OR(J53="",F53=""),0,ROUND(F53*J53*20,0)/20)</f>
        <v/>
      </c>
      <c r="L53" s="23">
        <f>IF(AND(A53="",B53="",F53=""),"",IF(A53="","ID fehlt",IF(F53="","",IF(F53&lt;0,"Kosten negativ",IF(E53="","Ursache wählen",IF(N53="","Mietende fehlt",IF(AND(G53&lt;&gt;"",G53&gt;N53),"Einbau nach Mietende",IF(AND(E53="Mieter",H53&lt;&gt;"",G53=""),"Einbaudatum fehlt",IF(AND(E53="Mieter",H53&lt;&gt;"",H53&lt;=0),"Lebensdauer ungültig","")))))))))</f>
        <v/>
      </c>
      <c r="M53" s="10">
        <f>IF(AND(A53&lt;&gt;"",A53=$E$3),COUNTIF($A$32:A53,$E$3),"")</f>
        <v/>
      </c>
      <c r="N53" s="21">
        <f>IF(A53="","",IFERROR(IF(INDEX('Mein Haus'!$F$45:$F$104,A53)="","",INDEX('Mein Haus'!$F$45:$F$104,A53)),""))</f>
        <v/>
      </c>
    </row>
    <row r="54">
      <c r="A54" s="26" t="n"/>
      <c r="B54" s="16" t="n"/>
      <c r="C54" s="16" t="n"/>
      <c r="D54" s="16" t="n"/>
      <c r="E54" s="16" t="n"/>
      <c r="F54" s="22" t="n"/>
      <c r="G54" s="20" t="n"/>
      <c r="H54" s="26" t="n"/>
      <c r="I54" s="35">
        <f>IF(OR(G54="",N54=""),"",(N54-G54)/365.25)</f>
        <v/>
      </c>
      <c r="J54" s="36">
        <f>IF(F54="","",IF(E54&lt;&gt;"Mieter",0,IF(H54="",1,IF(OR(G54="",N54=""),"",MAX(0,1-I54/H54)))))</f>
        <v/>
      </c>
      <c r="K54" s="11">
        <f>IF(OR(J54="",F54=""),0,ROUND(F54*J54*20,0)/20)</f>
        <v/>
      </c>
      <c r="L54" s="23">
        <f>IF(AND(A54="",B54="",F54=""),"",IF(A54="","ID fehlt",IF(F54="","",IF(F54&lt;0,"Kosten negativ",IF(E54="","Ursache wählen",IF(N54="","Mietende fehlt",IF(AND(G54&lt;&gt;"",G54&gt;N54),"Einbau nach Mietende",IF(AND(E54="Mieter",H54&lt;&gt;"",G54=""),"Einbaudatum fehlt",IF(AND(E54="Mieter",H54&lt;&gt;"",H54&lt;=0),"Lebensdauer ungültig","")))))))))</f>
        <v/>
      </c>
      <c r="M54" s="10">
        <f>IF(AND(A54&lt;&gt;"",A54=$E$3),COUNTIF($A$32:A54,$E$3),"")</f>
        <v/>
      </c>
      <c r="N54" s="21">
        <f>IF(A54="","",IFERROR(IF(INDEX('Mein Haus'!$F$45:$F$104,A54)="","",INDEX('Mein Haus'!$F$45:$F$104,A54)),""))</f>
        <v/>
      </c>
    </row>
    <row r="55">
      <c r="A55" s="26" t="n"/>
      <c r="B55" s="16" t="n"/>
      <c r="C55" s="16" t="n"/>
      <c r="D55" s="16" t="n"/>
      <c r="E55" s="16" t="n"/>
      <c r="F55" s="22" t="n"/>
      <c r="G55" s="20" t="n"/>
      <c r="H55" s="26" t="n"/>
      <c r="I55" s="35">
        <f>IF(OR(G55="",N55=""),"",(N55-G55)/365.25)</f>
        <v/>
      </c>
      <c r="J55" s="36">
        <f>IF(F55="","",IF(E55&lt;&gt;"Mieter",0,IF(H55="",1,IF(OR(G55="",N55=""),"",MAX(0,1-I55/H55)))))</f>
        <v/>
      </c>
      <c r="K55" s="11">
        <f>IF(OR(J55="",F55=""),0,ROUND(F55*J55*20,0)/20)</f>
        <v/>
      </c>
      <c r="L55" s="23">
        <f>IF(AND(A55="",B55="",F55=""),"",IF(A55="","ID fehlt",IF(F55="","",IF(F55&lt;0,"Kosten negativ",IF(E55="","Ursache wählen",IF(N55="","Mietende fehlt",IF(AND(G55&lt;&gt;"",G55&gt;N55),"Einbau nach Mietende",IF(AND(E55="Mieter",H55&lt;&gt;"",G55=""),"Einbaudatum fehlt",IF(AND(E55="Mieter",H55&lt;&gt;"",H55&lt;=0),"Lebensdauer ungültig","")))))))))</f>
        <v/>
      </c>
      <c r="M55" s="10">
        <f>IF(AND(A55&lt;&gt;"",A55=$E$3),COUNTIF($A$32:A55,$E$3),"")</f>
        <v/>
      </c>
      <c r="N55" s="21">
        <f>IF(A55="","",IFERROR(IF(INDEX('Mein Haus'!$F$45:$F$104,A55)="","",INDEX('Mein Haus'!$F$45:$F$104,A55)),""))</f>
        <v/>
      </c>
    </row>
    <row r="56">
      <c r="A56" s="26" t="n"/>
      <c r="B56" s="16" t="n"/>
      <c r="C56" s="16" t="n"/>
      <c r="D56" s="16" t="n"/>
      <c r="E56" s="16" t="n"/>
      <c r="F56" s="22" t="n"/>
      <c r="G56" s="20" t="n"/>
      <c r="H56" s="26" t="n"/>
      <c r="I56" s="35">
        <f>IF(OR(G56="",N56=""),"",(N56-G56)/365.25)</f>
        <v/>
      </c>
      <c r="J56" s="36">
        <f>IF(F56="","",IF(E56&lt;&gt;"Mieter",0,IF(H56="",1,IF(OR(G56="",N56=""),"",MAX(0,1-I56/H56)))))</f>
        <v/>
      </c>
      <c r="K56" s="11">
        <f>IF(OR(J56="",F56=""),0,ROUND(F56*J56*20,0)/20)</f>
        <v/>
      </c>
      <c r="L56" s="23">
        <f>IF(AND(A56="",B56="",F56=""),"",IF(A56="","ID fehlt",IF(F56="","",IF(F56&lt;0,"Kosten negativ",IF(E56="","Ursache wählen",IF(N56="","Mietende fehlt",IF(AND(G56&lt;&gt;"",G56&gt;N56),"Einbau nach Mietende",IF(AND(E56="Mieter",H56&lt;&gt;"",G56=""),"Einbaudatum fehlt",IF(AND(E56="Mieter",H56&lt;&gt;"",H56&lt;=0),"Lebensdauer ungültig","")))))))))</f>
        <v/>
      </c>
      <c r="M56" s="10">
        <f>IF(AND(A56&lt;&gt;"",A56=$E$3),COUNTIF($A$32:A56,$E$3),"")</f>
        <v/>
      </c>
      <c r="N56" s="21">
        <f>IF(A56="","",IFERROR(IF(INDEX('Mein Haus'!$F$45:$F$104,A56)="","",INDEX('Mein Haus'!$F$45:$F$104,A56)),""))</f>
        <v/>
      </c>
    </row>
    <row r="57">
      <c r="A57" s="26" t="n"/>
      <c r="B57" s="16" t="n"/>
      <c r="C57" s="16" t="n"/>
      <c r="D57" s="16" t="n"/>
      <c r="E57" s="16" t="n"/>
      <c r="F57" s="22" t="n"/>
      <c r="G57" s="20" t="n"/>
      <c r="H57" s="26" t="n"/>
      <c r="I57" s="35">
        <f>IF(OR(G57="",N57=""),"",(N57-G57)/365.25)</f>
        <v/>
      </c>
      <c r="J57" s="36">
        <f>IF(F57="","",IF(E57&lt;&gt;"Mieter",0,IF(H57="",1,IF(OR(G57="",N57=""),"",MAX(0,1-I57/H57)))))</f>
        <v/>
      </c>
      <c r="K57" s="11">
        <f>IF(OR(J57="",F57=""),0,ROUND(F57*J57*20,0)/20)</f>
        <v/>
      </c>
      <c r="L57" s="23">
        <f>IF(AND(A57="",B57="",F57=""),"",IF(A57="","ID fehlt",IF(F57="","",IF(F57&lt;0,"Kosten negativ",IF(E57="","Ursache wählen",IF(N57="","Mietende fehlt",IF(AND(G57&lt;&gt;"",G57&gt;N57),"Einbau nach Mietende",IF(AND(E57="Mieter",H57&lt;&gt;"",G57=""),"Einbaudatum fehlt",IF(AND(E57="Mieter",H57&lt;&gt;"",H57&lt;=0),"Lebensdauer ungültig","")))))))))</f>
        <v/>
      </c>
      <c r="M57" s="10">
        <f>IF(AND(A57&lt;&gt;"",A57=$E$3),COUNTIF($A$32:A57,$E$3),"")</f>
        <v/>
      </c>
      <c r="N57" s="21">
        <f>IF(A57="","",IFERROR(IF(INDEX('Mein Haus'!$F$45:$F$104,A57)="","",INDEX('Mein Haus'!$F$45:$F$104,A57)),""))</f>
        <v/>
      </c>
    </row>
    <row r="58">
      <c r="A58" s="26" t="n"/>
      <c r="B58" s="16" t="n"/>
      <c r="C58" s="16" t="n"/>
      <c r="D58" s="16" t="n"/>
      <c r="E58" s="16" t="n"/>
      <c r="F58" s="22" t="n"/>
      <c r="G58" s="20" t="n"/>
      <c r="H58" s="26" t="n"/>
      <c r="I58" s="35">
        <f>IF(OR(G58="",N58=""),"",(N58-G58)/365.25)</f>
        <v/>
      </c>
      <c r="J58" s="36">
        <f>IF(F58="","",IF(E58&lt;&gt;"Mieter",0,IF(H58="",1,IF(OR(G58="",N58=""),"",MAX(0,1-I58/H58)))))</f>
        <v/>
      </c>
      <c r="K58" s="11">
        <f>IF(OR(J58="",F58=""),0,ROUND(F58*J58*20,0)/20)</f>
        <v/>
      </c>
      <c r="L58" s="23">
        <f>IF(AND(A58="",B58="",F58=""),"",IF(A58="","ID fehlt",IF(F58="","",IF(F58&lt;0,"Kosten negativ",IF(E58="","Ursache wählen",IF(N58="","Mietende fehlt",IF(AND(G58&lt;&gt;"",G58&gt;N58),"Einbau nach Mietende",IF(AND(E58="Mieter",H58&lt;&gt;"",G58=""),"Einbaudatum fehlt",IF(AND(E58="Mieter",H58&lt;&gt;"",H58&lt;=0),"Lebensdauer ungültig","")))))))))</f>
        <v/>
      </c>
      <c r="M58" s="10">
        <f>IF(AND(A58&lt;&gt;"",A58=$E$3),COUNTIF($A$32:A58,$E$3),"")</f>
        <v/>
      </c>
      <c r="N58" s="21">
        <f>IF(A58="","",IFERROR(IF(INDEX('Mein Haus'!$F$45:$F$104,A58)="","",INDEX('Mein Haus'!$F$45:$F$104,A58)),""))</f>
        <v/>
      </c>
    </row>
    <row r="59">
      <c r="A59" s="26" t="n"/>
      <c r="B59" s="16" t="n"/>
      <c r="C59" s="16" t="n"/>
      <c r="D59" s="16" t="n"/>
      <c r="E59" s="16" t="n"/>
      <c r="F59" s="22" t="n"/>
      <c r="G59" s="20" t="n"/>
      <c r="H59" s="26" t="n"/>
      <c r="I59" s="35">
        <f>IF(OR(G59="",N59=""),"",(N59-G59)/365.25)</f>
        <v/>
      </c>
      <c r="J59" s="36">
        <f>IF(F59="","",IF(E59&lt;&gt;"Mieter",0,IF(H59="",1,IF(OR(G59="",N59=""),"",MAX(0,1-I59/H59)))))</f>
        <v/>
      </c>
      <c r="K59" s="11">
        <f>IF(OR(J59="",F59=""),0,ROUND(F59*J59*20,0)/20)</f>
        <v/>
      </c>
      <c r="L59" s="23">
        <f>IF(AND(A59="",B59="",F59=""),"",IF(A59="","ID fehlt",IF(F59="","",IF(F59&lt;0,"Kosten negativ",IF(E59="","Ursache wählen",IF(N59="","Mietende fehlt",IF(AND(G59&lt;&gt;"",G59&gt;N59),"Einbau nach Mietende",IF(AND(E59="Mieter",H59&lt;&gt;"",G59=""),"Einbaudatum fehlt",IF(AND(E59="Mieter",H59&lt;&gt;"",H59&lt;=0),"Lebensdauer ungültig","")))))))))</f>
        <v/>
      </c>
      <c r="M59" s="10">
        <f>IF(AND(A59&lt;&gt;"",A59=$E$3),COUNTIF($A$32:A59,$E$3),"")</f>
        <v/>
      </c>
      <c r="N59" s="21">
        <f>IF(A59="","",IFERROR(IF(INDEX('Mein Haus'!$F$45:$F$104,A59)="","",INDEX('Mein Haus'!$F$45:$F$104,A59)),""))</f>
        <v/>
      </c>
    </row>
    <row r="60">
      <c r="A60" s="26" t="n"/>
      <c r="B60" s="16" t="n"/>
      <c r="C60" s="16" t="n"/>
      <c r="D60" s="16" t="n"/>
      <c r="E60" s="16" t="n"/>
      <c r="F60" s="22" t="n"/>
      <c r="G60" s="20" t="n"/>
      <c r="H60" s="26" t="n"/>
      <c r="I60" s="35">
        <f>IF(OR(G60="",N60=""),"",(N60-G60)/365.25)</f>
        <v/>
      </c>
      <c r="J60" s="36">
        <f>IF(F60="","",IF(E60&lt;&gt;"Mieter",0,IF(H60="",1,IF(OR(G60="",N60=""),"",MAX(0,1-I60/H60)))))</f>
        <v/>
      </c>
      <c r="K60" s="11">
        <f>IF(OR(J60="",F60=""),0,ROUND(F60*J60*20,0)/20)</f>
        <v/>
      </c>
      <c r="L60" s="23">
        <f>IF(AND(A60="",B60="",F60=""),"",IF(A60="","ID fehlt",IF(F60="","",IF(F60&lt;0,"Kosten negativ",IF(E60="","Ursache wählen",IF(N60="","Mietende fehlt",IF(AND(G60&lt;&gt;"",G60&gt;N60),"Einbau nach Mietende",IF(AND(E60="Mieter",H60&lt;&gt;"",G60=""),"Einbaudatum fehlt",IF(AND(E60="Mieter",H60&lt;&gt;"",H60&lt;=0),"Lebensdauer ungültig","")))))))))</f>
        <v/>
      </c>
      <c r="M60" s="10">
        <f>IF(AND(A60&lt;&gt;"",A60=$E$3),COUNTIF($A$32:A60,$E$3),"")</f>
        <v/>
      </c>
      <c r="N60" s="21">
        <f>IF(A60="","",IFERROR(IF(INDEX('Mein Haus'!$F$45:$F$104,A60)="","",INDEX('Mein Haus'!$F$45:$F$104,A60)),""))</f>
        <v/>
      </c>
    </row>
    <row r="61">
      <c r="A61" s="26" t="n"/>
      <c r="B61" s="16" t="n"/>
      <c r="C61" s="16" t="n"/>
      <c r="D61" s="16" t="n"/>
      <c r="E61" s="16" t="n"/>
      <c r="F61" s="22" t="n"/>
      <c r="G61" s="20" t="n"/>
      <c r="H61" s="26" t="n"/>
      <c r="I61" s="35">
        <f>IF(OR(G61="",N61=""),"",(N61-G61)/365.25)</f>
        <v/>
      </c>
      <c r="J61" s="36">
        <f>IF(F61="","",IF(E61&lt;&gt;"Mieter",0,IF(H61="",1,IF(OR(G61="",N61=""),"",MAX(0,1-I61/H61)))))</f>
        <v/>
      </c>
      <c r="K61" s="11">
        <f>IF(OR(J61="",F61=""),0,ROUND(F61*J61*20,0)/20)</f>
        <v/>
      </c>
      <c r="L61" s="23">
        <f>IF(AND(A61="",B61="",F61=""),"",IF(A61="","ID fehlt",IF(F61="","",IF(F61&lt;0,"Kosten negativ",IF(E61="","Ursache wählen",IF(N61="","Mietende fehlt",IF(AND(G61&lt;&gt;"",G61&gt;N61),"Einbau nach Mietende",IF(AND(E61="Mieter",H61&lt;&gt;"",G61=""),"Einbaudatum fehlt",IF(AND(E61="Mieter",H61&lt;&gt;"",H61&lt;=0),"Lebensdauer ungültig","")))))))))</f>
        <v/>
      </c>
      <c r="M61" s="10">
        <f>IF(AND(A61&lt;&gt;"",A61=$E$3),COUNTIF($A$32:A61,$E$3),"")</f>
        <v/>
      </c>
      <c r="N61" s="21">
        <f>IF(A61="","",IFERROR(IF(INDEX('Mein Haus'!$F$45:$F$104,A61)="","",INDEX('Mein Haus'!$F$45:$F$104,A61)),""))</f>
        <v/>
      </c>
    </row>
    <row r="62">
      <c r="A62" s="26" t="n"/>
      <c r="B62" s="16" t="n"/>
      <c r="C62" s="16" t="n"/>
      <c r="D62" s="16" t="n"/>
      <c r="E62" s="16" t="n"/>
      <c r="F62" s="22" t="n"/>
      <c r="G62" s="20" t="n"/>
      <c r="H62" s="26" t="n"/>
      <c r="I62" s="35">
        <f>IF(OR(G62="",N62=""),"",(N62-G62)/365.25)</f>
        <v/>
      </c>
      <c r="J62" s="36">
        <f>IF(F62="","",IF(E62&lt;&gt;"Mieter",0,IF(H62="",1,IF(OR(G62="",N62=""),"",MAX(0,1-I62/H62)))))</f>
        <v/>
      </c>
      <c r="K62" s="11">
        <f>IF(OR(J62="",F62=""),0,ROUND(F62*J62*20,0)/20)</f>
        <v/>
      </c>
      <c r="L62" s="23">
        <f>IF(AND(A62="",B62="",F62=""),"",IF(A62="","ID fehlt",IF(F62="","",IF(F62&lt;0,"Kosten negativ",IF(E62="","Ursache wählen",IF(N62="","Mietende fehlt",IF(AND(G62&lt;&gt;"",G62&gt;N62),"Einbau nach Mietende",IF(AND(E62="Mieter",H62&lt;&gt;"",G62=""),"Einbaudatum fehlt",IF(AND(E62="Mieter",H62&lt;&gt;"",H62&lt;=0),"Lebensdauer ungültig","")))))))))</f>
        <v/>
      </c>
      <c r="M62" s="10">
        <f>IF(AND(A62&lt;&gt;"",A62=$E$3),COUNTIF($A$32:A62,$E$3),"")</f>
        <v/>
      </c>
      <c r="N62" s="21">
        <f>IF(A62="","",IFERROR(IF(INDEX('Mein Haus'!$F$45:$F$104,A62)="","",INDEX('Mein Haus'!$F$45:$F$104,A62)),""))</f>
        <v/>
      </c>
    </row>
    <row r="63">
      <c r="A63" s="26" t="n"/>
      <c r="B63" s="16" t="n"/>
      <c r="C63" s="16" t="n"/>
      <c r="D63" s="16" t="n"/>
      <c r="E63" s="16" t="n"/>
      <c r="F63" s="22" t="n"/>
      <c r="G63" s="20" t="n"/>
      <c r="H63" s="26" t="n"/>
      <c r="I63" s="35">
        <f>IF(OR(G63="",N63=""),"",(N63-G63)/365.25)</f>
        <v/>
      </c>
      <c r="J63" s="36">
        <f>IF(F63="","",IF(E63&lt;&gt;"Mieter",0,IF(H63="",1,IF(OR(G63="",N63=""),"",MAX(0,1-I63/H63)))))</f>
        <v/>
      </c>
      <c r="K63" s="11">
        <f>IF(OR(J63="",F63=""),0,ROUND(F63*J63*20,0)/20)</f>
        <v/>
      </c>
      <c r="L63" s="23">
        <f>IF(AND(A63="",B63="",F63=""),"",IF(A63="","ID fehlt",IF(F63="","",IF(F63&lt;0,"Kosten negativ",IF(E63="","Ursache wählen",IF(N63="","Mietende fehlt",IF(AND(G63&lt;&gt;"",G63&gt;N63),"Einbau nach Mietende",IF(AND(E63="Mieter",H63&lt;&gt;"",G63=""),"Einbaudatum fehlt",IF(AND(E63="Mieter",H63&lt;&gt;"",H63&lt;=0),"Lebensdauer ungültig","")))))))))</f>
        <v/>
      </c>
      <c r="M63" s="10">
        <f>IF(AND(A63&lt;&gt;"",A63=$E$3),COUNTIF($A$32:A63,$E$3),"")</f>
        <v/>
      </c>
      <c r="N63" s="21">
        <f>IF(A63="","",IFERROR(IF(INDEX('Mein Haus'!$F$45:$F$104,A63)="","",INDEX('Mein Haus'!$F$45:$F$104,A63)),""))</f>
        <v/>
      </c>
    </row>
    <row r="64">
      <c r="A64" s="26" t="n"/>
      <c r="B64" s="16" t="n"/>
      <c r="C64" s="16" t="n"/>
      <c r="D64" s="16" t="n"/>
      <c r="E64" s="16" t="n"/>
      <c r="F64" s="22" t="n"/>
      <c r="G64" s="20" t="n"/>
      <c r="H64" s="26" t="n"/>
      <c r="I64" s="35">
        <f>IF(OR(G64="",N64=""),"",(N64-G64)/365.25)</f>
        <v/>
      </c>
      <c r="J64" s="36">
        <f>IF(F64="","",IF(E64&lt;&gt;"Mieter",0,IF(H64="",1,IF(OR(G64="",N64=""),"",MAX(0,1-I64/H64)))))</f>
        <v/>
      </c>
      <c r="K64" s="11">
        <f>IF(OR(J64="",F64=""),0,ROUND(F64*J64*20,0)/20)</f>
        <v/>
      </c>
      <c r="L64" s="23">
        <f>IF(AND(A64="",B64="",F64=""),"",IF(A64="","ID fehlt",IF(F64="","",IF(F64&lt;0,"Kosten negativ",IF(E64="","Ursache wählen",IF(N64="","Mietende fehlt",IF(AND(G64&lt;&gt;"",G64&gt;N64),"Einbau nach Mietende",IF(AND(E64="Mieter",H64&lt;&gt;"",G64=""),"Einbaudatum fehlt",IF(AND(E64="Mieter",H64&lt;&gt;"",H64&lt;=0),"Lebensdauer ungültig","")))))))))</f>
        <v/>
      </c>
      <c r="M64" s="10">
        <f>IF(AND(A64&lt;&gt;"",A64=$E$3),COUNTIF($A$32:A64,$E$3),"")</f>
        <v/>
      </c>
      <c r="N64" s="21">
        <f>IF(A64="","",IFERROR(IF(INDEX('Mein Haus'!$F$45:$F$104,A64)="","",INDEX('Mein Haus'!$F$45:$F$104,A64)),""))</f>
        <v/>
      </c>
    </row>
    <row r="65">
      <c r="A65" s="26" t="n"/>
      <c r="B65" s="16" t="n"/>
      <c r="C65" s="16" t="n"/>
      <c r="D65" s="16" t="n"/>
      <c r="E65" s="16" t="n"/>
      <c r="F65" s="22" t="n"/>
      <c r="G65" s="20" t="n"/>
      <c r="H65" s="26" t="n"/>
      <c r="I65" s="35">
        <f>IF(OR(G65="",N65=""),"",(N65-G65)/365.25)</f>
        <v/>
      </c>
      <c r="J65" s="36">
        <f>IF(F65="","",IF(E65&lt;&gt;"Mieter",0,IF(H65="",1,IF(OR(G65="",N65=""),"",MAX(0,1-I65/H65)))))</f>
        <v/>
      </c>
      <c r="K65" s="11">
        <f>IF(OR(J65="",F65=""),0,ROUND(F65*J65*20,0)/20)</f>
        <v/>
      </c>
      <c r="L65" s="23">
        <f>IF(AND(A65="",B65="",F65=""),"",IF(A65="","ID fehlt",IF(F65="","",IF(F65&lt;0,"Kosten negativ",IF(E65="","Ursache wählen",IF(N65="","Mietende fehlt",IF(AND(G65&lt;&gt;"",G65&gt;N65),"Einbau nach Mietende",IF(AND(E65="Mieter",H65&lt;&gt;"",G65=""),"Einbaudatum fehlt",IF(AND(E65="Mieter",H65&lt;&gt;"",H65&lt;=0),"Lebensdauer ungültig","")))))))))</f>
        <v/>
      </c>
      <c r="M65" s="10">
        <f>IF(AND(A65&lt;&gt;"",A65=$E$3),COUNTIF($A$32:A65,$E$3),"")</f>
        <v/>
      </c>
      <c r="N65" s="21">
        <f>IF(A65="","",IFERROR(IF(INDEX('Mein Haus'!$F$45:$F$104,A65)="","",INDEX('Mein Haus'!$F$45:$F$104,A65)),""))</f>
        <v/>
      </c>
    </row>
    <row r="66">
      <c r="A66" s="26" t="n"/>
      <c r="B66" s="16" t="n"/>
      <c r="C66" s="16" t="n"/>
      <c r="D66" s="16" t="n"/>
      <c r="E66" s="16" t="n"/>
      <c r="F66" s="22" t="n"/>
      <c r="G66" s="20" t="n"/>
      <c r="H66" s="26" t="n"/>
      <c r="I66" s="35">
        <f>IF(OR(G66="",N66=""),"",(N66-G66)/365.25)</f>
        <v/>
      </c>
      <c r="J66" s="36">
        <f>IF(F66="","",IF(E66&lt;&gt;"Mieter",0,IF(H66="",1,IF(OR(G66="",N66=""),"",MAX(0,1-I66/H66)))))</f>
        <v/>
      </c>
      <c r="K66" s="11">
        <f>IF(OR(J66="",F66=""),0,ROUND(F66*J66*20,0)/20)</f>
        <v/>
      </c>
      <c r="L66" s="23">
        <f>IF(AND(A66="",B66="",F66=""),"",IF(A66="","ID fehlt",IF(F66="","",IF(F66&lt;0,"Kosten negativ",IF(E66="","Ursache wählen",IF(N66="","Mietende fehlt",IF(AND(G66&lt;&gt;"",G66&gt;N66),"Einbau nach Mietende",IF(AND(E66="Mieter",H66&lt;&gt;"",G66=""),"Einbaudatum fehlt",IF(AND(E66="Mieter",H66&lt;&gt;"",H66&lt;=0),"Lebensdauer ungültig","")))))))))</f>
        <v/>
      </c>
      <c r="M66" s="10">
        <f>IF(AND(A66&lt;&gt;"",A66=$E$3),COUNTIF($A$32:A66,$E$3),"")</f>
        <v/>
      </c>
      <c r="N66" s="21">
        <f>IF(A66="","",IFERROR(IF(INDEX('Mein Haus'!$F$45:$F$104,A66)="","",INDEX('Mein Haus'!$F$45:$F$104,A66)),""))</f>
        <v/>
      </c>
    </row>
    <row r="67">
      <c r="A67" s="26" t="n"/>
      <c r="B67" s="16" t="n"/>
      <c r="C67" s="16" t="n"/>
      <c r="D67" s="16" t="n"/>
      <c r="E67" s="16" t="n"/>
      <c r="F67" s="22" t="n"/>
      <c r="G67" s="20" t="n"/>
      <c r="H67" s="26" t="n"/>
      <c r="I67" s="35">
        <f>IF(OR(G67="",N67=""),"",(N67-G67)/365.25)</f>
        <v/>
      </c>
      <c r="J67" s="36">
        <f>IF(F67="","",IF(E67&lt;&gt;"Mieter",0,IF(H67="",1,IF(OR(G67="",N67=""),"",MAX(0,1-I67/H67)))))</f>
        <v/>
      </c>
      <c r="K67" s="11">
        <f>IF(OR(J67="",F67=""),0,ROUND(F67*J67*20,0)/20)</f>
        <v/>
      </c>
      <c r="L67" s="23">
        <f>IF(AND(A67="",B67="",F67=""),"",IF(A67="","ID fehlt",IF(F67="","",IF(F67&lt;0,"Kosten negativ",IF(E67="","Ursache wählen",IF(N67="","Mietende fehlt",IF(AND(G67&lt;&gt;"",G67&gt;N67),"Einbau nach Mietende",IF(AND(E67="Mieter",H67&lt;&gt;"",G67=""),"Einbaudatum fehlt",IF(AND(E67="Mieter",H67&lt;&gt;"",H67&lt;=0),"Lebensdauer ungültig","")))))))))</f>
        <v/>
      </c>
      <c r="M67" s="10">
        <f>IF(AND(A67&lt;&gt;"",A67=$E$3),COUNTIF($A$32:A67,$E$3),"")</f>
        <v/>
      </c>
      <c r="N67" s="21">
        <f>IF(A67="","",IFERROR(IF(INDEX('Mein Haus'!$F$45:$F$104,A67)="","",INDEX('Mein Haus'!$F$45:$F$104,A67)),""))</f>
        <v/>
      </c>
    </row>
    <row r="68">
      <c r="A68" s="26" t="n"/>
      <c r="B68" s="16" t="n"/>
      <c r="C68" s="16" t="n"/>
      <c r="D68" s="16" t="n"/>
      <c r="E68" s="16" t="n"/>
      <c r="F68" s="22" t="n"/>
      <c r="G68" s="20" t="n"/>
      <c r="H68" s="26" t="n"/>
      <c r="I68" s="35">
        <f>IF(OR(G68="",N68=""),"",(N68-G68)/365.25)</f>
        <v/>
      </c>
      <c r="J68" s="36">
        <f>IF(F68="","",IF(E68&lt;&gt;"Mieter",0,IF(H68="",1,IF(OR(G68="",N68=""),"",MAX(0,1-I68/H68)))))</f>
        <v/>
      </c>
      <c r="K68" s="11">
        <f>IF(OR(J68="",F68=""),0,ROUND(F68*J68*20,0)/20)</f>
        <v/>
      </c>
      <c r="L68" s="23">
        <f>IF(AND(A68="",B68="",F68=""),"",IF(A68="","ID fehlt",IF(F68="","",IF(F68&lt;0,"Kosten negativ",IF(E68="","Ursache wählen",IF(N68="","Mietende fehlt",IF(AND(G68&lt;&gt;"",G68&gt;N68),"Einbau nach Mietende",IF(AND(E68="Mieter",H68&lt;&gt;"",G68=""),"Einbaudatum fehlt",IF(AND(E68="Mieter",H68&lt;&gt;"",H68&lt;=0),"Lebensdauer ungültig","")))))))))</f>
        <v/>
      </c>
      <c r="M68" s="10">
        <f>IF(AND(A68&lt;&gt;"",A68=$E$3),COUNTIF($A$32:A68,$E$3),"")</f>
        <v/>
      </c>
      <c r="N68" s="21">
        <f>IF(A68="","",IFERROR(IF(INDEX('Mein Haus'!$F$45:$F$104,A68)="","",INDEX('Mein Haus'!$F$45:$F$104,A68)),""))</f>
        <v/>
      </c>
    </row>
    <row r="69">
      <c r="A69" s="26" t="n"/>
      <c r="B69" s="16" t="n"/>
      <c r="C69" s="16" t="n"/>
      <c r="D69" s="16" t="n"/>
      <c r="E69" s="16" t="n"/>
      <c r="F69" s="22" t="n"/>
      <c r="G69" s="20" t="n"/>
      <c r="H69" s="26" t="n"/>
      <c r="I69" s="35">
        <f>IF(OR(G69="",N69=""),"",(N69-G69)/365.25)</f>
        <v/>
      </c>
      <c r="J69" s="36">
        <f>IF(F69="","",IF(E69&lt;&gt;"Mieter",0,IF(H69="",1,IF(OR(G69="",N69=""),"",MAX(0,1-I69/H69)))))</f>
        <v/>
      </c>
      <c r="K69" s="11">
        <f>IF(OR(J69="",F69=""),0,ROUND(F69*J69*20,0)/20)</f>
        <v/>
      </c>
      <c r="L69" s="23">
        <f>IF(AND(A69="",B69="",F69=""),"",IF(A69="","ID fehlt",IF(F69="","",IF(F69&lt;0,"Kosten negativ",IF(E69="","Ursache wählen",IF(N69="","Mietende fehlt",IF(AND(G69&lt;&gt;"",G69&gt;N69),"Einbau nach Mietende",IF(AND(E69="Mieter",H69&lt;&gt;"",G69=""),"Einbaudatum fehlt",IF(AND(E69="Mieter",H69&lt;&gt;"",H69&lt;=0),"Lebensdauer ungültig","")))))))))</f>
        <v/>
      </c>
      <c r="M69" s="10">
        <f>IF(AND(A69&lt;&gt;"",A69=$E$3),COUNTIF($A$32:A69,$E$3),"")</f>
        <v/>
      </c>
      <c r="N69" s="21">
        <f>IF(A69="","",IFERROR(IF(INDEX('Mein Haus'!$F$45:$F$104,A69)="","",INDEX('Mein Haus'!$F$45:$F$104,A69)),""))</f>
        <v/>
      </c>
    </row>
    <row r="70">
      <c r="A70" s="26" t="n"/>
      <c r="B70" s="16" t="n"/>
      <c r="C70" s="16" t="n"/>
      <c r="D70" s="16" t="n"/>
      <c r="E70" s="16" t="n"/>
      <c r="F70" s="22" t="n"/>
      <c r="G70" s="20" t="n"/>
      <c r="H70" s="26" t="n"/>
      <c r="I70" s="35">
        <f>IF(OR(G70="",N70=""),"",(N70-G70)/365.25)</f>
        <v/>
      </c>
      <c r="J70" s="36">
        <f>IF(F70="","",IF(E70&lt;&gt;"Mieter",0,IF(H70="",1,IF(OR(G70="",N70=""),"",MAX(0,1-I70/H70)))))</f>
        <v/>
      </c>
      <c r="K70" s="11">
        <f>IF(OR(J70="",F70=""),0,ROUND(F70*J70*20,0)/20)</f>
        <v/>
      </c>
      <c r="L70" s="23">
        <f>IF(AND(A70="",B70="",F70=""),"",IF(A70="","ID fehlt",IF(F70="","",IF(F70&lt;0,"Kosten negativ",IF(E70="","Ursache wählen",IF(N70="","Mietende fehlt",IF(AND(G70&lt;&gt;"",G70&gt;N70),"Einbau nach Mietende",IF(AND(E70="Mieter",H70&lt;&gt;"",G70=""),"Einbaudatum fehlt",IF(AND(E70="Mieter",H70&lt;&gt;"",H70&lt;=0),"Lebensdauer ungültig","")))))))))</f>
        <v/>
      </c>
      <c r="M70" s="10">
        <f>IF(AND(A70&lt;&gt;"",A70=$E$3),COUNTIF($A$32:A70,$E$3),"")</f>
        <v/>
      </c>
      <c r="N70" s="21">
        <f>IF(A70="","",IFERROR(IF(INDEX('Mein Haus'!$F$45:$F$104,A70)="","",INDEX('Mein Haus'!$F$45:$F$104,A70)),""))</f>
        <v/>
      </c>
    </row>
    <row r="71">
      <c r="A71" s="26" t="n"/>
      <c r="B71" s="16" t="n"/>
      <c r="C71" s="16" t="n"/>
      <c r="D71" s="16" t="n"/>
      <c r="E71" s="16" t="n"/>
      <c r="F71" s="22" t="n"/>
      <c r="G71" s="20" t="n"/>
      <c r="H71" s="26" t="n"/>
      <c r="I71" s="35">
        <f>IF(OR(G71="",N71=""),"",(N71-G71)/365.25)</f>
        <v/>
      </c>
      <c r="J71" s="36">
        <f>IF(F71="","",IF(E71&lt;&gt;"Mieter",0,IF(H71="",1,IF(OR(G71="",N71=""),"",MAX(0,1-I71/H71)))))</f>
        <v/>
      </c>
      <c r="K71" s="11">
        <f>IF(OR(J71="",F71=""),0,ROUND(F71*J71*20,0)/20)</f>
        <v/>
      </c>
      <c r="L71" s="23">
        <f>IF(AND(A71="",B71="",F71=""),"",IF(A71="","ID fehlt",IF(F71="","",IF(F71&lt;0,"Kosten negativ",IF(E71="","Ursache wählen",IF(N71="","Mietende fehlt",IF(AND(G71&lt;&gt;"",G71&gt;N71),"Einbau nach Mietende",IF(AND(E71="Mieter",H71&lt;&gt;"",G71=""),"Einbaudatum fehlt",IF(AND(E71="Mieter",H71&lt;&gt;"",H71&lt;=0),"Lebensdauer ungültig","")))))))))</f>
        <v/>
      </c>
      <c r="M71" s="10">
        <f>IF(AND(A71&lt;&gt;"",A71=$E$3),COUNTIF($A$32:A71,$E$3),"")</f>
        <v/>
      </c>
      <c r="N71" s="21">
        <f>IF(A71="","",IFERROR(IF(INDEX('Mein Haus'!$F$45:$F$104,A71)="","",INDEX('Mein Haus'!$F$45:$F$104,A71)),""))</f>
        <v/>
      </c>
    </row>
    <row r="72">
      <c r="A72" s="26" t="n"/>
      <c r="B72" s="16" t="n"/>
      <c r="C72" s="16" t="n"/>
      <c r="D72" s="16" t="n"/>
      <c r="E72" s="16" t="n"/>
      <c r="F72" s="22" t="n"/>
      <c r="G72" s="20" t="n"/>
      <c r="H72" s="26" t="n"/>
      <c r="I72" s="35">
        <f>IF(OR(G72="",N72=""),"",(N72-G72)/365.25)</f>
        <v/>
      </c>
      <c r="J72" s="36">
        <f>IF(F72="","",IF(E72&lt;&gt;"Mieter",0,IF(H72="",1,IF(OR(G72="",N72=""),"",MAX(0,1-I72/H72)))))</f>
        <v/>
      </c>
      <c r="K72" s="11">
        <f>IF(OR(J72="",F72=""),0,ROUND(F72*J72*20,0)/20)</f>
        <v/>
      </c>
      <c r="L72" s="23">
        <f>IF(AND(A72="",B72="",F72=""),"",IF(A72="","ID fehlt",IF(F72="","",IF(F72&lt;0,"Kosten negativ",IF(E72="","Ursache wählen",IF(N72="","Mietende fehlt",IF(AND(G72&lt;&gt;"",G72&gt;N72),"Einbau nach Mietende",IF(AND(E72="Mieter",H72&lt;&gt;"",G72=""),"Einbaudatum fehlt",IF(AND(E72="Mieter",H72&lt;&gt;"",H72&lt;=0),"Lebensdauer ungültig","")))))))))</f>
        <v/>
      </c>
      <c r="M72" s="10">
        <f>IF(AND(A72&lt;&gt;"",A72=$E$3),COUNTIF($A$32:A72,$E$3),"")</f>
        <v/>
      </c>
      <c r="N72" s="21">
        <f>IF(A72="","",IFERROR(IF(INDEX('Mein Haus'!$F$45:$F$104,A72)="","",INDEX('Mein Haus'!$F$45:$F$104,A72)),""))</f>
        <v/>
      </c>
    </row>
    <row r="73">
      <c r="A73" s="26" t="n"/>
      <c r="B73" s="16" t="n"/>
      <c r="C73" s="16" t="n"/>
      <c r="D73" s="16" t="n"/>
      <c r="E73" s="16" t="n"/>
      <c r="F73" s="22" t="n"/>
      <c r="G73" s="20" t="n"/>
      <c r="H73" s="26" t="n"/>
      <c r="I73" s="35">
        <f>IF(OR(G73="",N73=""),"",(N73-G73)/365.25)</f>
        <v/>
      </c>
      <c r="J73" s="36">
        <f>IF(F73="","",IF(E73&lt;&gt;"Mieter",0,IF(H73="",1,IF(OR(G73="",N73=""),"",MAX(0,1-I73/H73)))))</f>
        <v/>
      </c>
      <c r="K73" s="11">
        <f>IF(OR(J73="",F73=""),0,ROUND(F73*J73*20,0)/20)</f>
        <v/>
      </c>
      <c r="L73" s="23">
        <f>IF(AND(A73="",B73="",F73=""),"",IF(A73="","ID fehlt",IF(F73="","",IF(F73&lt;0,"Kosten negativ",IF(E73="","Ursache wählen",IF(N73="","Mietende fehlt",IF(AND(G73&lt;&gt;"",G73&gt;N73),"Einbau nach Mietende",IF(AND(E73="Mieter",H73&lt;&gt;"",G73=""),"Einbaudatum fehlt",IF(AND(E73="Mieter",H73&lt;&gt;"",H73&lt;=0),"Lebensdauer ungültig","")))))))))</f>
        <v/>
      </c>
      <c r="M73" s="10">
        <f>IF(AND(A73&lt;&gt;"",A73=$E$3),COUNTIF($A$32:A73,$E$3),"")</f>
        <v/>
      </c>
      <c r="N73" s="21">
        <f>IF(A73="","",IFERROR(IF(INDEX('Mein Haus'!$F$45:$F$104,A73)="","",INDEX('Mein Haus'!$F$45:$F$104,A73)),""))</f>
        <v/>
      </c>
    </row>
    <row r="74">
      <c r="A74" s="26" t="n"/>
      <c r="B74" s="16" t="n"/>
      <c r="C74" s="16" t="n"/>
      <c r="D74" s="16" t="n"/>
      <c r="E74" s="16" t="n"/>
      <c r="F74" s="22" t="n"/>
      <c r="G74" s="20" t="n"/>
      <c r="H74" s="26" t="n"/>
      <c r="I74" s="35">
        <f>IF(OR(G74="",N74=""),"",(N74-G74)/365.25)</f>
        <v/>
      </c>
      <c r="J74" s="36">
        <f>IF(F74="","",IF(E74&lt;&gt;"Mieter",0,IF(H74="",1,IF(OR(G74="",N74=""),"",MAX(0,1-I74/H74)))))</f>
        <v/>
      </c>
      <c r="K74" s="11">
        <f>IF(OR(J74="",F74=""),0,ROUND(F74*J74*20,0)/20)</f>
        <v/>
      </c>
      <c r="L74" s="23">
        <f>IF(AND(A74="",B74="",F74=""),"",IF(A74="","ID fehlt",IF(F74="","",IF(F74&lt;0,"Kosten negativ",IF(E74="","Ursache wählen",IF(N74="","Mietende fehlt",IF(AND(G74&lt;&gt;"",G74&gt;N74),"Einbau nach Mietende",IF(AND(E74="Mieter",H74&lt;&gt;"",G74=""),"Einbaudatum fehlt",IF(AND(E74="Mieter",H74&lt;&gt;"",H74&lt;=0),"Lebensdauer ungültig","")))))))))</f>
        <v/>
      </c>
      <c r="M74" s="10">
        <f>IF(AND(A74&lt;&gt;"",A74=$E$3),COUNTIF($A$32:A74,$E$3),"")</f>
        <v/>
      </c>
      <c r="N74" s="21">
        <f>IF(A74="","",IFERROR(IF(INDEX('Mein Haus'!$F$45:$F$104,A74)="","",INDEX('Mein Haus'!$F$45:$F$104,A74)),""))</f>
        <v/>
      </c>
    </row>
    <row r="75">
      <c r="A75" s="26" t="n"/>
      <c r="B75" s="16" t="n"/>
      <c r="C75" s="16" t="n"/>
      <c r="D75" s="16" t="n"/>
      <c r="E75" s="16" t="n"/>
      <c r="F75" s="22" t="n"/>
      <c r="G75" s="20" t="n"/>
      <c r="H75" s="26" t="n"/>
      <c r="I75" s="35">
        <f>IF(OR(G75="",N75=""),"",(N75-G75)/365.25)</f>
        <v/>
      </c>
      <c r="J75" s="36">
        <f>IF(F75="","",IF(E75&lt;&gt;"Mieter",0,IF(H75="",1,IF(OR(G75="",N75=""),"",MAX(0,1-I75/H75)))))</f>
        <v/>
      </c>
      <c r="K75" s="11">
        <f>IF(OR(J75="",F75=""),0,ROUND(F75*J75*20,0)/20)</f>
        <v/>
      </c>
      <c r="L75" s="23">
        <f>IF(AND(A75="",B75="",F75=""),"",IF(A75="","ID fehlt",IF(F75="","",IF(F75&lt;0,"Kosten negativ",IF(E75="","Ursache wählen",IF(N75="","Mietende fehlt",IF(AND(G75&lt;&gt;"",G75&gt;N75),"Einbau nach Mietende",IF(AND(E75="Mieter",H75&lt;&gt;"",G75=""),"Einbaudatum fehlt",IF(AND(E75="Mieter",H75&lt;&gt;"",H75&lt;=0),"Lebensdauer ungültig","")))))))))</f>
        <v/>
      </c>
      <c r="M75" s="10">
        <f>IF(AND(A75&lt;&gt;"",A75=$E$3),COUNTIF($A$32:A75,$E$3),"")</f>
        <v/>
      </c>
      <c r="N75" s="21">
        <f>IF(A75="","",IFERROR(IF(INDEX('Mein Haus'!$F$45:$F$104,A75)="","",INDEX('Mein Haus'!$F$45:$F$104,A75)),""))</f>
        <v/>
      </c>
    </row>
    <row r="76">
      <c r="A76" s="26" t="n"/>
      <c r="B76" s="16" t="n"/>
      <c r="C76" s="16" t="n"/>
      <c r="D76" s="16" t="n"/>
      <c r="E76" s="16" t="n"/>
      <c r="F76" s="22" t="n"/>
      <c r="G76" s="20" t="n"/>
      <c r="H76" s="26" t="n"/>
      <c r="I76" s="35">
        <f>IF(OR(G76="",N76=""),"",(N76-G76)/365.25)</f>
        <v/>
      </c>
      <c r="J76" s="36">
        <f>IF(F76="","",IF(E76&lt;&gt;"Mieter",0,IF(H76="",1,IF(OR(G76="",N76=""),"",MAX(0,1-I76/H76)))))</f>
        <v/>
      </c>
      <c r="K76" s="11">
        <f>IF(OR(J76="",F76=""),0,ROUND(F76*J76*20,0)/20)</f>
        <v/>
      </c>
      <c r="L76" s="23">
        <f>IF(AND(A76="",B76="",F76=""),"",IF(A76="","ID fehlt",IF(F76="","",IF(F76&lt;0,"Kosten negativ",IF(E76="","Ursache wählen",IF(N76="","Mietende fehlt",IF(AND(G76&lt;&gt;"",G76&gt;N76),"Einbau nach Mietende",IF(AND(E76="Mieter",H76&lt;&gt;"",G76=""),"Einbaudatum fehlt",IF(AND(E76="Mieter",H76&lt;&gt;"",H76&lt;=0),"Lebensdauer ungültig","")))))))))</f>
        <v/>
      </c>
      <c r="M76" s="10">
        <f>IF(AND(A76&lt;&gt;"",A76=$E$3),COUNTIF($A$32:A76,$E$3),"")</f>
        <v/>
      </c>
      <c r="N76" s="21">
        <f>IF(A76="","",IFERROR(IF(INDEX('Mein Haus'!$F$45:$F$104,A76)="","",INDEX('Mein Haus'!$F$45:$F$104,A76)),""))</f>
        <v/>
      </c>
    </row>
    <row r="77">
      <c r="A77" s="26" t="n"/>
      <c r="B77" s="16" t="n"/>
      <c r="C77" s="16" t="n"/>
      <c r="D77" s="16" t="n"/>
      <c r="E77" s="16" t="n"/>
      <c r="F77" s="22" t="n"/>
      <c r="G77" s="20" t="n"/>
      <c r="H77" s="26" t="n"/>
      <c r="I77" s="35">
        <f>IF(OR(G77="",N77=""),"",(N77-G77)/365.25)</f>
        <v/>
      </c>
      <c r="J77" s="36">
        <f>IF(F77="","",IF(E77&lt;&gt;"Mieter",0,IF(H77="",1,IF(OR(G77="",N77=""),"",MAX(0,1-I77/H77)))))</f>
        <v/>
      </c>
      <c r="K77" s="11">
        <f>IF(OR(J77="",F77=""),0,ROUND(F77*J77*20,0)/20)</f>
        <v/>
      </c>
      <c r="L77" s="23">
        <f>IF(AND(A77="",B77="",F77=""),"",IF(A77="","ID fehlt",IF(F77="","",IF(F77&lt;0,"Kosten negativ",IF(E77="","Ursache wählen",IF(N77="","Mietende fehlt",IF(AND(G77&lt;&gt;"",G77&gt;N77),"Einbau nach Mietende",IF(AND(E77="Mieter",H77&lt;&gt;"",G77=""),"Einbaudatum fehlt",IF(AND(E77="Mieter",H77&lt;&gt;"",H77&lt;=0),"Lebensdauer ungültig","")))))))))</f>
        <v/>
      </c>
      <c r="M77" s="10">
        <f>IF(AND(A77&lt;&gt;"",A77=$E$3),COUNTIF($A$32:A77,$E$3),"")</f>
        <v/>
      </c>
      <c r="N77" s="21">
        <f>IF(A77="","",IFERROR(IF(INDEX('Mein Haus'!$F$45:$F$104,A77)="","",INDEX('Mein Haus'!$F$45:$F$104,A77)),""))</f>
        <v/>
      </c>
    </row>
    <row r="78">
      <c r="A78" s="26" t="n"/>
      <c r="B78" s="16" t="n"/>
      <c r="C78" s="16" t="n"/>
      <c r="D78" s="16" t="n"/>
      <c r="E78" s="16" t="n"/>
      <c r="F78" s="22" t="n"/>
      <c r="G78" s="20" t="n"/>
      <c r="H78" s="26" t="n"/>
      <c r="I78" s="35">
        <f>IF(OR(G78="",N78=""),"",(N78-G78)/365.25)</f>
        <v/>
      </c>
      <c r="J78" s="36">
        <f>IF(F78="","",IF(E78&lt;&gt;"Mieter",0,IF(H78="",1,IF(OR(G78="",N78=""),"",MAX(0,1-I78/H78)))))</f>
        <v/>
      </c>
      <c r="K78" s="11">
        <f>IF(OR(J78="",F78=""),0,ROUND(F78*J78*20,0)/20)</f>
        <v/>
      </c>
      <c r="L78" s="23">
        <f>IF(AND(A78="",B78="",F78=""),"",IF(A78="","ID fehlt",IF(F78="","",IF(F78&lt;0,"Kosten negativ",IF(E78="","Ursache wählen",IF(N78="","Mietende fehlt",IF(AND(G78&lt;&gt;"",G78&gt;N78),"Einbau nach Mietende",IF(AND(E78="Mieter",H78&lt;&gt;"",G78=""),"Einbaudatum fehlt",IF(AND(E78="Mieter",H78&lt;&gt;"",H78&lt;=0),"Lebensdauer ungültig","")))))))))</f>
        <v/>
      </c>
      <c r="M78" s="10">
        <f>IF(AND(A78&lt;&gt;"",A78=$E$3),COUNTIF($A$32:A78,$E$3),"")</f>
        <v/>
      </c>
      <c r="N78" s="21">
        <f>IF(A78="","",IFERROR(IF(INDEX('Mein Haus'!$F$45:$F$104,A78)="","",INDEX('Mein Haus'!$F$45:$F$104,A78)),""))</f>
        <v/>
      </c>
    </row>
    <row r="79">
      <c r="A79" s="26" t="n"/>
      <c r="B79" s="16" t="n"/>
      <c r="C79" s="16" t="n"/>
      <c r="D79" s="16" t="n"/>
      <c r="E79" s="16" t="n"/>
      <c r="F79" s="22" t="n"/>
      <c r="G79" s="20" t="n"/>
      <c r="H79" s="26" t="n"/>
      <c r="I79" s="35">
        <f>IF(OR(G79="",N79=""),"",(N79-G79)/365.25)</f>
        <v/>
      </c>
      <c r="J79" s="36">
        <f>IF(F79="","",IF(E79&lt;&gt;"Mieter",0,IF(H79="",1,IF(OR(G79="",N79=""),"",MAX(0,1-I79/H79)))))</f>
        <v/>
      </c>
      <c r="K79" s="11">
        <f>IF(OR(J79="",F79=""),0,ROUND(F79*J79*20,0)/20)</f>
        <v/>
      </c>
      <c r="L79" s="23">
        <f>IF(AND(A79="",B79="",F79=""),"",IF(A79="","ID fehlt",IF(F79="","",IF(F79&lt;0,"Kosten negativ",IF(E79="","Ursache wählen",IF(N79="","Mietende fehlt",IF(AND(G79&lt;&gt;"",G79&gt;N79),"Einbau nach Mietende",IF(AND(E79="Mieter",H79&lt;&gt;"",G79=""),"Einbaudatum fehlt",IF(AND(E79="Mieter",H79&lt;&gt;"",H79&lt;=0),"Lebensdauer ungültig","")))))))))</f>
        <v/>
      </c>
      <c r="M79" s="10">
        <f>IF(AND(A79&lt;&gt;"",A79=$E$3),COUNTIF($A$32:A79,$E$3),"")</f>
        <v/>
      </c>
      <c r="N79" s="21">
        <f>IF(A79="","",IFERROR(IF(INDEX('Mein Haus'!$F$45:$F$104,A79)="","",INDEX('Mein Haus'!$F$45:$F$104,A79)),""))</f>
        <v/>
      </c>
    </row>
    <row r="80">
      <c r="A80" s="26" t="n"/>
      <c r="B80" s="16" t="n"/>
      <c r="C80" s="16" t="n"/>
      <c r="D80" s="16" t="n"/>
      <c r="E80" s="16" t="n"/>
      <c r="F80" s="22" t="n"/>
      <c r="G80" s="20" t="n"/>
      <c r="H80" s="26" t="n"/>
      <c r="I80" s="35">
        <f>IF(OR(G80="",N80=""),"",(N80-G80)/365.25)</f>
        <v/>
      </c>
      <c r="J80" s="36">
        <f>IF(F80="","",IF(E80&lt;&gt;"Mieter",0,IF(H80="",1,IF(OR(G80="",N80=""),"",MAX(0,1-I80/H80)))))</f>
        <v/>
      </c>
      <c r="K80" s="11">
        <f>IF(OR(J80="",F80=""),0,ROUND(F80*J80*20,0)/20)</f>
        <v/>
      </c>
      <c r="L80" s="23">
        <f>IF(AND(A80="",B80="",F80=""),"",IF(A80="","ID fehlt",IF(F80="","",IF(F80&lt;0,"Kosten negativ",IF(E80="","Ursache wählen",IF(N80="","Mietende fehlt",IF(AND(G80&lt;&gt;"",G80&gt;N80),"Einbau nach Mietende",IF(AND(E80="Mieter",H80&lt;&gt;"",G80=""),"Einbaudatum fehlt",IF(AND(E80="Mieter",H80&lt;&gt;"",H80&lt;=0),"Lebensdauer ungültig","")))))))))</f>
        <v/>
      </c>
      <c r="M80" s="10">
        <f>IF(AND(A80&lt;&gt;"",A80=$E$3),COUNTIF($A$32:A80,$E$3),"")</f>
        <v/>
      </c>
      <c r="N80" s="21">
        <f>IF(A80="","",IFERROR(IF(INDEX('Mein Haus'!$F$45:$F$104,A80)="","",INDEX('Mein Haus'!$F$45:$F$104,A80)),""))</f>
        <v/>
      </c>
    </row>
    <row r="81">
      <c r="A81" s="26" t="n"/>
      <c r="B81" s="16" t="n"/>
      <c r="C81" s="16" t="n"/>
      <c r="D81" s="16" t="n"/>
      <c r="E81" s="16" t="n"/>
      <c r="F81" s="22" t="n"/>
      <c r="G81" s="20" t="n"/>
      <c r="H81" s="26" t="n"/>
      <c r="I81" s="35">
        <f>IF(OR(G81="",N81=""),"",(N81-G81)/365.25)</f>
        <v/>
      </c>
      <c r="J81" s="36">
        <f>IF(F81="","",IF(E81&lt;&gt;"Mieter",0,IF(H81="",1,IF(OR(G81="",N81=""),"",MAX(0,1-I81/H81)))))</f>
        <v/>
      </c>
      <c r="K81" s="11">
        <f>IF(OR(J81="",F81=""),0,ROUND(F81*J81*20,0)/20)</f>
        <v/>
      </c>
      <c r="L81" s="23">
        <f>IF(AND(A81="",B81="",F81=""),"",IF(A81="","ID fehlt",IF(F81="","",IF(F81&lt;0,"Kosten negativ",IF(E81="","Ursache wählen",IF(N81="","Mietende fehlt",IF(AND(G81&lt;&gt;"",G81&gt;N81),"Einbau nach Mietende",IF(AND(E81="Mieter",H81&lt;&gt;"",G81=""),"Einbaudatum fehlt",IF(AND(E81="Mieter",H81&lt;&gt;"",H81&lt;=0),"Lebensdauer ungültig","")))))))))</f>
        <v/>
      </c>
      <c r="M81" s="10">
        <f>IF(AND(A81&lt;&gt;"",A81=$E$3),COUNTIF($A$32:A81,$E$3),"")</f>
        <v/>
      </c>
      <c r="N81" s="21">
        <f>IF(A81="","",IFERROR(IF(INDEX('Mein Haus'!$F$45:$F$104,A81)="","",INDEX('Mein Haus'!$F$45:$F$104,A81)),""))</f>
        <v/>
      </c>
    </row>
    <row r="82">
      <c r="A82" s="26" t="n"/>
      <c r="B82" s="16" t="n"/>
      <c r="C82" s="16" t="n"/>
      <c r="D82" s="16" t="n"/>
      <c r="E82" s="16" t="n"/>
      <c r="F82" s="22" t="n"/>
      <c r="G82" s="20" t="n"/>
      <c r="H82" s="26" t="n"/>
      <c r="I82" s="35">
        <f>IF(OR(G82="",N82=""),"",(N82-G82)/365.25)</f>
        <v/>
      </c>
      <c r="J82" s="36">
        <f>IF(F82="","",IF(E82&lt;&gt;"Mieter",0,IF(H82="",1,IF(OR(G82="",N82=""),"",MAX(0,1-I82/H82)))))</f>
        <v/>
      </c>
      <c r="K82" s="11">
        <f>IF(OR(J82="",F82=""),0,ROUND(F82*J82*20,0)/20)</f>
        <v/>
      </c>
      <c r="L82" s="23">
        <f>IF(AND(A82="",B82="",F82=""),"",IF(A82="","ID fehlt",IF(F82="","",IF(F82&lt;0,"Kosten negativ",IF(E82="","Ursache wählen",IF(N82="","Mietende fehlt",IF(AND(G82&lt;&gt;"",G82&gt;N82),"Einbau nach Mietende",IF(AND(E82="Mieter",H82&lt;&gt;"",G82=""),"Einbaudatum fehlt",IF(AND(E82="Mieter",H82&lt;&gt;"",H82&lt;=0),"Lebensdauer ungültig","")))))))))</f>
        <v/>
      </c>
      <c r="M82" s="10">
        <f>IF(AND(A82&lt;&gt;"",A82=$E$3),COUNTIF($A$32:A82,$E$3),"")</f>
        <v/>
      </c>
      <c r="N82" s="21">
        <f>IF(A82="","",IFERROR(IF(INDEX('Mein Haus'!$F$45:$F$104,A82)="","",INDEX('Mein Haus'!$F$45:$F$104,A82)),""))</f>
        <v/>
      </c>
    </row>
    <row r="83">
      <c r="A83" s="26" t="n"/>
      <c r="B83" s="16" t="n"/>
      <c r="C83" s="16" t="n"/>
      <c r="D83" s="16" t="n"/>
      <c r="E83" s="16" t="n"/>
      <c r="F83" s="22" t="n"/>
      <c r="G83" s="20" t="n"/>
      <c r="H83" s="26" t="n"/>
      <c r="I83" s="35">
        <f>IF(OR(G83="",N83=""),"",(N83-G83)/365.25)</f>
        <v/>
      </c>
      <c r="J83" s="36">
        <f>IF(F83="","",IF(E83&lt;&gt;"Mieter",0,IF(H83="",1,IF(OR(G83="",N83=""),"",MAX(0,1-I83/H83)))))</f>
        <v/>
      </c>
      <c r="K83" s="11">
        <f>IF(OR(J83="",F83=""),0,ROUND(F83*J83*20,0)/20)</f>
        <v/>
      </c>
      <c r="L83" s="23">
        <f>IF(AND(A83="",B83="",F83=""),"",IF(A83="","ID fehlt",IF(F83="","",IF(F83&lt;0,"Kosten negativ",IF(E83="","Ursache wählen",IF(N83="","Mietende fehlt",IF(AND(G83&lt;&gt;"",G83&gt;N83),"Einbau nach Mietende",IF(AND(E83="Mieter",H83&lt;&gt;"",G83=""),"Einbaudatum fehlt",IF(AND(E83="Mieter",H83&lt;&gt;"",H83&lt;=0),"Lebensdauer ungültig","")))))))))</f>
        <v/>
      </c>
      <c r="M83" s="10">
        <f>IF(AND(A83&lt;&gt;"",A83=$E$3),COUNTIF($A$32:A83,$E$3),"")</f>
        <v/>
      </c>
      <c r="N83" s="21">
        <f>IF(A83="","",IFERROR(IF(INDEX('Mein Haus'!$F$45:$F$104,A83)="","",INDEX('Mein Haus'!$F$45:$F$104,A83)),""))</f>
        <v/>
      </c>
    </row>
    <row r="84">
      <c r="A84" s="26" t="n"/>
      <c r="B84" s="16" t="n"/>
      <c r="C84" s="16" t="n"/>
      <c r="D84" s="16" t="n"/>
      <c r="E84" s="16" t="n"/>
      <c r="F84" s="22" t="n"/>
      <c r="G84" s="20" t="n"/>
      <c r="H84" s="26" t="n"/>
      <c r="I84" s="35">
        <f>IF(OR(G84="",N84=""),"",(N84-G84)/365.25)</f>
        <v/>
      </c>
      <c r="J84" s="36">
        <f>IF(F84="","",IF(E84&lt;&gt;"Mieter",0,IF(H84="",1,IF(OR(G84="",N84=""),"",MAX(0,1-I84/H84)))))</f>
        <v/>
      </c>
      <c r="K84" s="11">
        <f>IF(OR(J84="",F84=""),0,ROUND(F84*J84*20,0)/20)</f>
        <v/>
      </c>
      <c r="L84" s="23">
        <f>IF(AND(A84="",B84="",F84=""),"",IF(A84="","ID fehlt",IF(F84="","",IF(F84&lt;0,"Kosten negativ",IF(E84="","Ursache wählen",IF(N84="","Mietende fehlt",IF(AND(G84&lt;&gt;"",G84&gt;N84),"Einbau nach Mietende",IF(AND(E84="Mieter",H84&lt;&gt;"",G84=""),"Einbaudatum fehlt",IF(AND(E84="Mieter",H84&lt;&gt;"",H84&lt;=0),"Lebensdauer ungültig","")))))))))</f>
        <v/>
      </c>
      <c r="M84" s="10">
        <f>IF(AND(A84&lt;&gt;"",A84=$E$3),COUNTIF($A$32:A84,$E$3),"")</f>
        <v/>
      </c>
      <c r="N84" s="21">
        <f>IF(A84="","",IFERROR(IF(INDEX('Mein Haus'!$F$45:$F$104,A84)="","",INDEX('Mein Haus'!$F$45:$F$104,A84)),""))</f>
        <v/>
      </c>
    </row>
    <row r="85">
      <c r="A85" s="26" t="n"/>
      <c r="B85" s="16" t="n"/>
      <c r="C85" s="16" t="n"/>
      <c r="D85" s="16" t="n"/>
      <c r="E85" s="16" t="n"/>
      <c r="F85" s="22" t="n"/>
      <c r="G85" s="20" t="n"/>
      <c r="H85" s="26" t="n"/>
      <c r="I85" s="35">
        <f>IF(OR(G85="",N85=""),"",(N85-G85)/365.25)</f>
        <v/>
      </c>
      <c r="J85" s="36">
        <f>IF(F85="","",IF(E85&lt;&gt;"Mieter",0,IF(H85="",1,IF(OR(G85="",N85=""),"",MAX(0,1-I85/H85)))))</f>
        <v/>
      </c>
      <c r="K85" s="11">
        <f>IF(OR(J85="",F85=""),0,ROUND(F85*J85*20,0)/20)</f>
        <v/>
      </c>
      <c r="L85" s="23">
        <f>IF(AND(A85="",B85="",F85=""),"",IF(A85="","ID fehlt",IF(F85="","",IF(F85&lt;0,"Kosten negativ",IF(E85="","Ursache wählen",IF(N85="","Mietende fehlt",IF(AND(G85&lt;&gt;"",G85&gt;N85),"Einbau nach Mietende",IF(AND(E85="Mieter",H85&lt;&gt;"",G85=""),"Einbaudatum fehlt",IF(AND(E85="Mieter",H85&lt;&gt;"",H85&lt;=0),"Lebensdauer ungültig","")))))))))</f>
        <v/>
      </c>
      <c r="M85" s="10">
        <f>IF(AND(A85&lt;&gt;"",A85=$E$3),COUNTIF($A$32:A85,$E$3),"")</f>
        <v/>
      </c>
      <c r="N85" s="21">
        <f>IF(A85="","",IFERROR(IF(INDEX('Mein Haus'!$F$45:$F$104,A85)="","",INDEX('Mein Haus'!$F$45:$F$104,A85)),""))</f>
        <v/>
      </c>
    </row>
    <row r="86">
      <c r="A86" s="26" t="n"/>
      <c r="B86" s="16" t="n"/>
      <c r="C86" s="16" t="n"/>
      <c r="D86" s="16" t="n"/>
      <c r="E86" s="16" t="n"/>
      <c r="F86" s="22" t="n"/>
      <c r="G86" s="20" t="n"/>
      <c r="H86" s="26" t="n"/>
      <c r="I86" s="35">
        <f>IF(OR(G86="",N86=""),"",(N86-G86)/365.25)</f>
        <v/>
      </c>
      <c r="J86" s="36">
        <f>IF(F86="","",IF(E86&lt;&gt;"Mieter",0,IF(H86="",1,IF(OR(G86="",N86=""),"",MAX(0,1-I86/H86)))))</f>
        <v/>
      </c>
      <c r="K86" s="11">
        <f>IF(OR(J86="",F86=""),0,ROUND(F86*J86*20,0)/20)</f>
        <v/>
      </c>
      <c r="L86" s="23">
        <f>IF(AND(A86="",B86="",F86=""),"",IF(A86="","ID fehlt",IF(F86="","",IF(F86&lt;0,"Kosten negativ",IF(E86="","Ursache wählen",IF(N86="","Mietende fehlt",IF(AND(G86&lt;&gt;"",G86&gt;N86),"Einbau nach Mietende",IF(AND(E86="Mieter",H86&lt;&gt;"",G86=""),"Einbaudatum fehlt",IF(AND(E86="Mieter",H86&lt;&gt;"",H86&lt;=0),"Lebensdauer ungültig","")))))))))</f>
        <v/>
      </c>
      <c r="M86" s="10">
        <f>IF(AND(A86&lt;&gt;"",A86=$E$3),COUNTIF($A$32:A86,$E$3),"")</f>
        <v/>
      </c>
      <c r="N86" s="21">
        <f>IF(A86="","",IFERROR(IF(INDEX('Mein Haus'!$F$45:$F$104,A86)="","",INDEX('Mein Haus'!$F$45:$F$104,A86)),""))</f>
        <v/>
      </c>
    </row>
    <row r="87">
      <c r="A87" s="26" t="n"/>
      <c r="B87" s="16" t="n"/>
      <c r="C87" s="16" t="n"/>
      <c r="D87" s="16" t="n"/>
      <c r="E87" s="16" t="n"/>
      <c r="F87" s="22" t="n"/>
      <c r="G87" s="20" t="n"/>
      <c r="H87" s="26" t="n"/>
      <c r="I87" s="35">
        <f>IF(OR(G87="",N87=""),"",(N87-G87)/365.25)</f>
        <v/>
      </c>
      <c r="J87" s="36">
        <f>IF(F87="","",IF(E87&lt;&gt;"Mieter",0,IF(H87="",1,IF(OR(G87="",N87=""),"",MAX(0,1-I87/H87)))))</f>
        <v/>
      </c>
      <c r="K87" s="11">
        <f>IF(OR(J87="",F87=""),0,ROUND(F87*J87*20,0)/20)</f>
        <v/>
      </c>
      <c r="L87" s="23">
        <f>IF(AND(A87="",B87="",F87=""),"",IF(A87="","ID fehlt",IF(F87="","",IF(F87&lt;0,"Kosten negativ",IF(E87="","Ursache wählen",IF(N87="","Mietende fehlt",IF(AND(G87&lt;&gt;"",G87&gt;N87),"Einbau nach Mietende",IF(AND(E87="Mieter",H87&lt;&gt;"",G87=""),"Einbaudatum fehlt",IF(AND(E87="Mieter",H87&lt;&gt;"",H87&lt;=0),"Lebensdauer ungültig","")))))))))</f>
        <v/>
      </c>
      <c r="M87" s="10">
        <f>IF(AND(A87&lt;&gt;"",A87=$E$3),COUNTIF($A$32:A87,$E$3),"")</f>
        <v/>
      </c>
      <c r="N87" s="21">
        <f>IF(A87="","",IFERROR(IF(INDEX('Mein Haus'!$F$45:$F$104,A87)="","",INDEX('Mein Haus'!$F$45:$F$104,A87)),""))</f>
        <v/>
      </c>
    </row>
    <row r="88">
      <c r="A88" s="26" t="n"/>
      <c r="B88" s="16" t="n"/>
      <c r="C88" s="16" t="n"/>
      <c r="D88" s="16" t="n"/>
      <c r="E88" s="16" t="n"/>
      <c r="F88" s="22" t="n"/>
      <c r="G88" s="20" t="n"/>
      <c r="H88" s="26" t="n"/>
      <c r="I88" s="35">
        <f>IF(OR(G88="",N88=""),"",(N88-G88)/365.25)</f>
        <v/>
      </c>
      <c r="J88" s="36">
        <f>IF(F88="","",IF(E88&lt;&gt;"Mieter",0,IF(H88="",1,IF(OR(G88="",N88=""),"",MAX(0,1-I88/H88)))))</f>
        <v/>
      </c>
      <c r="K88" s="11">
        <f>IF(OR(J88="",F88=""),0,ROUND(F88*J88*20,0)/20)</f>
        <v/>
      </c>
      <c r="L88" s="23">
        <f>IF(AND(A88="",B88="",F88=""),"",IF(A88="","ID fehlt",IF(F88="","",IF(F88&lt;0,"Kosten negativ",IF(E88="","Ursache wählen",IF(N88="","Mietende fehlt",IF(AND(G88&lt;&gt;"",G88&gt;N88),"Einbau nach Mietende",IF(AND(E88="Mieter",H88&lt;&gt;"",G88=""),"Einbaudatum fehlt",IF(AND(E88="Mieter",H88&lt;&gt;"",H88&lt;=0),"Lebensdauer ungültig","")))))))))</f>
        <v/>
      </c>
      <c r="M88" s="10">
        <f>IF(AND(A88&lt;&gt;"",A88=$E$3),COUNTIF($A$32:A88,$E$3),"")</f>
        <v/>
      </c>
      <c r="N88" s="21">
        <f>IF(A88="","",IFERROR(IF(INDEX('Mein Haus'!$F$45:$F$104,A88)="","",INDEX('Mein Haus'!$F$45:$F$104,A88)),""))</f>
        <v/>
      </c>
    </row>
    <row r="89">
      <c r="A89" s="26" t="n"/>
      <c r="B89" s="16" t="n"/>
      <c r="C89" s="16" t="n"/>
      <c r="D89" s="16" t="n"/>
      <c r="E89" s="16" t="n"/>
      <c r="F89" s="22" t="n"/>
      <c r="G89" s="20" t="n"/>
      <c r="H89" s="26" t="n"/>
      <c r="I89" s="35">
        <f>IF(OR(G89="",N89=""),"",(N89-G89)/365.25)</f>
        <v/>
      </c>
      <c r="J89" s="36">
        <f>IF(F89="","",IF(E89&lt;&gt;"Mieter",0,IF(H89="",1,IF(OR(G89="",N89=""),"",MAX(0,1-I89/H89)))))</f>
        <v/>
      </c>
      <c r="K89" s="11">
        <f>IF(OR(J89="",F89=""),0,ROUND(F89*J89*20,0)/20)</f>
        <v/>
      </c>
      <c r="L89" s="23">
        <f>IF(AND(A89="",B89="",F89=""),"",IF(A89="","ID fehlt",IF(F89="","",IF(F89&lt;0,"Kosten negativ",IF(E89="","Ursache wählen",IF(N89="","Mietende fehlt",IF(AND(G89&lt;&gt;"",G89&gt;N89),"Einbau nach Mietende",IF(AND(E89="Mieter",H89&lt;&gt;"",G89=""),"Einbaudatum fehlt",IF(AND(E89="Mieter",H89&lt;&gt;"",H89&lt;=0),"Lebensdauer ungültig","")))))))))</f>
        <v/>
      </c>
      <c r="M89" s="10">
        <f>IF(AND(A89&lt;&gt;"",A89=$E$3),COUNTIF($A$32:A89,$E$3),"")</f>
        <v/>
      </c>
      <c r="N89" s="21">
        <f>IF(A89="","",IFERROR(IF(INDEX('Mein Haus'!$F$45:$F$104,A89)="","",INDEX('Mein Haus'!$F$45:$F$104,A89)),""))</f>
        <v/>
      </c>
    </row>
    <row r="90">
      <c r="A90" s="26" t="n"/>
      <c r="B90" s="16" t="n"/>
      <c r="C90" s="16" t="n"/>
      <c r="D90" s="16" t="n"/>
      <c r="E90" s="16" t="n"/>
      <c r="F90" s="22" t="n"/>
      <c r="G90" s="20" t="n"/>
      <c r="H90" s="26" t="n"/>
      <c r="I90" s="35">
        <f>IF(OR(G90="",N90=""),"",(N90-G90)/365.25)</f>
        <v/>
      </c>
      <c r="J90" s="36">
        <f>IF(F90="","",IF(E90&lt;&gt;"Mieter",0,IF(H90="",1,IF(OR(G90="",N90=""),"",MAX(0,1-I90/H90)))))</f>
        <v/>
      </c>
      <c r="K90" s="11">
        <f>IF(OR(J90="",F90=""),0,ROUND(F90*J90*20,0)/20)</f>
        <v/>
      </c>
      <c r="L90" s="23">
        <f>IF(AND(A90="",B90="",F90=""),"",IF(A90="","ID fehlt",IF(F90="","",IF(F90&lt;0,"Kosten negativ",IF(E90="","Ursache wählen",IF(N90="","Mietende fehlt",IF(AND(G90&lt;&gt;"",G90&gt;N90),"Einbau nach Mietende",IF(AND(E90="Mieter",H90&lt;&gt;"",G90=""),"Einbaudatum fehlt",IF(AND(E90="Mieter",H90&lt;&gt;"",H90&lt;=0),"Lebensdauer ungültig","")))))))))</f>
        <v/>
      </c>
      <c r="M90" s="10">
        <f>IF(AND(A90&lt;&gt;"",A90=$E$3),COUNTIF($A$32:A90,$E$3),"")</f>
        <v/>
      </c>
      <c r="N90" s="21">
        <f>IF(A90="","",IFERROR(IF(INDEX('Mein Haus'!$F$45:$F$104,A90)="","",INDEX('Mein Haus'!$F$45:$F$104,A90)),""))</f>
        <v/>
      </c>
    </row>
    <row r="91">
      <c r="A91" s="26" t="n"/>
      <c r="B91" s="16" t="n"/>
      <c r="C91" s="16" t="n"/>
      <c r="D91" s="16" t="n"/>
      <c r="E91" s="16" t="n"/>
      <c r="F91" s="22" t="n"/>
      <c r="G91" s="20" t="n"/>
      <c r="H91" s="26" t="n"/>
      <c r="I91" s="35">
        <f>IF(OR(G91="",N91=""),"",(N91-G91)/365.25)</f>
        <v/>
      </c>
      <c r="J91" s="36">
        <f>IF(F91="","",IF(E91&lt;&gt;"Mieter",0,IF(H91="",1,IF(OR(G91="",N91=""),"",MAX(0,1-I91/H91)))))</f>
        <v/>
      </c>
      <c r="K91" s="11">
        <f>IF(OR(J91="",F91=""),0,ROUND(F91*J91*20,0)/20)</f>
        <v/>
      </c>
      <c r="L91" s="23">
        <f>IF(AND(A91="",B91="",F91=""),"",IF(A91="","ID fehlt",IF(F91="","",IF(F91&lt;0,"Kosten negativ",IF(E91="","Ursache wählen",IF(N91="","Mietende fehlt",IF(AND(G91&lt;&gt;"",G91&gt;N91),"Einbau nach Mietende",IF(AND(E91="Mieter",H91&lt;&gt;"",G91=""),"Einbaudatum fehlt",IF(AND(E91="Mieter",H91&lt;&gt;"",H91&lt;=0),"Lebensdauer ungültig","")))))))))</f>
        <v/>
      </c>
      <c r="M91" s="10">
        <f>IF(AND(A91&lt;&gt;"",A91=$E$3),COUNTIF($A$32:A91,$E$3),"")</f>
        <v/>
      </c>
      <c r="N91" s="21">
        <f>IF(A91="","",IFERROR(IF(INDEX('Mein Haus'!$F$45:$F$104,A91)="","",INDEX('Mein Haus'!$F$45:$F$104,A91)),""))</f>
        <v/>
      </c>
    </row>
    <row r="92">
      <c r="A92" s="26" t="n"/>
      <c r="B92" s="16" t="n"/>
      <c r="C92" s="16" t="n"/>
      <c r="D92" s="16" t="n"/>
      <c r="E92" s="16" t="n"/>
      <c r="F92" s="22" t="n"/>
      <c r="G92" s="20" t="n"/>
      <c r="H92" s="26" t="n"/>
      <c r="I92" s="35">
        <f>IF(OR(G92="",N92=""),"",(N92-G92)/365.25)</f>
        <v/>
      </c>
      <c r="J92" s="36">
        <f>IF(F92="","",IF(E92&lt;&gt;"Mieter",0,IF(H92="",1,IF(OR(G92="",N92=""),"",MAX(0,1-I92/H92)))))</f>
        <v/>
      </c>
      <c r="K92" s="11">
        <f>IF(OR(J92="",F92=""),0,ROUND(F92*J92*20,0)/20)</f>
        <v/>
      </c>
      <c r="L92" s="23">
        <f>IF(AND(A92="",B92="",F92=""),"",IF(A92="","ID fehlt",IF(F92="","",IF(F92&lt;0,"Kosten negativ",IF(E92="","Ursache wählen",IF(N92="","Mietende fehlt",IF(AND(G92&lt;&gt;"",G92&gt;N92),"Einbau nach Mietende",IF(AND(E92="Mieter",H92&lt;&gt;"",G92=""),"Einbaudatum fehlt",IF(AND(E92="Mieter",H92&lt;&gt;"",H92&lt;=0),"Lebensdauer ungültig","")))))))))</f>
        <v/>
      </c>
      <c r="M92" s="10">
        <f>IF(AND(A92&lt;&gt;"",A92=$E$3),COUNTIF($A$32:A92,$E$3),"")</f>
        <v/>
      </c>
      <c r="N92" s="21">
        <f>IF(A92="","",IFERROR(IF(INDEX('Mein Haus'!$F$45:$F$104,A92)="","",INDEX('Mein Haus'!$F$45:$F$104,A92)),""))</f>
        <v/>
      </c>
    </row>
    <row r="93">
      <c r="A93" s="26" t="n"/>
      <c r="B93" s="16" t="n"/>
      <c r="C93" s="16" t="n"/>
      <c r="D93" s="16" t="n"/>
      <c r="E93" s="16" t="n"/>
      <c r="F93" s="22" t="n"/>
      <c r="G93" s="20" t="n"/>
      <c r="H93" s="26" t="n"/>
      <c r="I93" s="35">
        <f>IF(OR(G93="",N93=""),"",(N93-G93)/365.25)</f>
        <v/>
      </c>
      <c r="J93" s="36">
        <f>IF(F93="","",IF(E93&lt;&gt;"Mieter",0,IF(H93="",1,IF(OR(G93="",N93=""),"",MAX(0,1-I93/H93)))))</f>
        <v/>
      </c>
      <c r="K93" s="11">
        <f>IF(OR(J93="",F93=""),0,ROUND(F93*J93*20,0)/20)</f>
        <v/>
      </c>
      <c r="L93" s="23">
        <f>IF(AND(A93="",B93="",F93=""),"",IF(A93="","ID fehlt",IF(F93="","",IF(F93&lt;0,"Kosten negativ",IF(E93="","Ursache wählen",IF(N93="","Mietende fehlt",IF(AND(G93&lt;&gt;"",G93&gt;N93),"Einbau nach Mietende",IF(AND(E93="Mieter",H93&lt;&gt;"",G93=""),"Einbaudatum fehlt",IF(AND(E93="Mieter",H93&lt;&gt;"",H93&lt;=0),"Lebensdauer ungültig","")))))))))</f>
        <v/>
      </c>
      <c r="M93" s="10">
        <f>IF(AND(A93&lt;&gt;"",A93=$E$3),COUNTIF($A$32:A93,$E$3),"")</f>
        <v/>
      </c>
      <c r="N93" s="21">
        <f>IF(A93="","",IFERROR(IF(INDEX('Mein Haus'!$F$45:$F$104,A93)="","",INDEX('Mein Haus'!$F$45:$F$104,A93)),""))</f>
        <v/>
      </c>
    </row>
    <row r="94">
      <c r="A94" s="26" t="n"/>
      <c r="B94" s="16" t="n"/>
      <c r="C94" s="16" t="n"/>
      <c r="D94" s="16" t="n"/>
      <c r="E94" s="16" t="n"/>
      <c r="F94" s="22" t="n"/>
      <c r="G94" s="20" t="n"/>
      <c r="H94" s="26" t="n"/>
      <c r="I94" s="35">
        <f>IF(OR(G94="",N94=""),"",(N94-G94)/365.25)</f>
        <v/>
      </c>
      <c r="J94" s="36">
        <f>IF(F94="","",IF(E94&lt;&gt;"Mieter",0,IF(H94="",1,IF(OR(G94="",N94=""),"",MAX(0,1-I94/H94)))))</f>
        <v/>
      </c>
      <c r="K94" s="11">
        <f>IF(OR(J94="",F94=""),0,ROUND(F94*J94*20,0)/20)</f>
        <v/>
      </c>
      <c r="L94" s="23">
        <f>IF(AND(A94="",B94="",F94=""),"",IF(A94="","ID fehlt",IF(F94="","",IF(F94&lt;0,"Kosten negativ",IF(E94="","Ursache wählen",IF(N94="","Mietende fehlt",IF(AND(G94&lt;&gt;"",G94&gt;N94),"Einbau nach Mietende",IF(AND(E94="Mieter",H94&lt;&gt;"",G94=""),"Einbaudatum fehlt",IF(AND(E94="Mieter",H94&lt;&gt;"",H94&lt;=0),"Lebensdauer ungültig","")))))))))</f>
        <v/>
      </c>
      <c r="M94" s="10">
        <f>IF(AND(A94&lt;&gt;"",A94=$E$3),COUNTIF($A$32:A94,$E$3),"")</f>
        <v/>
      </c>
      <c r="N94" s="21">
        <f>IF(A94="","",IFERROR(IF(INDEX('Mein Haus'!$F$45:$F$104,A94)="","",INDEX('Mein Haus'!$F$45:$F$104,A94)),""))</f>
        <v/>
      </c>
    </row>
    <row r="95">
      <c r="A95" s="26" t="n"/>
      <c r="B95" s="16" t="n"/>
      <c r="C95" s="16" t="n"/>
      <c r="D95" s="16" t="n"/>
      <c r="E95" s="16" t="n"/>
      <c r="F95" s="22" t="n"/>
      <c r="G95" s="20" t="n"/>
      <c r="H95" s="26" t="n"/>
      <c r="I95" s="35">
        <f>IF(OR(G95="",N95=""),"",(N95-G95)/365.25)</f>
        <v/>
      </c>
      <c r="J95" s="36">
        <f>IF(F95="","",IF(E95&lt;&gt;"Mieter",0,IF(H95="",1,IF(OR(G95="",N95=""),"",MAX(0,1-I95/H95)))))</f>
        <v/>
      </c>
      <c r="K95" s="11">
        <f>IF(OR(J95="",F95=""),0,ROUND(F95*J95*20,0)/20)</f>
        <v/>
      </c>
      <c r="L95" s="23">
        <f>IF(AND(A95="",B95="",F95=""),"",IF(A95="","ID fehlt",IF(F95="","",IF(F95&lt;0,"Kosten negativ",IF(E95="","Ursache wählen",IF(N95="","Mietende fehlt",IF(AND(G95&lt;&gt;"",G95&gt;N95),"Einbau nach Mietende",IF(AND(E95="Mieter",H95&lt;&gt;"",G95=""),"Einbaudatum fehlt",IF(AND(E95="Mieter",H95&lt;&gt;"",H95&lt;=0),"Lebensdauer ungültig","")))))))))</f>
        <v/>
      </c>
      <c r="M95" s="10">
        <f>IF(AND(A95&lt;&gt;"",A95=$E$3),COUNTIF($A$32:A95,$E$3),"")</f>
        <v/>
      </c>
      <c r="N95" s="21">
        <f>IF(A95="","",IFERROR(IF(INDEX('Mein Haus'!$F$45:$F$104,A95)="","",INDEX('Mein Haus'!$F$45:$F$104,A95)),""))</f>
        <v/>
      </c>
    </row>
    <row r="96">
      <c r="A96" s="26" t="n"/>
      <c r="B96" s="16" t="n"/>
      <c r="C96" s="16" t="n"/>
      <c r="D96" s="16" t="n"/>
      <c r="E96" s="16" t="n"/>
      <c r="F96" s="22" t="n"/>
      <c r="G96" s="20" t="n"/>
      <c r="H96" s="26" t="n"/>
      <c r="I96" s="35">
        <f>IF(OR(G96="",N96=""),"",(N96-G96)/365.25)</f>
        <v/>
      </c>
      <c r="J96" s="36">
        <f>IF(F96="","",IF(E96&lt;&gt;"Mieter",0,IF(H96="",1,IF(OR(G96="",N96=""),"",MAX(0,1-I96/H96)))))</f>
        <v/>
      </c>
      <c r="K96" s="11">
        <f>IF(OR(J96="",F96=""),0,ROUND(F96*J96*20,0)/20)</f>
        <v/>
      </c>
      <c r="L96" s="23">
        <f>IF(AND(A96="",B96="",F96=""),"",IF(A96="","ID fehlt",IF(F96="","",IF(F96&lt;0,"Kosten negativ",IF(E96="","Ursache wählen",IF(N96="","Mietende fehlt",IF(AND(G96&lt;&gt;"",G96&gt;N96),"Einbau nach Mietende",IF(AND(E96="Mieter",H96&lt;&gt;"",G96=""),"Einbaudatum fehlt",IF(AND(E96="Mieter",H96&lt;&gt;"",H96&lt;=0),"Lebensdauer ungültig","")))))))))</f>
        <v/>
      </c>
      <c r="M96" s="10">
        <f>IF(AND(A96&lt;&gt;"",A96=$E$3),COUNTIF($A$32:A96,$E$3),"")</f>
        <v/>
      </c>
      <c r="N96" s="21">
        <f>IF(A96="","",IFERROR(IF(INDEX('Mein Haus'!$F$45:$F$104,A96)="","",INDEX('Mein Haus'!$F$45:$F$104,A96)),""))</f>
        <v/>
      </c>
    </row>
    <row r="97">
      <c r="A97" s="26" t="n"/>
      <c r="B97" s="16" t="n"/>
      <c r="C97" s="16" t="n"/>
      <c r="D97" s="16" t="n"/>
      <c r="E97" s="16" t="n"/>
      <c r="F97" s="22" t="n"/>
      <c r="G97" s="20" t="n"/>
      <c r="H97" s="26" t="n"/>
      <c r="I97" s="35">
        <f>IF(OR(G97="",N97=""),"",(N97-G97)/365.25)</f>
        <v/>
      </c>
      <c r="J97" s="36">
        <f>IF(F97="","",IF(E97&lt;&gt;"Mieter",0,IF(H97="",1,IF(OR(G97="",N97=""),"",MAX(0,1-I97/H97)))))</f>
        <v/>
      </c>
      <c r="K97" s="11">
        <f>IF(OR(J97="",F97=""),0,ROUND(F97*J97*20,0)/20)</f>
        <v/>
      </c>
      <c r="L97" s="23">
        <f>IF(AND(A97="",B97="",F97=""),"",IF(A97="","ID fehlt",IF(F97="","",IF(F97&lt;0,"Kosten negativ",IF(E97="","Ursache wählen",IF(N97="","Mietende fehlt",IF(AND(G97&lt;&gt;"",G97&gt;N97),"Einbau nach Mietende",IF(AND(E97="Mieter",H97&lt;&gt;"",G97=""),"Einbaudatum fehlt",IF(AND(E97="Mieter",H97&lt;&gt;"",H97&lt;=0),"Lebensdauer ungültig","")))))))))</f>
        <v/>
      </c>
      <c r="M97" s="10">
        <f>IF(AND(A97&lt;&gt;"",A97=$E$3),COUNTIF($A$32:A97,$E$3),"")</f>
        <v/>
      </c>
      <c r="N97" s="21">
        <f>IF(A97="","",IFERROR(IF(INDEX('Mein Haus'!$F$45:$F$104,A97)="","",INDEX('Mein Haus'!$F$45:$F$104,A97)),""))</f>
        <v/>
      </c>
    </row>
    <row r="98">
      <c r="A98" s="26" t="n"/>
      <c r="B98" s="16" t="n"/>
      <c r="C98" s="16" t="n"/>
      <c r="D98" s="16" t="n"/>
      <c r="E98" s="16" t="n"/>
      <c r="F98" s="22" t="n"/>
      <c r="G98" s="20" t="n"/>
      <c r="H98" s="26" t="n"/>
      <c r="I98" s="35">
        <f>IF(OR(G98="",N98=""),"",(N98-G98)/365.25)</f>
        <v/>
      </c>
      <c r="J98" s="36">
        <f>IF(F98="","",IF(E98&lt;&gt;"Mieter",0,IF(H98="",1,IF(OR(G98="",N98=""),"",MAX(0,1-I98/H98)))))</f>
        <v/>
      </c>
      <c r="K98" s="11">
        <f>IF(OR(J98="",F98=""),0,ROUND(F98*J98*20,0)/20)</f>
        <v/>
      </c>
      <c r="L98" s="23">
        <f>IF(AND(A98="",B98="",F98=""),"",IF(A98="","ID fehlt",IF(F98="","",IF(F98&lt;0,"Kosten negativ",IF(E98="","Ursache wählen",IF(N98="","Mietende fehlt",IF(AND(G98&lt;&gt;"",G98&gt;N98),"Einbau nach Mietende",IF(AND(E98="Mieter",H98&lt;&gt;"",G98=""),"Einbaudatum fehlt",IF(AND(E98="Mieter",H98&lt;&gt;"",H98&lt;=0),"Lebensdauer ungültig","")))))))))</f>
        <v/>
      </c>
      <c r="M98" s="10">
        <f>IF(AND(A98&lt;&gt;"",A98=$E$3),COUNTIF($A$32:A98,$E$3),"")</f>
        <v/>
      </c>
      <c r="N98" s="21">
        <f>IF(A98="","",IFERROR(IF(INDEX('Mein Haus'!$F$45:$F$104,A98)="","",INDEX('Mein Haus'!$F$45:$F$104,A98)),""))</f>
        <v/>
      </c>
    </row>
    <row r="99">
      <c r="A99" s="26" t="n"/>
      <c r="B99" s="16" t="n"/>
      <c r="C99" s="16" t="n"/>
      <c r="D99" s="16" t="n"/>
      <c r="E99" s="16" t="n"/>
      <c r="F99" s="22" t="n"/>
      <c r="G99" s="20" t="n"/>
      <c r="H99" s="26" t="n"/>
      <c r="I99" s="35">
        <f>IF(OR(G99="",N99=""),"",(N99-G99)/365.25)</f>
        <v/>
      </c>
      <c r="J99" s="36">
        <f>IF(F99="","",IF(E99&lt;&gt;"Mieter",0,IF(H99="",1,IF(OR(G99="",N99=""),"",MAX(0,1-I99/H99)))))</f>
        <v/>
      </c>
      <c r="K99" s="11">
        <f>IF(OR(J99="",F99=""),0,ROUND(F99*J99*20,0)/20)</f>
        <v/>
      </c>
      <c r="L99" s="23">
        <f>IF(AND(A99="",B99="",F99=""),"",IF(A99="","ID fehlt",IF(F99="","",IF(F99&lt;0,"Kosten negativ",IF(E99="","Ursache wählen",IF(N99="","Mietende fehlt",IF(AND(G99&lt;&gt;"",G99&gt;N99),"Einbau nach Mietende",IF(AND(E99="Mieter",H99&lt;&gt;"",G99=""),"Einbaudatum fehlt",IF(AND(E99="Mieter",H99&lt;&gt;"",H99&lt;=0),"Lebensdauer ungültig","")))))))))</f>
        <v/>
      </c>
      <c r="M99" s="10">
        <f>IF(AND(A99&lt;&gt;"",A99=$E$3),COUNTIF($A$32:A99,$E$3),"")</f>
        <v/>
      </c>
      <c r="N99" s="21">
        <f>IF(A99="","",IFERROR(IF(INDEX('Mein Haus'!$F$45:$F$104,A99)="","",INDEX('Mein Haus'!$F$45:$F$104,A99)),""))</f>
        <v/>
      </c>
    </row>
    <row r="100">
      <c r="A100" s="26" t="n"/>
      <c r="B100" s="16" t="n"/>
      <c r="C100" s="16" t="n"/>
      <c r="D100" s="16" t="n"/>
      <c r="E100" s="16" t="n"/>
      <c r="F100" s="22" t="n"/>
      <c r="G100" s="20" t="n"/>
      <c r="H100" s="26" t="n"/>
      <c r="I100" s="35">
        <f>IF(OR(G100="",N100=""),"",(N100-G100)/365.25)</f>
        <v/>
      </c>
      <c r="J100" s="36">
        <f>IF(F100="","",IF(E100&lt;&gt;"Mieter",0,IF(H100="",1,IF(OR(G100="",N100=""),"",MAX(0,1-I100/H100)))))</f>
        <v/>
      </c>
      <c r="K100" s="11">
        <f>IF(OR(J100="",F100=""),0,ROUND(F100*J100*20,0)/20)</f>
        <v/>
      </c>
      <c r="L100" s="23">
        <f>IF(AND(A100="",B100="",F100=""),"",IF(A100="","ID fehlt",IF(F100="","",IF(F100&lt;0,"Kosten negativ",IF(E100="","Ursache wählen",IF(N100="","Mietende fehlt",IF(AND(G100&lt;&gt;"",G100&gt;N100),"Einbau nach Mietende",IF(AND(E100="Mieter",H100&lt;&gt;"",G100=""),"Einbaudatum fehlt",IF(AND(E100="Mieter",H100&lt;&gt;"",H100&lt;=0),"Lebensdauer ungültig","")))))))))</f>
        <v/>
      </c>
      <c r="M100" s="10">
        <f>IF(AND(A100&lt;&gt;"",A100=$E$3),COUNTIF($A$32:A100,$E$3),"")</f>
        <v/>
      </c>
      <c r="N100" s="21">
        <f>IF(A100="","",IFERROR(IF(INDEX('Mein Haus'!$F$45:$F$104,A100)="","",INDEX('Mein Haus'!$F$45:$F$104,A100)),""))</f>
        <v/>
      </c>
    </row>
    <row r="101">
      <c r="A101" s="26" t="n"/>
      <c r="B101" s="16" t="n"/>
      <c r="C101" s="16" t="n"/>
      <c r="D101" s="16" t="n"/>
      <c r="E101" s="16" t="n"/>
      <c r="F101" s="22" t="n"/>
      <c r="G101" s="20" t="n"/>
      <c r="H101" s="26" t="n"/>
      <c r="I101" s="35">
        <f>IF(OR(G101="",N101=""),"",(N101-G101)/365.25)</f>
        <v/>
      </c>
      <c r="J101" s="36">
        <f>IF(F101="","",IF(E101&lt;&gt;"Mieter",0,IF(H101="",1,IF(OR(G101="",N101=""),"",MAX(0,1-I101/H101)))))</f>
        <v/>
      </c>
      <c r="K101" s="11">
        <f>IF(OR(J101="",F101=""),0,ROUND(F101*J101*20,0)/20)</f>
        <v/>
      </c>
      <c r="L101" s="23">
        <f>IF(AND(A101="",B101="",F101=""),"",IF(A101="","ID fehlt",IF(F101="","",IF(F101&lt;0,"Kosten negativ",IF(E101="","Ursache wählen",IF(N101="","Mietende fehlt",IF(AND(G101&lt;&gt;"",G101&gt;N101),"Einbau nach Mietende",IF(AND(E101="Mieter",H101&lt;&gt;"",G101=""),"Einbaudatum fehlt",IF(AND(E101="Mieter",H101&lt;&gt;"",H101&lt;=0),"Lebensdauer ungültig","")))))))))</f>
        <v/>
      </c>
      <c r="M101" s="10">
        <f>IF(AND(A101&lt;&gt;"",A101=$E$3),COUNTIF($A$32:A101,$E$3),"")</f>
        <v/>
      </c>
      <c r="N101" s="21">
        <f>IF(A101="","",IFERROR(IF(INDEX('Mein Haus'!$F$45:$F$104,A101)="","",INDEX('Mein Haus'!$F$45:$F$104,A101)),""))</f>
        <v/>
      </c>
    </row>
    <row r="102">
      <c r="A102" s="26" t="n"/>
      <c r="B102" s="16" t="n"/>
      <c r="C102" s="16" t="n"/>
      <c r="D102" s="16" t="n"/>
      <c r="E102" s="16" t="n"/>
      <c r="F102" s="22" t="n"/>
      <c r="G102" s="20" t="n"/>
      <c r="H102" s="26" t="n"/>
      <c r="I102" s="35">
        <f>IF(OR(G102="",N102=""),"",(N102-G102)/365.25)</f>
        <v/>
      </c>
      <c r="J102" s="36">
        <f>IF(F102="","",IF(E102&lt;&gt;"Mieter",0,IF(H102="",1,IF(OR(G102="",N102=""),"",MAX(0,1-I102/H102)))))</f>
        <v/>
      </c>
      <c r="K102" s="11">
        <f>IF(OR(J102="",F102=""),0,ROUND(F102*J102*20,0)/20)</f>
        <v/>
      </c>
      <c r="L102" s="23">
        <f>IF(AND(A102="",B102="",F102=""),"",IF(A102="","ID fehlt",IF(F102="","",IF(F102&lt;0,"Kosten negativ",IF(E102="","Ursache wählen",IF(N102="","Mietende fehlt",IF(AND(G102&lt;&gt;"",G102&gt;N102),"Einbau nach Mietende",IF(AND(E102="Mieter",H102&lt;&gt;"",G102=""),"Einbaudatum fehlt",IF(AND(E102="Mieter",H102&lt;&gt;"",H102&lt;=0),"Lebensdauer ungültig","")))))))))</f>
        <v/>
      </c>
      <c r="M102" s="10">
        <f>IF(AND(A102&lt;&gt;"",A102=$E$3),COUNTIF($A$32:A102,$E$3),"")</f>
        <v/>
      </c>
      <c r="N102" s="21">
        <f>IF(A102="","",IFERROR(IF(INDEX('Mein Haus'!$F$45:$F$104,A102)="","",INDEX('Mein Haus'!$F$45:$F$104,A102)),""))</f>
        <v/>
      </c>
    </row>
    <row r="103">
      <c r="A103" s="26" t="n"/>
      <c r="B103" s="16" t="n"/>
      <c r="C103" s="16" t="n"/>
      <c r="D103" s="16" t="n"/>
      <c r="E103" s="16" t="n"/>
      <c r="F103" s="22" t="n"/>
      <c r="G103" s="20" t="n"/>
      <c r="H103" s="26" t="n"/>
      <c r="I103" s="35">
        <f>IF(OR(G103="",N103=""),"",(N103-G103)/365.25)</f>
        <v/>
      </c>
      <c r="J103" s="36">
        <f>IF(F103="","",IF(E103&lt;&gt;"Mieter",0,IF(H103="",1,IF(OR(G103="",N103=""),"",MAX(0,1-I103/H103)))))</f>
        <v/>
      </c>
      <c r="K103" s="11">
        <f>IF(OR(J103="",F103=""),0,ROUND(F103*J103*20,0)/20)</f>
        <v/>
      </c>
      <c r="L103" s="23">
        <f>IF(AND(A103="",B103="",F103=""),"",IF(A103="","ID fehlt",IF(F103="","",IF(F103&lt;0,"Kosten negativ",IF(E103="","Ursache wählen",IF(N103="","Mietende fehlt",IF(AND(G103&lt;&gt;"",G103&gt;N103),"Einbau nach Mietende",IF(AND(E103="Mieter",H103&lt;&gt;"",G103=""),"Einbaudatum fehlt",IF(AND(E103="Mieter",H103&lt;&gt;"",H103&lt;=0),"Lebensdauer ungültig","")))))))))</f>
        <v/>
      </c>
      <c r="M103" s="10">
        <f>IF(AND(A103&lt;&gt;"",A103=$E$3),COUNTIF($A$32:A103,$E$3),"")</f>
        <v/>
      </c>
      <c r="N103" s="21">
        <f>IF(A103="","",IFERROR(IF(INDEX('Mein Haus'!$F$45:$F$104,A103)="","",INDEX('Mein Haus'!$F$45:$F$104,A103)),""))</f>
        <v/>
      </c>
    </row>
    <row r="104">
      <c r="A104" s="26" t="n"/>
      <c r="B104" s="16" t="n"/>
      <c r="C104" s="16" t="n"/>
      <c r="D104" s="16" t="n"/>
      <c r="E104" s="16" t="n"/>
      <c r="F104" s="22" t="n"/>
      <c r="G104" s="20" t="n"/>
      <c r="H104" s="26" t="n"/>
      <c r="I104" s="35">
        <f>IF(OR(G104="",N104=""),"",(N104-G104)/365.25)</f>
        <v/>
      </c>
      <c r="J104" s="36">
        <f>IF(F104="","",IF(E104&lt;&gt;"Mieter",0,IF(H104="",1,IF(OR(G104="",N104=""),"",MAX(0,1-I104/H104)))))</f>
        <v/>
      </c>
      <c r="K104" s="11">
        <f>IF(OR(J104="",F104=""),0,ROUND(F104*J104*20,0)/20)</f>
        <v/>
      </c>
      <c r="L104" s="23">
        <f>IF(AND(A104="",B104="",F104=""),"",IF(A104="","ID fehlt",IF(F104="","",IF(F104&lt;0,"Kosten negativ",IF(E104="","Ursache wählen",IF(N104="","Mietende fehlt",IF(AND(G104&lt;&gt;"",G104&gt;N104),"Einbau nach Mietende",IF(AND(E104="Mieter",H104&lt;&gt;"",G104=""),"Einbaudatum fehlt",IF(AND(E104="Mieter",H104&lt;&gt;"",H104&lt;=0),"Lebensdauer ungültig","")))))))))</f>
        <v/>
      </c>
      <c r="M104" s="10">
        <f>IF(AND(A104&lt;&gt;"",A104=$E$3),COUNTIF($A$32:A104,$E$3),"")</f>
        <v/>
      </c>
      <c r="N104" s="21">
        <f>IF(A104="","",IFERROR(IF(INDEX('Mein Haus'!$F$45:$F$104,A104)="","",INDEX('Mein Haus'!$F$45:$F$104,A104)),""))</f>
        <v/>
      </c>
    </row>
    <row r="105">
      <c r="A105" s="26" t="n"/>
      <c r="B105" s="16" t="n"/>
      <c r="C105" s="16" t="n"/>
      <c r="D105" s="16" t="n"/>
      <c r="E105" s="16" t="n"/>
      <c r="F105" s="22" t="n"/>
      <c r="G105" s="20" t="n"/>
      <c r="H105" s="26" t="n"/>
      <c r="I105" s="35">
        <f>IF(OR(G105="",N105=""),"",(N105-G105)/365.25)</f>
        <v/>
      </c>
      <c r="J105" s="36">
        <f>IF(F105="","",IF(E105&lt;&gt;"Mieter",0,IF(H105="",1,IF(OR(G105="",N105=""),"",MAX(0,1-I105/H105)))))</f>
        <v/>
      </c>
      <c r="K105" s="11">
        <f>IF(OR(J105="",F105=""),0,ROUND(F105*J105*20,0)/20)</f>
        <v/>
      </c>
      <c r="L105" s="23">
        <f>IF(AND(A105="",B105="",F105=""),"",IF(A105="","ID fehlt",IF(F105="","",IF(F105&lt;0,"Kosten negativ",IF(E105="","Ursache wählen",IF(N105="","Mietende fehlt",IF(AND(G105&lt;&gt;"",G105&gt;N105),"Einbau nach Mietende",IF(AND(E105="Mieter",H105&lt;&gt;"",G105=""),"Einbaudatum fehlt",IF(AND(E105="Mieter",H105&lt;&gt;"",H105&lt;=0),"Lebensdauer ungültig","")))))))))</f>
        <v/>
      </c>
      <c r="M105" s="10">
        <f>IF(AND(A105&lt;&gt;"",A105=$E$3),COUNTIF($A$32:A105,$E$3),"")</f>
        <v/>
      </c>
      <c r="N105" s="21">
        <f>IF(A105="","",IFERROR(IF(INDEX('Mein Haus'!$F$45:$F$104,A105)="","",INDEX('Mein Haus'!$F$45:$F$104,A105)),""))</f>
        <v/>
      </c>
    </row>
    <row r="106">
      <c r="A106" s="26" t="n"/>
      <c r="B106" s="16" t="n"/>
      <c r="C106" s="16" t="n"/>
      <c r="D106" s="16" t="n"/>
      <c r="E106" s="16" t="n"/>
      <c r="F106" s="22" t="n"/>
      <c r="G106" s="20" t="n"/>
      <c r="H106" s="26" t="n"/>
      <c r="I106" s="35">
        <f>IF(OR(G106="",N106=""),"",(N106-G106)/365.25)</f>
        <v/>
      </c>
      <c r="J106" s="36">
        <f>IF(F106="","",IF(E106&lt;&gt;"Mieter",0,IF(H106="",1,IF(OR(G106="",N106=""),"",MAX(0,1-I106/H106)))))</f>
        <v/>
      </c>
      <c r="K106" s="11">
        <f>IF(OR(J106="",F106=""),0,ROUND(F106*J106*20,0)/20)</f>
        <v/>
      </c>
      <c r="L106" s="23">
        <f>IF(AND(A106="",B106="",F106=""),"",IF(A106="","ID fehlt",IF(F106="","",IF(F106&lt;0,"Kosten negativ",IF(E106="","Ursache wählen",IF(N106="","Mietende fehlt",IF(AND(G106&lt;&gt;"",G106&gt;N106),"Einbau nach Mietende",IF(AND(E106="Mieter",H106&lt;&gt;"",G106=""),"Einbaudatum fehlt",IF(AND(E106="Mieter",H106&lt;&gt;"",H106&lt;=0),"Lebensdauer ungültig","")))))))))</f>
        <v/>
      </c>
      <c r="M106" s="10">
        <f>IF(AND(A106&lt;&gt;"",A106=$E$3),COUNTIF($A$32:A106,$E$3),"")</f>
        <v/>
      </c>
      <c r="N106" s="21">
        <f>IF(A106="","",IFERROR(IF(INDEX('Mein Haus'!$F$45:$F$104,A106)="","",INDEX('Mein Haus'!$F$45:$F$104,A106)),""))</f>
        <v/>
      </c>
    </row>
    <row r="107">
      <c r="A107" s="26" t="n"/>
      <c r="B107" s="16" t="n"/>
      <c r="C107" s="16" t="n"/>
      <c r="D107" s="16" t="n"/>
      <c r="E107" s="16" t="n"/>
      <c r="F107" s="22" t="n"/>
      <c r="G107" s="20" t="n"/>
      <c r="H107" s="26" t="n"/>
      <c r="I107" s="35">
        <f>IF(OR(G107="",N107=""),"",(N107-G107)/365.25)</f>
        <v/>
      </c>
      <c r="J107" s="36">
        <f>IF(F107="","",IF(E107&lt;&gt;"Mieter",0,IF(H107="",1,IF(OR(G107="",N107=""),"",MAX(0,1-I107/H107)))))</f>
        <v/>
      </c>
      <c r="K107" s="11">
        <f>IF(OR(J107="",F107=""),0,ROUND(F107*J107*20,0)/20)</f>
        <v/>
      </c>
      <c r="L107" s="23">
        <f>IF(AND(A107="",B107="",F107=""),"",IF(A107="","ID fehlt",IF(F107="","",IF(F107&lt;0,"Kosten negativ",IF(E107="","Ursache wählen",IF(N107="","Mietende fehlt",IF(AND(G107&lt;&gt;"",G107&gt;N107),"Einbau nach Mietende",IF(AND(E107="Mieter",H107&lt;&gt;"",G107=""),"Einbaudatum fehlt",IF(AND(E107="Mieter",H107&lt;&gt;"",H107&lt;=0),"Lebensdauer ungültig","")))))))))</f>
        <v/>
      </c>
      <c r="M107" s="10">
        <f>IF(AND(A107&lt;&gt;"",A107=$E$3),COUNTIF($A$32:A107,$E$3),"")</f>
        <v/>
      </c>
      <c r="N107" s="21">
        <f>IF(A107="","",IFERROR(IF(INDEX('Mein Haus'!$F$45:$F$104,A107)="","",INDEX('Mein Haus'!$F$45:$F$104,A107)),""))</f>
        <v/>
      </c>
    </row>
    <row r="108">
      <c r="A108" s="26" t="n"/>
      <c r="B108" s="16" t="n"/>
      <c r="C108" s="16" t="n"/>
      <c r="D108" s="16" t="n"/>
      <c r="E108" s="16" t="n"/>
      <c r="F108" s="22" t="n"/>
      <c r="G108" s="20" t="n"/>
      <c r="H108" s="26" t="n"/>
      <c r="I108" s="35">
        <f>IF(OR(G108="",N108=""),"",(N108-G108)/365.25)</f>
        <v/>
      </c>
      <c r="J108" s="36">
        <f>IF(F108="","",IF(E108&lt;&gt;"Mieter",0,IF(H108="",1,IF(OR(G108="",N108=""),"",MAX(0,1-I108/H108)))))</f>
        <v/>
      </c>
      <c r="K108" s="11">
        <f>IF(OR(J108="",F108=""),0,ROUND(F108*J108*20,0)/20)</f>
        <v/>
      </c>
      <c r="L108" s="23">
        <f>IF(AND(A108="",B108="",F108=""),"",IF(A108="","ID fehlt",IF(F108="","",IF(F108&lt;0,"Kosten negativ",IF(E108="","Ursache wählen",IF(N108="","Mietende fehlt",IF(AND(G108&lt;&gt;"",G108&gt;N108),"Einbau nach Mietende",IF(AND(E108="Mieter",H108&lt;&gt;"",G108=""),"Einbaudatum fehlt",IF(AND(E108="Mieter",H108&lt;&gt;"",H108&lt;=0),"Lebensdauer ungültig","")))))))))</f>
        <v/>
      </c>
      <c r="M108" s="10">
        <f>IF(AND(A108&lt;&gt;"",A108=$E$3),COUNTIF($A$32:A108,$E$3),"")</f>
        <v/>
      </c>
      <c r="N108" s="21">
        <f>IF(A108="","",IFERROR(IF(INDEX('Mein Haus'!$F$45:$F$104,A108)="","",INDEX('Mein Haus'!$F$45:$F$104,A108)),""))</f>
        <v/>
      </c>
    </row>
    <row r="109">
      <c r="A109" s="26" t="n"/>
      <c r="B109" s="16" t="n"/>
      <c r="C109" s="16" t="n"/>
      <c r="D109" s="16" t="n"/>
      <c r="E109" s="16" t="n"/>
      <c r="F109" s="22" t="n"/>
      <c r="G109" s="20" t="n"/>
      <c r="H109" s="26" t="n"/>
      <c r="I109" s="35">
        <f>IF(OR(G109="",N109=""),"",(N109-G109)/365.25)</f>
        <v/>
      </c>
      <c r="J109" s="36">
        <f>IF(F109="","",IF(E109&lt;&gt;"Mieter",0,IF(H109="",1,IF(OR(G109="",N109=""),"",MAX(0,1-I109/H109)))))</f>
        <v/>
      </c>
      <c r="K109" s="11">
        <f>IF(OR(J109="",F109=""),0,ROUND(F109*J109*20,0)/20)</f>
        <v/>
      </c>
      <c r="L109" s="23">
        <f>IF(AND(A109="",B109="",F109=""),"",IF(A109="","ID fehlt",IF(F109="","",IF(F109&lt;0,"Kosten negativ",IF(E109="","Ursache wählen",IF(N109="","Mietende fehlt",IF(AND(G109&lt;&gt;"",G109&gt;N109),"Einbau nach Mietende",IF(AND(E109="Mieter",H109&lt;&gt;"",G109=""),"Einbaudatum fehlt",IF(AND(E109="Mieter",H109&lt;&gt;"",H109&lt;=0),"Lebensdauer ungültig","")))))))))</f>
        <v/>
      </c>
      <c r="M109" s="10">
        <f>IF(AND(A109&lt;&gt;"",A109=$E$3),COUNTIF($A$32:A109,$E$3),"")</f>
        <v/>
      </c>
      <c r="N109" s="21">
        <f>IF(A109="","",IFERROR(IF(INDEX('Mein Haus'!$F$45:$F$104,A109)="","",INDEX('Mein Haus'!$F$45:$F$104,A109)),""))</f>
        <v/>
      </c>
    </row>
    <row r="110">
      <c r="A110" s="26" t="n"/>
      <c r="B110" s="16" t="n"/>
      <c r="C110" s="16" t="n"/>
      <c r="D110" s="16" t="n"/>
      <c r="E110" s="16" t="n"/>
      <c r="F110" s="22" t="n"/>
      <c r="G110" s="20" t="n"/>
      <c r="H110" s="26" t="n"/>
      <c r="I110" s="35">
        <f>IF(OR(G110="",N110=""),"",(N110-G110)/365.25)</f>
        <v/>
      </c>
      <c r="J110" s="36">
        <f>IF(F110="","",IF(E110&lt;&gt;"Mieter",0,IF(H110="",1,IF(OR(G110="",N110=""),"",MAX(0,1-I110/H110)))))</f>
        <v/>
      </c>
      <c r="K110" s="11">
        <f>IF(OR(J110="",F110=""),0,ROUND(F110*J110*20,0)/20)</f>
        <v/>
      </c>
      <c r="L110" s="23">
        <f>IF(AND(A110="",B110="",F110=""),"",IF(A110="","ID fehlt",IF(F110="","",IF(F110&lt;0,"Kosten negativ",IF(E110="","Ursache wählen",IF(N110="","Mietende fehlt",IF(AND(G110&lt;&gt;"",G110&gt;N110),"Einbau nach Mietende",IF(AND(E110="Mieter",H110&lt;&gt;"",G110=""),"Einbaudatum fehlt",IF(AND(E110="Mieter",H110&lt;&gt;"",H110&lt;=0),"Lebensdauer ungültig","")))))))))</f>
        <v/>
      </c>
      <c r="M110" s="10">
        <f>IF(AND(A110&lt;&gt;"",A110=$E$3),COUNTIF($A$32:A110,$E$3),"")</f>
        <v/>
      </c>
      <c r="N110" s="21">
        <f>IF(A110="","",IFERROR(IF(INDEX('Mein Haus'!$F$45:$F$104,A110)="","",INDEX('Mein Haus'!$F$45:$F$104,A110)),""))</f>
        <v/>
      </c>
    </row>
    <row r="111">
      <c r="A111" s="26" t="n"/>
      <c r="B111" s="16" t="n"/>
      <c r="C111" s="16" t="n"/>
      <c r="D111" s="16" t="n"/>
      <c r="E111" s="16" t="n"/>
      <c r="F111" s="22" t="n"/>
      <c r="G111" s="20" t="n"/>
      <c r="H111" s="26" t="n"/>
      <c r="I111" s="35">
        <f>IF(OR(G111="",N111=""),"",(N111-G111)/365.25)</f>
        <v/>
      </c>
      <c r="J111" s="36">
        <f>IF(F111="","",IF(E111&lt;&gt;"Mieter",0,IF(H111="",1,IF(OR(G111="",N111=""),"",MAX(0,1-I111/H111)))))</f>
        <v/>
      </c>
      <c r="K111" s="11">
        <f>IF(OR(J111="",F111=""),0,ROUND(F111*J111*20,0)/20)</f>
        <v/>
      </c>
      <c r="L111" s="23">
        <f>IF(AND(A111="",B111="",F111=""),"",IF(A111="","ID fehlt",IF(F111="","",IF(F111&lt;0,"Kosten negativ",IF(E111="","Ursache wählen",IF(N111="","Mietende fehlt",IF(AND(G111&lt;&gt;"",G111&gt;N111),"Einbau nach Mietende",IF(AND(E111="Mieter",H111&lt;&gt;"",G111=""),"Einbaudatum fehlt",IF(AND(E111="Mieter",H111&lt;&gt;"",H111&lt;=0),"Lebensdauer ungültig","")))))))))</f>
        <v/>
      </c>
      <c r="M111" s="10">
        <f>IF(AND(A111&lt;&gt;"",A111=$E$3),COUNTIF($A$32:A111,$E$3),"")</f>
        <v/>
      </c>
      <c r="N111" s="21">
        <f>IF(A111="","",IFERROR(IF(INDEX('Mein Haus'!$F$45:$F$104,A111)="","",INDEX('Mein Haus'!$F$45:$F$104,A111)),""))</f>
        <v/>
      </c>
    </row>
    <row r="112">
      <c r="A112" s="26" t="n"/>
      <c r="B112" s="16" t="n"/>
      <c r="C112" s="16" t="n"/>
      <c r="D112" s="16" t="n"/>
      <c r="E112" s="16" t="n"/>
      <c r="F112" s="22" t="n"/>
      <c r="G112" s="20" t="n"/>
      <c r="H112" s="26" t="n"/>
      <c r="I112" s="35">
        <f>IF(OR(G112="",N112=""),"",(N112-G112)/365.25)</f>
        <v/>
      </c>
      <c r="J112" s="36">
        <f>IF(F112="","",IF(E112&lt;&gt;"Mieter",0,IF(H112="",1,IF(OR(G112="",N112=""),"",MAX(0,1-I112/H112)))))</f>
        <v/>
      </c>
      <c r="K112" s="11">
        <f>IF(OR(J112="",F112=""),0,ROUND(F112*J112*20,0)/20)</f>
        <v/>
      </c>
      <c r="L112" s="23">
        <f>IF(AND(A112="",B112="",F112=""),"",IF(A112="","ID fehlt",IF(F112="","",IF(F112&lt;0,"Kosten negativ",IF(E112="","Ursache wählen",IF(N112="","Mietende fehlt",IF(AND(G112&lt;&gt;"",G112&gt;N112),"Einbau nach Mietende",IF(AND(E112="Mieter",H112&lt;&gt;"",G112=""),"Einbaudatum fehlt",IF(AND(E112="Mieter",H112&lt;&gt;"",H112&lt;=0),"Lebensdauer ungültig","")))))))))</f>
        <v/>
      </c>
      <c r="M112" s="10">
        <f>IF(AND(A112&lt;&gt;"",A112=$E$3),COUNTIF($A$32:A112,$E$3),"")</f>
        <v/>
      </c>
      <c r="N112" s="21">
        <f>IF(A112="","",IFERROR(IF(INDEX('Mein Haus'!$F$45:$F$104,A112)="","",INDEX('Mein Haus'!$F$45:$F$104,A112)),""))</f>
        <v/>
      </c>
    </row>
    <row r="113">
      <c r="A113" s="26" t="n"/>
      <c r="B113" s="16" t="n"/>
      <c r="C113" s="16" t="n"/>
      <c r="D113" s="16" t="n"/>
      <c r="E113" s="16" t="n"/>
      <c r="F113" s="22" t="n"/>
      <c r="G113" s="20" t="n"/>
      <c r="H113" s="26" t="n"/>
      <c r="I113" s="35">
        <f>IF(OR(G113="",N113=""),"",(N113-G113)/365.25)</f>
        <v/>
      </c>
      <c r="J113" s="36">
        <f>IF(F113="","",IF(E113&lt;&gt;"Mieter",0,IF(H113="",1,IF(OR(G113="",N113=""),"",MAX(0,1-I113/H113)))))</f>
        <v/>
      </c>
      <c r="K113" s="11">
        <f>IF(OR(J113="",F113=""),0,ROUND(F113*J113*20,0)/20)</f>
        <v/>
      </c>
      <c r="L113" s="23">
        <f>IF(AND(A113="",B113="",F113=""),"",IF(A113="","ID fehlt",IF(F113="","",IF(F113&lt;0,"Kosten negativ",IF(E113="","Ursache wählen",IF(N113="","Mietende fehlt",IF(AND(G113&lt;&gt;"",G113&gt;N113),"Einbau nach Mietende",IF(AND(E113="Mieter",H113&lt;&gt;"",G113=""),"Einbaudatum fehlt",IF(AND(E113="Mieter",H113&lt;&gt;"",H113&lt;=0),"Lebensdauer ungültig","")))))))))</f>
        <v/>
      </c>
      <c r="M113" s="10">
        <f>IF(AND(A113&lt;&gt;"",A113=$E$3),COUNTIF($A$32:A113,$E$3),"")</f>
        <v/>
      </c>
      <c r="N113" s="21">
        <f>IF(A113="","",IFERROR(IF(INDEX('Mein Haus'!$F$45:$F$104,A113)="","",INDEX('Mein Haus'!$F$45:$F$104,A113)),""))</f>
        <v/>
      </c>
    </row>
    <row r="114">
      <c r="A114" s="26" t="n"/>
      <c r="B114" s="16" t="n"/>
      <c r="C114" s="16" t="n"/>
      <c r="D114" s="16" t="n"/>
      <c r="E114" s="16" t="n"/>
      <c r="F114" s="22" t="n"/>
      <c r="G114" s="20" t="n"/>
      <c r="H114" s="26" t="n"/>
      <c r="I114" s="35">
        <f>IF(OR(G114="",N114=""),"",(N114-G114)/365.25)</f>
        <v/>
      </c>
      <c r="J114" s="36">
        <f>IF(F114="","",IF(E114&lt;&gt;"Mieter",0,IF(H114="",1,IF(OR(G114="",N114=""),"",MAX(0,1-I114/H114)))))</f>
        <v/>
      </c>
      <c r="K114" s="11">
        <f>IF(OR(J114="",F114=""),0,ROUND(F114*J114*20,0)/20)</f>
        <v/>
      </c>
      <c r="L114" s="23">
        <f>IF(AND(A114="",B114="",F114=""),"",IF(A114="","ID fehlt",IF(F114="","",IF(F114&lt;0,"Kosten negativ",IF(E114="","Ursache wählen",IF(N114="","Mietende fehlt",IF(AND(G114&lt;&gt;"",G114&gt;N114),"Einbau nach Mietende",IF(AND(E114="Mieter",H114&lt;&gt;"",G114=""),"Einbaudatum fehlt",IF(AND(E114="Mieter",H114&lt;&gt;"",H114&lt;=0),"Lebensdauer ungültig","")))))))))</f>
        <v/>
      </c>
      <c r="M114" s="10">
        <f>IF(AND(A114&lt;&gt;"",A114=$E$3),COUNTIF($A$32:A114,$E$3),"")</f>
        <v/>
      </c>
      <c r="N114" s="21">
        <f>IF(A114="","",IFERROR(IF(INDEX('Mein Haus'!$F$45:$F$104,A114)="","",INDEX('Mein Haus'!$F$45:$F$104,A114)),""))</f>
        <v/>
      </c>
    </row>
    <row r="115">
      <c r="A115" s="26" t="n"/>
      <c r="B115" s="16" t="n"/>
      <c r="C115" s="16" t="n"/>
      <c r="D115" s="16" t="n"/>
      <c r="E115" s="16" t="n"/>
      <c r="F115" s="22" t="n"/>
      <c r="G115" s="20" t="n"/>
      <c r="H115" s="26" t="n"/>
      <c r="I115" s="35">
        <f>IF(OR(G115="",N115=""),"",(N115-G115)/365.25)</f>
        <v/>
      </c>
      <c r="J115" s="36">
        <f>IF(F115="","",IF(E115&lt;&gt;"Mieter",0,IF(H115="",1,IF(OR(G115="",N115=""),"",MAX(0,1-I115/H115)))))</f>
        <v/>
      </c>
      <c r="K115" s="11">
        <f>IF(OR(J115="",F115=""),0,ROUND(F115*J115*20,0)/20)</f>
        <v/>
      </c>
      <c r="L115" s="23">
        <f>IF(AND(A115="",B115="",F115=""),"",IF(A115="","ID fehlt",IF(F115="","",IF(F115&lt;0,"Kosten negativ",IF(E115="","Ursache wählen",IF(N115="","Mietende fehlt",IF(AND(G115&lt;&gt;"",G115&gt;N115),"Einbau nach Mietende",IF(AND(E115="Mieter",H115&lt;&gt;"",G115=""),"Einbaudatum fehlt",IF(AND(E115="Mieter",H115&lt;&gt;"",H115&lt;=0),"Lebensdauer ungültig","")))))))))</f>
        <v/>
      </c>
      <c r="M115" s="10">
        <f>IF(AND(A115&lt;&gt;"",A115=$E$3),COUNTIF($A$32:A115,$E$3),"")</f>
        <v/>
      </c>
      <c r="N115" s="21">
        <f>IF(A115="","",IFERROR(IF(INDEX('Mein Haus'!$F$45:$F$104,A115)="","",INDEX('Mein Haus'!$F$45:$F$104,A115)),""))</f>
        <v/>
      </c>
    </row>
    <row r="116">
      <c r="A116" s="26" t="n"/>
      <c r="B116" s="16" t="n"/>
      <c r="C116" s="16" t="n"/>
      <c r="D116" s="16" t="n"/>
      <c r="E116" s="16" t="n"/>
      <c r="F116" s="22" t="n"/>
      <c r="G116" s="20" t="n"/>
      <c r="H116" s="26" t="n"/>
      <c r="I116" s="35">
        <f>IF(OR(G116="",N116=""),"",(N116-G116)/365.25)</f>
        <v/>
      </c>
      <c r="J116" s="36">
        <f>IF(F116="","",IF(E116&lt;&gt;"Mieter",0,IF(H116="",1,IF(OR(G116="",N116=""),"",MAX(0,1-I116/H116)))))</f>
        <v/>
      </c>
      <c r="K116" s="11">
        <f>IF(OR(J116="",F116=""),0,ROUND(F116*J116*20,0)/20)</f>
        <v/>
      </c>
      <c r="L116" s="23">
        <f>IF(AND(A116="",B116="",F116=""),"",IF(A116="","ID fehlt",IF(F116="","",IF(F116&lt;0,"Kosten negativ",IF(E116="","Ursache wählen",IF(N116="","Mietende fehlt",IF(AND(G116&lt;&gt;"",G116&gt;N116),"Einbau nach Mietende",IF(AND(E116="Mieter",H116&lt;&gt;"",G116=""),"Einbaudatum fehlt",IF(AND(E116="Mieter",H116&lt;&gt;"",H116&lt;=0),"Lebensdauer ungültig","")))))))))</f>
        <v/>
      </c>
      <c r="M116" s="10">
        <f>IF(AND(A116&lt;&gt;"",A116=$E$3),COUNTIF($A$32:A116,$E$3),"")</f>
        <v/>
      </c>
      <c r="N116" s="21">
        <f>IF(A116="","",IFERROR(IF(INDEX('Mein Haus'!$F$45:$F$104,A116)="","",INDEX('Mein Haus'!$F$45:$F$104,A116)),""))</f>
        <v/>
      </c>
    </row>
    <row r="117">
      <c r="A117" s="26" t="n"/>
      <c r="B117" s="16" t="n"/>
      <c r="C117" s="16" t="n"/>
      <c r="D117" s="16" t="n"/>
      <c r="E117" s="16" t="n"/>
      <c r="F117" s="22" t="n"/>
      <c r="G117" s="20" t="n"/>
      <c r="H117" s="26" t="n"/>
      <c r="I117" s="35">
        <f>IF(OR(G117="",N117=""),"",(N117-G117)/365.25)</f>
        <v/>
      </c>
      <c r="J117" s="36">
        <f>IF(F117="","",IF(E117&lt;&gt;"Mieter",0,IF(H117="",1,IF(OR(G117="",N117=""),"",MAX(0,1-I117/H117)))))</f>
        <v/>
      </c>
      <c r="K117" s="11">
        <f>IF(OR(J117="",F117=""),0,ROUND(F117*J117*20,0)/20)</f>
        <v/>
      </c>
      <c r="L117" s="23">
        <f>IF(AND(A117="",B117="",F117=""),"",IF(A117="","ID fehlt",IF(F117="","",IF(F117&lt;0,"Kosten negativ",IF(E117="","Ursache wählen",IF(N117="","Mietende fehlt",IF(AND(G117&lt;&gt;"",G117&gt;N117),"Einbau nach Mietende",IF(AND(E117="Mieter",H117&lt;&gt;"",G117=""),"Einbaudatum fehlt",IF(AND(E117="Mieter",H117&lt;&gt;"",H117&lt;=0),"Lebensdauer ungültig","")))))))))</f>
        <v/>
      </c>
      <c r="M117" s="10">
        <f>IF(AND(A117&lt;&gt;"",A117=$E$3),COUNTIF($A$32:A117,$E$3),"")</f>
        <v/>
      </c>
      <c r="N117" s="21">
        <f>IF(A117="","",IFERROR(IF(INDEX('Mein Haus'!$F$45:$F$104,A117)="","",INDEX('Mein Haus'!$F$45:$F$104,A117)),""))</f>
        <v/>
      </c>
    </row>
    <row r="118">
      <c r="A118" s="26" t="n"/>
      <c r="B118" s="16" t="n"/>
      <c r="C118" s="16" t="n"/>
      <c r="D118" s="16" t="n"/>
      <c r="E118" s="16" t="n"/>
      <c r="F118" s="22" t="n"/>
      <c r="G118" s="20" t="n"/>
      <c r="H118" s="26" t="n"/>
      <c r="I118" s="35">
        <f>IF(OR(G118="",N118=""),"",(N118-G118)/365.25)</f>
        <v/>
      </c>
      <c r="J118" s="36">
        <f>IF(F118="","",IF(E118&lt;&gt;"Mieter",0,IF(H118="",1,IF(OR(G118="",N118=""),"",MAX(0,1-I118/H118)))))</f>
        <v/>
      </c>
      <c r="K118" s="11">
        <f>IF(OR(J118="",F118=""),0,ROUND(F118*J118*20,0)/20)</f>
        <v/>
      </c>
      <c r="L118" s="23">
        <f>IF(AND(A118="",B118="",F118=""),"",IF(A118="","ID fehlt",IF(F118="","",IF(F118&lt;0,"Kosten negativ",IF(E118="","Ursache wählen",IF(N118="","Mietende fehlt",IF(AND(G118&lt;&gt;"",G118&gt;N118),"Einbau nach Mietende",IF(AND(E118="Mieter",H118&lt;&gt;"",G118=""),"Einbaudatum fehlt",IF(AND(E118="Mieter",H118&lt;&gt;"",H118&lt;=0),"Lebensdauer ungültig","")))))))))</f>
        <v/>
      </c>
      <c r="M118" s="10">
        <f>IF(AND(A118&lt;&gt;"",A118=$E$3),COUNTIF($A$32:A118,$E$3),"")</f>
        <v/>
      </c>
      <c r="N118" s="21">
        <f>IF(A118="","",IFERROR(IF(INDEX('Mein Haus'!$F$45:$F$104,A118)="","",INDEX('Mein Haus'!$F$45:$F$104,A118)),""))</f>
        <v/>
      </c>
    </row>
    <row r="119">
      <c r="A119" s="26" t="n"/>
      <c r="B119" s="16" t="n"/>
      <c r="C119" s="16" t="n"/>
      <c r="D119" s="16" t="n"/>
      <c r="E119" s="16" t="n"/>
      <c r="F119" s="22" t="n"/>
      <c r="G119" s="20" t="n"/>
      <c r="H119" s="26" t="n"/>
      <c r="I119" s="35">
        <f>IF(OR(G119="",N119=""),"",(N119-G119)/365.25)</f>
        <v/>
      </c>
      <c r="J119" s="36">
        <f>IF(F119="","",IF(E119&lt;&gt;"Mieter",0,IF(H119="",1,IF(OR(G119="",N119=""),"",MAX(0,1-I119/H119)))))</f>
        <v/>
      </c>
      <c r="K119" s="11">
        <f>IF(OR(J119="",F119=""),0,ROUND(F119*J119*20,0)/20)</f>
        <v/>
      </c>
      <c r="L119" s="23">
        <f>IF(AND(A119="",B119="",F119=""),"",IF(A119="","ID fehlt",IF(F119="","",IF(F119&lt;0,"Kosten negativ",IF(E119="","Ursache wählen",IF(N119="","Mietende fehlt",IF(AND(G119&lt;&gt;"",G119&gt;N119),"Einbau nach Mietende",IF(AND(E119="Mieter",H119&lt;&gt;"",G119=""),"Einbaudatum fehlt",IF(AND(E119="Mieter",H119&lt;&gt;"",H119&lt;=0),"Lebensdauer ungültig","")))))))))</f>
        <v/>
      </c>
      <c r="M119" s="10">
        <f>IF(AND(A119&lt;&gt;"",A119=$E$3),COUNTIF($A$32:A119,$E$3),"")</f>
        <v/>
      </c>
      <c r="N119" s="21">
        <f>IF(A119="","",IFERROR(IF(INDEX('Mein Haus'!$F$45:$F$104,A119)="","",INDEX('Mein Haus'!$F$45:$F$104,A119)),""))</f>
        <v/>
      </c>
    </row>
    <row r="120">
      <c r="A120" s="26" t="n"/>
      <c r="B120" s="16" t="n"/>
      <c r="C120" s="16" t="n"/>
      <c r="D120" s="16" t="n"/>
      <c r="E120" s="16" t="n"/>
      <c r="F120" s="22" t="n"/>
      <c r="G120" s="20" t="n"/>
      <c r="H120" s="26" t="n"/>
      <c r="I120" s="35">
        <f>IF(OR(G120="",N120=""),"",(N120-G120)/365.25)</f>
        <v/>
      </c>
      <c r="J120" s="36">
        <f>IF(F120="","",IF(E120&lt;&gt;"Mieter",0,IF(H120="",1,IF(OR(G120="",N120=""),"",MAX(0,1-I120/H120)))))</f>
        <v/>
      </c>
      <c r="K120" s="11">
        <f>IF(OR(J120="",F120=""),0,ROUND(F120*J120*20,0)/20)</f>
        <v/>
      </c>
      <c r="L120" s="23">
        <f>IF(AND(A120="",B120="",F120=""),"",IF(A120="","ID fehlt",IF(F120="","",IF(F120&lt;0,"Kosten negativ",IF(E120="","Ursache wählen",IF(N120="","Mietende fehlt",IF(AND(G120&lt;&gt;"",G120&gt;N120),"Einbau nach Mietende",IF(AND(E120="Mieter",H120&lt;&gt;"",G120=""),"Einbaudatum fehlt",IF(AND(E120="Mieter",H120&lt;&gt;"",H120&lt;=0),"Lebensdauer ungültig","")))))))))</f>
        <v/>
      </c>
      <c r="M120" s="10">
        <f>IF(AND(A120&lt;&gt;"",A120=$E$3),COUNTIF($A$32:A120,$E$3),"")</f>
        <v/>
      </c>
      <c r="N120" s="21">
        <f>IF(A120="","",IFERROR(IF(INDEX('Mein Haus'!$F$45:$F$104,A120)="","",INDEX('Mein Haus'!$F$45:$F$104,A120)),""))</f>
        <v/>
      </c>
    </row>
    <row r="121">
      <c r="A121" s="26" t="n"/>
      <c r="B121" s="16" t="n"/>
      <c r="C121" s="16" t="n"/>
      <c r="D121" s="16" t="n"/>
      <c r="E121" s="16" t="n"/>
      <c r="F121" s="22" t="n"/>
      <c r="G121" s="20" t="n"/>
      <c r="H121" s="26" t="n"/>
      <c r="I121" s="35">
        <f>IF(OR(G121="",N121=""),"",(N121-G121)/365.25)</f>
        <v/>
      </c>
      <c r="J121" s="36">
        <f>IF(F121="","",IF(E121&lt;&gt;"Mieter",0,IF(H121="",1,IF(OR(G121="",N121=""),"",MAX(0,1-I121/H121)))))</f>
        <v/>
      </c>
      <c r="K121" s="11">
        <f>IF(OR(J121="",F121=""),0,ROUND(F121*J121*20,0)/20)</f>
        <v/>
      </c>
      <c r="L121" s="23">
        <f>IF(AND(A121="",B121="",F121=""),"",IF(A121="","ID fehlt",IF(F121="","",IF(F121&lt;0,"Kosten negativ",IF(E121="","Ursache wählen",IF(N121="","Mietende fehlt",IF(AND(G121&lt;&gt;"",G121&gt;N121),"Einbau nach Mietende",IF(AND(E121="Mieter",H121&lt;&gt;"",G121=""),"Einbaudatum fehlt",IF(AND(E121="Mieter",H121&lt;&gt;"",H121&lt;=0),"Lebensdauer ungültig","")))))))))</f>
        <v/>
      </c>
      <c r="M121" s="10">
        <f>IF(AND(A121&lt;&gt;"",A121=$E$3),COUNTIF($A$32:A121,$E$3),"")</f>
        <v/>
      </c>
      <c r="N121" s="21">
        <f>IF(A121="","",IFERROR(IF(INDEX('Mein Haus'!$F$45:$F$104,A121)="","",INDEX('Mein Haus'!$F$45:$F$104,A121)),""))</f>
        <v/>
      </c>
    </row>
    <row r="122">
      <c r="A122" s="26" t="n"/>
      <c r="B122" s="16" t="n"/>
      <c r="C122" s="16" t="n"/>
      <c r="D122" s="16" t="n"/>
      <c r="E122" s="16" t="n"/>
      <c r="F122" s="22" t="n"/>
      <c r="G122" s="20" t="n"/>
      <c r="H122" s="26" t="n"/>
      <c r="I122" s="35">
        <f>IF(OR(G122="",N122=""),"",(N122-G122)/365.25)</f>
        <v/>
      </c>
      <c r="J122" s="36">
        <f>IF(F122="","",IF(E122&lt;&gt;"Mieter",0,IF(H122="",1,IF(OR(G122="",N122=""),"",MAX(0,1-I122/H122)))))</f>
        <v/>
      </c>
      <c r="K122" s="11">
        <f>IF(OR(J122="",F122=""),0,ROUND(F122*J122*20,0)/20)</f>
        <v/>
      </c>
      <c r="L122" s="23">
        <f>IF(AND(A122="",B122="",F122=""),"",IF(A122="","ID fehlt",IF(F122="","",IF(F122&lt;0,"Kosten negativ",IF(E122="","Ursache wählen",IF(N122="","Mietende fehlt",IF(AND(G122&lt;&gt;"",G122&gt;N122),"Einbau nach Mietende",IF(AND(E122="Mieter",H122&lt;&gt;"",G122=""),"Einbaudatum fehlt",IF(AND(E122="Mieter",H122&lt;&gt;"",H122&lt;=0),"Lebensdauer ungültig","")))))))))</f>
        <v/>
      </c>
      <c r="M122" s="10">
        <f>IF(AND(A122&lt;&gt;"",A122=$E$3),COUNTIF($A$32:A122,$E$3),"")</f>
        <v/>
      </c>
      <c r="N122" s="21">
        <f>IF(A122="","",IFERROR(IF(INDEX('Mein Haus'!$F$45:$F$104,A122)="","",INDEX('Mein Haus'!$F$45:$F$104,A122)),""))</f>
        <v/>
      </c>
    </row>
    <row r="123">
      <c r="A123" s="26" t="n"/>
      <c r="B123" s="16" t="n"/>
      <c r="C123" s="16" t="n"/>
      <c r="D123" s="16" t="n"/>
      <c r="E123" s="16" t="n"/>
      <c r="F123" s="22" t="n"/>
      <c r="G123" s="20" t="n"/>
      <c r="H123" s="26" t="n"/>
      <c r="I123" s="35">
        <f>IF(OR(G123="",N123=""),"",(N123-G123)/365.25)</f>
        <v/>
      </c>
      <c r="J123" s="36">
        <f>IF(F123="","",IF(E123&lt;&gt;"Mieter",0,IF(H123="",1,IF(OR(G123="",N123=""),"",MAX(0,1-I123/H123)))))</f>
        <v/>
      </c>
      <c r="K123" s="11">
        <f>IF(OR(J123="",F123=""),0,ROUND(F123*J123*20,0)/20)</f>
        <v/>
      </c>
      <c r="L123" s="23">
        <f>IF(AND(A123="",B123="",F123=""),"",IF(A123="","ID fehlt",IF(F123="","",IF(F123&lt;0,"Kosten negativ",IF(E123="","Ursache wählen",IF(N123="","Mietende fehlt",IF(AND(G123&lt;&gt;"",G123&gt;N123),"Einbau nach Mietende",IF(AND(E123="Mieter",H123&lt;&gt;"",G123=""),"Einbaudatum fehlt",IF(AND(E123="Mieter",H123&lt;&gt;"",H123&lt;=0),"Lebensdauer ungültig","")))))))))</f>
        <v/>
      </c>
      <c r="M123" s="10">
        <f>IF(AND(A123&lt;&gt;"",A123=$E$3),COUNTIF($A$32:A123,$E$3),"")</f>
        <v/>
      </c>
      <c r="N123" s="21">
        <f>IF(A123="","",IFERROR(IF(INDEX('Mein Haus'!$F$45:$F$104,A123)="","",INDEX('Mein Haus'!$F$45:$F$104,A123)),""))</f>
        <v/>
      </c>
    </row>
    <row r="124">
      <c r="A124" s="26" t="n"/>
      <c r="B124" s="16" t="n"/>
      <c r="C124" s="16" t="n"/>
      <c r="D124" s="16" t="n"/>
      <c r="E124" s="16" t="n"/>
      <c r="F124" s="22" t="n"/>
      <c r="G124" s="20" t="n"/>
      <c r="H124" s="26" t="n"/>
      <c r="I124" s="35">
        <f>IF(OR(G124="",N124=""),"",(N124-G124)/365.25)</f>
        <v/>
      </c>
      <c r="J124" s="36">
        <f>IF(F124="","",IF(E124&lt;&gt;"Mieter",0,IF(H124="",1,IF(OR(G124="",N124=""),"",MAX(0,1-I124/H124)))))</f>
        <v/>
      </c>
      <c r="K124" s="11">
        <f>IF(OR(J124="",F124=""),0,ROUND(F124*J124*20,0)/20)</f>
        <v/>
      </c>
      <c r="L124" s="23">
        <f>IF(AND(A124="",B124="",F124=""),"",IF(A124="","ID fehlt",IF(F124="","",IF(F124&lt;0,"Kosten negativ",IF(E124="","Ursache wählen",IF(N124="","Mietende fehlt",IF(AND(G124&lt;&gt;"",G124&gt;N124),"Einbau nach Mietende",IF(AND(E124="Mieter",H124&lt;&gt;"",G124=""),"Einbaudatum fehlt",IF(AND(E124="Mieter",H124&lt;&gt;"",H124&lt;=0),"Lebensdauer ungültig","")))))))))</f>
        <v/>
      </c>
      <c r="M124" s="10">
        <f>IF(AND(A124&lt;&gt;"",A124=$E$3),COUNTIF($A$32:A124,$E$3),"")</f>
        <v/>
      </c>
      <c r="N124" s="21">
        <f>IF(A124="","",IFERROR(IF(INDEX('Mein Haus'!$F$45:$F$104,A124)="","",INDEX('Mein Haus'!$F$45:$F$104,A124)),""))</f>
        <v/>
      </c>
    </row>
    <row r="125">
      <c r="A125" s="26" t="n"/>
      <c r="B125" s="16" t="n"/>
      <c r="C125" s="16" t="n"/>
      <c r="D125" s="16" t="n"/>
      <c r="E125" s="16" t="n"/>
      <c r="F125" s="22" t="n"/>
      <c r="G125" s="20" t="n"/>
      <c r="H125" s="26" t="n"/>
      <c r="I125" s="35">
        <f>IF(OR(G125="",N125=""),"",(N125-G125)/365.25)</f>
        <v/>
      </c>
      <c r="J125" s="36">
        <f>IF(F125="","",IF(E125&lt;&gt;"Mieter",0,IF(H125="",1,IF(OR(G125="",N125=""),"",MAX(0,1-I125/H125)))))</f>
        <v/>
      </c>
      <c r="K125" s="11">
        <f>IF(OR(J125="",F125=""),0,ROUND(F125*J125*20,0)/20)</f>
        <v/>
      </c>
      <c r="L125" s="23">
        <f>IF(AND(A125="",B125="",F125=""),"",IF(A125="","ID fehlt",IF(F125="","",IF(F125&lt;0,"Kosten negativ",IF(E125="","Ursache wählen",IF(N125="","Mietende fehlt",IF(AND(G125&lt;&gt;"",G125&gt;N125),"Einbau nach Mietende",IF(AND(E125="Mieter",H125&lt;&gt;"",G125=""),"Einbaudatum fehlt",IF(AND(E125="Mieter",H125&lt;&gt;"",H125&lt;=0),"Lebensdauer ungültig","")))))))))</f>
        <v/>
      </c>
      <c r="M125" s="10">
        <f>IF(AND(A125&lt;&gt;"",A125=$E$3),COUNTIF($A$32:A125,$E$3),"")</f>
        <v/>
      </c>
      <c r="N125" s="21">
        <f>IF(A125="","",IFERROR(IF(INDEX('Mein Haus'!$F$45:$F$104,A125)="","",INDEX('Mein Haus'!$F$45:$F$104,A125)),""))</f>
        <v/>
      </c>
    </row>
    <row r="126">
      <c r="A126" s="26" t="n"/>
      <c r="B126" s="16" t="n"/>
      <c r="C126" s="16" t="n"/>
      <c r="D126" s="16" t="n"/>
      <c r="E126" s="16" t="n"/>
      <c r="F126" s="22" t="n"/>
      <c r="G126" s="20" t="n"/>
      <c r="H126" s="26" t="n"/>
      <c r="I126" s="35">
        <f>IF(OR(G126="",N126=""),"",(N126-G126)/365.25)</f>
        <v/>
      </c>
      <c r="J126" s="36">
        <f>IF(F126="","",IF(E126&lt;&gt;"Mieter",0,IF(H126="",1,IF(OR(G126="",N126=""),"",MAX(0,1-I126/H126)))))</f>
        <v/>
      </c>
      <c r="K126" s="11">
        <f>IF(OR(J126="",F126=""),0,ROUND(F126*J126*20,0)/20)</f>
        <v/>
      </c>
      <c r="L126" s="23">
        <f>IF(AND(A126="",B126="",F126=""),"",IF(A126="","ID fehlt",IF(F126="","",IF(F126&lt;0,"Kosten negativ",IF(E126="","Ursache wählen",IF(N126="","Mietende fehlt",IF(AND(G126&lt;&gt;"",G126&gt;N126),"Einbau nach Mietende",IF(AND(E126="Mieter",H126&lt;&gt;"",G126=""),"Einbaudatum fehlt",IF(AND(E126="Mieter",H126&lt;&gt;"",H126&lt;=0),"Lebensdauer ungültig","")))))))))</f>
        <v/>
      </c>
      <c r="M126" s="10">
        <f>IF(AND(A126&lt;&gt;"",A126=$E$3),COUNTIF($A$32:A126,$E$3),"")</f>
        <v/>
      </c>
      <c r="N126" s="21">
        <f>IF(A126="","",IFERROR(IF(INDEX('Mein Haus'!$F$45:$F$104,A126)="","",INDEX('Mein Haus'!$F$45:$F$104,A126)),""))</f>
        <v/>
      </c>
    </row>
    <row r="127">
      <c r="A127" s="26" t="n"/>
      <c r="B127" s="16" t="n"/>
      <c r="C127" s="16" t="n"/>
      <c r="D127" s="16" t="n"/>
      <c r="E127" s="16" t="n"/>
      <c r="F127" s="22" t="n"/>
      <c r="G127" s="20" t="n"/>
      <c r="H127" s="26" t="n"/>
      <c r="I127" s="35">
        <f>IF(OR(G127="",N127=""),"",(N127-G127)/365.25)</f>
        <v/>
      </c>
      <c r="J127" s="36">
        <f>IF(F127="","",IF(E127&lt;&gt;"Mieter",0,IF(H127="",1,IF(OR(G127="",N127=""),"",MAX(0,1-I127/H127)))))</f>
        <v/>
      </c>
      <c r="K127" s="11">
        <f>IF(OR(J127="",F127=""),0,ROUND(F127*J127*20,0)/20)</f>
        <v/>
      </c>
      <c r="L127" s="23">
        <f>IF(AND(A127="",B127="",F127=""),"",IF(A127="","ID fehlt",IF(F127="","",IF(F127&lt;0,"Kosten negativ",IF(E127="","Ursache wählen",IF(N127="","Mietende fehlt",IF(AND(G127&lt;&gt;"",G127&gt;N127),"Einbau nach Mietende",IF(AND(E127="Mieter",H127&lt;&gt;"",G127=""),"Einbaudatum fehlt",IF(AND(E127="Mieter",H127&lt;&gt;"",H127&lt;=0),"Lebensdauer ungültig","")))))))))</f>
        <v/>
      </c>
      <c r="M127" s="10">
        <f>IF(AND(A127&lt;&gt;"",A127=$E$3),COUNTIF($A$32:A127,$E$3),"")</f>
        <v/>
      </c>
      <c r="N127" s="21">
        <f>IF(A127="","",IFERROR(IF(INDEX('Mein Haus'!$F$45:$F$104,A127)="","",INDEX('Mein Haus'!$F$45:$F$104,A127)),""))</f>
        <v/>
      </c>
    </row>
    <row r="128">
      <c r="A128" s="26" t="n"/>
      <c r="B128" s="16" t="n"/>
      <c r="C128" s="16" t="n"/>
      <c r="D128" s="16" t="n"/>
      <c r="E128" s="16" t="n"/>
      <c r="F128" s="22" t="n"/>
      <c r="G128" s="20" t="n"/>
      <c r="H128" s="26" t="n"/>
      <c r="I128" s="35">
        <f>IF(OR(G128="",N128=""),"",(N128-G128)/365.25)</f>
        <v/>
      </c>
      <c r="J128" s="36">
        <f>IF(F128="","",IF(E128&lt;&gt;"Mieter",0,IF(H128="",1,IF(OR(G128="",N128=""),"",MAX(0,1-I128/H128)))))</f>
        <v/>
      </c>
      <c r="K128" s="11">
        <f>IF(OR(J128="",F128=""),0,ROUND(F128*J128*20,0)/20)</f>
        <v/>
      </c>
      <c r="L128" s="23">
        <f>IF(AND(A128="",B128="",F128=""),"",IF(A128="","ID fehlt",IF(F128="","",IF(F128&lt;0,"Kosten negativ",IF(E128="","Ursache wählen",IF(N128="","Mietende fehlt",IF(AND(G128&lt;&gt;"",G128&gt;N128),"Einbau nach Mietende",IF(AND(E128="Mieter",H128&lt;&gt;"",G128=""),"Einbaudatum fehlt",IF(AND(E128="Mieter",H128&lt;&gt;"",H128&lt;=0),"Lebensdauer ungültig","")))))))))</f>
        <v/>
      </c>
      <c r="M128" s="10">
        <f>IF(AND(A128&lt;&gt;"",A128=$E$3),COUNTIF($A$32:A128,$E$3),"")</f>
        <v/>
      </c>
      <c r="N128" s="21">
        <f>IF(A128="","",IFERROR(IF(INDEX('Mein Haus'!$F$45:$F$104,A128)="","",INDEX('Mein Haus'!$F$45:$F$104,A128)),""))</f>
        <v/>
      </c>
    </row>
    <row r="129">
      <c r="A129" s="26" t="n"/>
      <c r="B129" s="16" t="n"/>
      <c r="C129" s="16" t="n"/>
      <c r="D129" s="16" t="n"/>
      <c r="E129" s="16" t="n"/>
      <c r="F129" s="22" t="n"/>
      <c r="G129" s="20" t="n"/>
      <c r="H129" s="26" t="n"/>
      <c r="I129" s="35">
        <f>IF(OR(G129="",N129=""),"",(N129-G129)/365.25)</f>
        <v/>
      </c>
      <c r="J129" s="36">
        <f>IF(F129="","",IF(E129&lt;&gt;"Mieter",0,IF(H129="",1,IF(OR(G129="",N129=""),"",MAX(0,1-I129/H129)))))</f>
        <v/>
      </c>
      <c r="K129" s="11">
        <f>IF(OR(J129="",F129=""),0,ROUND(F129*J129*20,0)/20)</f>
        <v/>
      </c>
      <c r="L129" s="23">
        <f>IF(AND(A129="",B129="",F129=""),"",IF(A129="","ID fehlt",IF(F129="","",IF(F129&lt;0,"Kosten negativ",IF(E129="","Ursache wählen",IF(N129="","Mietende fehlt",IF(AND(G129&lt;&gt;"",G129&gt;N129),"Einbau nach Mietende",IF(AND(E129="Mieter",H129&lt;&gt;"",G129=""),"Einbaudatum fehlt",IF(AND(E129="Mieter",H129&lt;&gt;"",H129&lt;=0),"Lebensdauer ungültig","")))))))))</f>
        <v/>
      </c>
      <c r="M129" s="10">
        <f>IF(AND(A129&lt;&gt;"",A129=$E$3),COUNTIF($A$32:A129,$E$3),"")</f>
        <v/>
      </c>
      <c r="N129" s="21">
        <f>IF(A129="","",IFERROR(IF(INDEX('Mein Haus'!$F$45:$F$104,A129)="","",INDEX('Mein Haus'!$F$45:$F$104,A129)),""))</f>
        <v/>
      </c>
    </row>
    <row r="130">
      <c r="A130" s="26" t="n"/>
      <c r="B130" s="16" t="n"/>
      <c r="C130" s="16" t="n"/>
      <c r="D130" s="16" t="n"/>
      <c r="E130" s="16" t="n"/>
      <c r="F130" s="22" t="n"/>
      <c r="G130" s="20" t="n"/>
      <c r="H130" s="26" t="n"/>
      <c r="I130" s="35">
        <f>IF(OR(G130="",N130=""),"",(N130-G130)/365.25)</f>
        <v/>
      </c>
      <c r="J130" s="36">
        <f>IF(F130="","",IF(E130&lt;&gt;"Mieter",0,IF(H130="",1,IF(OR(G130="",N130=""),"",MAX(0,1-I130/H130)))))</f>
        <v/>
      </c>
      <c r="K130" s="11">
        <f>IF(OR(J130="",F130=""),0,ROUND(F130*J130*20,0)/20)</f>
        <v/>
      </c>
      <c r="L130" s="23">
        <f>IF(AND(A130="",B130="",F130=""),"",IF(A130="","ID fehlt",IF(F130="","",IF(F130&lt;0,"Kosten negativ",IF(E130="","Ursache wählen",IF(N130="","Mietende fehlt",IF(AND(G130&lt;&gt;"",G130&gt;N130),"Einbau nach Mietende",IF(AND(E130="Mieter",H130&lt;&gt;"",G130=""),"Einbaudatum fehlt",IF(AND(E130="Mieter",H130&lt;&gt;"",H130&lt;=0),"Lebensdauer ungültig","")))))))))</f>
        <v/>
      </c>
      <c r="M130" s="10">
        <f>IF(AND(A130&lt;&gt;"",A130=$E$3),COUNTIF($A$32:A130,$E$3),"")</f>
        <v/>
      </c>
      <c r="N130" s="21">
        <f>IF(A130="","",IFERROR(IF(INDEX('Mein Haus'!$F$45:$F$104,A130)="","",INDEX('Mein Haus'!$F$45:$F$104,A130)),""))</f>
        <v/>
      </c>
    </row>
    <row r="131">
      <c r="A131" s="26" t="n"/>
      <c r="B131" s="16" t="n"/>
      <c r="C131" s="16" t="n"/>
      <c r="D131" s="16" t="n"/>
      <c r="E131" s="16" t="n"/>
      <c r="F131" s="22" t="n"/>
      <c r="G131" s="20" t="n"/>
      <c r="H131" s="26" t="n"/>
      <c r="I131" s="35">
        <f>IF(OR(G131="",N131=""),"",(N131-G131)/365.25)</f>
        <v/>
      </c>
      <c r="J131" s="36">
        <f>IF(F131="","",IF(E131&lt;&gt;"Mieter",0,IF(H131="",1,IF(OR(G131="",N131=""),"",MAX(0,1-I131/H131)))))</f>
        <v/>
      </c>
      <c r="K131" s="11">
        <f>IF(OR(J131="",F131=""),0,ROUND(F131*J131*20,0)/20)</f>
        <v/>
      </c>
      <c r="L131" s="23">
        <f>IF(AND(A131="",B131="",F131=""),"",IF(A131="","ID fehlt",IF(F131="","",IF(F131&lt;0,"Kosten negativ",IF(E131="","Ursache wählen",IF(N131="","Mietende fehlt",IF(AND(G131&lt;&gt;"",G131&gt;N131),"Einbau nach Mietende",IF(AND(E131="Mieter",H131&lt;&gt;"",G131=""),"Einbaudatum fehlt",IF(AND(E131="Mieter",H131&lt;&gt;"",H131&lt;=0),"Lebensdauer ungültig","")))))))))</f>
        <v/>
      </c>
      <c r="M131" s="10">
        <f>IF(AND(A131&lt;&gt;"",A131=$E$3),COUNTIF($A$32:A131,$E$3),"")</f>
        <v/>
      </c>
      <c r="N131" s="21">
        <f>IF(A131="","",IFERROR(IF(INDEX('Mein Haus'!$F$45:$F$104,A131)="","",INDEX('Mein Haus'!$F$45:$F$104,A131)),""))</f>
        <v/>
      </c>
    </row>
  </sheetData>
  <sheetProtection selectLockedCells="0" selectUnlockedCells="0" sheet="1" objects="0" insertRows="1" insertHyperlinks="1" autoFilter="1" scenarios="0" formatColumns="0" deleteColumns="1" insertColumns="1" pivotTables="1" deleteRows="1" formatCells="1" formatRows="0" sort="1"/>
  <conditionalFormatting sqref="W8:W27">
    <cfRule type="expression" priority="1" dxfId="0">
      <formula>W8&lt;&gt;""</formula>
    </cfRule>
  </conditionalFormatting>
  <conditionalFormatting sqref="L32:L131">
    <cfRule type="expression" priority="2" dxfId="0">
      <formula>L32&lt;&gt;""</formula>
    </cfRule>
  </conditionalFormatting>
  <dataValidations count="2">
    <dataValidation sqref="A8 A9 A10 A11 A12 A13 A14 A15 A16 A17 A18 A19 A20 A21 A22 A23 A24 A25 A26 A27 A32 A33 A34 A35 A36 A37 A38 A39 A40 A41 A42 A43 A44 A45 A46 A47 A48 A49 A50 A51 A52 A53 A54 A55 A56 A57 A58 A59 A60 A61 A62 A63 A64 A65 A66 A67 A68 A69 A70 A71 A72 A73 A74 A75 A76 A77 A78 A79 A80 A81 A82 A83 A84 A85 A86 A87 A88 A89 A90 A91 A92 A93 A94 A95 A96 A97 A98 A99 A100 A101 A102 A103 A104 A105 A106 A107 A108 A109 A110 A111 A112 A113 A114 A115 A116 A117 A118 A119 A120 A121 A122 A123 A124 A125 A126 A127 A128 A129 A130 A131 E3" showDropDown="0" showInputMessage="0" showErrorMessage="0" allowBlank="1" type="whole" operator="between">
      <formula1>1</formula1>
      <formula2>60</formula2>
    </dataValidation>
    <dataValidation sqref="E32 E33 E34 E35 E36 E37 E38 E39 E40 E41 E42 E43 E44 E45 E46 E47 E48 E49 E50 E51 E52 E53 E54 E55 E56 E57 E58 E59 E60 E61 E62 E63 E64 E65 E66 E67 E68 E69 E70 E71 E72 E73 E74 E75 E76 E77 E78 E79 E80 E81 E82 E83 E84 E85 E86 E87 E88 E89 E90 E91 E92 E93 E94 E95 E96 E97 E98 E99 E100 E101 E102 E103 E104 E105 E106 E107 E108 E109 E110 E111 E112 E113 E114 E115 E116 E117 E118 E119 E120 E121 E122 E123 E124 E125 E126 E127 E128 E129 E130 E131" showDropDown="0" showInputMessage="0" showErrorMessage="0" allowBlank="1" type="list">
      <formula1>"Mieter,Normale Abnutzung,Vorbestehend"</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fitToPage="1"/>
  </sheetPr>
  <dimension ref="A1:D48"/>
  <sheetViews>
    <sheetView workbookViewId="0">
      <selection activeCell="A1" sqref="A1"/>
    </sheetView>
  </sheetViews>
  <sheetFormatPr baseColWidth="8" defaultRowHeight="15"/>
  <cols>
    <col width="30" customWidth="1" min="1" max="1"/>
    <col width="18" customWidth="1" min="2" max="2"/>
    <col width="44" customWidth="1" min="3" max="3"/>
    <col width="18" customWidth="1" min="4" max="4"/>
  </cols>
  <sheetData>
    <row r="1">
      <c r="A1" s="14" t="inlineStr">
        <is>
          <t>Wohnungsabnahmeprotokoll</t>
        </is>
      </c>
    </row>
    <row r="2">
      <c r="A2" s="37" t="inlineStr">
        <is>
          <t>Auswahl über die ID oben im Blatt «Rückgabe». Leere Zeilen eignen sich für Notizen vor Ort.</t>
        </is>
      </c>
    </row>
    <row r="4">
      <c r="A4" s="15" t="inlineStr">
        <is>
          <t>Liegenschaft</t>
        </is>
      </c>
      <c r="B4" s="5">
        <f>'Mein Haus'!B4</f>
        <v/>
      </c>
    </row>
    <row r="5">
      <c r="A5" s="15" t="inlineStr">
        <is>
          <t>Mieter</t>
        </is>
      </c>
      <c r="B5" s="5">
        <f>IFERROR(INDEX(Rückgabe!$B$8:$B$27,MATCH(Rückgabe!$E$3,Rückgabe!$A$8:$A$27,0)),"")&amp;""</f>
        <v/>
      </c>
    </row>
    <row r="6">
      <c r="A6" s="15" t="inlineStr">
        <is>
          <t>Einheit</t>
        </is>
      </c>
      <c r="B6" s="5">
        <f>IFERROR(INDEX('Mein Haus'!$B$45:$B$104,Rückgabe!$E$3)&amp;"  "&amp;INDEX('Mein Haus'!$B$11:$B$40,MATCH(INDEX('Mein Haus'!$B$45:$B$104,Rückgabe!$E$3),'Mein Haus'!$A$11:$A$40,0)),"")</f>
        <v/>
      </c>
    </row>
    <row r="7">
      <c r="A7" s="15" t="inlineStr">
        <is>
          <t>Mietende</t>
        </is>
      </c>
      <c r="B7" s="28">
        <f>IFERROR(INDEX(Rückgabe!$C$8:$C$27,MATCH(Rückgabe!$E$3,Rückgabe!$A$8:$A$27,0)),"")</f>
        <v/>
      </c>
    </row>
    <row r="8">
      <c r="A8" s="15" t="inlineStr">
        <is>
          <t>Abnahme am</t>
        </is>
      </c>
      <c r="B8" s="28">
        <f>IFERROR(INDEX(Rückgabe!$D$8:$D$27,MATCH(Rückgabe!$E$3,Rückgabe!$A$8:$A$27,0)),"")</f>
        <v/>
      </c>
    </row>
    <row r="9">
      <c r="A9" s="15" t="inlineStr">
        <is>
          <t>Anwesend</t>
        </is>
      </c>
      <c r="B9" s="5">
        <f>IFERROR(INDEX(Rückgabe!$E$8:$E$27,MATCH(Rückgabe!$E$3,Rückgabe!$A$8:$A$27,0)),"")&amp;""</f>
        <v/>
      </c>
    </row>
    <row r="10">
      <c r="A10" s="15" t="inlineStr">
        <is>
          <t>Zähler Strom / Wasser / Wärme</t>
        </is>
      </c>
      <c r="B10" s="5">
        <f>IFERROR(INDEX(Rückgabe!$F$8:$F$27,MATCH(Rückgabe!$E$3,Rückgabe!$A$8:$A$27,0)),"")&amp;" / "&amp;IFERROR(INDEX(Rückgabe!$G$8:$G$27,MATCH(Rückgabe!$E$3,Rückgabe!$A$8:$A$27,0)),"")&amp;" / "&amp;IFERROR(INDEX(Rückgabe!$H$8:$H$27,MATCH(Rückgabe!$E$3,Rückgabe!$A$8:$A$27,0)),"")</f>
        <v/>
      </c>
    </row>
    <row r="11">
      <c r="A11" s="15" t="inlineStr">
        <is>
          <t>Schlüssel erhalten</t>
        </is>
      </c>
      <c r="B11" s="5">
        <f>IFERROR(INDEX(Rückgabe!$I$8:$I$27,MATCH(Rückgabe!$E$3,Rückgabe!$A$8:$A$27,0)),"")&amp;""</f>
        <v/>
      </c>
    </row>
    <row r="13">
      <c r="A13" s="6" t="inlineStr">
        <is>
          <t>Raum</t>
        </is>
      </c>
      <c r="B13" s="6" t="inlineStr">
        <is>
          <t>Bauteil</t>
        </is>
      </c>
      <c r="C13" s="6" t="inlineStr">
        <is>
          <t>Mangel / Zustand</t>
        </is>
      </c>
      <c r="D13" s="6" t="inlineStr">
        <is>
          <t>Ursache</t>
        </is>
      </c>
    </row>
    <row r="14">
      <c r="A14" s="31">
        <f>IFERROR(INDEX(Rückgabe!$B$32:$B$131,MATCH(1,Rückgabe!$M$32:$M$131,0)),"")</f>
        <v/>
      </c>
      <c r="B14" s="31">
        <f>IFERROR(INDEX(Rückgabe!$C$32:$C$131,MATCH(1,Rückgabe!$M$32:$M$131,0)),"")</f>
        <v/>
      </c>
      <c r="C14" s="31">
        <f>IFERROR(INDEX(Rückgabe!$D$32:$D$131,MATCH(1,Rückgabe!$M$32:$M$131,0)),"")</f>
        <v/>
      </c>
      <c r="D14" s="31">
        <f>IFERROR(INDEX(Rückgabe!$E$32:$E$131,MATCH(1,Rückgabe!$M$32:$M$131,0)),"")</f>
        <v/>
      </c>
    </row>
    <row r="15">
      <c r="A15" s="31">
        <f>IFERROR(INDEX(Rückgabe!$B$32:$B$131,MATCH(2,Rückgabe!$M$32:$M$131,0)),"")</f>
        <v/>
      </c>
      <c r="B15" s="31">
        <f>IFERROR(INDEX(Rückgabe!$C$32:$C$131,MATCH(2,Rückgabe!$M$32:$M$131,0)),"")</f>
        <v/>
      </c>
      <c r="C15" s="31">
        <f>IFERROR(INDEX(Rückgabe!$D$32:$D$131,MATCH(2,Rückgabe!$M$32:$M$131,0)),"")</f>
        <v/>
      </c>
      <c r="D15" s="31">
        <f>IFERROR(INDEX(Rückgabe!$E$32:$E$131,MATCH(2,Rückgabe!$M$32:$M$131,0)),"")</f>
        <v/>
      </c>
    </row>
    <row r="16">
      <c r="A16" s="31">
        <f>IFERROR(INDEX(Rückgabe!$B$32:$B$131,MATCH(3,Rückgabe!$M$32:$M$131,0)),"")</f>
        <v/>
      </c>
      <c r="B16" s="31">
        <f>IFERROR(INDEX(Rückgabe!$C$32:$C$131,MATCH(3,Rückgabe!$M$32:$M$131,0)),"")</f>
        <v/>
      </c>
      <c r="C16" s="31">
        <f>IFERROR(INDEX(Rückgabe!$D$32:$D$131,MATCH(3,Rückgabe!$M$32:$M$131,0)),"")</f>
        <v/>
      </c>
      <c r="D16" s="31">
        <f>IFERROR(INDEX(Rückgabe!$E$32:$E$131,MATCH(3,Rückgabe!$M$32:$M$131,0)),"")</f>
        <v/>
      </c>
    </row>
    <row r="17">
      <c r="A17" s="31">
        <f>IFERROR(INDEX(Rückgabe!$B$32:$B$131,MATCH(4,Rückgabe!$M$32:$M$131,0)),"")</f>
        <v/>
      </c>
      <c r="B17" s="31">
        <f>IFERROR(INDEX(Rückgabe!$C$32:$C$131,MATCH(4,Rückgabe!$M$32:$M$131,0)),"")</f>
        <v/>
      </c>
      <c r="C17" s="31">
        <f>IFERROR(INDEX(Rückgabe!$D$32:$D$131,MATCH(4,Rückgabe!$M$32:$M$131,0)),"")</f>
        <v/>
      </c>
      <c r="D17" s="31">
        <f>IFERROR(INDEX(Rückgabe!$E$32:$E$131,MATCH(4,Rückgabe!$M$32:$M$131,0)),"")</f>
        <v/>
      </c>
    </row>
    <row r="18">
      <c r="A18" s="31">
        <f>IFERROR(INDEX(Rückgabe!$B$32:$B$131,MATCH(5,Rückgabe!$M$32:$M$131,0)),"")</f>
        <v/>
      </c>
      <c r="B18" s="31">
        <f>IFERROR(INDEX(Rückgabe!$C$32:$C$131,MATCH(5,Rückgabe!$M$32:$M$131,0)),"")</f>
        <v/>
      </c>
      <c r="C18" s="31">
        <f>IFERROR(INDEX(Rückgabe!$D$32:$D$131,MATCH(5,Rückgabe!$M$32:$M$131,0)),"")</f>
        <v/>
      </c>
      <c r="D18" s="31">
        <f>IFERROR(INDEX(Rückgabe!$E$32:$E$131,MATCH(5,Rückgabe!$M$32:$M$131,0)),"")</f>
        <v/>
      </c>
    </row>
    <row r="19">
      <c r="A19" s="31">
        <f>IFERROR(INDEX(Rückgabe!$B$32:$B$131,MATCH(6,Rückgabe!$M$32:$M$131,0)),"")</f>
        <v/>
      </c>
      <c r="B19" s="31">
        <f>IFERROR(INDEX(Rückgabe!$C$32:$C$131,MATCH(6,Rückgabe!$M$32:$M$131,0)),"")</f>
        <v/>
      </c>
      <c r="C19" s="31">
        <f>IFERROR(INDEX(Rückgabe!$D$32:$D$131,MATCH(6,Rückgabe!$M$32:$M$131,0)),"")</f>
        <v/>
      </c>
      <c r="D19" s="31">
        <f>IFERROR(INDEX(Rückgabe!$E$32:$E$131,MATCH(6,Rückgabe!$M$32:$M$131,0)),"")</f>
        <v/>
      </c>
    </row>
    <row r="20">
      <c r="A20" s="31">
        <f>IFERROR(INDEX(Rückgabe!$B$32:$B$131,MATCH(7,Rückgabe!$M$32:$M$131,0)),"")</f>
        <v/>
      </c>
      <c r="B20" s="31">
        <f>IFERROR(INDEX(Rückgabe!$C$32:$C$131,MATCH(7,Rückgabe!$M$32:$M$131,0)),"")</f>
        <v/>
      </c>
      <c r="C20" s="31">
        <f>IFERROR(INDEX(Rückgabe!$D$32:$D$131,MATCH(7,Rückgabe!$M$32:$M$131,0)),"")</f>
        <v/>
      </c>
      <c r="D20" s="31">
        <f>IFERROR(INDEX(Rückgabe!$E$32:$E$131,MATCH(7,Rückgabe!$M$32:$M$131,0)),"")</f>
        <v/>
      </c>
    </row>
    <row r="21">
      <c r="A21" s="31">
        <f>IFERROR(INDEX(Rückgabe!$B$32:$B$131,MATCH(8,Rückgabe!$M$32:$M$131,0)),"")</f>
        <v/>
      </c>
      <c r="B21" s="31">
        <f>IFERROR(INDEX(Rückgabe!$C$32:$C$131,MATCH(8,Rückgabe!$M$32:$M$131,0)),"")</f>
        <v/>
      </c>
      <c r="C21" s="31">
        <f>IFERROR(INDEX(Rückgabe!$D$32:$D$131,MATCH(8,Rückgabe!$M$32:$M$131,0)),"")</f>
        <v/>
      </c>
      <c r="D21" s="31">
        <f>IFERROR(INDEX(Rückgabe!$E$32:$E$131,MATCH(8,Rückgabe!$M$32:$M$131,0)),"")</f>
        <v/>
      </c>
    </row>
    <row r="22">
      <c r="A22" s="31">
        <f>IFERROR(INDEX(Rückgabe!$B$32:$B$131,MATCH(9,Rückgabe!$M$32:$M$131,0)),"")</f>
        <v/>
      </c>
      <c r="B22" s="31">
        <f>IFERROR(INDEX(Rückgabe!$C$32:$C$131,MATCH(9,Rückgabe!$M$32:$M$131,0)),"")</f>
        <v/>
      </c>
      <c r="C22" s="31">
        <f>IFERROR(INDEX(Rückgabe!$D$32:$D$131,MATCH(9,Rückgabe!$M$32:$M$131,0)),"")</f>
        <v/>
      </c>
      <c r="D22" s="31">
        <f>IFERROR(INDEX(Rückgabe!$E$32:$E$131,MATCH(9,Rückgabe!$M$32:$M$131,0)),"")</f>
        <v/>
      </c>
    </row>
    <row r="23">
      <c r="A23" s="31">
        <f>IFERROR(INDEX(Rückgabe!$B$32:$B$131,MATCH(10,Rückgabe!$M$32:$M$131,0)),"")</f>
        <v/>
      </c>
      <c r="B23" s="31">
        <f>IFERROR(INDEX(Rückgabe!$C$32:$C$131,MATCH(10,Rückgabe!$M$32:$M$131,0)),"")</f>
        <v/>
      </c>
      <c r="C23" s="31">
        <f>IFERROR(INDEX(Rückgabe!$D$32:$D$131,MATCH(10,Rückgabe!$M$32:$M$131,0)),"")</f>
        <v/>
      </c>
      <c r="D23" s="31">
        <f>IFERROR(INDEX(Rückgabe!$E$32:$E$131,MATCH(10,Rückgabe!$M$32:$M$131,0)),"")</f>
        <v/>
      </c>
    </row>
    <row r="24">
      <c r="A24" s="31">
        <f>IFERROR(INDEX(Rückgabe!$B$32:$B$131,MATCH(11,Rückgabe!$M$32:$M$131,0)),"")</f>
        <v/>
      </c>
      <c r="B24" s="31">
        <f>IFERROR(INDEX(Rückgabe!$C$32:$C$131,MATCH(11,Rückgabe!$M$32:$M$131,0)),"")</f>
        <v/>
      </c>
      <c r="C24" s="31">
        <f>IFERROR(INDEX(Rückgabe!$D$32:$D$131,MATCH(11,Rückgabe!$M$32:$M$131,0)),"")</f>
        <v/>
      </c>
      <c r="D24" s="31">
        <f>IFERROR(INDEX(Rückgabe!$E$32:$E$131,MATCH(11,Rückgabe!$M$32:$M$131,0)),"")</f>
        <v/>
      </c>
    </row>
    <row r="25">
      <c r="A25" s="31">
        <f>IFERROR(INDEX(Rückgabe!$B$32:$B$131,MATCH(12,Rückgabe!$M$32:$M$131,0)),"")</f>
        <v/>
      </c>
      <c r="B25" s="31">
        <f>IFERROR(INDEX(Rückgabe!$C$32:$C$131,MATCH(12,Rückgabe!$M$32:$M$131,0)),"")</f>
        <v/>
      </c>
      <c r="C25" s="31">
        <f>IFERROR(INDEX(Rückgabe!$D$32:$D$131,MATCH(12,Rückgabe!$M$32:$M$131,0)),"")</f>
        <v/>
      </c>
      <c r="D25" s="31">
        <f>IFERROR(INDEX(Rückgabe!$E$32:$E$131,MATCH(12,Rückgabe!$M$32:$M$131,0)),"")</f>
        <v/>
      </c>
    </row>
    <row r="26">
      <c r="A26" s="31">
        <f>IFERROR(INDEX(Rückgabe!$B$32:$B$131,MATCH(13,Rückgabe!$M$32:$M$131,0)),"")</f>
        <v/>
      </c>
      <c r="B26" s="31">
        <f>IFERROR(INDEX(Rückgabe!$C$32:$C$131,MATCH(13,Rückgabe!$M$32:$M$131,0)),"")</f>
        <v/>
      </c>
      <c r="C26" s="31">
        <f>IFERROR(INDEX(Rückgabe!$D$32:$D$131,MATCH(13,Rückgabe!$M$32:$M$131,0)),"")</f>
        <v/>
      </c>
      <c r="D26" s="31">
        <f>IFERROR(INDEX(Rückgabe!$E$32:$E$131,MATCH(13,Rückgabe!$M$32:$M$131,0)),"")</f>
        <v/>
      </c>
    </row>
    <row r="27">
      <c r="A27" s="31">
        <f>IFERROR(INDEX(Rückgabe!$B$32:$B$131,MATCH(14,Rückgabe!$M$32:$M$131,0)),"")</f>
        <v/>
      </c>
      <c r="B27" s="31">
        <f>IFERROR(INDEX(Rückgabe!$C$32:$C$131,MATCH(14,Rückgabe!$M$32:$M$131,0)),"")</f>
        <v/>
      </c>
      <c r="C27" s="31">
        <f>IFERROR(INDEX(Rückgabe!$D$32:$D$131,MATCH(14,Rückgabe!$M$32:$M$131,0)),"")</f>
        <v/>
      </c>
      <c r="D27" s="31">
        <f>IFERROR(INDEX(Rückgabe!$E$32:$E$131,MATCH(14,Rückgabe!$M$32:$M$131,0)),"")</f>
        <v/>
      </c>
    </row>
    <row r="28">
      <c r="A28" s="31">
        <f>IFERROR(INDEX(Rückgabe!$B$32:$B$131,MATCH(15,Rückgabe!$M$32:$M$131,0)),"")</f>
        <v/>
      </c>
      <c r="B28" s="31">
        <f>IFERROR(INDEX(Rückgabe!$C$32:$C$131,MATCH(15,Rückgabe!$M$32:$M$131,0)),"")</f>
        <v/>
      </c>
      <c r="C28" s="31">
        <f>IFERROR(INDEX(Rückgabe!$D$32:$D$131,MATCH(15,Rückgabe!$M$32:$M$131,0)),"")</f>
        <v/>
      </c>
      <c r="D28" s="31">
        <f>IFERROR(INDEX(Rückgabe!$E$32:$E$131,MATCH(15,Rückgabe!$M$32:$M$131,0)),"")</f>
        <v/>
      </c>
    </row>
    <row r="29">
      <c r="A29" s="31">
        <f>IFERROR(INDEX(Rückgabe!$B$32:$B$131,MATCH(16,Rückgabe!$M$32:$M$131,0)),"")</f>
        <v/>
      </c>
      <c r="B29" s="31">
        <f>IFERROR(INDEX(Rückgabe!$C$32:$C$131,MATCH(16,Rückgabe!$M$32:$M$131,0)),"")</f>
        <v/>
      </c>
      <c r="C29" s="31">
        <f>IFERROR(INDEX(Rückgabe!$D$32:$D$131,MATCH(16,Rückgabe!$M$32:$M$131,0)),"")</f>
        <v/>
      </c>
      <c r="D29" s="31">
        <f>IFERROR(INDEX(Rückgabe!$E$32:$E$131,MATCH(16,Rückgabe!$M$32:$M$131,0)),"")</f>
        <v/>
      </c>
    </row>
    <row r="30">
      <c r="A30" s="31">
        <f>IFERROR(INDEX(Rückgabe!$B$32:$B$131,MATCH(17,Rückgabe!$M$32:$M$131,0)),"")</f>
        <v/>
      </c>
      <c r="B30" s="31">
        <f>IFERROR(INDEX(Rückgabe!$C$32:$C$131,MATCH(17,Rückgabe!$M$32:$M$131,0)),"")</f>
        <v/>
      </c>
      <c r="C30" s="31">
        <f>IFERROR(INDEX(Rückgabe!$D$32:$D$131,MATCH(17,Rückgabe!$M$32:$M$131,0)),"")</f>
        <v/>
      </c>
      <c r="D30" s="31">
        <f>IFERROR(INDEX(Rückgabe!$E$32:$E$131,MATCH(17,Rückgabe!$M$32:$M$131,0)),"")</f>
        <v/>
      </c>
    </row>
    <row r="31">
      <c r="A31" s="31">
        <f>IFERROR(INDEX(Rückgabe!$B$32:$B$131,MATCH(18,Rückgabe!$M$32:$M$131,0)),"")</f>
        <v/>
      </c>
      <c r="B31" s="31">
        <f>IFERROR(INDEX(Rückgabe!$C$32:$C$131,MATCH(18,Rückgabe!$M$32:$M$131,0)),"")</f>
        <v/>
      </c>
      <c r="C31" s="31">
        <f>IFERROR(INDEX(Rückgabe!$D$32:$D$131,MATCH(18,Rückgabe!$M$32:$M$131,0)),"")</f>
        <v/>
      </c>
      <c r="D31" s="31">
        <f>IFERROR(INDEX(Rückgabe!$E$32:$E$131,MATCH(18,Rückgabe!$M$32:$M$131,0)),"")</f>
        <v/>
      </c>
    </row>
    <row r="32">
      <c r="A32" s="31">
        <f>IFERROR(INDEX(Rückgabe!$B$32:$B$131,MATCH(19,Rückgabe!$M$32:$M$131,0)),"")</f>
        <v/>
      </c>
      <c r="B32" s="31">
        <f>IFERROR(INDEX(Rückgabe!$C$32:$C$131,MATCH(19,Rückgabe!$M$32:$M$131,0)),"")</f>
        <v/>
      </c>
      <c r="C32" s="31">
        <f>IFERROR(INDEX(Rückgabe!$D$32:$D$131,MATCH(19,Rückgabe!$M$32:$M$131,0)),"")</f>
        <v/>
      </c>
      <c r="D32" s="31">
        <f>IFERROR(INDEX(Rückgabe!$E$32:$E$131,MATCH(19,Rückgabe!$M$32:$M$131,0)),"")</f>
        <v/>
      </c>
    </row>
    <row r="33">
      <c r="A33" s="31">
        <f>IFERROR(INDEX(Rückgabe!$B$32:$B$131,MATCH(20,Rückgabe!$M$32:$M$131,0)),"")</f>
        <v/>
      </c>
      <c r="B33" s="31">
        <f>IFERROR(INDEX(Rückgabe!$C$32:$C$131,MATCH(20,Rückgabe!$M$32:$M$131,0)),"")</f>
        <v/>
      </c>
      <c r="C33" s="31">
        <f>IFERROR(INDEX(Rückgabe!$D$32:$D$131,MATCH(20,Rückgabe!$M$32:$M$131,0)),"")</f>
        <v/>
      </c>
      <c r="D33" s="31">
        <f>IFERROR(INDEX(Rückgabe!$E$32:$E$131,MATCH(20,Rückgabe!$M$32:$M$131,0)),"")</f>
        <v/>
      </c>
    </row>
    <row r="34">
      <c r="A34" s="31">
        <f>IFERROR(INDEX(Rückgabe!$B$32:$B$131,MATCH(21,Rückgabe!$M$32:$M$131,0)),"")</f>
        <v/>
      </c>
      <c r="B34" s="31">
        <f>IFERROR(INDEX(Rückgabe!$C$32:$C$131,MATCH(21,Rückgabe!$M$32:$M$131,0)),"")</f>
        <v/>
      </c>
      <c r="C34" s="31">
        <f>IFERROR(INDEX(Rückgabe!$D$32:$D$131,MATCH(21,Rückgabe!$M$32:$M$131,0)),"")</f>
        <v/>
      </c>
      <c r="D34" s="31">
        <f>IFERROR(INDEX(Rückgabe!$E$32:$E$131,MATCH(21,Rückgabe!$M$32:$M$131,0)),"")</f>
        <v/>
      </c>
    </row>
    <row r="35">
      <c r="A35" s="31">
        <f>IFERROR(INDEX(Rückgabe!$B$32:$B$131,MATCH(22,Rückgabe!$M$32:$M$131,0)),"")</f>
        <v/>
      </c>
      <c r="B35" s="31">
        <f>IFERROR(INDEX(Rückgabe!$C$32:$C$131,MATCH(22,Rückgabe!$M$32:$M$131,0)),"")</f>
        <v/>
      </c>
      <c r="C35" s="31">
        <f>IFERROR(INDEX(Rückgabe!$D$32:$D$131,MATCH(22,Rückgabe!$M$32:$M$131,0)),"")</f>
        <v/>
      </c>
      <c r="D35" s="31">
        <f>IFERROR(INDEX(Rückgabe!$E$32:$E$131,MATCH(22,Rückgabe!$M$32:$M$131,0)),"")</f>
        <v/>
      </c>
    </row>
    <row r="36">
      <c r="A36" s="31">
        <f>IFERROR(INDEX(Rückgabe!$B$32:$B$131,MATCH(23,Rückgabe!$M$32:$M$131,0)),"")</f>
        <v/>
      </c>
      <c r="B36" s="31">
        <f>IFERROR(INDEX(Rückgabe!$C$32:$C$131,MATCH(23,Rückgabe!$M$32:$M$131,0)),"")</f>
        <v/>
      </c>
      <c r="C36" s="31">
        <f>IFERROR(INDEX(Rückgabe!$D$32:$D$131,MATCH(23,Rückgabe!$M$32:$M$131,0)),"")</f>
        <v/>
      </c>
      <c r="D36" s="31">
        <f>IFERROR(INDEX(Rückgabe!$E$32:$E$131,MATCH(23,Rückgabe!$M$32:$M$131,0)),"")</f>
        <v/>
      </c>
    </row>
    <row r="37">
      <c r="A37" s="31">
        <f>IFERROR(INDEX(Rückgabe!$B$32:$B$131,MATCH(24,Rückgabe!$M$32:$M$131,0)),"")</f>
        <v/>
      </c>
      <c r="B37" s="31">
        <f>IFERROR(INDEX(Rückgabe!$C$32:$C$131,MATCH(24,Rückgabe!$M$32:$M$131,0)),"")</f>
        <v/>
      </c>
      <c r="C37" s="31">
        <f>IFERROR(INDEX(Rückgabe!$D$32:$D$131,MATCH(24,Rückgabe!$M$32:$M$131,0)),"")</f>
        <v/>
      </c>
      <c r="D37" s="31">
        <f>IFERROR(INDEX(Rückgabe!$E$32:$E$131,MATCH(24,Rückgabe!$M$32:$M$131,0)),"")</f>
        <v/>
      </c>
    </row>
    <row r="38">
      <c r="A38" s="31">
        <f>IFERROR(INDEX(Rückgabe!$B$32:$B$131,MATCH(25,Rückgabe!$M$32:$M$131,0)),"")</f>
        <v/>
      </c>
      <c r="B38" s="31">
        <f>IFERROR(INDEX(Rückgabe!$C$32:$C$131,MATCH(25,Rückgabe!$M$32:$M$131,0)),"")</f>
        <v/>
      </c>
      <c r="C38" s="31">
        <f>IFERROR(INDEX(Rückgabe!$D$32:$D$131,MATCH(25,Rückgabe!$M$32:$M$131,0)),"")</f>
        <v/>
      </c>
      <c r="D38" s="31">
        <f>IFERROR(INDEX(Rückgabe!$E$32:$E$131,MATCH(25,Rückgabe!$M$32:$M$131,0)),"")</f>
        <v/>
      </c>
    </row>
    <row r="39">
      <c r="A39" s="31">
        <f>IFERROR(INDEX(Rückgabe!$B$32:$B$131,MATCH(26,Rückgabe!$M$32:$M$131,0)),"")</f>
        <v/>
      </c>
      <c r="B39" s="31">
        <f>IFERROR(INDEX(Rückgabe!$C$32:$C$131,MATCH(26,Rückgabe!$M$32:$M$131,0)),"")</f>
        <v/>
      </c>
      <c r="C39" s="31">
        <f>IFERROR(INDEX(Rückgabe!$D$32:$D$131,MATCH(26,Rückgabe!$M$32:$M$131,0)),"")</f>
        <v/>
      </c>
      <c r="D39" s="31">
        <f>IFERROR(INDEX(Rückgabe!$E$32:$E$131,MATCH(26,Rückgabe!$M$32:$M$131,0)),"")</f>
        <v/>
      </c>
    </row>
    <row r="40">
      <c r="A40" s="31">
        <f>IFERROR(INDEX(Rückgabe!$B$32:$B$131,MATCH(27,Rückgabe!$M$32:$M$131,0)),"")</f>
        <v/>
      </c>
      <c r="B40" s="31">
        <f>IFERROR(INDEX(Rückgabe!$C$32:$C$131,MATCH(27,Rückgabe!$M$32:$M$131,0)),"")</f>
        <v/>
      </c>
      <c r="C40" s="31">
        <f>IFERROR(INDEX(Rückgabe!$D$32:$D$131,MATCH(27,Rückgabe!$M$32:$M$131,0)),"")</f>
        <v/>
      </c>
      <c r="D40" s="31">
        <f>IFERROR(INDEX(Rückgabe!$E$32:$E$131,MATCH(27,Rückgabe!$M$32:$M$131,0)),"")</f>
        <v/>
      </c>
    </row>
    <row r="41">
      <c r="A41" s="31">
        <f>IFERROR(INDEX(Rückgabe!$B$32:$B$131,MATCH(28,Rückgabe!$M$32:$M$131,0)),"")</f>
        <v/>
      </c>
      <c r="B41" s="31">
        <f>IFERROR(INDEX(Rückgabe!$C$32:$C$131,MATCH(28,Rückgabe!$M$32:$M$131,0)),"")</f>
        <v/>
      </c>
      <c r="C41" s="31">
        <f>IFERROR(INDEX(Rückgabe!$D$32:$D$131,MATCH(28,Rückgabe!$M$32:$M$131,0)),"")</f>
        <v/>
      </c>
      <c r="D41" s="31">
        <f>IFERROR(INDEX(Rückgabe!$E$32:$E$131,MATCH(28,Rückgabe!$M$32:$M$131,0)),"")</f>
        <v/>
      </c>
    </row>
    <row r="42">
      <c r="A42" s="31">
        <f>IFERROR(INDEX(Rückgabe!$B$32:$B$131,MATCH(29,Rückgabe!$M$32:$M$131,0)),"")</f>
        <v/>
      </c>
      <c r="B42" s="31">
        <f>IFERROR(INDEX(Rückgabe!$C$32:$C$131,MATCH(29,Rückgabe!$M$32:$M$131,0)),"")</f>
        <v/>
      </c>
      <c r="C42" s="31">
        <f>IFERROR(INDEX(Rückgabe!$D$32:$D$131,MATCH(29,Rückgabe!$M$32:$M$131,0)),"")</f>
        <v/>
      </c>
      <c r="D42" s="31">
        <f>IFERROR(INDEX(Rückgabe!$E$32:$E$131,MATCH(29,Rückgabe!$M$32:$M$131,0)),"")</f>
        <v/>
      </c>
    </row>
    <row r="43">
      <c r="A43" s="31">
        <f>IFERROR(INDEX(Rückgabe!$B$32:$B$131,MATCH(30,Rückgabe!$M$32:$M$131,0)),"")</f>
        <v/>
      </c>
      <c r="B43" s="31">
        <f>IFERROR(INDEX(Rückgabe!$C$32:$C$131,MATCH(30,Rückgabe!$M$32:$M$131,0)),"")</f>
        <v/>
      </c>
      <c r="C43" s="31">
        <f>IFERROR(INDEX(Rückgabe!$D$32:$D$131,MATCH(30,Rückgabe!$M$32:$M$131,0)),"")</f>
        <v/>
      </c>
      <c r="D43" s="31">
        <f>IFERROR(INDEX(Rückgabe!$E$32:$E$131,MATCH(30,Rückgabe!$M$32:$M$131,0)),"")</f>
        <v/>
      </c>
    </row>
    <row r="45">
      <c r="A45" s="38" t="inlineStr">
        <is>
          <t>Versteckte Mängel werden nach ihrer Entdeckung gerügt (Art. 267a Abs. 2 OR). Der Mieter erhält eine Kopie dieses Protokolls.</t>
        </is>
      </c>
    </row>
    <row r="48">
      <c r="A48" s="5" t="inlineStr">
        <is>
          <t>Mieter: ____________________________</t>
        </is>
      </c>
      <c r="C48" s="5" t="inlineStr">
        <is>
          <t>Vermieter: ____________________________</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pageSetup fitToHeight="1" fitToWidth="1"/>
</worksheet>
</file>

<file path=xl/worksheets/sheet7.xml><?xml version="1.0" encoding="utf-8"?>
<worksheet xmlns="http://schemas.openxmlformats.org/spreadsheetml/2006/main">
  <sheetPr>
    <outlinePr summaryBelow="1" summaryRight="1"/>
    <pageSetUpPr fitToPage="1"/>
  </sheetPr>
  <dimension ref="A1:H53"/>
  <sheetViews>
    <sheetView workbookViewId="0">
      <selection activeCell="A1" sqref="A1"/>
    </sheetView>
  </sheetViews>
  <sheetFormatPr baseColWidth="8" defaultRowHeight="15"/>
  <cols>
    <col width="28" customWidth="1" min="1" max="1"/>
    <col width="30" customWidth="1" min="2" max="2"/>
    <col width="15" customWidth="1" min="3" max="3"/>
    <col width="12" customWidth="1" min="4" max="4"/>
    <col width="8" customWidth="1" min="5" max="5"/>
    <col width="11" customWidth="1" min="6" max="6"/>
    <col width="9" customWidth="1" min="7" max="7"/>
    <col width="15" customWidth="1" min="8" max="8"/>
  </cols>
  <sheetData>
    <row r="1">
      <c r="A1" s="39" t="inlineStr">
        <is>
          <t>Abrechnung Wohnungsrückgabe und Mietkaution</t>
        </is>
      </c>
    </row>
    <row r="3">
      <c r="A3" s="15" t="inlineStr">
        <is>
          <t>Liegenschaft</t>
        </is>
      </c>
      <c r="B3" s="5">
        <f>'Mein Haus'!B4</f>
        <v/>
      </c>
    </row>
    <row r="4">
      <c r="A4" s="15" t="inlineStr">
        <is>
          <t>Mieter</t>
        </is>
      </c>
      <c r="B4" s="5">
        <f>IFERROR(INDEX(Rückgabe!$B$8:$B$27,MATCH(Rückgabe!$E$3,Rückgabe!$A$8:$A$27,0)),"")&amp;""</f>
        <v/>
      </c>
    </row>
    <row r="5">
      <c r="A5" s="15" t="inlineStr">
        <is>
          <t>Einheit</t>
        </is>
      </c>
      <c r="B5" s="5">
        <f>IFERROR(INDEX('Mein Haus'!$B$45:$B$104,Rückgabe!$E$3)&amp;"  "&amp;INDEX('Mein Haus'!$B$11:$B$40,MATCH(INDEX('Mein Haus'!$B$45:$B$104,Rückgabe!$E$3),'Mein Haus'!$A$11:$A$40,0)),"")</f>
        <v/>
      </c>
    </row>
    <row r="6">
      <c r="A6" s="15" t="inlineStr">
        <is>
          <t>Mietende</t>
        </is>
      </c>
      <c r="B6" s="28">
        <f>IFERROR(INDEX(Rückgabe!$C$8:$C$27,MATCH(Rückgabe!$E$3,Rückgabe!$A$8:$A$27,0)),"")</f>
        <v/>
      </c>
    </row>
    <row r="7">
      <c r="A7" s="15" t="inlineStr">
        <is>
          <t>Abnahme am</t>
        </is>
      </c>
      <c r="B7" s="28">
        <f>IFERROR(INDEX(Rückgabe!$D$8:$D$27,MATCH(Rückgabe!$E$3,Rückgabe!$A$8:$A$27,0)),"")</f>
        <v/>
      </c>
    </row>
    <row r="9">
      <c r="A9" s="6" t="inlineStr">
        <is>
          <t>Raum · Bauteil</t>
        </is>
      </c>
      <c r="B9" s="6" t="inlineStr">
        <is>
          <t>Mangel</t>
        </is>
      </c>
      <c r="C9" s="6" t="inlineStr">
        <is>
          <t>Ursache</t>
        </is>
      </c>
      <c r="D9" s="6" t="inlineStr">
        <is>
          <t>Kosten CHF</t>
        </is>
      </c>
      <c r="E9" s="6" t="inlineStr">
        <is>
          <t>Alter J.</t>
        </is>
      </c>
      <c r="F9" s="6" t="inlineStr">
        <is>
          <t>Lebensdauer J.</t>
        </is>
      </c>
      <c r="G9" s="6" t="inlineStr">
        <is>
          <t>Restwert</t>
        </is>
      </c>
      <c r="H9" s="6" t="inlineStr">
        <is>
          <t>Zulasten Mieter CHF</t>
        </is>
      </c>
    </row>
    <row r="10">
      <c r="A10" s="40">
        <f>IF(IFERROR(INDEX(Rückgabe!$B$32:$B$131,MATCH(1,Rückgabe!$M$32:$M$131,0)),"")="","",IFERROR(INDEX(Rückgabe!$B$32:$B$131,MATCH(1,Rückgabe!$M$32:$M$131,0)),"")&amp;" · "&amp;IFERROR(INDEX(Rückgabe!$C$32:$C$131,MATCH(1,Rückgabe!$M$32:$M$131,0)),""))</f>
        <v/>
      </c>
      <c r="B10" s="40">
        <f>IF(IFERROR(INDEX(Rückgabe!$B$32:$B$131,MATCH(1,Rückgabe!$M$32:$M$131,0)),"")="","",IFERROR(INDEX(Rückgabe!$D$32:$D$131,MATCH(1,Rückgabe!$M$32:$M$131,0)),""))</f>
        <v/>
      </c>
      <c r="C10" s="40">
        <f>IF(IFERROR(INDEX(Rückgabe!$B$32:$B$131,MATCH(1,Rückgabe!$M$32:$M$131,0)),"")="","",IFERROR(INDEX(Rückgabe!$E$32:$E$131,MATCH(1,Rückgabe!$M$32:$M$131,0)),""))</f>
        <v/>
      </c>
      <c r="D10" s="41">
        <f>IF(IFERROR(INDEX(Rückgabe!$B$32:$B$131,MATCH(1,Rückgabe!$M$32:$M$131,0)),"")="","",IFERROR(INDEX(Rückgabe!$F$32:$F$131,MATCH(1,Rückgabe!$M$32:$M$131,0)),""))</f>
        <v/>
      </c>
      <c r="E10" s="42">
        <f>IF(IFERROR(INDEX(Rückgabe!$B$32:$B$131,MATCH(1,Rückgabe!$M$32:$M$131,0)),"")="","",IFERROR(INDEX(Rückgabe!$I$32:$I$131,MATCH(1,Rückgabe!$M$32:$M$131,0)),""))</f>
        <v/>
      </c>
      <c r="F10" s="43">
        <f>IF(IFERROR(INDEX(Rückgabe!$B$32:$B$131,MATCH(1,Rückgabe!$M$32:$M$131,0)),"")="","",IFERROR(INDEX(Rückgabe!$H$32:$H$131,MATCH(1,Rückgabe!$M$32:$M$131,0)),""))</f>
        <v/>
      </c>
      <c r="G10" s="44">
        <f>IF(IFERROR(INDEX(Rückgabe!$B$32:$B$131,MATCH(1,Rückgabe!$M$32:$M$131,0)),"")="","",IFERROR(INDEX(Rückgabe!$J$32:$J$131,MATCH(1,Rückgabe!$M$32:$M$131,0)),""))</f>
        <v/>
      </c>
      <c r="H10" s="41">
        <f>IF(IFERROR(INDEX(Rückgabe!$B$32:$B$131,MATCH(1,Rückgabe!$M$32:$M$131,0)),"")="","",IFERROR(INDEX(Rückgabe!$K$32:$K$131,MATCH(1,Rückgabe!$M$32:$M$131,0)),""))</f>
        <v/>
      </c>
    </row>
    <row r="11">
      <c r="A11" s="40">
        <f>IF(IFERROR(INDEX(Rückgabe!$B$32:$B$131,MATCH(2,Rückgabe!$M$32:$M$131,0)),"")="","",IFERROR(INDEX(Rückgabe!$B$32:$B$131,MATCH(2,Rückgabe!$M$32:$M$131,0)),"")&amp;" · "&amp;IFERROR(INDEX(Rückgabe!$C$32:$C$131,MATCH(2,Rückgabe!$M$32:$M$131,0)),""))</f>
        <v/>
      </c>
      <c r="B11" s="40">
        <f>IF(IFERROR(INDEX(Rückgabe!$B$32:$B$131,MATCH(2,Rückgabe!$M$32:$M$131,0)),"")="","",IFERROR(INDEX(Rückgabe!$D$32:$D$131,MATCH(2,Rückgabe!$M$32:$M$131,0)),""))</f>
        <v/>
      </c>
      <c r="C11" s="40">
        <f>IF(IFERROR(INDEX(Rückgabe!$B$32:$B$131,MATCH(2,Rückgabe!$M$32:$M$131,0)),"")="","",IFERROR(INDEX(Rückgabe!$E$32:$E$131,MATCH(2,Rückgabe!$M$32:$M$131,0)),""))</f>
        <v/>
      </c>
      <c r="D11" s="41">
        <f>IF(IFERROR(INDEX(Rückgabe!$B$32:$B$131,MATCH(2,Rückgabe!$M$32:$M$131,0)),"")="","",IFERROR(INDEX(Rückgabe!$F$32:$F$131,MATCH(2,Rückgabe!$M$32:$M$131,0)),""))</f>
        <v/>
      </c>
      <c r="E11" s="42">
        <f>IF(IFERROR(INDEX(Rückgabe!$B$32:$B$131,MATCH(2,Rückgabe!$M$32:$M$131,0)),"")="","",IFERROR(INDEX(Rückgabe!$I$32:$I$131,MATCH(2,Rückgabe!$M$32:$M$131,0)),""))</f>
        <v/>
      </c>
      <c r="F11" s="43">
        <f>IF(IFERROR(INDEX(Rückgabe!$B$32:$B$131,MATCH(2,Rückgabe!$M$32:$M$131,0)),"")="","",IFERROR(INDEX(Rückgabe!$H$32:$H$131,MATCH(2,Rückgabe!$M$32:$M$131,0)),""))</f>
        <v/>
      </c>
      <c r="G11" s="44">
        <f>IF(IFERROR(INDEX(Rückgabe!$B$32:$B$131,MATCH(2,Rückgabe!$M$32:$M$131,0)),"")="","",IFERROR(INDEX(Rückgabe!$J$32:$J$131,MATCH(2,Rückgabe!$M$32:$M$131,0)),""))</f>
        <v/>
      </c>
      <c r="H11" s="41">
        <f>IF(IFERROR(INDEX(Rückgabe!$B$32:$B$131,MATCH(2,Rückgabe!$M$32:$M$131,0)),"")="","",IFERROR(INDEX(Rückgabe!$K$32:$K$131,MATCH(2,Rückgabe!$M$32:$M$131,0)),""))</f>
        <v/>
      </c>
    </row>
    <row r="12">
      <c r="A12" s="40">
        <f>IF(IFERROR(INDEX(Rückgabe!$B$32:$B$131,MATCH(3,Rückgabe!$M$32:$M$131,0)),"")="","",IFERROR(INDEX(Rückgabe!$B$32:$B$131,MATCH(3,Rückgabe!$M$32:$M$131,0)),"")&amp;" · "&amp;IFERROR(INDEX(Rückgabe!$C$32:$C$131,MATCH(3,Rückgabe!$M$32:$M$131,0)),""))</f>
        <v/>
      </c>
      <c r="B12" s="40">
        <f>IF(IFERROR(INDEX(Rückgabe!$B$32:$B$131,MATCH(3,Rückgabe!$M$32:$M$131,0)),"")="","",IFERROR(INDEX(Rückgabe!$D$32:$D$131,MATCH(3,Rückgabe!$M$32:$M$131,0)),""))</f>
        <v/>
      </c>
      <c r="C12" s="40">
        <f>IF(IFERROR(INDEX(Rückgabe!$B$32:$B$131,MATCH(3,Rückgabe!$M$32:$M$131,0)),"")="","",IFERROR(INDEX(Rückgabe!$E$32:$E$131,MATCH(3,Rückgabe!$M$32:$M$131,0)),""))</f>
        <v/>
      </c>
      <c r="D12" s="41">
        <f>IF(IFERROR(INDEX(Rückgabe!$B$32:$B$131,MATCH(3,Rückgabe!$M$32:$M$131,0)),"")="","",IFERROR(INDEX(Rückgabe!$F$32:$F$131,MATCH(3,Rückgabe!$M$32:$M$131,0)),""))</f>
        <v/>
      </c>
      <c r="E12" s="42">
        <f>IF(IFERROR(INDEX(Rückgabe!$B$32:$B$131,MATCH(3,Rückgabe!$M$32:$M$131,0)),"")="","",IFERROR(INDEX(Rückgabe!$I$32:$I$131,MATCH(3,Rückgabe!$M$32:$M$131,0)),""))</f>
        <v/>
      </c>
      <c r="F12" s="43">
        <f>IF(IFERROR(INDEX(Rückgabe!$B$32:$B$131,MATCH(3,Rückgabe!$M$32:$M$131,0)),"")="","",IFERROR(INDEX(Rückgabe!$H$32:$H$131,MATCH(3,Rückgabe!$M$32:$M$131,0)),""))</f>
        <v/>
      </c>
      <c r="G12" s="44">
        <f>IF(IFERROR(INDEX(Rückgabe!$B$32:$B$131,MATCH(3,Rückgabe!$M$32:$M$131,0)),"")="","",IFERROR(INDEX(Rückgabe!$J$32:$J$131,MATCH(3,Rückgabe!$M$32:$M$131,0)),""))</f>
        <v/>
      </c>
      <c r="H12" s="41">
        <f>IF(IFERROR(INDEX(Rückgabe!$B$32:$B$131,MATCH(3,Rückgabe!$M$32:$M$131,0)),"")="","",IFERROR(INDEX(Rückgabe!$K$32:$K$131,MATCH(3,Rückgabe!$M$32:$M$131,0)),""))</f>
        <v/>
      </c>
    </row>
    <row r="13">
      <c r="A13" s="40">
        <f>IF(IFERROR(INDEX(Rückgabe!$B$32:$B$131,MATCH(4,Rückgabe!$M$32:$M$131,0)),"")="","",IFERROR(INDEX(Rückgabe!$B$32:$B$131,MATCH(4,Rückgabe!$M$32:$M$131,0)),"")&amp;" · "&amp;IFERROR(INDEX(Rückgabe!$C$32:$C$131,MATCH(4,Rückgabe!$M$32:$M$131,0)),""))</f>
        <v/>
      </c>
      <c r="B13" s="40">
        <f>IF(IFERROR(INDEX(Rückgabe!$B$32:$B$131,MATCH(4,Rückgabe!$M$32:$M$131,0)),"")="","",IFERROR(INDEX(Rückgabe!$D$32:$D$131,MATCH(4,Rückgabe!$M$32:$M$131,0)),""))</f>
        <v/>
      </c>
      <c r="C13" s="40">
        <f>IF(IFERROR(INDEX(Rückgabe!$B$32:$B$131,MATCH(4,Rückgabe!$M$32:$M$131,0)),"")="","",IFERROR(INDEX(Rückgabe!$E$32:$E$131,MATCH(4,Rückgabe!$M$32:$M$131,0)),""))</f>
        <v/>
      </c>
      <c r="D13" s="41">
        <f>IF(IFERROR(INDEX(Rückgabe!$B$32:$B$131,MATCH(4,Rückgabe!$M$32:$M$131,0)),"")="","",IFERROR(INDEX(Rückgabe!$F$32:$F$131,MATCH(4,Rückgabe!$M$32:$M$131,0)),""))</f>
        <v/>
      </c>
      <c r="E13" s="42">
        <f>IF(IFERROR(INDEX(Rückgabe!$B$32:$B$131,MATCH(4,Rückgabe!$M$32:$M$131,0)),"")="","",IFERROR(INDEX(Rückgabe!$I$32:$I$131,MATCH(4,Rückgabe!$M$32:$M$131,0)),""))</f>
        <v/>
      </c>
      <c r="F13" s="43">
        <f>IF(IFERROR(INDEX(Rückgabe!$B$32:$B$131,MATCH(4,Rückgabe!$M$32:$M$131,0)),"")="","",IFERROR(INDEX(Rückgabe!$H$32:$H$131,MATCH(4,Rückgabe!$M$32:$M$131,0)),""))</f>
        <v/>
      </c>
      <c r="G13" s="44">
        <f>IF(IFERROR(INDEX(Rückgabe!$B$32:$B$131,MATCH(4,Rückgabe!$M$32:$M$131,0)),"")="","",IFERROR(INDEX(Rückgabe!$J$32:$J$131,MATCH(4,Rückgabe!$M$32:$M$131,0)),""))</f>
        <v/>
      </c>
      <c r="H13" s="41">
        <f>IF(IFERROR(INDEX(Rückgabe!$B$32:$B$131,MATCH(4,Rückgabe!$M$32:$M$131,0)),"")="","",IFERROR(INDEX(Rückgabe!$K$32:$K$131,MATCH(4,Rückgabe!$M$32:$M$131,0)),""))</f>
        <v/>
      </c>
    </row>
    <row r="14">
      <c r="A14" s="40">
        <f>IF(IFERROR(INDEX(Rückgabe!$B$32:$B$131,MATCH(5,Rückgabe!$M$32:$M$131,0)),"")="","",IFERROR(INDEX(Rückgabe!$B$32:$B$131,MATCH(5,Rückgabe!$M$32:$M$131,0)),"")&amp;" · "&amp;IFERROR(INDEX(Rückgabe!$C$32:$C$131,MATCH(5,Rückgabe!$M$32:$M$131,0)),""))</f>
        <v/>
      </c>
      <c r="B14" s="40">
        <f>IF(IFERROR(INDEX(Rückgabe!$B$32:$B$131,MATCH(5,Rückgabe!$M$32:$M$131,0)),"")="","",IFERROR(INDEX(Rückgabe!$D$32:$D$131,MATCH(5,Rückgabe!$M$32:$M$131,0)),""))</f>
        <v/>
      </c>
      <c r="C14" s="40">
        <f>IF(IFERROR(INDEX(Rückgabe!$B$32:$B$131,MATCH(5,Rückgabe!$M$32:$M$131,0)),"")="","",IFERROR(INDEX(Rückgabe!$E$32:$E$131,MATCH(5,Rückgabe!$M$32:$M$131,0)),""))</f>
        <v/>
      </c>
      <c r="D14" s="41">
        <f>IF(IFERROR(INDEX(Rückgabe!$B$32:$B$131,MATCH(5,Rückgabe!$M$32:$M$131,0)),"")="","",IFERROR(INDEX(Rückgabe!$F$32:$F$131,MATCH(5,Rückgabe!$M$32:$M$131,0)),""))</f>
        <v/>
      </c>
      <c r="E14" s="42">
        <f>IF(IFERROR(INDEX(Rückgabe!$B$32:$B$131,MATCH(5,Rückgabe!$M$32:$M$131,0)),"")="","",IFERROR(INDEX(Rückgabe!$I$32:$I$131,MATCH(5,Rückgabe!$M$32:$M$131,0)),""))</f>
        <v/>
      </c>
      <c r="F14" s="43">
        <f>IF(IFERROR(INDEX(Rückgabe!$B$32:$B$131,MATCH(5,Rückgabe!$M$32:$M$131,0)),"")="","",IFERROR(INDEX(Rückgabe!$H$32:$H$131,MATCH(5,Rückgabe!$M$32:$M$131,0)),""))</f>
        <v/>
      </c>
      <c r="G14" s="44">
        <f>IF(IFERROR(INDEX(Rückgabe!$B$32:$B$131,MATCH(5,Rückgabe!$M$32:$M$131,0)),"")="","",IFERROR(INDEX(Rückgabe!$J$32:$J$131,MATCH(5,Rückgabe!$M$32:$M$131,0)),""))</f>
        <v/>
      </c>
      <c r="H14" s="41">
        <f>IF(IFERROR(INDEX(Rückgabe!$B$32:$B$131,MATCH(5,Rückgabe!$M$32:$M$131,0)),"")="","",IFERROR(INDEX(Rückgabe!$K$32:$K$131,MATCH(5,Rückgabe!$M$32:$M$131,0)),""))</f>
        <v/>
      </c>
    </row>
    <row r="15">
      <c r="A15" s="40">
        <f>IF(IFERROR(INDEX(Rückgabe!$B$32:$B$131,MATCH(6,Rückgabe!$M$32:$M$131,0)),"")="","",IFERROR(INDEX(Rückgabe!$B$32:$B$131,MATCH(6,Rückgabe!$M$32:$M$131,0)),"")&amp;" · "&amp;IFERROR(INDEX(Rückgabe!$C$32:$C$131,MATCH(6,Rückgabe!$M$32:$M$131,0)),""))</f>
        <v/>
      </c>
      <c r="B15" s="40">
        <f>IF(IFERROR(INDEX(Rückgabe!$B$32:$B$131,MATCH(6,Rückgabe!$M$32:$M$131,0)),"")="","",IFERROR(INDEX(Rückgabe!$D$32:$D$131,MATCH(6,Rückgabe!$M$32:$M$131,0)),""))</f>
        <v/>
      </c>
      <c r="C15" s="40">
        <f>IF(IFERROR(INDEX(Rückgabe!$B$32:$B$131,MATCH(6,Rückgabe!$M$32:$M$131,0)),"")="","",IFERROR(INDEX(Rückgabe!$E$32:$E$131,MATCH(6,Rückgabe!$M$32:$M$131,0)),""))</f>
        <v/>
      </c>
      <c r="D15" s="41">
        <f>IF(IFERROR(INDEX(Rückgabe!$B$32:$B$131,MATCH(6,Rückgabe!$M$32:$M$131,0)),"")="","",IFERROR(INDEX(Rückgabe!$F$32:$F$131,MATCH(6,Rückgabe!$M$32:$M$131,0)),""))</f>
        <v/>
      </c>
      <c r="E15" s="42">
        <f>IF(IFERROR(INDEX(Rückgabe!$B$32:$B$131,MATCH(6,Rückgabe!$M$32:$M$131,0)),"")="","",IFERROR(INDEX(Rückgabe!$I$32:$I$131,MATCH(6,Rückgabe!$M$32:$M$131,0)),""))</f>
        <v/>
      </c>
      <c r="F15" s="43">
        <f>IF(IFERROR(INDEX(Rückgabe!$B$32:$B$131,MATCH(6,Rückgabe!$M$32:$M$131,0)),"")="","",IFERROR(INDEX(Rückgabe!$H$32:$H$131,MATCH(6,Rückgabe!$M$32:$M$131,0)),""))</f>
        <v/>
      </c>
      <c r="G15" s="44">
        <f>IF(IFERROR(INDEX(Rückgabe!$B$32:$B$131,MATCH(6,Rückgabe!$M$32:$M$131,0)),"")="","",IFERROR(INDEX(Rückgabe!$J$32:$J$131,MATCH(6,Rückgabe!$M$32:$M$131,0)),""))</f>
        <v/>
      </c>
      <c r="H15" s="41">
        <f>IF(IFERROR(INDEX(Rückgabe!$B$32:$B$131,MATCH(6,Rückgabe!$M$32:$M$131,0)),"")="","",IFERROR(INDEX(Rückgabe!$K$32:$K$131,MATCH(6,Rückgabe!$M$32:$M$131,0)),""))</f>
        <v/>
      </c>
    </row>
    <row r="16">
      <c r="A16" s="40">
        <f>IF(IFERROR(INDEX(Rückgabe!$B$32:$B$131,MATCH(7,Rückgabe!$M$32:$M$131,0)),"")="","",IFERROR(INDEX(Rückgabe!$B$32:$B$131,MATCH(7,Rückgabe!$M$32:$M$131,0)),"")&amp;" · "&amp;IFERROR(INDEX(Rückgabe!$C$32:$C$131,MATCH(7,Rückgabe!$M$32:$M$131,0)),""))</f>
        <v/>
      </c>
      <c r="B16" s="40">
        <f>IF(IFERROR(INDEX(Rückgabe!$B$32:$B$131,MATCH(7,Rückgabe!$M$32:$M$131,0)),"")="","",IFERROR(INDEX(Rückgabe!$D$32:$D$131,MATCH(7,Rückgabe!$M$32:$M$131,0)),""))</f>
        <v/>
      </c>
      <c r="C16" s="40">
        <f>IF(IFERROR(INDEX(Rückgabe!$B$32:$B$131,MATCH(7,Rückgabe!$M$32:$M$131,0)),"")="","",IFERROR(INDEX(Rückgabe!$E$32:$E$131,MATCH(7,Rückgabe!$M$32:$M$131,0)),""))</f>
        <v/>
      </c>
      <c r="D16" s="41">
        <f>IF(IFERROR(INDEX(Rückgabe!$B$32:$B$131,MATCH(7,Rückgabe!$M$32:$M$131,0)),"")="","",IFERROR(INDEX(Rückgabe!$F$32:$F$131,MATCH(7,Rückgabe!$M$32:$M$131,0)),""))</f>
        <v/>
      </c>
      <c r="E16" s="42">
        <f>IF(IFERROR(INDEX(Rückgabe!$B$32:$B$131,MATCH(7,Rückgabe!$M$32:$M$131,0)),"")="","",IFERROR(INDEX(Rückgabe!$I$32:$I$131,MATCH(7,Rückgabe!$M$32:$M$131,0)),""))</f>
        <v/>
      </c>
      <c r="F16" s="43">
        <f>IF(IFERROR(INDEX(Rückgabe!$B$32:$B$131,MATCH(7,Rückgabe!$M$32:$M$131,0)),"")="","",IFERROR(INDEX(Rückgabe!$H$32:$H$131,MATCH(7,Rückgabe!$M$32:$M$131,0)),""))</f>
        <v/>
      </c>
      <c r="G16" s="44">
        <f>IF(IFERROR(INDEX(Rückgabe!$B$32:$B$131,MATCH(7,Rückgabe!$M$32:$M$131,0)),"")="","",IFERROR(INDEX(Rückgabe!$J$32:$J$131,MATCH(7,Rückgabe!$M$32:$M$131,0)),""))</f>
        <v/>
      </c>
      <c r="H16" s="41">
        <f>IF(IFERROR(INDEX(Rückgabe!$B$32:$B$131,MATCH(7,Rückgabe!$M$32:$M$131,0)),"")="","",IFERROR(INDEX(Rückgabe!$K$32:$K$131,MATCH(7,Rückgabe!$M$32:$M$131,0)),""))</f>
        <v/>
      </c>
    </row>
    <row r="17">
      <c r="A17" s="40">
        <f>IF(IFERROR(INDEX(Rückgabe!$B$32:$B$131,MATCH(8,Rückgabe!$M$32:$M$131,0)),"")="","",IFERROR(INDEX(Rückgabe!$B$32:$B$131,MATCH(8,Rückgabe!$M$32:$M$131,0)),"")&amp;" · "&amp;IFERROR(INDEX(Rückgabe!$C$32:$C$131,MATCH(8,Rückgabe!$M$32:$M$131,0)),""))</f>
        <v/>
      </c>
      <c r="B17" s="40">
        <f>IF(IFERROR(INDEX(Rückgabe!$B$32:$B$131,MATCH(8,Rückgabe!$M$32:$M$131,0)),"")="","",IFERROR(INDEX(Rückgabe!$D$32:$D$131,MATCH(8,Rückgabe!$M$32:$M$131,0)),""))</f>
        <v/>
      </c>
      <c r="C17" s="40">
        <f>IF(IFERROR(INDEX(Rückgabe!$B$32:$B$131,MATCH(8,Rückgabe!$M$32:$M$131,0)),"")="","",IFERROR(INDEX(Rückgabe!$E$32:$E$131,MATCH(8,Rückgabe!$M$32:$M$131,0)),""))</f>
        <v/>
      </c>
      <c r="D17" s="41">
        <f>IF(IFERROR(INDEX(Rückgabe!$B$32:$B$131,MATCH(8,Rückgabe!$M$32:$M$131,0)),"")="","",IFERROR(INDEX(Rückgabe!$F$32:$F$131,MATCH(8,Rückgabe!$M$32:$M$131,0)),""))</f>
        <v/>
      </c>
      <c r="E17" s="42">
        <f>IF(IFERROR(INDEX(Rückgabe!$B$32:$B$131,MATCH(8,Rückgabe!$M$32:$M$131,0)),"")="","",IFERROR(INDEX(Rückgabe!$I$32:$I$131,MATCH(8,Rückgabe!$M$32:$M$131,0)),""))</f>
        <v/>
      </c>
      <c r="F17" s="43">
        <f>IF(IFERROR(INDEX(Rückgabe!$B$32:$B$131,MATCH(8,Rückgabe!$M$32:$M$131,0)),"")="","",IFERROR(INDEX(Rückgabe!$H$32:$H$131,MATCH(8,Rückgabe!$M$32:$M$131,0)),""))</f>
        <v/>
      </c>
      <c r="G17" s="44">
        <f>IF(IFERROR(INDEX(Rückgabe!$B$32:$B$131,MATCH(8,Rückgabe!$M$32:$M$131,0)),"")="","",IFERROR(INDEX(Rückgabe!$J$32:$J$131,MATCH(8,Rückgabe!$M$32:$M$131,0)),""))</f>
        <v/>
      </c>
      <c r="H17" s="41">
        <f>IF(IFERROR(INDEX(Rückgabe!$B$32:$B$131,MATCH(8,Rückgabe!$M$32:$M$131,0)),"")="","",IFERROR(INDEX(Rückgabe!$K$32:$K$131,MATCH(8,Rückgabe!$M$32:$M$131,0)),""))</f>
        <v/>
      </c>
    </row>
    <row r="18">
      <c r="A18" s="40">
        <f>IF(IFERROR(INDEX(Rückgabe!$B$32:$B$131,MATCH(9,Rückgabe!$M$32:$M$131,0)),"")="","",IFERROR(INDEX(Rückgabe!$B$32:$B$131,MATCH(9,Rückgabe!$M$32:$M$131,0)),"")&amp;" · "&amp;IFERROR(INDEX(Rückgabe!$C$32:$C$131,MATCH(9,Rückgabe!$M$32:$M$131,0)),""))</f>
        <v/>
      </c>
      <c r="B18" s="40">
        <f>IF(IFERROR(INDEX(Rückgabe!$B$32:$B$131,MATCH(9,Rückgabe!$M$32:$M$131,0)),"")="","",IFERROR(INDEX(Rückgabe!$D$32:$D$131,MATCH(9,Rückgabe!$M$32:$M$131,0)),""))</f>
        <v/>
      </c>
      <c r="C18" s="40">
        <f>IF(IFERROR(INDEX(Rückgabe!$B$32:$B$131,MATCH(9,Rückgabe!$M$32:$M$131,0)),"")="","",IFERROR(INDEX(Rückgabe!$E$32:$E$131,MATCH(9,Rückgabe!$M$32:$M$131,0)),""))</f>
        <v/>
      </c>
      <c r="D18" s="41">
        <f>IF(IFERROR(INDEX(Rückgabe!$B$32:$B$131,MATCH(9,Rückgabe!$M$32:$M$131,0)),"")="","",IFERROR(INDEX(Rückgabe!$F$32:$F$131,MATCH(9,Rückgabe!$M$32:$M$131,0)),""))</f>
        <v/>
      </c>
      <c r="E18" s="42">
        <f>IF(IFERROR(INDEX(Rückgabe!$B$32:$B$131,MATCH(9,Rückgabe!$M$32:$M$131,0)),"")="","",IFERROR(INDEX(Rückgabe!$I$32:$I$131,MATCH(9,Rückgabe!$M$32:$M$131,0)),""))</f>
        <v/>
      </c>
      <c r="F18" s="43">
        <f>IF(IFERROR(INDEX(Rückgabe!$B$32:$B$131,MATCH(9,Rückgabe!$M$32:$M$131,0)),"")="","",IFERROR(INDEX(Rückgabe!$H$32:$H$131,MATCH(9,Rückgabe!$M$32:$M$131,0)),""))</f>
        <v/>
      </c>
      <c r="G18" s="44">
        <f>IF(IFERROR(INDEX(Rückgabe!$B$32:$B$131,MATCH(9,Rückgabe!$M$32:$M$131,0)),"")="","",IFERROR(INDEX(Rückgabe!$J$32:$J$131,MATCH(9,Rückgabe!$M$32:$M$131,0)),""))</f>
        <v/>
      </c>
      <c r="H18" s="41">
        <f>IF(IFERROR(INDEX(Rückgabe!$B$32:$B$131,MATCH(9,Rückgabe!$M$32:$M$131,0)),"")="","",IFERROR(INDEX(Rückgabe!$K$32:$K$131,MATCH(9,Rückgabe!$M$32:$M$131,0)),""))</f>
        <v/>
      </c>
    </row>
    <row r="19">
      <c r="A19" s="40">
        <f>IF(IFERROR(INDEX(Rückgabe!$B$32:$B$131,MATCH(10,Rückgabe!$M$32:$M$131,0)),"")="","",IFERROR(INDEX(Rückgabe!$B$32:$B$131,MATCH(10,Rückgabe!$M$32:$M$131,0)),"")&amp;" · "&amp;IFERROR(INDEX(Rückgabe!$C$32:$C$131,MATCH(10,Rückgabe!$M$32:$M$131,0)),""))</f>
        <v/>
      </c>
      <c r="B19" s="40">
        <f>IF(IFERROR(INDEX(Rückgabe!$B$32:$B$131,MATCH(10,Rückgabe!$M$32:$M$131,0)),"")="","",IFERROR(INDEX(Rückgabe!$D$32:$D$131,MATCH(10,Rückgabe!$M$32:$M$131,0)),""))</f>
        <v/>
      </c>
      <c r="C19" s="40">
        <f>IF(IFERROR(INDEX(Rückgabe!$B$32:$B$131,MATCH(10,Rückgabe!$M$32:$M$131,0)),"")="","",IFERROR(INDEX(Rückgabe!$E$32:$E$131,MATCH(10,Rückgabe!$M$32:$M$131,0)),""))</f>
        <v/>
      </c>
      <c r="D19" s="41">
        <f>IF(IFERROR(INDEX(Rückgabe!$B$32:$B$131,MATCH(10,Rückgabe!$M$32:$M$131,0)),"")="","",IFERROR(INDEX(Rückgabe!$F$32:$F$131,MATCH(10,Rückgabe!$M$32:$M$131,0)),""))</f>
        <v/>
      </c>
      <c r="E19" s="42">
        <f>IF(IFERROR(INDEX(Rückgabe!$B$32:$B$131,MATCH(10,Rückgabe!$M$32:$M$131,0)),"")="","",IFERROR(INDEX(Rückgabe!$I$32:$I$131,MATCH(10,Rückgabe!$M$32:$M$131,0)),""))</f>
        <v/>
      </c>
      <c r="F19" s="43">
        <f>IF(IFERROR(INDEX(Rückgabe!$B$32:$B$131,MATCH(10,Rückgabe!$M$32:$M$131,0)),"")="","",IFERROR(INDEX(Rückgabe!$H$32:$H$131,MATCH(10,Rückgabe!$M$32:$M$131,0)),""))</f>
        <v/>
      </c>
      <c r="G19" s="44">
        <f>IF(IFERROR(INDEX(Rückgabe!$B$32:$B$131,MATCH(10,Rückgabe!$M$32:$M$131,0)),"")="","",IFERROR(INDEX(Rückgabe!$J$32:$J$131,MATCH(10,Rückgabe!$M$32:$M$131,0)),""))</f>
        <v/>
      </c>
      <c r="H19" s="41">
        <f>IF(IFERROR(INDEX(Rückgabe!$B$32:$B$131,MATCH(10,Rückgabe!$M$32:$M$131,0)),"")="","",IFERROR(INDEX(Rückgabe!$K$32:$K$131,MATCH(10,Rückgabe!$M$32:$M$131,0)),""))</f>
        <v/>
      </c>
    </row>
    <row r="20">
      <c r="A20" s="40">
        <f>IF(IFERROR(INDEX(Rückgabe!$B$32:$B$131,MATCH(11,Rückgabe!$M$32:$M$131,0)),"")="","",IFERROR(INDEX(Rückgabe!$B$32:$B$131,MATCH(11,Rückgabe!$M$32:$M$131,0)),"")&amp;" · "&amp;IFERROR(INDEX(Rückgabe!$C$32:$C$131,MATCH(11,Rückgabe!$M$32:$M$131,0)),""))</f>
        <v/>
      </c>
      <c r="B20" s="40">
        <f>IF(IFERROR(INDEX(Rückgabe!$B$32:$B$131,MATCH(11,Rückgabe!$M$32:$M$131,0)),"")="","",IFERROR(INDEX(Rückgabe!$D$32:$D$131,MATCH(11,Rückgabe!$M$32:$M$131,0)),""))</f>
        <v/>
      </c>
      <c r="C20" s="40">
        <f>IF(IFERROR(INDEX(Rückgabe!$B$32:$B$131,MATCH(11,Rückgabe!$M$32:$M$131,0)),"")="","",IFERROR(INDEX(Rückgabe!$E$32:$E$131,MATCH(11,Rückgabe!$M$32:$M$131,0)),""))</f>
        <v/>
      </c>
      <c r="D20" s="41">
        <f>IF(IFERROR(INDEX(Rückgabe!$B$32:$B$131,MATCH(11,Rückgabe!$M$32:$M$131,0)),"")="","",IFERROR(INDEX(Rückgabe!$F$32:$F$131,MATCH(11,Rückgabe!$M$32:$M$131,0)),""))</f>
        <v/>
      </c>
      <c r="E20" s="42">
        <f>IF(IFERROR(INDEX(Rückgabe!$B$32:$B$131,MATCH(11,Rückgabe!$M$32:$M$131,0)),"")="","",IFERROR(INDEX(Rückgabe!$I$32:$I$131,MATCH(11,Rückgabe!$M$32:$M$131,0)),""))</f>
        <v/>
      </c>
      <c r="F20" s="43">
        <f>IF(IFERROR(INDEX(Rückgabe!$B$32:$B$131,MATCH(11,Rückgabe!$M$32:$M$131,0)),"")="","",IFERROR(INDEX(Rückgabe!$H$32:$H$131,MATCH(11,Rückgabe!$M$32:$M$131,0)),""))</f>
        <v/>
      </c>
      <c r="G20" s="44">
        <f>IF(IFERROR(INDEX(Rückgabe!$B$32:$B$131,MATCH(11,Rückgabe!$M$32:$M$131,0)),"")="","",IFERROR(INDEX(Rückgabe!$J$32:$J$131,MATCH(11,Rückgabe!$M$32:$M$131,0)),""))</f>
        <v/>
      </c>
      <c r="H20" s="41">
        <f>IF(IFERROR(INDEX(Rückgabe!$B$32:$B$131,MATCH(11,Rückgabe!$M$32:$M$131,0)),"")="","",IFERROR(INDEX(Rückgabe!$K$32:$K$131,MATCH(11,Rückgabe!$M$32:$M$131,0)),""))</f>
        <v/>
      </c>
    </row>
    <row r="21">
      <c r="A21" s="40">
        <f>IF(IFERROR(INDEX(Rückgabe!$B$32:$B$131,MATCH(12,Rückgabe!$M$32:$M$131,0)),"")="","",IFERROR(INDEX(Rückgabe!$B$32:$B$131,MATCH(12,Rückgabe!$M$32:$M$131,0)),"")&amp;" · "&amp;IFERROR(INDEX(Rückgabe!$C$32:$C$131,MATCH(12,Rückgabe!$M$32:$M$131,0)),""))</f>
        <v/>
      </c>
      <c r="B21" s="40">
        <f>IF(IFERROR(INDEX(Rückgabe!$B$32:$B$131,MATCH(12,Rückgabe!$M$32:$M$131,0)),"")="","",IFERROR(INDEX(Rückgabe!$D$32:$D$131,MATCH(12,Rückgabe!$M$32:$M$131,0)),""))</f>
        <v/>
      </c>
      <c r="C21" s="40">
        <f>IF(IFERROR(INDEX(Rückgabe!$B$32:$B$131,MATCH(12,Rückgabe!$M$32:$M$131,0)),"")="","",IFERROR(INDEX(Rückgabe!$E$32:$E$131,MATCH(12,Rückgabe!$M$32:$M$131,0)),""))</f>
        <v/>
      </c>
      <c r="D21" s="41">
        <f>IF(IFERROR(INDEX(Rückgabe!$B$32:$B$131,MATCH(12,Rückgabe!$M$32:$M$131,0)),"")="","",IFERROR(INDEX(Rückgabe!$F$32:$F$131,MATCH(12,Rückgabe!$M$32:$M$131,0)),""))</f>
        <v/>
      </c>
      <c r="E21" s="42">
        <f>IF(IFERROR(INDEX(Rückgabe!$B$32:$B$131,MATCH(12,Rückgabe!$M$32:$M$131,0)),"")="","",IFERROR(INDEX(Rückgabe!$I$32:$I$131,MATCH(12,Rückgabe!$M$32:$M$131,0)),""))</f>
        <v/>
      </c>
      <c r="F21" s="43">
        <f>IF(IFERROR(INDEX(Rückgabe!$B$32:$B$131,MATCH(12,Rückgabe!$M$32:$M$131,0)),"")="","",IFERROR(INDEX(Rückgabe!$H$32:$H$131,MATCH(12,Rückgabe!$M$32:$M$131,0)),""))</f>
        <v/>
      </c>
      <c r="G21" s="44">
        <f>IF(IFERROR(INDEX(Rückgabe!$B$32:$B$131,MATCH(12,Rückgabe!$M$32:$M$131,0)),"")="","",IFERROR(INDEX(Rückgabe!$J$32:$J$131,MATCH(12,Rückgabe!$M$32:$M$131,0)),""))</f>
        <v/>
      </c>
      <c r="H21" s="41">
        <f>IF(IFERROR(INDEX(Rückgabe!$B$32:$B$131,MATCH(12,Rückgabe!$M$32:$M$131,0)),"")="","",IFERROR(INDEX(Rückgabe!$K$32:$K$131,MATCH(12,Rückgabe!$M$32:$M$131,0)),""))</f>
        <v/>
      </c>
    </row>
    <row r="22">
      <c r="A22" s="40">
        <f>IF(IFERROR(INDEX(Rückgabe!$B$32:$B$131,MATCH(13,Rückgabe!$M$32:$M$131,0)),"")="","",IFERROR(INDEX(Rückgabe!$B$32:$B$131,MATCH(13,Rückgabe!$M$32:$M$131,0)),"")&amp;" · "&amp;IFERROR(INDEX(Rückgabe!$C$32:$C$131,MATCH(13,Rückgabe!$M$32:$M$131,0)),""))</f>
        <v/>
      </c>
      <c r="B22" s="40">
        <f>IF(IFERROR(INDEX(Rückgabe!$B$32:$B$131,MATCH(13,Rückgabe!$M$32:$M$131,0)),"")="","",IFERROR(INDEX(Rückgabe!$D$32:$D$131,MATCH(13,Rückgabe!$M$32:$M$131,0)),""))</f>
        <v/>
      </c>
      <c r="C22" s="40">
        <f>IF(IFERROR(INDEX(Rückgabe!$B$32:$B$131,MATCH(13,Rückgabe!$M$32:$M$131,0)),"")="","",IFERROR(INDEX(Rückgabe!$E$32:$E$131,MATCH(13,Rückgabe!$M$32:$M$131,0)),""))</f>
        <v/>
      </c>
      <c r="D22" s="41">
        <f>IF(IFERROR(INDEX(Rückgabe!$B$32:$B$131,MATCH(13,Rückgabe!$M$32:$M$131,0)),"")="","",IFERROR(INDEX(Rückgabe!$F$32:$F$131,MATCH(13,Rückgabe!$M$32:$M$131,0)),""))</f>
        <v/>
      </c>
      <c r="E22" s="42">
        <f>IF(IFERROR(INDEX(Rückgabe!$B$32:$B$131,MATCH(13,Rückgabe!$M$32:$M$131,0)),"")="","",IFERROR(INDEX(Rückgabe!$I$32:$I$131,MATCH(13,Rückgabe!$M$32:$M$131,0)),""))</f>
        <v/>
      </c>
      <c r="F22" s="43">
        <f>IF(IFERROR(INDEX(Rückgabe!$B$32:$B$131,MATCH(13,Rückgabe!$M$32:$M$131,0)),"")="","",IFERROR(INDEX(Rückgabe!$H$32:$H$131,MATCH(13,Rückgabe!$M$32:$M$131,0)),""))</f>
        <v/>
      </c>
      <c r="G22" s="44">
        <f>IF(IFERROR(INDEX(Rückgabe!$B$32:$B$131,MATCH(13,Rückgabe!$M$32:$M$131,0)),"")="","",IFERROR(INDEX(Rückgabe!$J$32:$J$131,MATCH(13,Rückgabe!$M$32:$M$131,0)),""))</f>
        <v/>
      </c>
      <c r="H22" s="41">
        <f>IF(IFERROR(INDEX(Rückgabe!$B$32:$B$131,MATCH(13,Rückgabe!$M$32:$M$131,0)),"")="","",IFERROR(INDEX(Rückgabe!$K$32:$K$131,MATCH(13,Rückgabe!$M$32:$M$131,0)),""))</f>
        <v/>
      </c>
    </row>
    <row r="23">
      <c r="A23" s="40">
        <f>IF(IFERROR(INDEX(Rückgabe!$B$32:$B$131,MATCH(14,Rückgabe!$M$32:$M$131,0)),"")="","",IFERROR(INDEX(Rückgabe!$B$32:$B$131,MATCH(14,Rückgabe!$M$32:$M$131,0)),"")&amp;" · "&amp;IFERROR(INDEX(Rückgabe!$C$32:$C$131,MATCH(14,Rückgabe!$M$32:$M$131,0)),""))</f>
        <v/>
      </c>
      <c r="B23" s="40">
        <f>IF(IFERROR(INDEX(Rückgabe!$B$32:$B$131,MATCH(14,Rückgabe!$M$32:$M$131,0)),"")="","",IFERROR(INDEX(Rückgabe!$D$32:$D$131,MATCH(14,Rückgabe!$M$32:$M$131,0)),""))</f>
        <v/>
      </c>
      <c r="C23" s="40">
        <f>IF(IFERROR(INDEX(Rückgabe!$B$32:$B$131,MATCH(14,Rückgabe!$M$32:$M$131,0)),"")="","",IFERROR(INDEX(Rückgabe!$E$32:$E$131,MATCH(14,Rückgabe!$M$32:$M$131,0)),""))</f>
        <v/>
      </c>
      <c r="D23" s="41">
        <f>IF(IFERROR(INDEX(Rückgabe!$B$32:$B$131,MATCH(14,Rückgabe!$M$32:$M$131,0)),"")="","",IFERROR(INDEX(Rückgabe!$F$32:$F$131,MATCH(14,Rückgabe!$M$32:$M$131,0)),""))</f>
        <v/>
      </c>
      <c r="E23" s="42">
        <f>IF(IFERROR(INDEX(Rückgabe!$B$32:$B$131,MATCH(14,Rückgabe!$M$32:$M$131,0)),"")="","",IFERROR(INDEX(Rückgabe!$I$32:$I$131,MATCH(14,Rückgabe!$M$32:$M$131,0)),""))</f>
        <v/>
      </c>
      <c r="F23" s="43">
        <f>IF(IFERROR(INDEX(Rückgabe!$B$32:$B$131,MATCH(14,Rückgabe!$M$32:$M$131,0)),"")="","",IFERROR(INDEX(Rückgabe!$H$32:$H$131,MATCH(14,Rückgabe!$M$32:$M$131,0)),""))</f>
        <v/>
      </c>
      <c r="G23" s="44">
        <f>IF(IFERROR(INDEX(Rückgabe!$B$32:$B$131,MATCH(14,Rückgabe!$M$32:$M$131,0)),"")="","",IFERROR(INDEX(Rückgabe!$J$32:$J$131,MATCH(14,Rückgabe!$M$32:$M$131,0)),""))</f>
        <v/>
      </c>
      <c r="H23" s="41">
        <f>IF(IFERROR(INDEX(Rückgabe!$B$32:$B$131,MATCH(14,Rückgabe!$M$32:$M$131,0)),"")="","",IFERROR(INDEX(Rückgabe!$K$32:$K$131,MATCH(14,Rückgabe!$M$32:$M$131,0)),""))</f>
        <v/>
      </c>
    </row>
    <row r="24">
      <c r="A24" s="40">
        <f>IF(IFERROR(INDEX(Rückgabe!$B$32:$B$131,MATCH(15,Rückgabe!$M$32:$M$131,0)),"")="","",IFERROR(INDEX(Rückgabe!$B$32:$B$131,MATCH(15,Rückgabe!$M$32:$M$131,0)),"")&amp;" · "&amp;IFERROR(INDEX(Rückgabe!$C$32:$C$131,MATCH(15,Rückgabe!$M$32:$M$131,0)),""))</f>
        <v/>
      </c>
      <c r="B24" s="40">
        <f>IF(IFERROR(INDEX(Rückgabe!$B$32:$B$131,MATCH(15,Rückgabe!$M$32:$M$131,0)),"")="","",IFERROR(INDEX(Rückgabe!$D$32:$D$131,MATCH(15,Rückgabe!$M$32:$M$131,0)),""))</f>
        <v/>
      </c>
      <c r="C24" s="40">
        <f>IF(IFERROR(INDEX(Rückgabe!$B$32:$B$131,MATCH(15,Rückgabe!$M$32:$M$131,0)),"")="","",IFERROR(INDEX(Rückgabe!$E$32:$E$131,MATCH(15,Rückgabe!$M$32:$M$131,0)),""))</f>
        <v/>
      </c>
      <c r="D24" s="41">
        <f>IF(IFERROR(INDEX(Rückgabe!$B$32:$B$131,MATCH(15,Rückgabe!$M$32:$M$131,0)),"")="","",IFERROR(INDEX(Rückgabe!$F$32:$F$131,MATCH(15,Rückgabe!$M$32:$M$131,0)),""))</f>
        <v/>
      </c>
      <c r="E24" s="42">
        <f>IF(IFERROR(INDEX(Rückgabe!$B$32:$B$131,MATCH(15,Rückgabe!$M$32:$M$131,0)),"")="","",IFERROR(INDEX(Rückgabe!$I$32:$I$131,MATCH(15,Rückgabe!$M$32:$M$131,0)),""))</f>
        <v/>
      </c>
      <c r="F24" s="43">
        <f>IF(IFERROR(INDEX(Rückgabe!$B$32:$B$131,MATCH(15,Rückgabe!$M$32:$M$131,0)),"")="","",IFERROR(INDEX(Rückgabe!$H$32:$H$131,MATCH(15,Rückgabe!$M$32:$M$131,0)),""))</f>
        <v/>
      </c>
      <c r="G24" s="44">
        <f>IF(IFERROR(INDEX(Rückgabe!$B$32:$B$131,MATCH(15,Rückgabe!$M$32:$M$131,0)),"")="","",IFERROR(INDEX(Rückgabe!$J$32:$J$131,MATCH(15,Rückgabe!$M$32:$M$131,0)),""))</f>
        <v/>
      </c>
      <c r="H24" s="41">
        <f>IF(IFERROR(INDEX(Rückgabe!$B$32:$B$131,MATCH(15,Rückgabe!$M$32:$M$131,0)),"")="","",IFERROR(INDEX(Rückgabe!$K$32:$K$131,MATCH(15,Rückgabe!$M$32:$M$131,0)),""))</f>
        <v/>
      </c>
    </row>
    <row r="25">
      <c r="A25" s="40">
        <f>IF(IFERROR(INDEX(Rückgabe!$B$32:$B$131,MATCH(16,Rückgabe!$M$32:$M$131,0)),"")="","",IFERROR(INDEX(Rückgabe!$B$32:$B$131,MATCH(16,Rückgabe!$M$32:$M$131,0)),"")&amp;" · "&amp;IFERROR(INDEX(Rückgabe!$C$32:$C$131,MATCH(16,Rückgabe!$M$32:$M$131,0)),""))</f>
        <v/>
      </c>
      <c r="B25" s="40">
        <f>IF(IFERROR(INDEX(Rückgabe!$B$32:$B$131,MATCH(16,Rückgabe!$M$32:$M$131,0)),"")="","",IFERROR(INDEX(Rückgabe!$D$32:$D$131,MATCH(16,Rückgabe!$M$32:$M$131,0)),""))</f>
        <v/>
      </c>
      <c r="C25" s="40">
        <f>IF(IFERROR(INDEX(Rückgabe!$B$32:$B$131,MATCH(16,Rückgabe!$M$32:$M$131,0)),"")="","",IFERROR(INDEX(Rückgabe!$E$32:$E$131,MATCH(16,Rückgabe!$M$32:$M$131,0)),""))</f>
        <v/>
      </c>
      <c r="D25" s="41">
        <f>IF(IFERROR(INDEX(Rückgabe!$B$32:$B$131,MATCH(16,Rückgabe!$M$32:$M$131,0)),"")="","",IFERROR(INDEX(Rückgabe!$F$32:$F$131,MATCH(16,Rückgabe!$M$32:$M$131,0)),""))</f>
        <v/>
      </c>
      <c r="E25" s="42">
        <f>IF(IFERROR(INDEX(Rückgabe!$B$32:$B$131,MATCH(16,Rückgabe!$M$32:$M$131,0)),"")="","",IFERROR(INDEX(Rückgabe!$I$32:$I$131,MATCH(16,Rückgabe!$M$32:$M$131,0)),""))</f>
        <v/>
      </c>
      <c r="F25" s="43">
        <f>IF(IFERROR(INDEX(Rückgabe!$B$32:$B$131,MATCH(16,Rückgabe!$M$32:$M$131,0)),"")="","",IFERROR(INDEX(Rückgabe!$H$32:$H$131,MATCH(16,Rückgabe!$M$32:$M$131,0)),""))</f>
        <v/>
      </c>
      <c r="G25" s="44">
        <f>IF(IFERROR(INDEX(Rückgabe!$B$32:$B$131,MATCH(16,Rückgabe!$M$32:$M$131,0)),"")="","",IFERROR(INDEX(Rückgabe!$J$32:$J$131,MATCH(16,Rückgabe!$M$32:$M$131,0)),""))</f>
        <v/>
      </c>
      <c r="H25" s="41">
        <f>IF(IFERROR(INDEX(Rückgabe!$B$32:$B$131,MATCH(16,Rückgabe!$M$32:$M$131,0)),"")="","",IFERROR(INDEX(Rückgabe!$K$32:$K$131,MATCH(16,Rückgabe!$M$32:$M$131,0)),""))</f>
        <v/>
      </c>
    </row>
    <row r="26">
      <c r="A26" s="40">
        <f>IF(IFERROR(INDEX(Rückgabe!$B$32:$B$131,MATCH(17,Rückgabe!$M$32:$M$131,0)),"")="","",IFERROR(INDEX(Rückgabe!$B$32:$B$131,MATCH(17,Rückgabe!$M$32:$M$131,0)),"")&amp;" · "&amp;IFERROR(INDEX(Rückgabe!$C$32:$C$131,MATCH(17,Rückgabe!$M$32:$M$131,0)),""))</f>
        <v/>
      </c>
      <c r="B26" s="40">
        <f>IF(IFERROR(INDEX(Rückgabe!$B$32:$B$131,MATCH(17,Rückgabe!$M$32:$M$131,0)),"")="","",IFERROR(INDEX(Rückgabe!$D$32:$D$131,MATCH(17,Rückgabe!$M$32:$M$131,0)),""))</f>
        <v/>
      </c>
      <c r="C26" s="40">
        <f>IF(IFERROR(INDEX(Rückgabe!$B$32:$B$131,MATCH(17,Rückgabe!$M$32:$M$131,0)),"")="","",IFERROR(INDEX(Rückgabe!$E$32:$E$131,MATCH(17,Rückgabe!$M$32:$M$131,0)),""))</f>
        <v/>
      </c>
      <c r="D26" s="41">
        <f>IF(IFERROR(INDEX(Rückgabe!$B$32:$B$131,MATCH(17,Rückgabe!$M$32:$M$131,0)),"")="","",IFERROR(INDEX(Rückgabe!$F$32:$F$131,MATCH(17,Rückgabe!$M$32:$M$131,0)),""))</f>
        <v/>
      </c>
      <c r="E26" s="42">
        <f>IF(IFERROR(INDEX(Rückgabe!$B$32:$B$131,MATCH(17,Rückgabe!$M$32:$M$131,0)),"")="","",IFERROR(INDEX(Rückgabe!$I$32:$I$131,MATCH(17,Rückgabe!$M$32:$M$131,0)),""))</f>
        <v/>
      </c>
      <c r="F26" s="43">
        <f>IF(IFERROR(INDEX(Rückgabe!$B$32:$B$131,MATCH(17,Rückgabe!$M$32:$M$131,0)),"")="","",IFERROR(INDEX(Rückgabe!$H$32:$H$131,MATCH(17,Rückgabe!$M$32:$M$131,0)),""))</f>
        <v/>
      </c>
      <c r="G26" s="44">
        <f>IF(IFERROR(INDEX(Rückgabe!$B$32:$B$131,MATCH(17,Rückgabe!$M$32:$M$131,0)),"")="","",IFERROR(INDEX(Rückgabe!$J$32:$J$131,MATCH(17,Rückgabe!$M$32:$M$131,0)),""))</f>
        <v/>
      </c>
      <c r="H26" s="41">
        <f>IF(IFERROR(INDEX(Rückgabe!$B$32:$B$131,MATCH(17,Rückgabe!$M$32:$M$131,0)),"")="","",IFERROR(INDEX(Rückgabe!$K$32:$K$131,MATCH(17,Rückgabe!$M$32:$M$131,0)),""))</f>
        <v/>
      </c>
    </row>
    <row r="27">
      <c r="A27" s="40">
        <f>IF(IFERROR(INDEX(Rückgabe!$B$32:$B$131,MATCH(18,Rückgabe!$M$32:$M$131,0)),"")="","",IFERROR(INDEX(Rückgabe!$B$32:$B$131,MATCH(18,Rückgabe!$M$32:$M$131,0)),"")&amp;" · "&amp;IFERROR(INDEX(Rückgabe!$C$32:$C$131,MATCH(18,Rückgabe!$M$32:$M$131,0)),""))</f>
        <v/>
      </c>
      <c r="B27" s="40">
        <f>IF(IFERROR(INDEX(Rückgabe!$B$32:$B$131,MATCH(18,Rückgabe!$M$32:$M$131,0)),"")="","",IFERROR(INDEX(Rückgabe!$D$32:$D$131,MATCH(18,Rückgabe!$M$32:$M$131,0)),""))</f>
        <v/>
      </c>
      <c r="C27" s="40">
        <f>IF(IFERROR(INDEX(Rückgabe!$B$32:$B$131,MATCH(18,Rückgabe!$M$32:$M$131,0)),"")="","",IFERROR(INDEX(Rückgabe!$E$32:$E$131,MATCH(18,Rückgabe!$M$32:$M$131,0)),""))</f>
        <v/>
      </c>
      <c r="D27" s="41">
        <f>IF(IFERROR(INDEX(Rückgabe!$B$32:$B$131,MATCH(18,Rückgabe!$M$32:$M$131,0)),"")="","",IFERROR(INDEX(Rückgabe!$F$32:$F$131,MATCH(18,Rückgabe!$M$32:$M$131,0)),""))</f>
        <v/>
      </c>
      <c r="E27" s="42">
        <f>IF(IFERROR(INDEX(Rückgabe!$B$32:$B$131,MATCH(18,Rückgabe!$M$32:$M$131,0)),"")="","",IFERROR(INDEX(Rückgabe!$I$32:$I$131,MATCH(18,Rückgabe!$M$32:$M$131,0)),""))</f>
        <v/>
      </c>
      <c r="F27" s="43">
        <f>IF(IFERROR(INDEX(Rückgabe!$B$32:$B$131,MATCH(18,Rückgabe!$M$32:$M$131,0)),"")="","",IFERROR(INDEX(Rückgabe!$H$32:$H$131,MATCH(18,Rückgabe!$M$32:$M$131,0)),""))</f>
        <v/>
      </c>
      <c r="G27" s="44">
        <f>IF(IFERROR(INDEX(Rückgabe!$B$32:$B$131,MATCH(18,Rückgabe!$M$32:$M$131,0)),"")="","",IFERROR(INDEX(Rückgabe!$J$32:$J$131,MATCH(18,Rückgabe!$M$32:$M$131,0)),""))</f>
        <v/>
      </c>
      <c r="H27" s="41">
        <f>IF(IFERROR(INDEX(Rückgabe!$B$32:$B$131,MATCH(18,Rückgabe!$M$32:$M$131,0)),"")="","",IFERROR(INDEX(Rückgabe!$K$32:$K$131,MATCH(18,Rückgabe!$M$32:$M$131,0)),""))</f>
        <v/>
      </c>
    </row>
    <row r="28">
      <c r="A28" s="40">
        <f>IF(IFERROR(INDEX(Rückgabe!$B$32:$B$131,MATCH(19,Rückgabe!$M$32:$M$131,0)),"")="","",IFERROR(INDEX(Rückgabe!$B$32:$B$131,MATCH(19,Rückgabe!$M$32:$M$131,0)),"")&amp;" · "&amp;IFERROR(INDEX(Rückgabe!$C$32:$C$131,MATCH(19,Rückgabe!$M$32:$M$131,0)),""))</f>
        <v/>
      </c>
      <c r="B28" s="40">
        <f>IF(IFERROR(INDEX(Rückgabe!$B$32:$B$131,MATCH(19,Rückgabe!$M$32:$M$131,0)),"")="","",IFERROR(INDEX(Rückgabe!$D$32:$D$131,MATCH(19,Rückgabe!$M$32:$M$131,0)),""))</f>
        <v/>
      </c>
      <c r="C28" s="40">
        <f>IF(IFERROR(INDEX(Rückgabe!$B$32:$B$131,MATCH(19,Rückgabe!$M$32:$M$131,0)),"")="","",IFERROR(INDEX(Rückgabe!$E$32:$E$131,MATCH(19,Rückgabe!$M$32:$M$131,0)),""))</f>
        <v/>
      </c>
      <c r="D28" s="41">
        <f>IF(IFERROR(INDEX(Rückgabe!$B$32:$B$131,MATCH(19,Rückgabe!$M$32:$M$131,0)),"")="","",IFERROR(INDEX(Rückgabe!$F$32:$F$131,MATCH(19,Rückgabe!$M$32:$M$131,0)),""))</f>
        <v/>
      </c>
      <c r="E28" s="42">
        <f>IF(IFERROR(INDEX(Rückgabe!$B$32:$B$131,MATCH(19,Rückgabe!$M$32:$M$131,0)),"")="","",IFERROR(INDEX(Rückgabe!$I$32:$I$131,MATCH(19,Rückgabe!$M$32:$M$131,0)),""))</f>
        <v/>
      </c>
      <c r="F28" s="43">
        <f>IF(IFERROR(INDEX(Rückgabe!$B$32:$B$131,MATCH(19,Rückgabe!$M$32:$M$131,0)),"")="","",IFERROR(INDEX(Rückgabe!$H$32:$H$131,MATCH(19,Rückgabe!$M$32:$M$131,0)),""))</f>
        <v/>
      </c>
      <c r="G28" s="44">
        <f>IF(IFERROR(INDEX(Rückgabe!$B$32:$B$131,MATCH(19,Rückgabe!$M$32:$M$131,0)),"")="","",IFERROR(INDEX(Rückgabe!$J$32:$J$131,MATCH(19,Rückgabe!$M$32:$M$131,0)),""))</f>
        <v/>
      </c>
      <c r="H28" s="41">
        <f>IF(IFERROR(INDEX(Rückgabe!$B$32:$B$131,MATCH(19,Rückgabe!$M$32:$M$131,0)),"")="","",IFERROR(INDEX(Rückgabe!$K$32:$K$131,MATCH(19,Rückgabe!$M$32:$M$131,0)),""))</f>
        <v/>
      </c>
    </row>
    <row r="29">
      <c r="A29" s="40">
        <f>IF(IFERROR(INDEX(Rückgabe!$B$32:$B$131,MATCH(20,Rückgabe!$M$32:$M$131,0)),"")="","",IFERROR(INDEX(Rückgabe!$B$32:$B$131,MATCH(20,Rückgabe!$M$32:$M$131,0)),"")&amp;" · "&amp;IFERROR(INDEX(Rückgabe!$C$32:$C$131,MATCH(20,Rückgabe!$M$32:$M$131,0)),""))</f>
        <v/>
      </c>
      <c r="B29" s="40">
        <f>IF(IFERROR(INDEX(Rückgabe!$B$32:$B$131,MATCH(20,Rückgabe!$M$32:$M$131,0)),"")="","",IFERROR(INDEX(Rückgabe!$D$32:$D$131,MATCH(20,Rückgabe!$M$32:$M$131,0)),""))</f>
        <v/>
      </c>
      <c r="C29" s="40">
        <f>IF(IFERROR(INDEX(Rückgabe!$B$32:$B$131,MATCH(20,Rückgabe!$M$32:$M$131,0)),"")="","",IFERROR(INDEX(Rückgabe!$E$32:$E$131,MATCH(20,Rückgabe!$M$32:$M$131,0)),""))</f>
        <v/>
      </c>
      <c r="D29" s="41">
        <f>IF(IFERROR(INDEX(Rückgabe!$B$32:$B$131,MATCH(20,Rückgabe!$M$32:$M$131,0)),"")="","",IFERROR(INDEX(Rückgabe!$F$32:$F$131,MATCH(20,Rückgabe!$M$32:$M$131,0)),""))</f>
        <v/>
      </c>
      <c r="E29" s="42">
        <f>IF(IFERROR(INDEX(Rückgabe!$B$32:$B$131,MATCH(20,Rückgabe!$M$32:$M$131,0)),"")="","",IFERROR(INDEX(Rückgabe!$I$32:$I$131,MATCH(20,Rückgabe!$M$32:$M$131,0)),""))</f>
        <v/>
      </c>
      <c r="F29" s="43">
        <f>IF(IFERROR(INDEX(Rückgabe!$B$32:$B$131,MATCH(20,Rückgabe!$M$32:$M$131,0)),"")="","",IFERROR(INDEX(Rückgabe!$H$32:$H$131,MATCH(20,Rückgabe!$M$32:$M$131,0)),""))</f>
        <v/>
      </c>
      <c r="G29" s="44">
        <f>IF(IFERROR(INDEX(Rückgabe!$B$32:$B$131,MATCH(20,Rückgabe!$M$32:$M$131,0)),"")="","",IFERROR(INDEX(Rückgabe!$J$32:$J$131,MATCH(20,Rückgabe!$M$32:$M$131,0)),""))</f>
        <v/>
      </c>
      <c r="H29" s="41">
        <f>IF(IFERROR(INDEX(Rückgabe!$B$32:$B$131,MATCH(20,Rückgabe!$M$32:$M$131,0)),"")="","",IFERROR(INDEX(Rückgabe!$K$32:$K$131,MATCH(20,Rückgabe!$M$32:$M$131,0)),""))</f>
        <v/>
      </c>
    </row>
    <row r="30">
      <c r="A30" s="40">
        <f>IF(IFERROR(INDEX(Rückgabe!$B$32:$B$131,MATCH(21,Rückgabe!$M$32:$M$131,0)),"")="","",IFERROR(INDEX(Rückgabe!$B$32:$B$131,MATCH(21,Rückgabe!$M$32:$M$131,0)),"")&amp;" · "&amp;IFERROR(INDEX(Rückgabe!$C$32:$C$131,MATCH(21,Rückgabe!$M$32:$M$131,0)),""))</f>
        <v/>
      </c>
      <c r="B30" s="40">
        <f>IF(IFERROR(INDEX(Rückgabe!$B$32:$B$131,MATCH(21,Rückgabe!$M$32:$M$131,0)),"")="","",IFERROR(INDEX(Rückgabe!$D$32:$D$131,MATCH(21,Rückgabe!$M$32:$M$131,0)),""))</f>
        <v/>
      </c>
      <c r="C30" s="40">
        <f>IF(IFERROR(INDEX(Rückgabe!$B$32:$B$131,MATCH(21,Rückgabe!$M$32:$M$131,0)),"")="","",IFERROR(INDEX(Rückgabe!$E$32:$E$131,MATCH(21,Rückgabe!$M$32:$M$131,0)),""))</f>
        <v/>
      </c>
      <c r="D30" s="41">
        <f>IF(IFERROR(INDEX(Rückgabe!$B$32:$B$131,MATCH(21,Rückgabe!$M$32:$M$131,0)),"")="","",IFERROR(INDEX(Rückgabe!$F$32:$F$131,MATCH(21,Rückgabe!$M$32:$M$131,0)),""))</f>
        <v/>
      </c>
      <c r="E30" s="42">
        <f>IF(IFERROR(INDEX(Rückgabe!$B$32:$B$131,MATCH(21,Rückgabe!$M$32:$M$131,0)),"")="","",IFERROR(INDEX(Rückgabe!$I$32:$I$131,MATCH(21,Rückgabe!$M$32:$M$131,0)),""))</f>
        <v/>
      </c>
      <c r="F30" s="43">
        <f>IF(IFERROR(INDEX(Rückgabe!$B$32:$B$131,MATCH(21,Rückgabe!$M$32:$M$131,0)),"")="","",IFERROR(INDEX(Rückgabe!$H$32:$H$131,MATCH(21,Rückgabe!$M$32:$M$131,0)),""))</f>
        <v/>
      </c>
      <c r="G30" s="44">
        <f>IF(IFERROR(INDEX(Rückgabe!$B$32:$B$131,MATCH(21,Rückgabe!$M$32:$M$131,0)),"")="","",IFERROR(INDEX(Rückgabe!$J$32:$J$131,MATCH(21,Rückgabe!$M$32:$M$131,0)),""))</f>
        <v/>
      </c>
      <c r="H30" s="41">
        <f>IF(IFERROR(INDEX(Rückgabe!$B$32:$B$131,MATCH(21,Rückgabe!$M$32:$M$131,0)),"")="","",IFERROR(INDEX(Rückgabe!$K$32:$K$131,MATCH(21,Rückgabe!$M$32:$M$131,0)),""))</f>
        <v/>
      </c>
    </row>
    <row r="31">
      <c r="A31" s="40">
        <f>IF(IFERROR(INDEX(Rückgabe!$B$32:$B$131,MATCH(22,Rückgabe!$M$32:$M$131,0)),"")="","",IFERROR(INDEX(Rückgabe!$B$32:$B$131,MATCH(22,Rückgabe!$M$32:$M$131,0)),"")&amp;" · "&amp;IFERROR(INDEX(Rückgabe!$C$32:$C$131,MATCH(22,Rückgabe!$M$32:$M$131,0)),""))</f>
        <v/>
      </c>
      <c r="B31" s="40">
        <f>IF(IFERROR(INDEX(Rückgabe!$B$32:$B$131,MATCH(22,Rückgabe!$M$32:$M$131,0)),"")="","",IFERROR(INDEX(Rückgabe!$D$32:$D$131,MATCH(22,Rückgabe!$M$32:$M$131,0)),""))</f>
        <v/>
      </c>
      <c r="C31" s="40">
        <f>IF(IFERROR(INDEX(Rückgabe!$B$32:$B$131,MATCH(22,Rückgabe!$M$32:$M$131,0)),"")="","",IFERROR(INDEX(Rückgabe!$E$32:$E$131,MATCH(22,Rückgabe!$M$32:$M$131,0)),""))</f>
        <v/>
      </c>
      <c r="D31" s="41">
        <f>IF(IFERROR(INDEX(Rückgabe!$B$32:$B$131,MATCH(22,Rückgabe!$M$32:$M$131,0)),"")="","",IFERROR(INDEX(Rückgabe!$F$32:$F$131,MATCH(22,Rückgabe!$M$32:$M$131,0)),""))</f>
        <v/>
      </c>
      <c r="E31" s="42">
        <f>IF(IFERROR(INDEX(Rückgabe!$B$32:$B$131,MATCH(22,Rückgabe!$M$32:$M$131,0)),"")="","",IFERROR(INDEX(Rückgabe!$I$32:$I$131,MATCH(22,Rückgabe!$M$32:$M$131,0)),""))</f>
        <v/>
      </c>
      <c r="F31" s="43">
        <f>IF(IFERROR(INDEX(Rückgabe!$B$32:$B$131,MATCH(22,Rückgabe!$M$32:$M$131,0)),"")="","",IFERROR(INDEX(Rückgabe!$H$32:$H$131,MATCH(22,Rückgabe!$M$32:$M$131,0)),""))</f>
        <v/>
      </c>
      <c r="G31" s="44">
        <f>IF(IFERROR(INDEX(Rückgabe!$B$32:$B$131,MATCH(22,Rückgabe!$M$32:$M$131,0)),"")="","",IFERROR(INDEX(Rückgabe!$J$32:$J$131,MATCH(22,Rückgabe!$M$32:$M$131,0)),""))</f>
        <v/>
      </c>
      <c r="H31" s="41">
        <f>IF(IFERROR(INDEX(Rückgabe!$B$32:$B$131,MATCH(22,Rückgabe!$M$32:$M$131,0)),"")="","",IFERROR(INDEX(Rückgabe!$K$32:$K$131,MATCH(22,Rückgabe!$M$32:$M$131,0)),""))</f>
        <v/>
      </c>
    </row>
    <row r="32">
      <c r="A32" s="40">
        <f>IF(IFERROR(INDEX(Rückgabe!$B$32:$B$131,MATCH(23,Rückgabe!$M$32:$M$131,0)),"")="","",IFERROR(INDEX(Rückgabe!$B$32:$B$131,MATCH(23,Rückgabe!$M$32:$M$131,0)),"")&amp;" · "&amp;IFERROR(INDEX(Rückgabe!$C$32:$C$131,MATCH(23,Rückgabe!$M$32:$M$131,0)),""))</f>
        <v/>
      </c>
      <c r="B32" s="40">
        <f>IF(IFERROR(INDEX(Rückgabe!$B$32:$B$131,MATCH(23,Rückgabe!$M$32:$M$131,0)),"")="","",IFERROR(INDEX(Rückgabe!$D$32:$D$131,MATCH(23,Rückgabe!$M$32:$M$131,0)),""))</f>
        <v/>
      </c>
      <c r="C32" s="40">
        <f>IF(IFERROR(INDEX(Rückgabe!$B$32:$B$131,MATCH(23,Rückgabe!$M$32:$M$131,0)),"")="","",IFERROR(INDEX(Rückgabe!$E$32:$E$131,MATCH(23,Rückgabe!$M$32:$M$131,0)),""))</f>
        <v/>
      </c>
      <c r="D32" s="41">
        <f>IF(IFERROR(INDEX(Rückgabe!$B$32:$B$131,MATCH(23,Rückgabe!$M$32:$M$131,0)),"")="","",IFERROR(INDEX(Rückgabe!$F$32:$F$131,MATCH(23,Rückgabe!$M$32:$M$131,0)),""))</f>
        <v/>
      </c>
      <c r="E32" s="42">
        <f>IF(IFERROR(INDEX(Rückgabe!$B$32:$B$131,MATCH(23,Rückgabe!$M$32:$M$131,0)),"")="","",IFERROR(INDEX(Rückgabe!$I$32:$I$131,MATCH(23,Rückgabe!$M$32:$M$131,0)),""))</f>
        <v/>
      </c>
      <c r="F32" s="43">
        <f>IF(IFERROR(INDEX(Rückgabe!$B$32:$B$131,MATCH(23,Rückgabe!$M$32:$M$131,0)),"")="","",IFERROR(INDEX(Rückgabe!$H$32:$H$131,MATCH(23,Rückgabe!$M$32:$M$131,0)),""))</f>
        <v/>
      </c>
      <c r="G32" s="44">
        <f>IF(IFERROR(INDEX(Rückgabe!$B$32:$B$131,MATCH(23,Rückgabe!$M$32:$M$131,0)),"")="","",IFERROR(INDEX(Rückgabe!$J$32:$J$131,MATCH(23,Rückgabe!$M$32:$M$131,0)),""))</f>
        <v/>
      </c>
      <c r="H32" s="41">
        <f>IF(IFERROR(INDEX(Rückgabe!$B$32:$B$131,MATCH(23,Rückgabe!$M$32:$M$131,0)),"")="","",IFERROR(INDEX(Rückgabe!$K$32:$K$131,MATCH(23,Rückgabe!$M$32:$M$131,0)),""))</f>
        <v/>
      </c>
    </row>
    <row r="33">
      <c r="A33" s="40">
        <f>IF(IFERROR(INDEX(Rückgabe!$B$32:$B$131,MATCH(24,Rückgabe!$M$32:$M$131,0)),"")="","",IFERROR(INDEX(Rückgabe!$B$32:$B$131,MATCH(24,Rückgabe!$M$32:$M$131,0)),"")&amp;" · "&amp;IFERROR(INDEX(Rückgabe!$C$32:$C$131,MATCH(24,Rückgabe!$M$32:$M$131,0)),""))</f>
        <v/>
      </c>
      <c r="B33" s="40">
        <f>IF(IFERROR(INDEX(Rückgabe!$B$32:$B$131,MATCH(24,Rückgabe!$M$32:$M$131,0)),"")="","",IFERROR(INDEX(Rückgabe!$D$32:$D$131,MATCH(24,Rückgabe!$M$32:$M$131,0)),""))</f>
        <v/>
      </c>
      <c r="C33" s="40">
        <f>IF(IFERROR(INDEX(Rückgabe!$B$32:$B$131,MATCH(24,Rückgabe!$M$32:$M$131,0)),"")="","",IFERROR(INDEX(Rückgabe!$E$32:$E$131,MATCH(24,Rückgabe!$M$32:$M$131,0)),""))</f>
        <v/>
      </c>
      <c r="D33" s="41">
        <f>IF(IFERROR(INDEX(Rückgabe!$B$32:$B$131,MATCH(24,Rückgabe!$M$32:$M$131,0)),"")="","",IFERROR(INDEX(Rückgabe!$F$32:$F$131,MATCH(24,Rückgabe!$M$32:$M$131,0)),""))</f>
        <v/>
      </c>
      <c r="E33" s="42">
        <f>IF(IFERROR(INDEX(Rückgabe!$B$32:$B$131,MATCH(24,Rückgabe!$M$32:$M$131,0)),"")="","",IFERROR(INDEX(Rückgabe!$I$32:$I$131,MATCH(24,Rückgabe!$M$32:$M$131,0)),""))</f>
        <v/>
      </c>
      <c r="F33" s="43">
        <f>IF(IFERROR(INDEX(Rückgabe!$B$32:$B$131,MATCH(24,Rückgabe!$M$32:$M$131,0)),"")="","",IFERROR(INDEX(Rückgabe!$H$32:$H$131,MATCH(24,Rückgabe!$M$32:$M$131,0)),""))</f>
        <v/>
      </c>
      <c r="G33" s="44">
        <f>IF(IFERROR(INDEX(Rückgabe!$B$32:$B$131,MATCH(24,Rückgabe!$M$32:$M$131,0)),"")="","",IFERROR(INDEX(Rückgabe!$J$32:$J$131,MATCH(24,Rückgabe!$M$32:$M$131,0)),""))</f>
        <v/>
      </c>
      <c r="H33" s="41">
        <f>IF(IFERROR(INDEX(Rückgabe!$B$32:$B$131,MATCH(24,Rückgabe!$M$32:$M$131,0)),"")="","",IFERROR(INDEX(Rückgabe!$K$32:$K$131,MATCH(24,Rückgabe!$M$32:$M$131,0)),""))</f>
        <v/>
      </c>
    </row>
    <row r="34">
      <c r="A34" s="40">
        <f>IF(IFERROR(INDEX(Rückgabe!$B$32:$B$131,MATCH(25,Rückgabe!$M$32:$M$131,0)),"")="","",IFERROR(INDEX(Rückgabe!$B$32:$B$131,MATCH(25,Rückgabe!$M$32:$M$131,0)),"")&amp;" · "&amp;IFERROR(INDEX(Rückgabe!$C$32:$C$131,MATCH(25,Rückgabe!$M$32:$M$131,0)),""))</f>
        <v/>
      </c>
      <c r="B34" s="40">
        <f>IF(IFERROR(INDEX(Rückgabe!$B$32:$B$131,MATCH(25,Rückgabe!$M$32:$M$131,0)),"")="","",IFERROR(INDEX(Rückgabe!$D$32:$D$131,MATCH(25,Rückgabe!$M$32:$M$131,0)),""))</f>
        <v/>
      </c>
      <c r="C34" s="40">
        <f>IF(IFERROR(INDEX(Rückgabe!$B$32:$B$131,MATCH(25,Rückgabe!$M$32:$M$131,0)),"")="","",IFERROR(INDEX(Rückgabe!$E$32:$E$131,MATCH(25,Rückgabe!$M$32:$M$131,0)),""))</f>
        <v/>
      </c>
      <c r="D34" s="41">
        <f>IF(IFERROR(INDEX(Rückgabe!$B$32:$B$131,MATCH(25,Rückgabe!$M$32:$M$131,0)),"")="","",IFERROR(INDEX(Rückgabe!$F$32:$F$131,MATCH(25,Rückgabe!$M$32:$M$131,0)),""))</f>
        <v/>
      </c>
      <c r="E34" s="42">
        <f>IF(IFERROR(INDEX(Rückgabe!$B$32:$B$131,MATCH(25,Rückgabe!$M$32:$M$131,0)),"")="","",IFERROR(INDEX(Rückgabe!$I$32:$I$131,MATCH(25,Rückgabe!$M$32:$M$131,0)),""))</f>
        <v/>
      </c>
      <c r="F34" s="43">
        <f>IF(IFERROR(INDEX(Rückgabe!$B$32:$B$131,MATCH(25,Rückgabe!$M$32:$M$131,0)),"")="","",IFERROR(INDEX(Rückgabe!$H$32:$H$131,MATCH(25,Rückgabe!$M$32:$M$131,0)),""))</f>
        <v/>
      </c>
      <c r="G34" s="44">
        <f>IF(IFERROR(INDEX(Rückgabe!$B$32:$B$131,MATCH(25,Rückgabe!$M$32:$M$131,0)),"")="","",IFERROR(INDEX(Rückgabe!$J$32:$J$131,MATCH(25,Rückgabe!$M$32:$M$131,0)),""))</f>
        <v/>
      </c>
      <c r="H34" s="41">
        <f>IF(IFERROR(INDEX(Rückgabe!$B$32:$B$131,MATCH(25,Rückgabe!$M$32:$M$131,0)),"")="","",IFERROR(INDEX(Rückgabe!$K$32:$K$131,MATCH(25,Rückgabe!$M$32:$M$131,0)),""))</f>
        <v/>
      </c>
    </row>
    <row r="35">
      <c r="A35" s="40">
        <f>IF(IFERROR(INDEX(Rückgabe!$B$32:$B$131,MATCH(26,Rückgabe!$M$32:$M$131,0)),"")="","",IFERROR(INDEX(Rückgabe!$B$32:$B$131,MATCH(26,Rückgabe!$M$32:$M$131,0)),"")&amp;" · "&amp;IFERROR(INDEX(Rückgabe!$C$32:$C$131,MATCH(26,Rückgabe!$M$32:$M$131,0)),""))</f>
        <v/>
      </c>
      <c r="B35" s="40">
        <f>IF(IFERROR(INDEX(Rückgabe!$B$32:$B$131,MATCH(26,Rückgabe!$M$32:$M$131,0)),"")="","",IFERROR(INDEX(Rückgabe!$D$32:$D$131,MATCH(26,Rückgabe!$M$32:$M$131,0)),""))</f>
        <v/>
      </c>
      <c r="C35" s="40">
        <f>IF(IFERROR(INDEX(Rückgabe!$B$32:$B$131,MATCH(26,Rückgabe!$M$32:$M$131,0)),"")="","",IFERROR(INDEX(Rückgabe!$E$32:$E$131,MATCH(26,Rückgabe!$M$32:$M$131,0)),""))</f>
        <v/>
      </c>
      <c r="D35" s="41">
        <f>IF(IFERROR(INDEX(Rückgabe!$B$32:$B$131,MATCH(26,Rückgabe!$M$32:$M$131,0)),"")="","",IFERROR(INDEX(Rückgabe!$F$32:$F$131,MATCH(26,Rückgabe!$M$32:$M$131,0)),""))</f>
        <v/>
      </c>
      <c r="E35" s="42">
        <f>IF(IFERROR(INDEX(Rückgabe!$B$32:$B$131,MATCH(26,Rückgabe!$M$32:$M$131,0)),"")="","",IFERROR(INDEX(Rückgabe!$I$32:$I$131,MATCH(26,Rückgabe!$M$32:$M$131,0)),""))</f>
        <v/>
      </c>
      <c r="F35" s="43">
        <f>IF(IFERROR(INDEX(Rückgabe!$B$32:$B$131,MATCH(26,Rückgabe!$M$32:$M$131,0)),"")="","",IFERROR(INDEX(Rückgabe!$H$32:$H$131,MATCH(26,Rückgabe!$M$32:$M$131,0)),""))</f>
        <v/>
      </c>
      <c r="G35" s="44">
        <f>IF(IFERROR(INDEX(Rückgabe!$B$32:$B$131,MATCH(26,Rückgabe!$M$32:$M$131,0)),"")="","",IFERROR(INDEX(Rückgabe!$J$32:$J$131,MATCH(26,Rückgabe!$M$32:$M$131,0)),""))</f>
        <v/>
      </c>
      <c r="H35" s="41">
        <f>IF(IFERROR(INDEX(Rückgabe!$B$32:$B$131,MATCH(26,Rückgabe!$M$32:$M$131,0)),"")="","",IFERROR(INDEX(Rückgabe!$K$32:$K$131,MATCH(26,Rückgabe!$M$32:$M$131,0)),""))</f>
        <v/>
      </c>
    </row>
    <row r="36">
      <c r="A36" s="40">
        <f>IF(IFERROR(INDEX(Rückgabe!$B$32:$B$131,MATCH(27,Rückgabe!$M$32:$M$131,0)),"")="","",IFERROR(INDEX(Rückgabe!$B$32:$B$131,MATCH(27,Rückgabe!$M$32:$M$131,0)),"")&amp;" · "&amp;IFERROR(INDEX(Rückgabe!$C$32:$C$131,MATCH(27,Rückgabe!$M$32:$M$131,0)),""))</f>
        <v/>
      </c>
      <c r="B36" s="40">
        <f>IF(IFERROR(INDEX(Rückgabe!$B$32:$B$131,MATCH(27,Rückgabe!$M$32:$M$131,0)),"")="","",IFERROR(INDEX(Rückgabe!$D$32:$D$131,MATCH(27,Rückgabe!$M$32:$M$131,0)),""))</f>
        <v/>
      </c>
      <c r="C36" s="40">
        <f>IF(IFERROR(INDEX(Rückgabe!$B$32:$B$131,MATCH(27,Rückgabe!$M$32:$M$131,0)),"")="","",IFERROR(INDEX(Rückgabe!$E$32:$E$131,MATCH(27,Rückgabe!$M$32:$M$131,0)),""))</f>
        <v/>
      </c>
      <c r="D36" s="41">
        <f>IF(IFERROR(INDEX(Rückgabe!$B$32:$B$131,MATCH(27,Rückgabe!$M$32:$M$131,0)),"")="","",IFERROR(INDEX(Rückgabe!$F$32:$F$131,MATCH(27,Rückgabe!$M$32:$M$131,0)),""))</f>
        <v/>
      </c>
      <c r="E36" s="42">
        <f>IF(IFERROR(INDEX(Rückgabe!$B$32:$B$131,MATCH(27,Rückgabe!$M$32:$M$131,0)),"")="","",IFERROR(INDEX(Rückgabe!$I$32:$I$131,MATCH(27,Rückgabe!$M$32:$M$131,0)),""))</f>
        <v/>
      </c>
      <c r="F36" s="43">
        <f>IF(IFERROR(INDEX(Rückgabe!$B$32:$B$131,MATCH(27,Rückgabe!$M$32:$M$131,0)),"")="","",IFERROR(INDEX(Rückgabe!$H$32:$H$131,MATCH(27,Rückgabe!$M$32:$M$131,0)),""))</f>
        <v/>
      </c>
      <c r="G36" s="44">
        <f>IF(IFERROR(INDEX(Rückgabe!$B$32:$B$131,MATCH(27,Rückgabe!$M$32:$M$131,0)),"")="","",IFERROR(INDEX(Rückgabe!$J$32:$J$131,MATCH(27,Rückgabe!$M$32:$M$131,0)),""))</f>
        <v/>
      </c>
      <c r="H36" s="41">
        <f>IF(IFERROR(INDEX(Rückgabe!$B$32:$B$131,MATCH(27,Rückgabe!$M$32:$M$131,0)),"")="","",IFERROR(INDEX(Rückgabe!$K$32:$K$131,MATCH(27,Rückgabe!$M$32:$M$131,0)),""))</f>
        <v/>
      </c>
    </row>
    <row r="37">
      <c r="A37" s="40">
        <f>IF(IFERROR(INDEX(Rückgabe!$B$32:$B$131,MATCH(28,Rückgabe!$M$32:$M$131,0)),"")="","",IFERROR(INDEX(Rückgabe!$B$32:$B$131,MATCH(28,Rückgabe!$M$32:$M$131,0)),"")&amp;" · "&amp;IFERROR(INDEX(Rückgabe!$C$32:$C$131,MATCH(28,Rückgabe!$M$32:$M$131,0)),""))</f>
        <v/>
      </c>
      <c r="B37" s="40">
        <f>IF(IFERROR(INDEX(Rückgabe!$B$32:$B$131,MATCH(28,Rückgabe!$M$32:$M$131,0)),"")="","",IFERROR(INDEX(Rückgabe!$D$32:$D$131,MATCH(28,Rückgabe!$M$32:$M$131,0)),""))</f>
        <v/>
      </c>
      <c r="C37" s="40">
        <f>IF(IFERROR(INDEX(Rückgabe!$B$32:$B$131,MATCH(28,Rückgabe!$M$32:$M$131,0)),"")="","",IFERROR(INDEX(Rückgabe!$E$32:$E$131,MATCH(28,Rückgabe!$M$32:$M$131,0)),""))</f>
        <v/>
      </c>
      <c r="D37" s="41">
        <f>IF(IFERROR(INDEX(Rückgabe!$B$32:$B$131,MATCH(28,Rückgabe!$M$32:$M$131,0)),"")="","",IFERROR(INDEX(Rückgabe!$F$32:$F$131,MATCH(28,Rückgabe!$M$32:$M$131,0)),""))</f>
        <v/>
      </c>
      <c r="E37" s="42">
        <f>IF(IFERROR(INDEX(Rückgabe!$B$32:$B$131,MATCH(28,Rückgabe!$M$32:$M$131,0)),"")="","",IFERROR(INDEX(Rückgabe!$I$32:$I$131,MATCH(28,Rückgabe!$M$32:$M$131,0)),""))</f>
        <v/>
      </c>
      <c r="F37" s="43">
        <f>IF(IFERROR(INDEX(Rückgabe!$B$32:$B$131,MATCH(28,Rückgabe!$M$32:$M$131,0)),"")="","",IFERROR(INDEX(Rückgabe!$H$32:$H$131,MATCH(28,Rückgabe!$M$32:$M$131,0)),""))</f>
        <v/>
      </c>
      <c r="G37" s="44">
        <f>IF(IFERROR(INDEX(Rückgabe!$B$32:$B$131,MATCH(28,Rückgabe!$M$32:$M$131,0)),"")="","",IFERROR(INDEX(Rückgabe!$J$32:$J$131,MATCH(28,Rückgabe!$M$32:$M$131,0)),""))</f>
        <v/>
      </c>
      <c r="H37" s="41">
        <f>IF(IFERROR(INDEX(Rückgabe!$B$32:$B$131,MATCH(28,Rückgabe!$M$32:$M$131,0)),"")="","",IFERROR(INDEX(Rückgabe!$K$32:$K$131,MATCH(28,Rückgabe!$M$32:$M$131,0)),""))</f>
        <v/>
      </c>
    </row>
    <row r="38">
      <c r="A38" s="40">
        <f>IF(IFERROR(INDEX(Rückgabe!$B$32:$B$131,MATCH(29,Rückgabe!$M$32:$M$131,0)),"")="","",IFERROR(INDEX(Rückgabe!$B$32:$B$131,MATCH(29,Rückgabe!$M$32:$M$131,0)),"")&amp;" · "&amp;IFERROR(INDEX(Rückgabe!$C$32:$C$131,MATCH(29,Rückgabe!$M$32:$M$131,0)),""))</f>
        <v/>
      </c>
      <c r="B38" s="40">
        <f>IF(IFERROR(INDEX(Rückgabe!$B$32:$B$131,MATCH(29,Rückgabe!$M$32:$M$131,0)),"")="","",IFERROR(INDEX(Rückgabe!$D$32:$D$131,MATCH(29,Rückgabe!$M$32:$M$131,0)),""))</f>
        <v/>
      </c>
      <c r="C38" s="40">
        <f>IF(IFERROR(INDEX(Rückgabe!$B$32:$B$131,MATCH(29,Rückgabe!$M$32:$M$131,0)),"")="","",IFERROR(INDEX(Rückgabe!$E$32:$E$131,MATCH(29,Rückgabe!$M$32:$M$131,0)),""))</f>
        <v/>
      </c>
      <c r="D38" s="41">
        <f>IF(IFERROR(INDEX(Rückgabe!$B$32:$B$131,MATCH(29,Rückgabe!$M$32:$M$131,0)),"")="","",IFERROR(INDEX(Rückgabe!$F$32:$F$131,MATCH(29,Rückgabe!$M$32:$M$131,0)),""))</f>
        <v/>
      </c>
      <c r="E38" s="42">
        <f>IF(IFERROR(INDEX(Rückgabe!$B$32:$B$131,MATCH(29,Rückgabe!$M$32:$M$131,0)),"")="","",IFERROR(INDEX(Rückgabe!$I$32:$I$131,MATCH(29,Rückgabe!$M$32:$M$131,0)),""))</f>
        <v/>
      </c>
      <c r="F38" s="43">
        <f>IF(IFERROR(INDEX(Rückgabe!$B$32:$B$131,MATCH(29,Rückgabe!$M$32:$M$131,0)),"")="","",IFERROR(INDEX(Rückgabe!$H$32:$H$131,MATCH(29,Rückgabe!$M$32:$M$131,0)),""))</f>
        <v/>
      </c>
      <c r="G38" s="44">
        <f>IF(IFERROR(INDEX(Rückgabe!$B$32:$B$131,MATCH(29,Rückgabe!$M$32:$M$131,0)),"")="","",IFERROR(INDEX(Rückgabe!$J$32:$J$131,MATCH(29,Rückgabe!$M$32:$M$131,0)),""))</f>
        <v/>
      </c>
      <c r="H38" s="41">
        <f>IF(IFERROR(INDEX(Rückgabe!$B$32:$B$131,MATCH(29,Rückgabe!$M$32:$M$131,0)),"")="","",IFERROR(INDEX(Rückgabe!$K$32:$K$131,MATCH(29,Rückgabe!$M$32:$M$131,0)),""))</f>
        <v/>
      </c>
    </row>
    <row r="39">
      <c r="A39" s="40">
        <f>IF(IFERROR(INDEX(Rückgabe!$B$32:$B$131,MATCH(30,Rückgabe!$M$32:$M$131,0)),"")="","",IFERROR(INDEX(Rückgabe!$B$32:$B$131,MATCH(30,Rückgabe!$M$32:$M$131,0)),"")&amp;" · "&amp;IFERROR(INDEX(Rückgabe!$C$32:$C$131,MATCH(30,Rückgabe!$M$32:$M$131,0)),""))</f>
        <v/>
      </c>
      <c r="B39" s="40">
        <f>IF(IFERROR(INDEX(Rückgabe!$B$32:$B$131,MATCH(30,Rückgabe!$M$32:$M$131,0)),"")="","",IFERROR(INDEX(Rückgabe!$D$32:$D$131,MATCH(30,Rückgabe!$M$32:$M$131,0)),""))</f>
        <v/>
      </c>
      <c r="C39" s="40">
        <f>IF(IFERROR(INDEX(Rückgabe!$B$32:$B$131,MATCH(30,Rückgabe!$M$32:$M$131,0)),"")="","",IFERROR(INDEX(Rückgabe!$E$32:$E$131,MATCH(30,Rückgabe!$M$32:$M$131,0)),""))</f>
        <v/>
      </c>
      <c r="D39" s="41">
        <f>IF(IFERROR(INDEX(Rückgabe!$B$32:$B$131,MATCH(30,Rückgabe!$M$32:$M$131,0)),"")="","",IFERROR(INDEX(Rückgabe!$F$32:$F$131,MATCH(30,Rückgabe!$M$32:$M$131,0)),""))</f>
        <v/>
      </c>
      <c r="E39" s="42">
        <f>IF(IFERROR(INDEX(Rückgabe!$B$32:$B$131,MATCH(30,Rückgabe!$M$32:$M$131,0)),"")="","",IFERROR(INDEX(Rückgabe!$I$32:$I$131,MATCH(30,Rückgabe!$M$32:$M$131,0)),""))</f>
        <v/>
      </c>
      <c r="F39" s="43">
        <f>IF(IFERROR(INDEX(Rückgabe!$B$32:$B$131,MATCH(30,Rückgabe!$M$32:$M$131,0)),"")="","",IFERROR(INDEX(Rückgabe!$H$32:$H$131,MATCH(30,Rückgabe!$M$32:$M$131,0)),""))</f>
        <v/>
      </c>
      <c r="G39" s="44">
        <f>IF(IFERROR(INDEX(Rückgabe!$B$32:$B$131,MATCH(30,Rückgabe!$M$32:$M$131,0)),"")="","",IFERROR(INDEX(Rückgabe!$J$32:$J$131,MATCH(30,Rückgabe!$M$32:$M$131,0)),""))</f>
        <v/>
      </c>
      <c r="H39" s="41">
        <f>IF(IFERROR(INDEX(Rückgabe!$B$32:$B$131,MATCH(30,Rückgabe!$M$32:$M$131,0)),"")="","",IFERROR(INDEX(Rückgabe!$K$32:$K$131,MATCH(30,Rückgabe!$M$32:$M$131,0)),""))</f>
        <v/>
      </c>
    </row>
    <row r="41">
      <c r="D41" s="5" t="inlineStr">
        <is>
          <t>Schäden zulasten Mieter</t>
        </is>
      </c>
      <c r="H41" s="45">
        <f>N(IFERROR(INDEX(Rückgabe!$P$8:$P$27,MATCH(Rückgabe!$E$3,Rückgabe!$A$8:$A$27,0)),""))</f>
        <v/>
      </c>
    </row>
    <row r="42">
      <c r="D42" s="5" t="inlineStr">
        <is>
          <t>Ausstehende Mietzinse</t>
        </is>
      </c>
      <c r="H42" s="45">
        <f>N(IFERROR(INDEX(Rückgabe!$L$8:$L$27,MATCH(Rückgabe!$E$3,Rückgabe!$A$8:$A$27,0)),""))</f>
        <v/>
      </c>
    </row>
    <row r="43">
      <c r="D43" s="5" t="inlineStr">
        <is>
          <t>Nebenkosten-Saldo</t>
        </is>
      </c>
      <c r="H43" s="45">
        <f>IF(IFERROR(INDEX(Rückgabe!$N$8:$N$27,MATCH(Rückgabe!$E$3,Rückgabe!$A$8:$A$27,0)),"")&lt;&gt;"",IFERROR(INDEX(Rückgabe!$N$8:$N$27,MATCH(Rückgabe!$E$3,Rückgabe!$A$8:$A$27,0)),""),N(IFERROR(INDEX(Rückgabe!$M$8:$M$27,MATCH(Rückgabe!$E$3,Rückgabe!$A$8:$A$27,0)),"")))</f>
        <v/>
      </c>
    </row>
    <row r="44">
      <c r="D44" s="5" t="inlineStr">
        <is>
          <t>Weitere Forderungen</t>
        </is>
      </c>
      <c r="H44" s="45">
        <f>N(IFERROR(INDEX(Rückgabe!$O$8:$O$27,MATCH(Rückgabe!$E$3,Rückgabe!$A$8:$A$27,0)),""))</f>
        <v/>
      </c>
    </row>
    <row r="45">
      <c r="D45" s="15" t="inlineStr">
        <is>
          <t>Total Forderungen</t>
        </is>
      </c>
      <c r="H45" s="46">
        <f>N(IFERROR(INDEX(Rückgabe!$Q$8:$Q$27,MATCH(Rückgabe!$E$3,Rückgabe!$A$8:$A$27,0)),""))</f>
        <v/>
      </c>
    </row>
    <row r="46">
      <c r="D46" s="5" t="inlineStr">
        <is>
          <t>Mietkaution inkl. Zins</t>
        </is>
      </c>
      <c r="H46" s="45">
        <f>N(IFERROR(INDEX(Rückgabe!$R$8:$R$27,MATCH(Rückgabe!$E$3,Rückgabe!$A$8:$A$27,0)),""))</f>
        <v/>
      </c>
    </row>
    <row r="47">
      <c r="D47" s="15" t="inlineStr">
        <is>
          <t>Aus der Kaution an den Vermieter</t>
        </is>
      </c>
      <c r="H47" s="46">
        <f>N(IFERROR(INDEX(Rückgabe!$S$8:$S$27,MATCH(Rückgabe!$E$3,Rückgabe!$A$8:$A$27,0)),""))</f>
        <v/>
      </c>
    </row>
    <row r="48">
      <c r="D48" s="15" t="inlineStr">
        <is>
          <t>Aus der Kaution an den Mieter</t>
        </is>
      </c>
      <c r="H48" s="46">
        <f>N(IFERROR(INDEX(Rückgabe!$T$8:$T$27,MATCH(Rückgabe!$E$3,Rückgabe!$A$8:$A$27,0)),""))</f>
        <v/>
      </c>
    </row>
    <row r="49">
      <c r="D49" s="5" t="inlineStr">
        <is>
          <t>Restforderung über die Kaution hinaus</t>
        </is>
      </c>
      <c r="H49" s="45">
        <f>N(IFERROR(INDEX(Rückgabe!$U$8:$U$27,MATCH(Rückgabe!$E$3,Rückgabe!$A$8:$A$27,0)),""))</f>
        <v/>
      </c>
    </row>
    <row r="50">
      <c r="D50" s="5" t="inlineStr">
        <is>
          <t>Zusätzlich vom Vermieter zu bezahlen</t>
        </is>
      </c>
      <c r="H50" s="45">
        <f>N(IFERROR(INDEX(Rückgabe!$V$8:$V$27,MATCH(Rückgabe!$E$3,Rückgabe!$A$8:$A$27,0)),""))</f>
        <v/>
      </c>
    </row>
    <row r="52">
      <c r="A52" s="38" t="inlineStr">
        <is>
          <t>Berechnung: Kosten × (1 − Alter ÷ Lebensdauer) gemäss paritätischer Lebensdauertabelle HEV/MV. Normale Abnutzung geht nicht zulasten des Mieters (Art. 267 OR).</t>
        </is>
      </c>
    </row>
    <row r="53">
      <c r="A53" s="38" t="inlineStr">
        <is>
          <t>Offerten und Rechnungen können eingesehen werden. Einwände bitte innert 30 Tagen schriftlich.</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pageSetup fitToHeight="1" fitToWidth="1"/>
</worksheet>
</file>

<file path=xl/worksheets/sheet8.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cols>
    <col width="22" customWidth="1" min="1" max="1"/>
    <col width="46" customWidth="1" min="2" max="2"/>
    <col width="16" customWidth="1" min="3" max="3"/>
  </cols>
  <sheetData>
    <row r="1">
      <c r="A1" s="39" t="inlineStr">
        <is>
          <t>Freigabe der Mietkaution</t>
        </is>
      </c>
    </row>
    <row r="3">
      <c r="A3" s="15" t="inlineStr">
        <is>
          <t>An</t>
        </is>
      </c>
      <c r="B3" s="5">
        <f>IFERROR(INDEX('Mein Haus'!$J$45:$J$104,Rückgabe!$E$3)&amp;"","")</f>
        <v/>
      </c>
    </row>
    <row r="5">
      <c r="A5" s="15" t="inlineStr">
        <is>
          <t>Mietobjekt</t>
        </is>
      </c>
      <c r="B5" s="5">
        <f>'Mein Haus'!B4</f>
        <v/>
      </c>
    </row>
    <row r="6">
      <c r="A6" s="15" t="inlineStr">
        <is>
          <t>Mietende</t>
        </is>
      </c>
      <c r="B6" s="28">
        <f>IFERROR(INDEX(Rückgabe!$C$8:$C$27,MATCH(Rückgabe!$E$3,Rückgabe!$A$8:$A$27,0)),"")</f>
        <v/>
      </c>
    </row>
    <row r="8">
      <c r="A8" s="5" t="inlineStr">
        <is>
          <t>Die Unterzeichnenden ersuchen Sie, das Mietkautionskonto zu saldieren und wie folgt auszuzahlen:</t>
        </is>
      </c>
    </row>
    <row r="10">
      <c r="A10" s="15" t="inlineStr">
        <is>
          <t>An den Mieter</t>
        </is>
      </c>
      <c r="B10" s="5">
        <f>IFERROR(INDEX(Rückgabe!$B$8:$B$27,MATCH(Rückgabe!$E$3,Rückgabe!$A$8:$A$27,0)),"")&amp;""</f>
        <v/>
      </c>
      <c r="C10" s="47">
        <f>N(IFERROR(INDEX(Rückgabe!$T$8:$T$27,MATCH(Rückgabe!$E$3,Rückgabe!$A$8:$A$27,0)),""))</f>
        <v/>
      </c>
    </row>
    <row r="11">
      <c r="A11" s="15" t="inlineStr">
        <is>
          <t>IBAN Mieter</t>
        </is>
      </c>
      <c r="B11" s="16" t="n"/>
    </row>
    <row r="12">
      <c r="A12" s="15" t="inlineStr">
        <is>
          <t>An den Vermieter</t>
        </is>
      </c>
      <c r="B12" s="5">
        <f>'Mein Haus'!B5</f>
        <v/>
      </c>
      <c r="C12" s="47">
        <f>N(IFERROR(INDEX(Rückgabe!$S$8:$S$27,MATCH(Rückgabe!$E$3,Rückgabe!$A$8:$A$27,0)),""))</f>
        <v/>
      </c>
    </row>
    <row r="13">
      <c r="A13" s="15" t="inlineStr">
        <is>
          <t>IBAN Vermieter</t>
        </is>
      </c>
      <c r="B13" s="5">
        <f>'Mein Haus'!B6&amp;""</f>
        <v/>
      </c>
    </row>
    <row r="14">
      <c r="A14" s="27" t="inlineStr">
        <is>
          <t>Allfälliger Zins bis zur Saldierung geht an den Mieter.</t>
        </is>
      </c>
    </row>
    <row r="17">
      <c r="A17" s="15" t="inlineStr">
        <is>
          <t>Ort, Datum:</t>
        </is>
      </c>
      <c r="B17" s="5" t="inlineStr">
        <is>
          <t>______________________________</t>
        </is>
      </c>
    </row>
    <row r="20">
      <c r="A20" s="15" t="inlineStr">
        <is>
          <t>Mieter:</t>
        </is>
      </c>
      <c r="B20" s="5" t="inlineStr">
        <is>
          <t>______________________________</t>
        </is>
      </c>
    </row>
    <row r="23">
      <c r="A23" s="15" t="inlineStr">
        <is>
          <t>Vermieter:</t>
        </is>
      </c>
      <c r="B23" s="5" t="inlineStr">
        <is>
          <t>______________________________</t>
        </is>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8" customWidth="1" min="1" max="1"/>
    <col width="15" customWidth="1" min="2" max="2"/>
    <col width="13" customWidth="1" min="3" max="3"/>
    <col width="12" customWidth="1" min="4" max="4"/>
    <col width="14" customWidth="1" min="5" max="5"/>
    <col width="8" customWidth="1" min="6" max="6"/>
  </cols>
  <sheetData>
    <row r="1">
      <c r="A1" s="14" t="inlineStr">
        <is>
          <t>Nebenkosten</t>
        </is>
      </c>
    </row>
    <row r="2">
      <c r="A2" s="24" t="inlineStr">
        <is>
          <t>START: Periodenbeginn (1. eines Monats) und die Kosten der Periode. Mieter und Flächen kommen aus «Mein Haus».</t>
        </is>
      </c>
    </row>
    <row r="3">
      <c r="A3" s="24" t="inlineStr">
        <is>
          <t>BERECHNUNG: Verteilt jede Kostenart nach Schlüssel; Heizung nach Monatsgewichten, sonst taggenau. Leerstand bleibt beim Eigentümer.</t>
        </is>
      </c>
    </row>
    <row r="4">
      <c r="A4" s="24" t="inlineStr">
        <is>
          <t>ERGEBNIS: Blatt «NK Abrechnung» zeigt pro Mieter Nachzahlung oder Guthaben.</t>
        </is>
      </c>
    </row>
    <row r="5">
      <c r="A5" s="24" t="inlineStr">
        <is>
          <t>AUSGABE: «NK Abrechnung» pro Mieter drucken (eine A4-Seite).</t>
        </is>
      </c>
    </row>
    <row r="7">
      <c r="A7" s="15" t="inlineStr">
        <is>
          <t>Beginn Periode</t>
        </is>
      </c>
      <c r="B7" s="20" t="n">
        <v>45658</v>
      </c>
      <c r="C7" s="15" t="inlineStr">
        <is>
          <t>Ende</t>
        </is>
      </c>
      <c r="D7" s="21">
        <f>IF(B7="","",EDATE(B7,12)-1)</f>
        <v/>
      </c>
      <c r="E7" s="15" t="inlineStr">
        <is>
          <t>Tage</t>
        </is>
      </c>
      <c r="F7" s="10">
        <f>IF(B7="","",D7-B7+1)</f>
        <v/>
      </c>
    </row>
    <row r="9">
      <c r="A9" s="6" t="inlineStr">
        <is>
          <t>Kostenart</t>
        </is>
      </c>
      <c r="B9" s="6" t="inlineStr">
        <is>
          <t>Betrag CHF</t>
        </is>
      </c>
      <c r="C9" s="6" t="inlineStr">
        <is>
          <t>Schlüssel</t>
        </is>
      </c>
      <c r="D9" s="6" t="inlineStr">
        <is>
          <t>Verteilung</t>
        </is>
      </c>
      <c r="E9" s="6" t="inlineStr">
        <is>
          <t>Total Schlüssel</t>
        </is>
      </c>
    </row>
    <row r="10">
      <c r="A10" s="16" t="inlineStr">
        <is>
          <t>Heizung und Warmwasser (Gas)</t>
        </is>
      </c>
      <c r="B10" s="22" t="n">
        <v>9600</v>
      </c>
      <c r="C10" s="16" t="inlineStr">
        <is>
          <t>Fläche</t>
        </is>
      </c>
      <c r="D10" s="16" t="inlineStr">
        <is>
          <t>Heizung</t>
        </is>
      </c>
      <c r="E10" s="19">
        <f>IF(C10="Fläche",'Mein Haus'!$D$41,IF(C10="Anteil",'Mein Haus'!$E$41,IF(C10="Einheiten",'Mein Haus'!$F$41,0)))</f>
        <v/>
      </c>
    </row>
    <row r="11">
      <c r="A11" s="16" t="inlineStr">
        <is>
          <t>Hauswartung</t>
        </is>
      </c>
      <c r="B11" s="22" t="n">
        <v>3600</v>
      </c>
      <c r="C11" s="16" t="inlineStr">
        <is>
          <t>Fläche</t>
        </is>
      </c>
      <c r="D11" s="16" t="inlineStr">
        <is>
          <t>Linear</t>
        </is>
      </c>
      <c r="E11" s="19">
        <f>IF(C11="Fläche",'Mein Haus'!$D$41,IF(C11="Anteil",'Mein Haus'!$E$41,IF(C11="Einheiten",'Mein Haus'!$F$41,0)))</f>
        <v/>
      </c>
    </row>
    <row r="12">
      <c r="A12" s="16" t="inlineStr">
        <is>
          <t>Treppenhausreinigung</t>
        </is>
      </c>
      <c r="B12" s="22" t="n">
        <v>1200</v>
      </c>
      <c r="C12" s="16" t="inlineStr">
        <is>
          <t>Einheiten</t>
        </is>
      </c>
      <c r="D12" s="16" t="inlineStr">
        <is>
          <t>Linear</t>
        </is>
      </c>
      <c r="E12" s="19">
        <f>IF(C12="Fläche",'Mein Haus'!$D$41,IF(C12="Anteil",'Mein Haus'!$E$41,IF(C12="Einheiten",'Mein Haus'!$F$41,0)))</f>
        <v/>
      </c>
    </row>
    <row r="13">
      <c r="A13" s="16" t="inlineStr">
        <is>
          <t>Allgemeinstrom</t>
        </is>
      </c>
      <c r="B13" s="22" t="n">
        <v>640</v>
      </c>
      <c r="C13" s="16" t="inlineStr">
        <is>
          <t>Anteil</t>
        </is>
      </c>
      <c r="D13" s="16" t="inlineStr">
        <is>
          <t>Linear</t>
        </is>
      </c>
      <c r="E13" s="19">
        <f>IF(C13="Fläche",'Mein Haus'!$D$41,IF(C13="Anteil",'Mein Haus'!$E$41,IF(C13="Einheiten",'Mein Haus'!$F$41,0)))</f>
        <v/>
      </c>
    </row>
    <row r="14">
      <c r="A14" s="16" t="inlineStr">
        <is>
          <t>Wasser und Abwasser</t>
        </is>
      </c>
      <c r="B14" s="22" t="n">
        <v>2350</v>
      </c>
      <c r="C14" s="16" t="inlineStr">
        <is>
          <t>Anteil</t>
        </is>
      </c>
      <c r="D14" s="16" t="inlineStr">
        <is>
          <t>Linear</t>
        </is>
      </c>
      <c r="E14" s="19">
        <f>IF(C14="Fläche",'Mein Haus'!$D$41,IF(C14="Anteil",'Mein Haus'!$E$41,IF(C14="Einheiten",'Mein Haus'!$F$41,0)))</f>
        <v/>
      </c>
    </row>
    <row r="15">
      <c r="A15" s="16" t="inlineStr">
        <is>
          <t>Kehrichtgrundgebühr</t>
        </is>
      </c>
      <c r="B15" s="22" t="n">
        <v>480</v>
      </c>
      <c r="C15" s="16" t="inlineStr">
        <is>
          <t>Einheiten</t>
        </is>
      </c>
      <c r="D15" s="16" t="inlineStr">
        <is>
          <t>Linear</t>
        </is>
      </c>
      <c r="E15" s="19">
        <f>IF(C15="Fläche",'Mein Haus'!$D$41,IF(C15="Anteil",'Mein Haus'!$E$41,IF(C15="Einheiten",'Mein Haus'!$F$41,0)))</f>
        <v/>
      </c>
    </row>
    <row r="16">
      <c r="A16" s="16" t="inlineStr">
        <is>
          <t>Service Heizanlage</t>
        </is>
      </c>
      <c r="B16" s="22" t="n">
        <v>520</v>
      </c>
      <c r="C16" s="16" t="inlineStr">
        <is>
          <t>Fläche</t>
        </is>
      </c>
      <c r="D16" s="16" t="inlineStr">
        <is>
          <t>Heizung</t>
        </is>
      </c>
      <c r="E16" s="19">
        <f>IF(C16="Fläche",'Mein Haus'!$D$41,IF(C16="Anteil",'Mein Haus'!$E$41,IF(C16="Einheiten",'Mein Haus'!$F$41,0)))</f>
        <v/>
      </c>
    </row>
    <row r="17">
      <c r="A17" s="16" t="inlineStr">
        <is>
          <t>Verwaltungsaufwand 3 %</t>
        </is>
      </c>
      <c r="B17" s="22">
        <f>ROUND(SUM(B10:B16)*3%,2)</f>
        <v/>
      </c>
      <c r="C17" s="16" t="inlineStr">
        <is>
          <t>Fläche</t>
        </is>
      </c>
      <c r="D17" s="16" t="inlineStr">
        <is>
          <t>Linear</t>
        </is>
      </c>
      <c r="E17" s="19">
        <f>IF(C17="Fläche",'Mein Haus'!$D$41,IF(C17="Anteil",'Mein Haus'!$E$41,IF(C17="Einheiten",'Mein Haus'!$F$41,0)))</f>
        <v/>
      </c>
    </row>
    <row r="18">
      <c r="A18" s="16" t="n"/>
      <c r="B18" s="22" t="n"/>
      <c r="C18" s="16" t="n"/>
      <c r="D18" s="16" t="n"/>
      <c r="E18" s="19">
        <f>IF(C18="Fläche",'Mein Haus'!$D$41,IF(C18="Anteil",'Mein Haus'!$E$41,IF(C18="Einheiten",'Mein Haus'!$F$41,0)))</f>
        <v/>
      </c>
    </row>
    <row r="19">
      <c r="A19" s="16" t="n"/>
      <c r="B19" s="22" t="n"/>
      <c r="C19" s="16" t="n"/>
      <c r="D19" s="16" t="n"/>
      <c r="E19" s="19">
        <f>IF(C19="Fläche",'Mein Haus'!$D$41,IF(C19="Anteil",'Mein Haus'!$E$41,IF(C19="Einheiten",'Mein Haus'!$F$41,0)))</f>
        <v/>
      </c>
    </row>
    <row r="20">
      <c r="A20" s="16" t="n"/>
      <c r="B20" s="22" t="n"/>
      <c r="C20" s="16" t="n"/>
      <c r="D20" s="16" t="n"/>
      <c r="E20" s="19">
        <f>IF(C20="Fläche",'Mein Haus'!$D$41,IF(C20="Anteil",'Mein Haus'!$E$41,IF(C20="Einheiten",'Mein Haus'!$F$41,0)))</f>
        <v/>
      </c>
    </row>
    <row r="21">
      <c r="A21" s="16" t="n"/>
      <c r="B21" s="22" t="n"/>
      <c r="C21" s="16" t="n"/>
      <c r="D21" s="16" t="n"/>
      <c r="E21" s="19">
        <f>IF(C21="Fläche",'Mein Haus'!$D$41,IF(C21="Anteil",'Mein Haus'!$E$41,IF(C21="Einheiten",'Mein Haus'!$F$41,0)))</f>
        <v/>
      </c>
    </row>
    <row r="22">
      <c r="A22" s="16" t="n"/>
      <c r="B22" s="22" t="n"/>
      <c r="C22" s="16" t="n"/>
      <c r="D22" s="16" t="n"/>
      <c r="E22" s="19">
        <f>IF(C22="Fläche",'Mein Haus'!$D$41,IF(C22="Anteil",'Mein Haus'!$E$41,IF(C22="Einheiten",'Mein Haus'!$F$41,0)))</f>
        <v/>
      </c>
    </row>
    <row r="23">
      <c r="A23" s="16" t="n"/>
      <c r="B23" s="22" t="n"/>
      <c r="C23" s="16" t="n"/>
      <c r="D23" s="16" t="n"/>
      <c r="E23" s="19">
        <f>IF(C23="Fläche",'Mein Haus'!$D$41,IF(C23="Anteil",'Mein Haus'!$E$41,IF(C23="Einheiten",'Mein Haus'!$F$41,0)))</f>
        <v/>
      </c>
    </row>
    <row r="24">
      <c r="A24" s="16" t="n"/>
      <c r="B24" s="22" t="n"/>
      <c r="C24" s="16" t="n"/>
      <c r="D24" s="16" t="n"/>
      <c r="E24" s="19">
        <f>IF(C24="Fläche",'Mein Haus'!$D$41,IF(C24="Anteil",'Mein Haus'!$E$41,IF(C24="Einheiten",'Mein Haus'!$F$41,0)))</f>
        <v/>
      </c>
    </row>
    <row r="25">
      <c r="A25" s="16" t="n"/>
      <c r="B25" s="22" t="n"/>
      <c r="C25" s="16" t="n"/>
      <c r="D25" s="16" t="n"/>
      <c r="E25" s="19">
        <f>IF(C25="Fläche",'Mein Haus'!$D$41,IF(C25="Anteil",'Mein Haus'!$E$41,IF(C25="Einheiten",'Mein Haus'!$F$41,0)))</f>
        <v/>
      </c>
    </row>
    <row r="26">
      <c r="A26" s="16" t="n"/>
      <c r="B26" s="22" t="n"/>
      <c r="C26" s="16" t="n"/>
      <c r="D26" s="16" t="n"/>
      <c r="E26" s="19">
        <f>IF(C26="Fläche",'Mein Haus'!$D$41,IF(C26="Anteil",'Mein Haus'!$E$41,IF(C26="Einheiten",'Mein Haus'!$F$41,0)))</f>
        <v/>
      </c>
    </row>
    <row r="27">
      <c r="A27" s="16" t="n"/>
      <c r="B27" s="22" t="n"/>
      <c r="C27" s="16" t="n"/>
      <c r="D27" s="16" t="n"/>
      <c r="E27" s="19">
        <f>IF(C27="Fläche",'Mein Haus'!$D$41,IF(C27="Anteil",'Mein Haus'!$E$41,IF(C27="Einheiten",'Mein Haus'!$F$41,0)))</f>
        <v/>
      </c>
    </row>
    <row r="28">
      <c r="A28" s="16" t="n"/>
      <c r="B28" s="22" t="n"/>
      <c r="C28" s="16" t="n"/>
      <c r="D28" s="16" t="n"/>
      <c r="E28" s="19">
        <f>IF(C28="Fläche",'Mein Haus'!$D$41,IF(C28="Anteil",'Mein Haus'!$E$41,IF(C28="Einheiten",'Mein Haus'!$F$41,0)))</f>
        <v/>
      </c>
    </row>
    <row r="29">
      <c r="A29" s="16" t="n"/>
      <c r="B29" s="22" t="n"/>
      <c r="C29" s="16" t="n"/>
      <c r="D29" s="16" t="n"/>
      <c r="E29" s="19">
        <f>IF(C29="Fläche",'Mein Haus'!$D$41,IF(C29="Anteil",'Mein Haus'!$E$41,IF(C29="Einheiten",'Mein Haus'!$F$41,0)))</f>
        <v/>
      </c>
    </row>
    <row r="30">
      <c r="A30" s="16" t="n"/>
      <c r="B30" s="22" t="n"/>
      <c r="C30" s="16" t="n"/>
      <c r="D30" s="16" t="n"/>
      <c r="E30" s="19">
        <f>IF(C30="Fläche",'Mein Haus'!$D$41,IF(C30="Anteil",'Mein Haus'!$E$41,IF(C30="Einheiten",'Mein Haus'!$F$41,0)))</f>
        <v/>
      </c>
    </row>
    <row r="31">
      <c r="A31" s="16" t="n"/>
      <c r="B31" s="22" t="n"/>
      <c r="C31" s="16" t="n"/>
      <c r="D31" s="16" t="n"/>
      <c r="E31" s="19">
        <f>IF(C31="Fläche",'Mein Haus'!$D$41,IF(C31="Anteil",'Mein Haus'!$E$41,IF(C31="Einheiten",'Mein Haus'!$F$41,0)))</f>
        <v/>
      </c>
    </row>
    <row r="32">
      <c r="A32" s="16" t="n"/>
      <c r="B32" s="22" t="n"/>
      <c r="C32" s="16" t="n"/>
      <c r="D32" s="16" t="n"/>
      <c r="E32" s="19">
        <f>IF(C32="Fläche",'Mein Haus'!$D$41,IF(C32="Anteil",'Mein Haus'!$E$41,IF(C32="Einheiten",'Mein Haus'!$F$41,0)))</f>
        <v/>
      </c>
    </row>
    <row r="33">
      <c r="A33" s="16" t="n"/>
      <c r="B33" s="22" t="n"/>
      <c r="C33" s="16" t="n"/>
      <c r="D33" s="16" t="n"/>
      <c r="E33" s="19">
        <f>IF(C33="Fläche",'Mein Haus'!$D$41,IF(C33="Anteil",'Mein Haus'!$E$41,IF(C33="Einheiten",'Mein Haus'!$F$41,0)))</f>
        <v/>
      </c>
    </row>
    <row r="34">
      <c r="A34" s="16" t="n"/>
      <c r="B34" s="22" t="n"/>
      <c r="C34" s="16" t="n"/>
      <c r="D34" s="16" t="n"/>
      <c r="E34" s="19">
        <f>IF(C34="Fläche",'Mein Haus'!$D$41,IF(C34="Anteil",'Mein Haus'!$E$41,IF(C34="Einheiten",'Mein Haus'!$F$41,0)))</f>
        <v/>
      </c>
    </row>
    <row r="35">
      <c r="A35" s="15" t="inlineStr">
        <is>
          <t>Total</t>
        </is>
      </c>
      <c r="B35" s="33">
        <f>SUM(B10:B34)</f>
        <v/>
      </c>
    </row>
  </sheetData>
  <sheetProtection selectLockedCells="0" selectUnlockedCells="0" sheet="1" objects="0" insertRows="1" insertHyperlinks="1" autoFilter="1" scenarios="0" formatColumns="0" deleteColumns="1" insertColumns="1" pivotTables="1" deleteRows="1" formatCells="1" formatRows="0" sort="1"/>
  <dataValidations count="3">
    <dataValidation sqref="B7" showDropDown="0" showInputMessage="0" showErrorMessage="1" allowBlank="0" error="Immer der 1. eines Monats." type="custom">
      <formula1>DAY(B7)=1</formula1>
    </dataValidation>
    <dataValidation sqref="C10 C11 C12 C13 C14 C15 C16 C17 C18 C19 C20 C21 C22 C23 C24 C25 C26 C27 C28 C29 C30 C31 C32 C33 C34" showDropDown="0" showInputMessage="0" showErrorMessage="0" allowBlank="1" type="list">
      <formula1>"Fläche,Anteil,Einheiten"</formula1>
    </dataValidation>
    <dataValidation sqref="D10 D11 D12 D13 D14 D15 D16 D17 D18 D19 D20 D21 D22 D23 D24 D25 D26 D27 D28 D29 D30 D31 D32 D33 D34" showDropDown="0" showInputMessage="0" showErrorMessage="0" allowBlank="1" type="list">
      <formula1>"Linear,Heizung"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B66"/>
  <sheetViews>
    <sheetView workbookViewId="0">
      <pane xSplit="2" ySplit="4" topLeftCell="C5"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8" customWidth="1" min="3" max="3"/>
    <col width="11" customWidth="1" min="4" max="4"/>
    <col width="11" customWidth="1" min="5" max="5"/>
    <col width="6" customWidth="1" min="6" max="6"/>
    <col width="8" customWidth="1" min="7" max="7"/>
    <col width="8" customWidth="1" min="8" max="8"/>
    <col width="8" customWidth="1" min="9" max="9"/>
    <col width="8" customWidth="1" min="10" max="10"/>
    <col width="8" customWidth="1" min="11" max="11"/>
    <col width="11" customWidth="1" min="12" max="12"/>
    <col width="14" customWidth="1" min="13" max="13"/>
    <col width="11" customWidth="1" min="14" max="14"/>
  </cols>
  <sheetData>
    <row r="1">
      <c r="A1" s="14" t="inlineStr">
        <is>
          <t>NK Verteilung</t>
        </is>
      </c>
    </row>
    <row r="2">
      <c r="A2" s="13" t="inlineStr">
        <is>
          <t>Eine Zeile pro Mietverhältnis aus «Mein Haus». Eingabe nur in «Akonto bezahlt», falls abweichend.</t>
        </is>
      </c>
    </row>
    <row r="3" ht="48" customHeight="1">
      <c r="N3" s="38" t="inlineStr">
        <is>
          <t>Gewicht ‰ →</t>
        </is>
      </c>
      <c r="O3" s="10">
        <f>IF(Nebenkosten!$B$7="",0,INDEX(Einstellungen!$F$5:$F$16,MONTH(EDATE(Nebenkosten!$B$7,0))))</f>
        <v/>
      </c>
      <c r="P3" s="10">
        <f>IF(Nebenkosten!$B$7="",0,INDEX(Einstellungen!$F$5:$F$16,MONTH(EDATE(Nebenkosten!$B$7,1))))</f>
        <v/>
      </c>
      <c r="Q3" s="10">
        <f>IF(Nebenkosten!$B$7="",0,INDEX(Einstellungen!$F$5:$F$16,MONTH(EDATE(Nebenkosten!$B$7,2))))</f>
        <v/>
      </c>
      <c r="R3" s="10">
        <f>IF(Nebenkosten!$B$7="",0,INDEX(Einstellungen!$F$5:$F$16,MONTH(EDATE(Nebenkosten!$B$7,3))))</f>
        <v/>
      </c>
      <c r="S3" s="10">
        <f>IF(Nebenkosten!$B$7="",0,INDEX(Einstellungen!$F$5:$F$16,MONTH(EDATE(Nebenkosten!$B$7,4))))</f>
        <v/>
      </c>
      <c r="T3" s="10">
        <f>IF(Nebenkosten!$B$7="",0,INDEX(Einstellungen!$F$5:$F$16,MONTH(EDATE(Nebenkosten!$B$7,5))))</f>
        <v/>
      </c>
      <c r="U3" s="10">
        <f>IF(Nebenkosten!$B$7="",0,INDEX(Einstellungen!$F$5:$F$16,MONTH(EDATE(Nebenkosten!$B$7,6))))</f>
        <v/>
      </c>
      <c r="V3" s="10">
        <f>IF(Nebenkosten!$B$7="",0,INDEX(Einstellungen!$F$5:$F$16,MONTH(EDATE(Nebenkosten!$B$7,7))))</f>
        <v/>
      </c>
      <c r="W3" s="10">
        <f>IF(Nebenkosten!$B$7="",0,INDEX(Einstellungen!$F$5:$F$16,MONTH(EDATE(Nebenkosten!$B$7,8))))</f>
        <v/>
      </c>
      <c r="X3" s="10">
        <f>IF(Nebenkosten!$B$7="",0,INDEX(Einstellungen!$F$5:$F$16,MONTH(EDATE(Nebenkosten!$B$7,9))))</f>
        <v/>
      </c>
      <c r="Y3" s="10">
        <f>IF(Nebenkosten!$B$7="",0,INDEX(Einstellungen!$F$5:$F$16,MONTH(EDATE(Nebenkosten!$B$7,10))))</f>
        <v/>
      </c>
      <c r="Z3" s="10">
        <f>IF(Nebenkosten!$B$7="",0,INDEX(Einstellungen!$F$5:$F$16,MONTH(EDATE(Nebenkosten!$B$7,11))))</f>
        <v/>
      </c>
      <c r="AA3" s="48">
        <f>IF(Nebenkosten!A10="","",Nebenkosten!A10)</f>
        <v/>
      </c>
      <c r="AB3" s="48">
        <f>IF(Nebenkosten!A11="","",Nebenkosten!A11)</f>
        <v/>
      </c>
      <c r="AC3" s="48">
        <f>IF(Nebenkosten!A12="","",Nebenkosten!A12)</f>
        <v/>
      </c>
      <c r="AD3" s="48">
        <f>IF(Nebenkosten!A13="","",Nebenkosten!A13)</f>
        <v/>
      </c>
      <c r="AE3" s="48">
        <f>IF(Nebenkosten!A14="","",Nebenkosten!A14)</f>
        <v/>
      </c>
      <c r="AF3" s="48">
        <f>IF(Nebenkosten!A15="","",Nebenkosten!A15)</f>
        <v/>
      </c>
      <c r="AG3" s="48">
        <f>IF(Nebenkosten!A16="","",Nebenkosten!A16)</f>
        <v/>
      </c>
      <c r="AH3" s="48">
        <f>IF(Nebenkosten!A17="","",Nebenkosten!A17)</f>
        <v/>
      </c>
      <c r="AI3" s="48">
        <f>IF(Nebenkosten!A18="","",Nebenkosten!A18)</f>
        <v/>
      </c>
      <c r="AJ3" s="48">
        <f>IF(Nebenkosten!A19="","",Nebenkosten!A19)</f>
        <v/>
      </c>
      <c r="AK3" s="48">
        <f>IF(Nebenkosten!A20="","",Nebenkosten!A20)</f>
        <v/>
      </c>
      <c r="AL3" s="48">
        <f>IF(Nebenkosten!A21="","",Nebenkosten!A21)</f>
        <v/>
      </c>
      <c r="AM3" s="48">
        <f>IF(Nebenkosten!A22="","",Nebenkosten!A22)</f>
        <v/>
      </c>
      <c r="AN3" s="48">
        <f>IF(Nebenkosten!A23="","",Nebenkosten!A23)</f>
        <v/>
      </c>
      <c r="AO3" s="48">
        <f>IF(Nebenkosten!A24="","",Nebenkosten!A24)</f>
        <v/>
      </c>
      <c r="AP3" s="48">
        <f>IF(Nebenkosten!A25="","",Nebenkosten!A25)</f>
        <v/>
      </c>
      <c r="AQ3" s="48">
        <f>IF(Nebenkosten!A26="","",Nebenkosten!A26)</f>
        <v/>
      </c>
      <c r="AR3" s="48">
        <f>IF(Nebenkosten!A27="","",Nebenkosten!A27)</f>
        <v/>
      </c>
      <c r="AS3" s="48">
        <f>IF(Nebenkosten!A28="","",Nebenkosten!A28)</f>
        <v/>
      </c>
      <c r="AT3" s="48">
        <f>IF(Nebenkosten!A29="","",Nebenkosten!A29)</f>
        <v/>
      </c>
      <c r="AU3" s="48">
        <f>IF(Nebenkosten!A30="","",Nebenkosten!A30)</f>
        <v/>
      </c>
      <c r="AV3" s="48">
        <f>IF(Nebenkosten!A31="","",Nebenkosten!A31)</f>
        <v/>
      </c>
      <c r="AW3" s="48">
        <f>IF(Nebenkosten!A32="","",Nebenkosten!A32)</f>
        <v/>
      </c>
      <c r="AX3" s="48">
        <f>IF(Nebenkosten!A33="","",Nebenkosten!A33)</f>
        <v/>
      </c>
      <c r="AY3" s="48">
        <f>IF(Nebenkosten!A34="","",Nebenkosten!A34)</f>
        <v/>
      </c>
    </row>
    <row r="4" ht="42" customHeight="1">
      <c r="A4" s="6" t="inlineStr">
        <is>
          <t>ID</t>
        </is>
      </c>
      <c r="B4" s="6" t="inlineStr">
        <is>
          <t>Mieter</t>
        </is>
      </c>
      <c r="C4" s="6" t="inlineStr">
        <is>
          <t>Einheit</t>
        </is>
      </c>
      <c r="D4" s="6" t="inlineStr">
        <is>
          <t>Beginn in Periode</t>
        </is>
      </c>
      <c r="E4" s="6" t="inlineStr">
        <is>
          <t>Ende in Periode</t>
        </is>
      </c>
      <c r="F4" s="6" t="inlineStr">
        <is>
          <t>Tage</t>
        </is>
      </c>
      <c r="G4" s="6" t="inlineStr">
        <is>
          <t>Faktor linear</t>
        </is>
      </c>
      <c r="H4" s="6" t="inlineStr">
        <is>
          <t>Faktor Heizung</t>
        </is>
      </c>
      <c r="I4" s="6" t="inlineStr">
        <is>
          <t>Fläche</t>
        </is>
      </c>
      <c r="J4" s="6" t="inlineStr">
        <is>
          <t>Anteil</t>
        </is>
      </c>
      <c r="K4" s="6" t="inlineStr">
        <is>
          <t>Einheiten</t>
        </is>
      </c>
      <c r="L4" s="6" t="inlineStr">
        <is>
          <t>Akonto Soll</t>
        </is>
      </c>
      <c r="M4" s="6" t="inlineStr">
        <is>
          <t>Akonto bezahlt (falls abweichend)</t>
        </is>
      </c>
      <c r="N4" s="6" t="inlineStr">
        <is>
          <t>Akonto verwendet</t>
        </is>
      </c>
      <c r="O4" s="6" t="inlineStr">
        <is>
          <t>Belegung M1</t>
        </is>
      </c>
      <c r="P4" s="6" t="inlineStr">
        <is>
          <t>Belegung M2</t>
        </is>
      </c>
      <c r="Q4" s="6" t="inlineStr">
        <is>
          <t>Belegung M3</t>
        </is>
      </c>
      <c r="R4" s="6" t="inlineStr">
        <is>
          <t>Belegung M4</t>
        </is>
      </c>
      <c r="S4" s="6" t="inlineStr">
        <is>
          <t>Belegung M5</t>
        </is>
      </c>
      <c r="T4" s="6" t="inlineStr">
        <is>
          <t>Belegung M6</t>
        </is>
      </c>
      <c r="U4" s="6" t="inlineStr">
        <is>
          <t>Belegung M7</t>
        </is>
      </c>
      <c r="V4" s="6" t="inlineStr">
        <is>
          <t>Belegung M8</t>
        </is>
      </c>
      <c r="W4" s="6" t="inlineStr">
        <is>
          <t>Belegung M9</t>
        </is>
      </c>
      <c r="X4" s="6" t="inlineStr">
        <is>
          <t>Belegung M10</t>
        </is>
      </c>
      <c r="Y4" s="6" t="inlineStr">
        <is>
          <t>Belegung M11</t>
        </is>
      </c>
      <c r="Z4" s="6" t="inlineStr">
        <is>
          <t>Belegung M12</t>
        </is>
      </c>
      <c r="AA4" s="6" t="inlineStr">
        <is>
          <t>K1</t>
        </is>
      </c>
      <c r="AB4" s="6" t="inlineStr">
        <is>
          <t>K2</t>
        </is>
      </c>
      <c r="AC4" s="6" t="inlineStr">
        <is>
          <t>K3</t>
        </is>
      </c>
      <c r="AD4" s="6" t="inlineStr">
        <is>
          <t>K4</t>
        </is>
      </c>
      <c r="AE4" s="6" t="inlineStr">
        <is>
          <t>K5</t>
        </is>
      </c>
      <c r="AF4" s="6" t="inlineStr">
        <is>
          <t>K6</t>
        </is>
      </c>
      <c r="AG4" s="6" t="inlineStr">
        <is>
          <t>K7</t>
        </is>
      </c>
      <c r="AH4" s="6" t="inlineStr">
        <is>
          <t>K8</t>
        </is>
      </c>
      <c r="AI4" s="6" t="inlineStr">
        <is>
          <t>K9</t>
        </is>
      </c>
      <c r="AJ4" s="6" t="inlineStr">
        <is>
          <t>K10</t>
        </is>
      </c>
      <c r="AK4" s="6" t="inlineStr">
        <is>
          <t>K11</t>
        </is>
      </c>
      <c r="AL4" s="6" t="inlineStr">
        <is>
          <t>K12</t>
        </is>
      </c>
      <c r="AM4" s="6" t="inlineStr">
        <is>
          <t>K13</t>
        </is>
      </c>
      <c r="AN4" s="6" t="inlineStr">
        <is>
          <t>K14</t>
        </is>
      </c>
      <c r="AO4" s="6" t="inlineStr">
        <is>
          <t>K15</t>
        </is>
      </c>
      <c r="AP4" s="6" t="inlineStr">
        <is>
          <t>K16</t>
        </is>
      </c>
      <c r="AQ4" s="6" t="inlineStr">
        <is>
          <t>K17</t>
        </is>
      </c>
      <c r="AR4" s="6" t="inlineStr">
        <is>
          <t>K18</t>
        </is>
      </c>
      <c r="AS4" s="6" t="inlineStr">
        <is>
          <t>K19</t>
        </is>
      </c>
      <c r="AT4" s="6" t="inlineStr">
        <is>
          <t>K20</t>
        </is>
      </c>
      <c r="AU4" s="6" t="inlineStr">
        <is>
          <t>K21</t>
        </is>
      </c>
      <c r="AV4" s="6" t="inlineStr">
        <is>
          <t>K22</t>
        </is>
      </c>
      <c r="AW4" s="6" t="inlineStr">
        <is>
          <t>K23</t>
        </is>
      </c>
      <c r="AX4" s="6" t="inlineStr">
        <is>
          <t>K24</t>
        </is>
      </c>
      <c r="AY4" s="6" t="inlineStr">
        <is>
          <t>K25</t>
        </is>
      </c>
      <c r="AZ4" s="6" t="inlineStr">
        <is>
          <t>Total (5 Rp.)</t>
        </is>
      </c>
      <c r="BA4" s="6" t="inlineStr">
        <is>
          <t>Akonto</t>
        </is>
      </c>
      <c r="BB4" s="6" t="inlineStr">
        <is>
          <t>Saldo</t>
        </is>
      </c>
    </row>
    <row r="5">
      <c r="A5" s="10">
        <f>'Mein Haus'!A45</f>
        <v/>
      </c>
      <c r="B5" s="23">
        <f>IF('Mein Haus'!C45="","",'Mein Haus'!C45)</f>
        <v/>
      </c>
      <c r="C5" s="23">
        <f>IF('Mein Haus'!B45="","",'Mein Haus'!B45)</f>
        <v/>
      </c>
      <c r="D5" s="21">
        <f>IF(AND('Mein Haus'!C45&lt;&gt;"",'Mein Haus'!B45&lt;&gt;"",Nebenkosten!$B$7&lt;&gt;""),MAX(IF('Mein Haus'!D45="",Nebenkosten!$B$7,'Mein Haus'!D45),Nebenkosten!$B$7),"")</f>
        <v/>
      </c>
      <c r="E5" s="21">
        <f>IF(AND('Mein Haus'!C45&lt;&gt;"",'Mein Haus'!B45&lt;&gt;"",Nebenkosten!$B$7&lt;&gt;""),MIN(IF('Mein Haus'!F45="",Nebenkosten!$D$7,'Mein Haus'!F45),Nebenkosten!$D$7),"")</f>
        <v/>
      </c>
      <c r="F5" s="10">
        <f>IF(D5="",0,MAX(0,E5-D5+1))</f>
        <v/>
      </c>
      <c r="G5" s="49">
        <f>IF(F5=0,0,F5/Nebenkosten!$F$7)</f>
        <v/>
      </c>
      <c r="H5" s="49">
        <f>IF(F5=0,0,SUMPRODUCT(O5:Z5,$O$3:$Z$3)/Einstellungen!$F$17)</f>
        <v/>
      </c>
      <c r="I5" s="19">
        <f>IF(F5=0,0,IFERROR(INDEX('Mein Haus'!$D$11:$D$40,MATCH(C5,'Mein Haus'!$A$11:$A$40,0)),0))</f>
        <v/>
      </c>
      <c r="J5" s="19">
        <f>IF(F5=0,0,IFERROR(INDEX('Mein Haus'!$E$11:$E$40,MATCH(C5,'Mein Haus'!$A$11:$A$40,0)),0))</f>
        <v/>
      </c>
      <c r="K5" s="19">
        <f>IF(F5=0,0,IFERROR(INDEX('Mein Haus'!$F$11:$F$40,MATCH(C5,'Mein Haus'!$A$11:$A$40,0)),0))</f>
        <v/>
      </c>
      <c r="L5" s="11">
        <f>IF(F5=0,0,N('Mein Haus'!H45)*SUM(O5:Z5))</f>
        <v/>
      </c>
      <c r="M5" s="22" t="n"/>
      <c r="N5" s="11">
        <f>IF(M5&lt;&gt;"",M5,L5)</f>
        <v/>
      </c>
      <c r="O5" s="19">
        <f>IF(F5=0,0,MAX(0,MIN(E5,EOMONTH(EDATE(Nebenkosten!$B$7,0),0))-MAX(D5,EDATE(Nebenkosten!$B$7,0))+1)/DAY(EOMONTH(EDATE(Nebenkosten!$B$7,0),0)))</f>
        <v/>
      </c>
      <c r="P5" s="19">
        <f>IF(F5=0,0,MAX(0,MIN(E5,EOMONTH(EDATE(Nebenkosten!$B$7,1),0))-MAX(D5,EDATE(Nebenkosten!$B$7,1))+1)/DAY(EOMONTH(EDATE(Nebenkosten!$B$7,1),0)))</f>
        <v/>
      </c>
      <c r="Q5" s="19">
        <f>IF(F5=0,0,MAX(0,MIN(E5,EOMONTH(EDATE(Nebenkosten!$B$7,2),0))-MAX(D5,EDATE(Nebenkosten!$B$7,2))+1)/DAY(EOMONTH(EDATE(Nebenkosten!$B$7,2),0)))</f>
        <v/>
      </c>
      <c r="R5" s="19">
        <f>IF(F5=0,0,MAX(0,MIN(E5,EOMONTH(EDATE(Nebenkosten!$B$7,3),0))-MAX(D5,EDATE(Nebenkosten!$B$7,3))+1)/DAY(EOMONTH(EDATE(Nebenkosten!$B$7,3),0)))</f>
        <v/>
      </c>
      <c r="S5" s="19">
        <f>IF(F5=0,0,MAX(0,MIN(E5,EOMONTH(EDATE(Nebenkosten!$B$7,4),0))-MAX(D5,EDATE(Nebenkosten!$B$7,4))+1)/DAY(EOMONTH(EDATE(Nebenkosten!$B$7,4),0)))</f>
        <v/>
      </c>
      <c r="T5" s="19">
        <f>IF(F5=0,0,MAX(0,MIN(E5,EOMONTH(EDATE(Nebenkosten!$B$7,5),0))-MAX(D5,EDATE(Nebenkosten!$B$7,5))+1)/DAY(EOMONTH(EDATE(Nebenkosten!$B$7,5),0)))</f>
        <v/>
      </c>
      <c r="U5" s="19">
        <f>IF(F5=0,0,MAX(0,MIN(E5,EOMONTH(EDATE(Nebenkosten!$B$7,6),0))-MAX(D5,EDATE(Nebenkosten!$B$7,6))+1)/DAY(EOMONTH(EDATE(Nebenkosten!$B$7,6),0)))</f>
        <v/>
      </c>
      <c r="V5" s="19">
        <f>IF(F5=0,0,MAX(0,MIN(E5,EOMONTH(EDATE(Nebenkosten!$B$7,7),0))-MAX(D5,EDATE(Nebenkosten!$B$7,7))+1)/DAY(EOMONTH(EDATE(Nebenkosten!$B$7,7),0)))</f>
        <v/>
      </c>
      <c r="W5" s="19">
        <f>IF(F5=0,0,MAX(0,MIN(E5,EOMONTH(EDATE(Nebenkosten!$B$7,8),0))-MAX(D5,EDATE(Nebenkosten!$B$7,8))+1)/DAY(EOMONTH(EDATE(Nebenkosten!$B$7,8),0)))</f>
        <v/>
      </c>
      <c r="X5" s="19">
        <f>IF(F5=0,0,MAX(0,MIN(E5,EOMONTH(EDATE(Nebenkosten!$B$7,9),0))-MAX(D5,EDATE(Nebenkosten!$B$7,9))+1)/DAY(EOMONTH(EDATE(Nebenkosten!$B$7,9),0)))</f>
        <v/>
      </c>
      <c r="Y5" s="19">
        <f>IF(F5=0,0,MAX(0,MIN(E5,EOMONTH(EDATE(Nebenkosten!$B$7,10),0))-MAX(D5,EDATE(Nebenkosten!$B$7,10))+1)/DAY(EOMONTH(EDATE(Nebenkosten!$B$7,10),0)))</f>
        <v/>
      </c>
      <c r="Z5" s="19">
        <f>IF(F5=0,0,MAX(0,MIN(E5,EOMONTH(EDATE(Nebenkosten!$B$7,11),0))-MAX(D5,EDATE(Nebenkosten!$B$7,11))+1)/DAY(EOMONTH(EDATE(Nebenkosten!$B$7,11),0)))</f>
        <v/>
      </c>
      <c r="AA5" s="11">
        <f>IF(OR(Nebenkosten!$B$10="",Nebenkosten!$E$10=0,$F5=0),0,Nebenkosten!$B$10*IF(Nebenkosten!$C$10="Fläche",$I5,IF(Nebenkosten!$C$10="Anteil",$J5,$K5))*IF(Nebenkosten!$D$10="Heizung",$H5,$G5)/Nebenkosten!$E$10)</f>
        <v/>
      </c>
      <c r="AB5" s="11">
        <f>IF(OR(Nebenkosten!$B$11="",Nebenkosten!$E$11=0,$F5=0),0,Nebenkosten!$B$11*IF(Nebenkosten!$C$11="Fläche",$I5,IF(Nebenkosten!$C$11="Anteil",$J5,$K5))*IF(Nebenkosten!$D$11="Heizung",$H5,$G5)/Nebenkosten!$E$11)</f>
        <v/>
      </c>
      <c r="AC5" s="11">
        <f>IF(OR(Nebenkosten!$B$12="",Nebenkosten!$E$12=0,$F5=0),0,Nebenkosten!$B$12*IF(Nebenkosten!$C$12="Fläche",$I5,IF(Nebenkosten!$C$12="Anteil",$J5,$K5))*IF(Nebenkosten!$D$12="Heizung",$H5,$G5)/Nebenkosten!$E$12)</f>
        <v/>
      </c>
      <c r="AD5" s="11">
        <f>IF(OR(Nebenkosten!$B$13="",Nebenkosten!$E$13=0,$F5=0),0,Nebenkosten!$B$13*IF(Nebenkosten!$C$13="Fläche",$I5,IF(Nebenkosten!$C$13="Anteil",$J5,$K5))*IF(Nebenkosten!$D$13="Heizung",$H5,$G5)/Nebenkosten!$E$13)</f>
        <v/>
      </c>
      <c r="AE5" s="11">
        <f>IF(OR(Nebenkosten!$B$14="",Nebenkosten!$E$14=0,$F5=0),0,Nebenkosten!$B$14*IF(Nebenkosten!$C$14="Fläche",$I5,IF(Nebenkosten!$C$14="Anteil",$J5,$K5))*IF(Nebenkosten!$D$14="Heizung",$H5,$G5)/Nebenkosten!$E$14)</f>
        <v/>
      </c>
      <c r="AF5" s="11">
        <f>IF(OR(Nebenkosten!$B$15="",Nebenkosten!$E$15=0,$F5=0),0,Nebenkosten!$B$15*IF(Nebenkosten!$C$15="Fläche",$I5,IF(Nebenkosten!$C$15="Anteil",$J5,$K5))*IF(Nebenkosten!$D$15="Heizung",$H5,$G5)/Nebenkosten!$E$15)</f>
        <v/>
      </c>
      <c r="AG5" s="11">
        <f>IF(OR(Nebenkosten!$B$16="",Nebenkosten!$E$16=0,$F5=0),0,Nebenkosten!$B$16*IF(Nebenkosten!$C$16="Fläche",$I5,IF(Nebenkosten!$C$16="Anteil",$J5,$K5))*IF(Nebenkosten!$D$16="Heizung",$H5,$G5)/Nebenkosten!$E$16)</f>
        <v/>
      </c>
      <c r="AH5" s="11">
        <f>IF(OR(Nebenkosten!$B$17="",Nebenkosten!$E$17=0,$F5=0),0,Nebenkosten!$B$17*IF(Nebenkosten!$C$17="Fläche",$I5,IF(Nebenkosten!$C$17="Anteil",$J5,$K5))*IF(Nebenkosten!$D$17="Heizung",$H5,$G5)/Nebenkosten!$E$17)</f>
        <v/>
      </c>
      <c r="AI5" s="11">
        <f>IF(OR(Nebenkosten!$B$18="",Nebenkosten!$E$18=0,$F5=0),0,Nebenkosten!$B$18*IF(Nebenkosten!$C$18="Fläche",$I5,IF(Nebenkosten!$C$18="Anteil",$J5,$K5))*IF(Nebenkosten!$D$18="Heizung",$H5,$G5)/Nebenkosten!$E$18)</f>
        <v/>
      </c>
      <c r="AJ5" s="11">
        <f>IF(OR(Nebenkosten!$B$19="",Nebenkosten!$E$19=0,$F5=0),0,Nebenkosten!$B$19*IF(Nebenkosten!$C$19="Fläche",$I5,IF(Nebenkosten!$C$19="Anteil",$J5,$K5))*IF(Nebenkosten!$D$19="Heizung",$H5,$G5)/Nebenkosten!$E$19)</f>
        <v/>
      </c>
      <c r="AK5" s="11">
        <f>IF(OR(Nebenkosten!$B$20="",Nebenkosten!$E$20=0,$F5=0),0,Nebenkosten!$B$20*IF(Nebenkosten!$C$20="Fläche",$I5,IF(Nebenkosten!$C$20="Anteil",$J5,$K5))*IF(Nebenkosten!$D$20="Heizung",$H5,$G5)/Nebenkosten!$E$20)</f>
        <v/>
      </c>
      <c r="AL5" s="11">
        <f>IF(OR(Nebenkosten!$B$21="",Nebenkosten!$E$21=0,$F5=0),0,Nebenkosten!$B$21*IF(Nebenkosten!$C$21="Fläche",$I5,IF(Nebenkosten!$C$21="Anteil",$J5,$K5))*IF(Nebenkosten!$D$21="Heizung",$H5,$G5)/Nebenkosten!$E$21)</f>
        <v/>
      </c>
      <c r="AM5" s="11">
        <f>IF(OR(Nebenkosten!$B$22="",Nebenkosten!$E$22=0,$F5=0),0,Nebenkosten!$B$22*IF(Nebenkosten!$C$22="Fläche",$I5,IF(Nebenkosten!$C$22="Anteil",$J5,$K5))*IF(Nebenkosten!$D$22="Heizung",$H5,$G5)/Nebenkosten!$E$22)</f>
        <v/>
      </c>
      <c r="AN5" s="11">
        <f>IF(OR(Nebenkosten!$B$23="",Nebenkosten!$E$23=0,$F5=0),0,Nebenkosten!$B$23*IF(Nebenkosten!$C$23="Fläche",$I5,IF(Nebenkosten!$C$23="Anteil",$J5,$K5))*IF(Nebenkosten!$D$23="Heizung",$H5,$G5)/Nebenkosten!$E$23)</f>
        <v/>
      </c>
      <c r="AO5" s="11">
        <f>IF(OR(Nebenkosten!$B$24="",Nebenkosten!$E$24=0,$F5=0),0,Nebenkosten!$B$24*IF(Nebenkosten!$C$24="Fläche",$I5,IF(Nebenkosten!$C$24="Anteil",$J5,$K5))*IF(Nebenkosten!$D$24="Heizung",$H5,$G5)/Nebenkosten!$E$24)</f>
        <v/>
      </c>
      <c r="AP5" s="11">
        <f>IF(OR(Nebenkosten!$B$25="",Nebenkosten!$E$25=0,$F5=0),0,Nebenkosten!$B$25*IF(Nebenkosten!$C$25="Fläche",$I5,IF(Nebenkosten!$C$25="Anteil",$J5,$K5))*IF(Nebenkosten!$D$25="Heizung",$H5,$G5)/Nebenkosten!$E$25)</f>
        <v/>
      </c>
      <c r="AQ5" s="11">
        <f>IF(OR(Nebenkosten!$B$26="",Nebenkosten!$E$26=0,$F5=0),0,Nebenkosten!$B$26*IF(Nebenkosten!$C$26="Fläche",$I5,IF(Nebenkosten!$C$26="Anteil",$J5,$K5))*IF(Nebenkosten!$D$26="Heizung",$H5,$G5)/Nebenkosten!$E$26)</f>
        <v/>
      </c>
      <c r="AR5" s="11">
        <f>IF(OR(Nebenkosten!$B$27="",Nebenkosten!$E$27=0,$F5=0),0,Nebenkosten!$B$27*IF(Nebenkosten!$C$27="Fläche",$I5,IF(Nebenkosten!$C$27="Anteil",$J5,$K5))*IF(Nebenkosten!$D$27="Heizung",$H5,$G5)/Nebenkosten!$E$27)</f>
        <v/>
      </c>
      <c r="AS5" s="11">
        <f>IF(OR(Nebenkosten!$B$28="",Nebenkosten!$E$28=0,$F5=0),0,Nebenkosten!$B$28*IF(Nebenkosten!$C$28="Fläche",$I5,IF(Nebenkosten!$C$28="Anteil",$J5,$K5))*IF(Nebenkosten!$D$28="Heizung",$H5,$G5)/Nebenkosten!$E$28)</f>
        <v/>
      </c>
      <c r="AT5" s="11">
        <f>IF(OR(Nebenkosten!$B$29="",Nebenkosten!$E$29=0,$F5=0),0,Nebenkosten!$B$29*IF(Nebenkosten!$C$29="Fläche",$I5,IF(Nebenkosten!$C$29="Anteil",$J5,$K5))*IF(Nebenkosten!$D$29="Heizung",$H5,$G5)/Nebenkosten!$E$29)</f>
        <v/>
      </c>
      <c r="AU5" s="11">
        <f>IF(OR(Nebenkosten!$B$30="",Nebenkosten!$E$30=0,$F5=0),0,Nebenkosten!$B$30*IF(Nebenkosten!$C$30="Fläche",$I5,IF(Nebenkosten!$C$30="Anteil",$J5,$K5))*IF(Nebenkosten!$D$30="Heizung",$H5,$G5)/Nebenkosten!$E$30)</f>
        <v/>
      </c>
      <c r="AV5" s="11">
        <f>IF(OR(Nebenkosten!$B$31="",Nebenkosten!$E$31=0,$F5=0),0,Nebenkosten!$B$31*IF(Nebenkosten!$C$31="Fläche",$I5,IF(Nebenkosten!$C$31="Anteil",$J5,$K5))*IF(Nebenkosten!$D$31="Heizung",$H5,$G5)/Nebenkosten!$E$31)</f>
        <v/>
      </c>
      <c r="AW5" s="11">
        <f>IF(OR(Nebenkosten!$B$32="",Nebenkosten!$E$32=0,$F5=0),0,Nebenkosten!$B$32*IF(Nebenkosten!$C$32="Fläche",$I5,IF(Nebenkosten!$C$32="Anteil",$J5,$K5))*IF(Nebenkosten!$D$32="Heizung",$H5,$G5)/Nebenkosten!$E$32)</f>
        <v/>
      </c>
      <c r="AX5" s="11">
        <f>IF(OR(Nebenkosten!$B$33="",Nebenkosten!$E$33=0,$F5=0),0,Nebenkosten!$B$33*IF(Nebenkosten!$C$33="Fläche",$I5,IF(Nebenkosten!$C$33="Anteil",$J5,$K5))*IF(Nebenkosten!$D$33="Heizung",$H5,$G5)/Nebenkosten!$E$33)</f>
        <v/>
      </c>
      <c r="AY5" s="11">
        <f>IF(OR(Nebenkosten!$B$34="",Nebenkosten!$E$34=0,$F5=0),0,Nebenkosten!$B$34*IF(Nebenkosten!$C$34="Fläche",$I5,IF(Nebenkosten!$C$34="Anteil",$J5,$K5))*IF(Nebenkosten!$D$34="Heizung",$H5,$G5)/Nebenkosten!$E$34)</f>
        <v/>
      </c>
      <c r="AZ5" s="11">
        <f>ROUND(SUM(AA5:AY5)*20,0)/20</f>
        <v/>
      </c>
      <c r="BA5" s="11">
        <f>IF(F5=0,0,N5)</f>
        <v/>
      </c>
      <c r="BB5" s="11">
        <f>AZ5-BA5</f>
        <v/>
      </c>
    </row>
    <row r="6">
      <c r="A6" s="10">
        <f>'Mein Haus'!A46</f>
        <v/>
      </c>
      <c r="B6" s="23">
        <f>IF('Mein Haus'!C46="","",'Mein Haus'!C46)</f>
        <v/>
      </c>
      <c r="C6" s="23">
        <f>IF('Mein Haus'!B46="","",'Mein Haus'!B46)</f>
        <v/>
      </c>
      <c r="D6" s="21">
        <f>IF(AND('Mein Haus'!C46&lt;&gt;"",'Mein Haus'!B46&lt;&gt;"",Nebenkosten!$B$7&lt;&gt;""),MAX(IF('Mein Haus'!D46="",Nebenkosten!$B$7,'Mein Haus'!D46),Nebenkosten!$B$7),"")</f>
        <v/>
      </c>
      <c r="E6" s="21">
        <f>IF(AND('Mein Haus'!C46&lt;&gt;"",'Mein Haus'!B46&lt;&gt;"",Nebenkosten!$B$7&lt;&gt;""),MIN(IF('Mein Haus'!F46="",Nebenkosten!$D$7,'Mein Haus'!F46),Nebenkosten!$D$7),"")</f>
        <v/>
      </c>
      <c r="F6" s="10">
        <f>IF(D6="",0,MAX(0,E6-D6+1))</f>
        <v/>
      </c>
      <c r="G6" s="49">
        <f>IF(F6=0,0,F6/Nebenkosten!$F$7)</f>
        <v/>
      </c>
      <c r="H6" s="49">
        <f>IF(F6=0,0,SUMPRODUCT(O6:Z6,$O$3:$Z$3)/Einstellungen!$F$17)</f>
        <v/>
      </c>
      <c r="I6" s="19">
        <f>IF(F6=0,0,IFERROR(INDEX('Mein Haus'!$D$11:$D$40,MATCH(C6,'Mein Haus'!$A$11:$A$40,0)),0))</f>
        <v/>
      </c>
      <c r="J6" s="19">
        <f>IF(F6=0,0,IFERROR(INDEX('Mein Haus'!$E$11:$E$40,MATCH(C6,'Mein Haus'!$A$11:$A$40,0)),0))</f>
        <v/>
      </c>
      <c r="K6" s="19">
        <f>IF(F6=0,0,IFERROR(INDEX('Mein Haus'!$F$11:$F$40,MATCH(C6,'Mein Haus'!$A$11:$A$40,0)),0))</f>
        <v/>
      </c>
      <c r="L6" s="11">
        <f>IF(F6=0,0,N('Mein Haus'!H46)*SUM(O6:Z6))</f>
        <v/>
      </c>
      <c r="M6" s="22" t="n"/>
      <c r="N6" s="11">
        <f>IF(M6&lt;&gt;"",M6,L6)</f>
        <v/>
      </c>
      <c r="O6" s="19">
        <f>IF(F6=0,0,MAX(0,MIN(E6,EOMONTH(EDATE(Nebenkosten!$B$7,0),0))-MAX(D6,EDATE(Nebenkosten!$B$7,0))+1)/DAY(EOMONTH(EDATE(Nebenkosten!$B$7,0),0)))</f>
        <v/>
      </c>
      <c r="P6" s="19">
        <f>IF(F6=0,0,MAX(0,MIN(E6,EOMONTH(EDATE(Nebenkosten!$B$7,1),0))-MAX(D6,EDATE(Nebenkosten!$B$7,1))+1)/DAY(EOMONTH(EDATE(Nebenkosten!$B$7,1),0)))</f>
        <v/>
      </c>
      <c r="Q6" s="19">
        <f>IF(F6=0,0,MAX(0,MIN(E6,EOMONTH(EDATE(Nebenkosten!$B$7,2),0))-MAX(D6,EDATE(Nebenkosten!$B$7,2))+1)/DAY(EOMONTH(EDATE(Nebenkosten!$B$7,2),0)))</f>
        <v/>
      </c>
      <c r="R6" s="19">
        <f>IF(F6=0,0,MAX(0,MIN(E6,EOMONTH(EDATE(Nebenkosten!$B$7,3),0))-MAX(D6,EDATE(Nebenkosten!$B$7,3))+1)/DAY(EOMONTH(EDATE(Nebenkosten!$B$7,3),0)))</f>
        <v/>
      </c>
      <c r="S6" s="19">
        <f>IF(F6=0,0,MAX(0,MIN(E6,EOMONTH(EDATE(Nebenkosten!$B$7,4),0))-MAX(D6,EDATE(Nebenkosten!$B$7,4))+1)/DAY(EOMONTH(EDATE(Nebenkosten!$B$7,4),0)))</f>
        <v/>
      </c>
      <c r="T6" s="19">
        <f>IF(F6=0,0,MAX(0,MIN(E6,EOMONTH(EDATE(Nebenkosten!$B$7,5),0))-MAX(D6,EDATE(Nebenkosten!$B$7,5))+1)/DAY(EOMONTH(EDATE(Nebenkosten!$B$7,5),0)))</f>
        <v/>
      </c>
      <c r="U6" s="19">
        <f>IF(F6=0,0,MAX(0,MIN(E6,EOMONTH(EDATE(Nebenkosten!$B$7,6),0))-MAX(D6,EDATE(Nebenkosten!$B$7,6))+1)/DAY(EOMONTH(EDATE(Nebenkosten!$B$7,6),0)))</f>
        <v/>
      </c>
      <c r="V6" s="19">
        <f>IF(F6=0,0,MAX(0,MIN(E6,EOMONTH(EDATE(Nebenkosten!$B$7,7),0))-MAX(D6,EDATE(Nebenkosten!$B$7,7))+1)/DAY(EOMONTH(EDATE(Nebenkosten!$B$7,7),0)))</f>
        <v/>
      </c>
      <c r="W6" s="19">
        <f>IF(F6=0,0,MAX(0,MIN(E6,EOMONTH(EDATE(Nebenkosten!$B$7,8),0))-MAX(D6,EDATE(Nebenkosten!$B$7,8))+1)/DAY(EOMONTH(EDATE(Nebenkosten!$B$7,8),0)))</f>
        <v/>
      </c>
      <c r="X6" s="19">
        <f>IF(F6=0,0,MAX(0,MIN(E6,EOMONTH(EDATE(Nebenkosten!$B$7,9),0))-MAX(D6,EDATE(Nebenkosten!$B$7,9))+1)/DAY(EOMONTH(EDATE(Nebenkosten!$B$7,9),0)))</f>
        <v/>
      </c>
      <c r="Y6" s="19">
        <f>IF(F6=0,0,MAX(0,MIN(E6,EOMONTH(EDATE(Nebenkosten!$B$7,10),0))-MAX(D6,EDATE(Nebenkosten!$B$7,10))+1)/DAY(EOMONTH(EDATE(Nebenkosten!$B$7,10),0)))</f>
        <v/>
      </c>
      <c r="Z6" s="19">
        <f>IF(F6=0,0,MAX(0,MIN(E6,EOMONTH(EDATE(Nebenkosten!$B$7,11),0))-MAX(D6,EDATE(Nebenkosten!$B$7,11))+1)/DAY(EOMONTH(EDATE(Nebenkosten!$B$7,11),0)))</f>
        <v/>
      </c>
      <c r="AA6" s="11">
        <f>IF(OR(Nebenkosten!$B$10="",Nebenkosten!$E$10=0,$F6=0),0,Nebenkosten!$B$10*IF(Nebenkosten!$C$10="Fläche",$I6,IF(Nebenkosten!$C$10="Anteil",$J6,$K6))*IF(Nebenkosten!$D$10="Heizung",$H6,$G6)/Nebenkosten!$E$10)</f>
        <v/>
      </c>
      <c r="AB6" s="11">
        <f>IF(OR(Nebenkosten!$B$11="",Nebenkosten!$E$11=0,$F6=0),0,Nebenkosten!$B$11*IF(Nebenkosten!$C$11="Fläche",$I6,IF(Nebenkosten!$C$11="Anteil",$J6,$K6))*IF(Nebenkosten!$D$11="Heizung",$H6,$G6)/Nebenkosten!$E$11)</f>
        <v/>
      </c>
      <c r="AC6" s="11">
        <f>IF(OR(Nebenkosten!$B$12="",Nebenkosten!$E$12=0,$F6=0),0,Nebenkosten!$B$12*IF(Nebenkosten!$C$12="Fläche",$I6,IF(Nebenkosten!$C$12="Anteil",$J6,$K6))*IF(Nebenkosten!$D$12="Heizung",$H6,$G6)/Nebenkosten!$E$12)</f>
        <v/>
      </c>
      <c r="AD6" s="11">
        <f>IF(OR(Nebenkosten!$B$13="",Nebenkosten!$E$13=0,$F6=0),0,Nebenkosten!$B$13*IF(Nebenkosten!$C$13="Fläche",$I6,IF(Nebenkosten!$C$13="Anteil",$J6,$K6))*IF(Nebenkosten!$D$13="Heizung",$H6,$G6)/Nebenkosten!$E$13)</f>
        <v/>
      </c>
      <c r="AE6" s="11">
        <f>IF(OR(Nebenkosten!$B$14="",Nebenkosten!$E$14=0,$F6=0),0,Nebenkosten!$B$14*IF(Nebenkosten!$C$14="Fläche",$I6,IF(Nebenkosten!$C$14="Anteil",$J6,$K6))*IF(Nebenkosten!$D$14="Heizung",$H6,$G6)/Nebenkosten!$E$14)</f>
        <v/>
      </c>
      <c r="AF6" s="11">
        <f>IF(OR(Nebenkosten!$B$15="",Nebenkosten!$E$15=0,$F6=0),0,Nebenkosten!$B$15*IF(Nebenkosten!$C$15="Fläche",$I6,IF(Nebenkosten!$C$15="Anteil",$J6,$K6))*IF(Nebenkosten!$D$15="Heizung",$H6,$G6)/Nebenkosten!$E$15)</f>
        <v/>
      </c>
      <c r="AG6" s="11">
        <f>IF(OR(Nebenkosten!$B$16="",Nebenkosten!$E$16=0,$F6=0),0,Nebenkosten!$B$16*IF(Nebenkosten!$C$16="Fläche",$I6,IF(Nebenkosten!$C$16="Anteil",$J6,$K6))*IF(Nebenkosten!$D$16="Heizung",$H6,$G6)/Nebenkosten!$E$16)</f>
        <v/>
      </c>
      <c r="AH6" s="11">
        <f>IF(OR(Nebenkosten!$B$17="",Nebenkosten!$E$17=0,$F6=0),0,Nebenkosten!$B$17*IF(Nebenkosten!$C$17="Fläche",$I6,IF(Nebenkosten!$C$17="Anteil",$J6,$K6))*IF(Nebenkosten!$D$17="Heizung",$H6,$G6)/Nebenkosten!$E$17)</f>
        <v/>
      </c>
      <c r="AI6" s="11">
        <f>IF(OR(Nebenkosten!$B$18="",Nebenkosten!$E$18=0,$F6=0),0,Nebenkosten!$B$18*IF(Nebenkosten!$C$18="Fläche",$I6,IF(Nebenkosten!$C$18="Anteil",$J6,$K6))*IF(Nebenkosten!$D$18="Heizung",$H6,$G6)/Nebenkosten!$E$18)</f>
        <v/>
      </c>
      <c r="AJ6" s="11">
        <f>IF(OR(Nebenkosten!$B$19="",Nebenkosten!$E$19=0,$F6=0),0,Nebenkosten!$B$19*IF(Nebenkosten!$C$19="Fläche",$I6,IF(Nebenkosten!$C$19="Anteil",$J6,$K6))*IF(Nebenkosten!$D$19="Heizung",$H6,$G6)/Nebenkosten!$E$19)</f>
        <v/>
      </c>
      <c r="AK6" s="11">
        <f>IF(OR(Nebenkosten!$B$20="",Nebenkosten!$E$20=0,$F6=0),0,Nebenkosten!$B$20*IF(Nebenkosten!$C$20="Fläche",$I6,IF(Nebenkosten!$C$20="Anteil",$J6,$K6))*IF(Nebenkosten!$D$20="Heizung",$H6,$G6)/Nebenkosten!$E$20)</f>
        <v/>
      </c>
      <c r="AL6" s="11">
        <f>IF(OR(Nebenkosten!$B$21="",Nebenkosten!$E$21=0,$F6=0),0,Nebenkosten!$B$21*IF(Nebenkosten!$C$21="Fläche",$I6,IF(Nebenkosten!$C$21="Anteil",$J6,$K6))*IF(Nebenkosten!$D$21="Heizung",$H6,$G6)/Nebenkosten!$E$21)</f>
        <v/>
      </c>
      <c r="AM6" s="11">
        <f>IF(OR(Nebenkosten!$B$22="",Nebenkosten!$E$22=0,$F6=0),0,Nebenkosten!$B$22*IF(Nebenkosten!$C$22="Fläche",$I6,IF(Nebenkosten!$C$22="Anteil",$J6,$K6))*IF(Nebenkosten!$D$22="Heizung",$H6,$G6)/Nebenkosten!$E$22)</f>
        <v/>
      </c>
      <c r="AN6" s="11">
        <f>IF(OR(Nebenkosten!$B$23="",Nebenkosten!$E$23=0,$F6=0),0,Nebenkosten!$B$23*IF(Nebenkosten!$C$23="Fläche",$I6,IF(Nebenkosten!$C$23="Anteil",$J6,$K6))*IF(Nebenkosten!$D$23="Heizung",$H6,$G6)/Nebenkosten!$E$23)</f>
        <v/>
      </c>
      <c r="AO6" s="11">
        <f>IF(OR(Nebenkosten!$B$24="",Nebenkosten!$E$24=0,$F6=0),0,Nebenkosten!$B$24*IF(Nebenkosten!$C$24="Fläche",$I6,IF(Nebenkosten!$C$24="Anteil",$J6,$K6))*IF(Nebenkosten!$D$24="Heizung",$H6,$G6)/Nebenkosten!$E$24)</f>
        <v/>
      </c>
      <c r="AP6" s="11">
        <f>IF(OR(Nebenkosten!$B$25="",Nebenkosten!$E$25=0,$F6=0),0,Nebenkosten!$B$25*IF(Nebenkosten!$C$25="Fläche",$I6,IF(Nebenkosten!$C$25="Anteil",$J6,$K6))*IF(Nebenkosten!$D$25="Heizung",$H6,$G6)/Nebenkosten!$E$25)</f>
        <v/>
      </c>
      <c r="AQ6" s="11">
        <f>IF(OR(Nebenkosten!$B$26="",Nebenkosten!$E$26=0,$F6=0),0,Nebenkosten!$B$26*IF(Nebenkosten!$C$26="Fläche",$I6,IF(Nebenkosten!$C$26="Anteil",$J6,$K6))*IF(Nebenkosten!$D$26="Heizung",$H6,$G6)/Nebenkosten!$E$26)</f>
        <v/>
      </c>
      <c r="AR6" s="11">
        <f>IF(OR(Nebenkosten!$B$27="",Nebenkosten!$E$27=0,$F6=0),0,Nebenkosten!$B$27*IF(Nebenkosten!$C$27="Fläche",$I6,IF(Nebenkosten!$C$27="Anteil",$J6,$K6))*IF(Nebenkosten!$D$27="Heizung",$H6,$G6)/Nebenkosten!$E$27)</f>
        <v/>
      </c>
      <c r="AS6" s="11">
        <f>IF(OR(Nebenkosten!$B$28="",Nebenkosten!$E$28=0,$F6=0),0,Nebenkosten!$B$28*IF(Nebenkosten!$C$28="Fläche",$I6,IF(Nebenkosten!$C$28="Anteil",$J6,$K6))*IF(Nebenkosten!$D$28="Heizung",$H6,$G6)/Nebenkosten!$E$28)</f>
        <v/>
      </c>
      <c r="AT6" s="11">
        <f>IF(OR(Nebenkosten!$B$29="",Nebenkosten!$E$29=0,$F6=0),0,Nebenkosten!$B$29*IF(Nebenkosten!$C$29="Fläche",$I6,IF(Nebenkosten!$C$29="Anteil",$J6,$K6))*IF(Nebenkosten!$D$29="Heizung",$H6,$G6)/Nebenkosten!$E$29)</f>
        <v/>
      </c>
      <c r="AU6" s="11">
        <f>IF(OR(Nebenkosten!$B$30="",Nebenkosten!$E$30=0,$F6=0),0,Nebenkosten!$B$30*IF(Nebenkosten!$C$30="Fläche",$I6,IF(Nebenkosten!$C$30="Anteil",$J6,$K6))*IF(Nebenkosten!$D$30="Heizung",$H6,$G6)/Nebenkosten!$E$30)</f>
        <v/>
      </c>
      <c r="AV6" s="11">
        <f>IF(OR(Nebenkosten!$B$31="",Nebenkosten!$E$31=0,$F6=0),0,Nebenkosten!$B$31*IF(Nebenkosten!$C$31="Fläche",$I6,IF(Nebenkosten!$C$31="Anteil",$J6,$K6))*IF(Nebenkosten!$D$31="Heizung",$H6,$G6)/Nebenkosten!$E$31)</f>
        <v/>
      </c>
      <c r="AW6" s="11">
        <f>IF(OR(Nebenkosten!$B$32="",Nebenkosten!$E$32=0,$F6=0),0,Nebenkosten!$B$32*IF(Nebenkosten!$C$32="Fläche",$I6,IF(Nebenkosten!$C$32="Anteil",$J6,$K6))*IF(Nebenkosten!$D$32="Heizung",$H6,$G6)/Nebenkosten!$E$32)</f>
        <v/>
      </c>
      <c r="AX6" s="11">
        <f>IF(OR(Nebenkosten!$B$33="",Nebenkosten!$E$33=0,$F6=0),0,Nebenkosten!$B$33*IF(Nebenkosten!$C$33="Fläche",$I6,IF(Nebenkosten!$C$33="Anteil",$J6,$K6))*IF(Nebenkosten!$D$33="Heizung",$H6,$G6)/Nebenkosten!$E$33)</f>
        <v/>
      </c>
      <c r="AY6" s="11">
        <f>IF(OR(Nebenkosten!$B$34="",Nebenkosten!$E$34=0,$F6=0),0,Nebenkosten!$B$34*IF(Nebenkosten!$C$34="Fläche",$I6,IF(Nebenkosten!$C$34="Anteil",$J6,$K6))*IF(Nebenkosten!$D$34="Heizung",$H6,$G6)/Nebenkosten!$E$34)</f>
        <v/>
      </c>
      <c r="AZ6" s="11">
        <f>ROUND(SUM(AA6:AY6)*20,0)/20</f>
        <v/>
      </c>
      <c r="BA6" s="11">
        <f>IF(F6=0,0,N6)</f>
        <v/>
      </c>
      <c r="BB6" s="11">
        <f>AZ6-BA6</f>
        <v/>
      </c>
    </row>
    <row r="7">
      <c r="A7" s="10">
        <f>'Mein Haus'!A47</f>
        <v/>
      </c>
      <c r="B7" s="23">
        <f>IF('Mein Haus'!C47="","",'Mein Haus'!C47)</f>
        <v/>
      </c>
      <c r="C7" s="23">
        <f>IF('Mein Haus'!B47="","",'Mein Haus'!B47)</f>
        <v/>
      </c>
      <c r="D7" s="21">
        <f>IF(AND('Mein Haus'!C47&lt;&gt;"",'Mein Haus'!B47&lt;&gt;"",Nebenkosten!$B$7&lt;&gt;""),MAX(IF('Mein Haus'!D47="",Nebenkosten!$B$7,'Mein Haus'!D47),Nebenkosten!$B$7),"")</f>
        <v/>
      </c>
      <c r="E7" s="21">
        <f>IF(AND('Mein Haus'!C47&lt;&gt;"",'Mein Haus'!B47&lt;&gt;"",Nebenkosten!$B$7&lt;&gt;""),MIN(IF('Mein Haus'!F47="",Nebenkosten!$D$7,'Mein Haus'!F47),Nebenkosten!$D$7),"")</f>
        <v/>
      </c>
      <c r="F7" s="10">
        <f>IF(D7="",0,MAX(0,E7-D7+1))</f>
        <v/>
      </c>
      <c r="G7" s="49">
        <f>IF(F7=0,0,F7/Nebenkosten!$F$7)</f>
        <v/>
      </c>
      <c r="H7" s="49">
        <f>IF(F7=0,0,SUMPRODUCT(O7:Z7,$O$3:$Z$3)/Einstellungen!$F$17)</f>
        <v/>
      </c>
      <c r="I7" s="19">
        <f>IF(F7=0,0,IFERROR(INDEX('Mein Haus'!$D$11:$D$40,MATCH(C7,'Mein Haus'!$A$11:$A$40,0)),0))</f>
        <v/>
      </c>
      <c r="J7" s="19">
        <f>IF(F7=0,0,IFERROR(INDEX('Mein Haus'!$E$11:$E$40,MATCH(C7,'Mein Haus'!$A$11:$A$40,0)),0))</f>
        <v/>
      </c>
      <c r="K7" s="19">
        <f>IF(F7=0,0,IFERROR(INDEX('Mein Haus'!$F$11:$F$40,MATCH(C7,'Mein Haus'!$A$11:$A$40,0)),0))</f>
        <v/>
      </c>
      <c r="L7" s="11">
        <f>IF(F7=0,0,N('Mein Haus'!H47)*SUM(O7:Z7))</f>
        <v/>
      </c>
      <c r="M7" s="22" t="n"/>
      <c r="N7" s="11">
        <f>IF(M7&lt;&gt;"",M7,L7)</f>
        <v/>
      </c>
      <c r="O7" s="19">
        <f>IF(F7=0,0,MAX(0,MIN(E7,EOMONTH(EDATE(Nebenkosten!$B$7,0),0))-MAX(D7,EDATE(Nebenkosten!$B$7,0))+1)/DAY(EOMONTH(EDATE(Nebenkosten!$B$7,0),0)))</f>
        <v/>
      </c>
      <c r="P7" s="19">
        <f>IF(F7=0,0,MAX(0,MIN(E7,EOMONTH(EDATE(Nebenkosten!$B$7,1),0))-MAX(D7,EDATE(Nebenkosten!$B$7,1))+1)/DAY(EOMONTH(EDATE(Nebenkosten!$B$7,1),0)))</f>
        <v/>
      </c>
      <c r="Q7" s="19">
        <f>IF(F7=0,0,MAX(0,MIN(E7,EOMONTH(EDATE(Nebenkosten!$B$7,2),0))-MAX(D7,EDATE(Nebenkosten!$B$7,2))+1)/DAY(EOMONTH(EDATE(Nebenkosten!$B$7,2),0)))</f>
        <v/>
      </c>
      <c r="R7" s="19">
        <f>IF(F7=0,0,MAX(0,MIN(E7,EOMONTH(EDATE(Nebenkosten!$B$7,3),0))-MAX(D7,EDATE(Nebenkosten!$B$7,3))+1)/DAY(EOMONTH(EDATE(Nebenkosten!$B$7,3),0)))</f>
        <v/>
      </c>
      <c r="S7" s="19">
        <f>IF(F7=0,0,MAX(0,MIN(E7,EOMONTH(EDATE(Nebenkosten!$B$7,4),0))-MAX(D7,EDATE(Nebenkosten!$B$7,4))+1)/DAY(EOMONTH(EDATE(Nebenkosten!$B$7,4),0)))</f>
        <v/>
      </c>
      <c r="T7" s="19">
        <f>IF(F7=0,0,MAX(0,MIN(E7,EOMONTH(EDATE(Nebenkosten!$B$7,5),0))-MAX(D7,EDATE(Nebenkosten!$B$7,5))+1)/DAY(EOMONTH(EDATE(Nebenkosten!$B$7,5),0)))</f>
        <v/>
      </c>
      <c r="U7" s="19">
        <f>IF(F7=0,0,MAX(0,MIN(E7,EOMONTH(EDATE(Nebenkosten!$B$7,6),0))-MAX(D7,EDATE(Nebenkosten!$B$7,6))+1)/DAY(EOMONTH(EDATE(Nebenkosten!$B$7,6),0)))</f>
        <v/>
      </c>
      <c r="V7" s="19">
        <f>IF(F7=0,0,MAX(0,MIN(E7,EOMONTH(EDATE(Nebenkosten!$B$7,7),0))-MAX(D7,EDATE(Nebenkosten!$B$7,7))+1)/DAY(EOMONTH(EDATE(Nebenkosten!$B$7,7),0)))</f>
        <v/>
      </c>
      <c r="W7" s="19">
        <f>IF(F7=0,0,MAX(0,MIN(E7,EOMONTH(EDATE(Nebenkosten!$B$7,8),0))-MAX(D7,EDATE(Nebenkosten!$B$7,8))+1)/DAY(EOMONTH(EDATE(Nebenkosten!$B$7,8),0)))</f>
        <v/>
      </c>
      <c r="X7" s="19">
        <f>IF(F7=0,0,MAX(0,MIN(E7,EOMONTH(EDATE(Nebenkosten!$B$7,9),0))-MAX(D7,EDATE(Nebenkosten!$B$7,9))+1)/DAY(EOMONTH(EDATE(Nebenkosten!$B$7,9),0)))</f>
        <v/>
      </c>
      <c r="Y7" s="19">
        <f>IF(F7=0,0,MAX(0,MIN(E7,EOMONTH(EDATE(Nebenkosten!$B$7,10),0))-MAX(D7,EDATE(Nebenkosten!$B$7,10))+1)/DAY(EOMONTH(EDATE(Nebenkosten!$B$7,10),0)))</f>
        <v/>
      </c>
      <c r="Z7" s="19">
        <f>IF(F7=0,0,MAX(0,MIN(E7,EOMONTH(EDATE(Nebenkosten!$B$7,11),0))-MAX(D7,EDATE(Nebenkosten!$B$7,11))+1)/DAY(EOMONTH(EDATE(Nebenkosten!$B$7,11),0)))</f>
        <v/>
      </c>
      <c r="AA7" s="11">
        <f>IF(OR(Nebenkosten!$B$10="",Nebenkosten!$E$10=0,$F7=0),0,Nebenkosten!$B$10*IF(Nebenkosten!$C$10="Fläche",$I7,IF(Nebenkosten!$C$10="Anteil",$J7,$K7))*IF(Nebenkosten!$D$10="Heizung",$H7,$G7)/Nebenkosten!$E$10)</f>
        <v/>
      </c>
      <c r="AB7" s="11">
        <f>IF(OR(Nebenkosten!$B$11="",Nebenkosten!$E$11=0,$F7=0),0,Nebenkosten!$B$11*IF(Nebenkosten!$C$11="Fläche",$I7,IF(Nebenkosten!$C$11="Anteil",$J7,$K7))*IF(Nebenkosten!$D$11="Heizung",$H7,$G7)/Nebenkosten!$E$11)</f>
        <v/>
      </c>
      <c r="AC7" s="11">
        <f>IF(OR(Nebenkosten!$B$12="",Nebenkosten!$E$12=0,$F7=0),0,Nebenkosten!$B$12*IF(Nebenkosten!$C$12="Fläche",$I7,IF(Nebenkosten!$C$12="Anteil",$J7,$K7))*IF(Nebenkosten!$D$12="Heizung",$H7,$G7)/Nebenkosten!$E$12)</f>
        <v/>
      </c>
      <c r="AD7" s="11">
        <f>IF(OR(Nebenkosten!$B$13="",Nebenkosten!$E$13=0,$F7=0),0,Nebenkosten!$B$13*IF(Nebenkosten!$C$13="Fläche",$I7,IF(Nebenkosten!$C$13="Anteil",$J7,$K7))*IF(Nebenkosten!$D$13="Heizung",$H7,$G7)/Nebenkosten!$E$13)</f>
        <v/>
      </c>
      <c r="AE7" s="11">
        <f>IF(OR(Nebenkosten!$B$14="",Nebenkosten!$E$14=0,$F7=0),0,Nebenkosten!$B$14*IF(Nebenkosten!$C$14="Fläche",$I7,IF(Nebenkosten!$C$14="Anteil",$J7,$K7))*IF(Nebenkosten!$D$14="Heizung",$H7,$G7)/Nebenkosten!$E$14)</f>
        <v/>
      </c>
      <c r="AF7" s="11">
        <f>IF(OR(Nebenkosten!$B$15="",Nebenkosten!$E$15=0,$F7=0),0,Nebenkosten!$B$15*IF(Nebenkosten!$C$15="Fläche",$I7,IF(Nebenkosten!$C$15="Anteil",$J7,$K7))*IF(Nebenkosten!$D$15="Heizung",$H7,$G7)/Nebenkosten!$E$15)</f>
        <v/>
      </c>
      <c r="AG7" s="11">
        <f>IF(OR(Nebenkosten!$B$16="",Nebenkosten!$E$16=0,$F7=0),0,Nebenkosten!$B$16*IF(Nebenkosten!$C$16="Fläche",$I7,IF(Nebenkosten!$C$16="Anteil",$J7,$K7))*IF(Nebenkosten!$D$16="Heizung",$H7,$G7)/Nebenkosten!$E$16)</f>
        <v/>
      </c>
      <c r="AH7" s="11">
        <f>IF(OR(Nebenkosten!$B$17="",Nebenkosten!$E$17=0,$F7=0),0,Nebenkosten!$B$17*IF(Nebenkosten!$C$17="Fläche",$I7,IF(Nebenkosten!$C$17="Anteil",$J7,$K7))*IF(Nebenkosten!$D$17="Heizung",$H7,$G7)/Nebenkosten!$E$17)</f>
        <v/>
      </c>
      <c r="AI7" s="11">
        <f>IF(OR(Nebenkosten!$B$18="",Nebenkosten!$E$18=0,$F7=0),0,Nebenkosten!$B$18*IF(Nebenkosten!$C$18="Fläche",$I7,IF(Nebenkosten!$C$18="Anteil",$J7,$K7))*IF(Nebenkosten!$D$18="Heizung",$H7,$G7)/Nebenkosten!$E$18)</f>
        <v/>
      </c>
      <c r="AJ7" s="11">
        <f>IF(OR(Nebenkosten!$B$19="",Nebenkosten!$E$19=0,$F7=0),0,Nebenkosten!$B$19*IF(Nebenkosten!$C$19="Fläche",$I7,IF(Nebenkosten!$C$19="Anteil",$J7,$K7))*IF(Nebenkosten!$D$19="Heizung",$H7,$G7)/Nebenkosten!$E$19)</f>
        <v/>
      </c>
      <c r="AK7" s="11">
        <f>IF(OR(Nebenkosten!$B$20="",Nebenkosten!$E$20=0,$F7=0),0,Nebenkosten!$B$20*IF(Nebenkosten!$C$20="Fläche",$I7,IF(Nebenkosten!$C$20="Anteil",$J7,$K7))*IF(Nebenkosten!$D$20="Heizung",$H7,$G7)/Nebenkosten!$E$20)</f>
        <v/>
      </c>
      <c r="AL7" s="11">
        <f>IF(OR(Nebenkosten!$B$21="",Nebenkosten!$E$21=0,$F7=0),0,Nebenkosten!$B$21*IF(Nebenkosten!$C$21="Fläche",$I7,IF(Nebenkosten!$C$21="Anteil",$J7,$K7))*IF(Nebenkosten!$D$21="Heizung",$H7,$G7)/Nebenkosten!$E$21)</f>
        <v/>
      </c>
      <c r="AM7" s="11">
        <f>IF(OR(Nebenkosten!$B$22="",Nebenkosten!$E$22=0,$F7=0),0,Nebenkosten!$B$22*IF(Nebenkosten!$C$22="Fläche",$I7,IF(Nebenkosten!$C$22="Anteil",$J7,$K7))*IF(Nebenkosten!$D$22="Heizung",$H7,$G7)/Nebenkosten!$E$22)</f>
        <v/>
      </c>
      <c r="AN7" s="11">
        <f>IF(OR(Nebenkosten!$B$23="",Nebenkosten!$E$23=0,$F7=0),0,Nebenkosten!$B$23*IF(Nebenkosten!$C$23="Fläche",$I7,IF(Nebenkosten!$C$23="Anteil",$J7,$K7))*IF(Nebenkosten!$D$23="Heizung",$H7,$G7)/Nebenkosten!$E$23)</f>
        <v/>
      </c>
      <c r="AO7" s="11">
        <f>IF(OR(Nebenkosten!$B$24="",Nebenkosten!$E$24=0,$F7=0),0,Nebenkosten!$B$24*IF(Nebenkosten!$C$24="Fläche",$I7,IF(Nebenkosten!$C$24="Anteil",$J7,$K7))*IF(Nebenkosten!$D$24="Heizung",$H7,$G7)/Nebenkosten!$E$24)</f>
        <v/>
      </c>
      <c r="AP7" s="11">
        <f>IF(OR(Nebenkosten!$B$25="",Nebenkosten!$E$25=0,$F7=0),0,Nebenkosten!$B$25*IF(Nebenkosten!$C$25="Fläche",$I7,IF(Nebenkosten!$C$25="Anteil",$J7,$K7))*IF(Nebenkosten!$D$25="Heizung",$H7,$G7)/Nebenkosten!$E$25)</f>
        <v/>
      </c>
      <c r="AQ7" s="11">
        <f>IF(OR(Nebenkosten!$B$26="",Nebenkosten!$E$26=0,$F7=0),0,Nebenkosten!$B$26*IF(Nebenkosten!$C$26="Fläche",$I7,IF(Nebenkosten!$C$26="Anteil",$J7,$K7))*IF(Nebenkosten!$D$26="Heizung",$H7,$G7)/Nebenkosten!$E$26)</f>
        <v/>
      </c>
      <c r="AR7" s="11">
        <f>IF(OR(Nebenkosten!$B$27="",Nebenkosten!$E$27=0,$F7=0),0,Nebenkosten!$B$27*IF(Nebenkosten!$C$27="Fläche",$I7,IF(Nebenkosten!$C$27="Anteil",$J7,$K7))*IF(Nebenkosten!$D$27="Heizung",$H7,$G7)/Nebenkosten!$E$27)</f>
        <v/>
      </c>
      <c r="AS7" s="11">
        <f>IF(OR(Nebenkosten!$B$28="",Nebenkosten!$E$28=0,$F7=0),0,Nebenkosten!$B$28*IF(Nebenkosten!$C$28="Fläche",$I7,IF(Nebenkosten!$C$28="Anteil",$J7,$K7))*IF(Nebenkosten!$D$28="Heizung",$H7,$G7)/Nebenkosten!$E$28)</f>
        <v/>
      </c>
      <c r="AT7" s="11">
        <f>IF(OR(Nebenkosten!$B$29="",Nebenkosten!$E$29=0,$F7=0),0,Nebenkosten!$B$29*IF(Nebenkosten!$C$29="Fläche",$I7,IF(Nebenkosten!$C$29="Anteil",$J7,$K7))*IF(Nebenkosten!$D$29="Heizung",$H7,$G7)/Nebenkosten!$E$29)</f>
        <v/>
      </c>
      <c r="AU7" s="11">
        <f>IF(OR(Nebenkosten!$B$30="",Nebenkosten!$E$30=0,$F7=0),0,Nebenkosten!$B$30*IF(Nebenkosten!$C$30="Fläche",$I7,IF(Nebenkosten!$C$30="Anteil",$J7,$K7))*IF(Nebenkosten!$D$30="Heizung",$H7,$G7)/Nebenkosten!$E$30)</f>
        <v/>
      </c>
      <c r="AV7" s="11">
        <f>IF(OR(Nebenkosten!$B$31="",Nebenkosten!$E$31=0,$F7=0),0,Nebenkosten!$B$31*IF(Nebenkosten!$C$31="Fläche",$I7,IF(Nebenkosten!$C$31="Anteil",$J7,$K7))*IF(Nebenkosten!$D$31="Heizung",$H7,$G7)/Nebenkosten!$E$31)</f>
        <v/>
      </c>
      <c r="AW7" s="11">
        <f>IF(OR(Nebenkosten!$B$32="",Nebenkosten!$E$32=0,$F7=0),0,Nebenkosten!$B$32*IF(Nebenkosten!$C$32="Fläche",$I7,IF(Nebenkosten!$C$32="Anteil",$J7,$K7))*IF(Nebenkosten!$D$32="Heizung",$H7,$G7)/Nebenkosten!$E$32)</f>
        <v/>
      </c>
      <c r="AX7" s="11">
        <f>IF(OR(Nebenkosten!$B$33="",Nebenkosten!$E$33=0,$F7=0),0,Nebenkosten!$B$33*IF(Nebenkosten!$C$33="Fläche",$I7,IF(Nebenkosten!$C$33="Anteil",$J7,$K7))*IF(Nebenkosten!$D$33="Heizung",$H7,$G7)/Nebenkosten!$E$33)</f>
        <v/>
      </c>
      <c r="AY7" s="11">
        <f>IF(OR(Nebenkosten!$B$34="",Nebenkosten!$E$34=0,$F7=0),0,Nebenkosten!$B$34*IF(Nebenkosten!$C$34="Fläche",$I7,IF(Nebenkosten!$C$34="Anteil",$J7,$K7))*IF(Nebenkosten!$D$34="Heizung",$H7,$G7)/Nebenkosten!$E$34)</f>
        <v/>
      </c>
      <c r="AZ7" s="11">
        <f>ROUND(SUM(AA7:AY7)*20,0)/20</f>
        <v/>
      </c>
      <c r="BA7" s="11">
        <f>IF(F7=0,0,N7)</f>
        <v/>
      </c>
      <c r="BB7" s="11">
        <f>AZ7-BA7</f>
        <v/>
      </c>
    </row>
    <row r="8">
      <c r="A8" s="10">
        <f>'Mein Haus'!A48</f>
        <v/>
      </c>
      <c r="B8" s="23">
        <f>IF('Mein Haus'!C48="","",'Mein Haus'!C48)</f>
        <v/>
      </c>
      <c r="C8" s="23">
        <f>IF('Mein Haus'!B48="","",'Mein Haus'!B48)</f>
        <v/>
      </c>
      <c r="D8" s="21">
        <f>IF(AND('Mein Haus'!C48&lt;&gt;"",'Mein Haus'!B48&lt;&gt;"",Nebenkosten!$B$7&lt;&gt;""),MAX(IF('Mein Haus'!D48="",Nebenkosten!$B$7,'Mein Haus'!D48),Nebenkosten!$B$7),"")</f>
        <v/>
      </c>
      <c r="E8" s="21">
        <f>IF(AND('Mein Haus'!C48&lt;&gt;"",'Mein Haus'!B48&lt;&gt;"",Nebenkosten!$B$7&lt;&gt;""),MIN(IF('Mein Haus'!F48="",Nebenkosten!$D$7,'Mein Haus'!F48),Nebenkosten!$D$7),"")</f>
        <v/>
      </c>
      <c r="F8" s="10">
        <f>IF(D8="",0,MAX(0,E8-D8+1))</f>
        <v/>
      </c>
      <c r="G8" s="49">
        <f>IF(F8=0,0,F8/Nebenkosten!$F$7)</f>
        <v/>
      </c>
      <c r="H8" s="49">
        <f>IF(F8=0,0,SUMPRODUCT(O8:Z8,$O$3:$Z$3)/Einstellungen!$F$17)</f>
        <v/>
      </c>
      <c r="I8" s="19">
        <f>IF(F8=0,0,IFERROR(INDEX('Mein Haus'!$D$11:$D$40,MATCH(C8,'Mein Haus'!$A$11:$A$40,0)),0))</f>
        <v/>
      </c>
      <c r="J8" s="19">
        <f>IF(F8=0,0,IFERROR(INDEX('Mein Haus'!$E$11:$E$40,MATCH(C8,'Mein Haus'!$A$11:$A$40,0)),0))</f>
        <v/>
      </c>
      <c r="K8" s="19">
        <f>IF(F8=0,0,IFERROR(INDEX('Mein Haus'!$F$11:$F$40,MATCH(C8,'Mein Haus'!$A$11:$A$40,0)),0))</f>
        <v/>
      </c>
      <c r="L8" s="11">
        <f>IF(F8=0,0,N('Mein Haus'!H48)*SUM(O8:Z8))</f>
        <v/>
      </c>
      <c r="M8" s="22" t="n"/>
      <c r="N8" s="11">
        <f>IF(M8&lt;&gt;"",M8,L8)</f>
        <v/>
      </c>
      <c r="O8" s="19">
        <f>IF(F8=0,0,MAX(0,MIN(E8,EOMONTH(EDATE(Nebenkosten!$B$7,0),0))-MAX(D8,EDATE(Nebenkosten!$B$7,0))+1)/DAY(EOMONTH(EDATE(Nebenkosten!$B$7,0),0)))</f>
        <v/>
      </c>
      <c r="P8" s="19">
        <f>IF(F8=0,0,MAX(0,MIN(E8,EOMONTH(EDATE(Nebenkosten!$B$7,1),0))-MAX(D8,EDATE(Nebenkosten!$B$7,1))+1)/DAY(EOMONTH(EDATE(Nebenkosten!$B$7,1),0)))</f>
        <v/>
      </c>
      <c r="Q8" s="19">
        <f>IF(F8=0,0,MAX(0,MIN(E8,EOMONTH(EDATE(Nebenkosten!$B$7,2),0))-MAX(D8,EDATE(Nebenkosten!$B$7,2))+1)/DAY(EOMONTH(EDATE(Nebenkosten!$B$7,2),0)))</f>
        <v/>
      </c>
      <c r="R8" s="19">
        <f>IF(F8=0,0,MAX(0,MIN(E8,EOMONTH(EDATE(Nebenkosten!$B$7,3),0))-MAX(D8,EDATE(Nebenkosten!$B$7,3))+1)/DAY(EOMONTH(EDATE(Nebenkosten!$B$7,3),0)))</f>
        <v/>
      </c>
      <c r="S8" s="19">
        <f>IF(F8=0,0,MAX(0,MIN(E8,EOMONTH(EDATE(Nebenkosten!$B$7,4),0))-MAX(D8,EDATE(Nebenkosten!$B$7,4))+1)/DAY(EOMONTH(EDATE(Nebenkosten!$B$7,4),0)))</f>
        <v/>
      </c>
      <c r="T8" s="19">
        <f>IF(F8=0,0,MAX(0,MIN(E8,EOMONTH(EDATE(Nebenkosten!$B$7,5),0))-MAX(D8,EDATE(Nebenkosten!$B$7,5))+1)/DAY(EOMONTH(EDATE(Nebenkosten!$B$7,5),0)))</f>
        <v/>
      </c>
      <c r="U8" s="19">
        <f>IF(F8=0,0,MAX(0,MIN(E8,EOMONTH(EDATE(Nebenkosten!$B$7,6),0))-MAX(D8,EDATE(Nebenkosten!$B$7,6))+1)/DAY(EOMONTH(EDATE(Nebenkosten!$B$7,6),0)))</f>
        <v/>
      </c>
      <c r="V8" s="19">
        <f>IF(F8=0,0,MAX(0,MIN(E8,EOMONTH(EDATE(Nebenkosten!$B$7,7),0))-MAX(D8,EDATE(Nebenkosten!$B$7,7))+1)/DAY(EOMONTH(EDATE(Nebenkosten!$B$7,7),0)))</f>
        <v/>
      </c>
      <c r="W8" s="19">
        <f>IF(F8=0,0,MAX(0,MIN(E8,EOMONTH(EDATE(Nebenkosten!$B$7,8),0))-MAX(D8,EDATE(Nebenkosten!$B$7,8))+1)/DAY(EOMONTH(EDATE(Nebenkosten!$B$7,8),0)))</f>
        <v/>
      </c>
      <c r="X8" s="19">
        <f>IF(F8=0,0,MAX(0,MIN(E8,EOMONTH(EDATE(Nebenkosten!$B$7,9),0))-MAX(D8,EDATE(Nebenkosten!$B$7,9))+1)/DAY(EOMONTH(EDATE(Nebenkosten!$B$7,9),0)))</f>
        <v/>
      </c>
      <c r="Y8" s="19">
        <f>IF(F8=0,0,MAX(0,MIN(E8,EOMONTH(EDATE(Nebenkosten!$B$7,10),0))-MAX(D8,EDATE(Nebenkosten!$B$7,10))+1)/DAY(EOMONTH(EDATE(Nebenkosten!$B$7,10),0)))</f>
        <v/>
      </c>
      <c r="Z8" s="19">
        <f>IF(F8=0,0,MAX(0,MIN(E8,EOMONTH(EDATE(Nebenkosten!$B$7,11),0))-MAX(D8,EDATE(Nebenkosten!$B$7,11))+1)/DAY(EOMONTH(EDATE(Nebenkosten!$B$7,11),0)))</f>
        <v/>
      </c>
      <c r="AA8" s="11">
        <f>IF(OR(Nebenkosten!$B$10="",Nebenkosten!$E$10=0,$F8=0),0,Nebenkosten!$B$10*IF(Nebenkosten!$C$10="Fläche",$I8,IF(Nebenkosten!$C$10="Anteil",$J8,$K8))*IF(Nebenkosten!$D$10="Heizung",$H8,$G8)/Nebenkosten!$E$10)</f>
        <v/>
      </c>
      <c r="AB8" s="11">
        <f>IF(OR(Nebenkosten!$B$11="",Nebenkosten!$E$11=0,$F8=0),0,Nebenkosten!$B$11*IF(Nebenkosten!$C$11="Fläche",$I8,IF(Nebenkosten!$C$11="Anteil",$J8,$K8))*IF(Nebenkosten!$D$11="Heizung",$H8,$G8)/Nebenkosten!$E$11)</f>
        <v/>
      </c>
      <c r="AC8" s="11">
        <f>IF(OR(Nebenkosten!$B$12="",Nebenkosten!$E$12=0,$F8=0),0,Nebenkosten!$B$12*IF(Nebenkosten!$C$12="Fläche",$I8,IF(Nebenkosten!$C$12="Anteil",$J8,$K8))*IF(Nebenkosten!$D$12="Heizung",$H8,$G8)/Nebenkosten!$E$12)</f>
        <v/>
      </c>
      <c r="AD8" s="11">
        <f>IF(OR(Nebenkosten!$B$13="",Nebenkosten!$E$13=0,$F8=0),0,Nebenkosten!$B$13*IF(Nebenkosten!$C$13="Fläche",$I8,IF(Nebenkosten!$C$13="Anteil",$J8,$K8))*IF(Nebenkosten!$D$13="Heizung",$H8,$G8)/Nebenkosten!$E$13)</f>
        <v/>
      </c>
      <c r="AE8" s="11">
        <f>IF(OR(Nebenkosten!$B$14="",Nebenkosten!$E$14=0,$F8=0),0,Nebenkosten!$B$14*IF(Nebenkosten!$C$14="Fläche",$I8,IF(Nebenkosten!$C$14="Anteil",$J8,$K8))*IF(Nebenkosten!$D$14="Heizung",$H8,$G8)/Nebenkosten!$E$14)</f>
        <v/>
      </c>
      <c r="AF8" s="11">
        <f>IF(OR(Nebenkosten!$B$15="",Nebenkosten!$E$15=0,$F8=0),0,Nebenkosten!$B$15*IF(Nebenkosten!$C$15="Fläche",$I8,IF(Nebenkosten!$C$15="Anteil",$J8,$K8))*IF(Nebenkosten!$D$15="Heizung",$H8,$G8)/Nebenkosten!$E$15)</f>
        <v/>
      </c>
      <c r="AG8" s="11">
        <f>IF(OR(Nebenkosten!$B$16="",Nebenkosten!$E$16=0,$F8=0),0,Nebenkosten!$B$16*IF(Nebenkosten!$C$16="Fläche",$I8,IF(Nebenkosten!$C$16="Anteil",$J8,$K8))*IF(Nebenkosten!$D$16="Heizung",$H8,$G8)/Nebenkosten!$E$16)</f>
        <v/>
      </c>
      <c r="AH8" s="11">
        <f>IF(OR(Nebenkosten!$B$17="",Nebenkosten!$E$17=0,$F8=0),0,Nebenkosten!$B$17*IF(Nebenkosten!$C$17="Fläche",$I8,IF(Nebenkosten!$C$17="Anteil",$J8,$K8))*IF(Nebenkosten!$D$17="Heizung",$H8,$G8)/Nebenkosten!$E$17)</f>
        <v/>
      </c>
      <c r="AI8" s="11">
        <f>IF(OR(Nebenkosten!$B$18="",Nebenkosten!$E$18=0,$F8=0),0,Nebenkosten!$B$18*IF(Nebenkosten!$C$18="Fläche",$I8,IF(Nebenkosten!$C$18="Anteil",$J8,$K8))*IF(Nebenkosten!$D$18="Heizung",$H8,$G8)/Nebenkosten!$E$18)</f>
        <v/>
      </c>
      <c r="AJ8" s="11">
        <f>IF(OR(Nebenkosten!$B$19="",Nebenkosten!$E$19=0,$F8=0),0,Nebenkosten!$B$19*IF(Nebenkosten!$C$19="Fläche",$I8,IF(Nebenkosten!$C$19="Anteil",$J8,$K8))*IF(Nebenkosten!$D$19="Heizung",$H8,$G8)/Nebenkosten!$E$19)</f>
        <v/>
      </c>
      <c r="AK8" s="11">
        <f>IF(OR(Nebenkosten!$B$20="",Nebenkosten!$E$20=0,$F8=0),0,Nebenkosten!$B$20*IF(Nebenkosten!$C$20="Fläche",$I8,IF(Nebenkosten!$C$20="Anteil",$J8,$K8))*IF(Nebenkosten!$D$20="Heizung",$H8,$G8)/Nebenkosten!$E$20)</f>
        <v/>
      </c>
      <c r="AL8" s="11">
        <f>IF(OR(Nebenkosten!$B$21="",Nebenkosten!$E$21=0,$F8=0),0,Nebenkosten!$B$21*IF(Nebenkosten!$C$21="Fläche",$I8,IF(Nebenkosten!$C$21="Anteil",$J8,$K8))*IF(Nebenkosten!$D$21="Heizung",$H8,$G8)/Nebenkosten!$E$21)</f>
        <v/>
      </c>
      <c r="AM8" s="11">
        <f>IF(OR(Nebenkosten!$B$22="",Nebenkosten!$E$22=0,$F8=0),0,Nebenkosten!$B$22*IF(Nebenkosten!$C$22="Fläche",$I8,IF(Nebenkosten!$C$22="Anteil",$J8,$K8))*IF(Nebenkosten!$D$22="Heizung",$H8,$G8)/Nebenkosten!$E$22)</f>
        <v/>
      </c>
      <c r="AN8" s="11">
        <f>IF(OR(Nebenkosten!$B$23="",Nebenkosten!$E$23=0,$F8=0),0,Nebenkosten!$B$23*IF(Nebenkosten!$C$23="Fläche",$I8,IF(Nebenkosten!$C$23="Anteil",$J8,$K8))*IF(Nebenkosten!$D$23="Heizung",$H8,$G8)/Nebenkosten!$E$23)</f>
        <v/>
      </c>
      <c r="AO8" s="11">
        <f>IF(OR(Nebenkosten!$B$24="",Nebenkosten!$E$24=0,$F8=0),0,Nebenkosten!$B$24*IF(Nebenkosten!$C$24="Fläche",$I8,IF(Nebenkosten!$C$24="Anteil",$J8,$K8))*IF(Nebenkosten!$D$24="Heizung",$H8,$G8)/Nebenkosten!$E$24)</f>
        <v/>
      </c>
      <c r="AP8" s="11">
        <f>IF(OR(Nebenkosten!$B$25="",Nebenkosten!$E$25=0,$F8=0),0,Nebenkosten!$B$25*IF(Nebenkosten!$C$25="Fläche",$I8,IF(Nebenkosten!$C$25="Anteil",$J8,$K8))*IF(Nebenkosten!$D$25="Heizung",$H8,$G8)/Nebenkosten!$E$25)</f>
        <v/>
      </c>
      <c r="AQ8" s="11">
        <f>IF(OR(Nebenkosten!$B$26="",Nebenkosten!$E$26=0,$F8=0),0,Nebenkosten!$B$26*IF(Nebenkosten!$C$26="Fläche",$I8,IF(Nebenkosten!$C$26="Anteil",$J8,$K8))*IF(Nebenkosten!$D$26="Heizung",$H8,$G8)/Nebenkosten!$E$26)</f>
        <v/>
      </c>
      <c r="AR8" s="11">
        <f>IF(OR(Nebenkosten!$B$27="",Nebenkosten!$E$27=0,$F8=0),0,Nebenkosten!$B$27*IF(Nebenkosten!$C$27="Fläche",$I8,IF(Nebenkosten!$C$27="Anteil",$J8,$K8))*IF(Nebenkosten!$D$27="Heizung",$H8,$G8)/Nebenkosten!$E$27)</f>
        <v/>
      </c>
      <c r="AS8" s="11">
        <f>IF(OR(Nebenkosten!$B$28="",Nebenkosten!$E$28=0,$F8=0),0,Nebenkosten!$B$28*IF(Nebenkosten!$C$28="Fläche",$I8,IF(Nebenkosten!$C$28="Anteil",$J8,$K8))*IF(Nebenkosten!$D$28="Heizung",$H8,$G8)/Nebenkosten!$E$28)</f>
        <v/>
      </c>
      <c r="AT8" s="11">
        <f>IF(OR(Nebenkosten!$B$29="",Nebenkosten!$E$29=0,$F8=0),0,Nebenkosten!$B$29*IF(Nebenkosten!$C$29="Fläche",$I8,IF(Nebenkosten!$C$29="Anteil",$J8,$K8))*IF(Nebenkosten!$D$29="Heizung",$H8,$G8)/Nebenkosten!$E$29)</f>
        <v/>
      </c>
      <c r="AU8" s="11">
        <f>IF(OR(Nebenkosten!$B$30="",Nebenkosten!$E$30=0,$F8=0),0,Nebenkosten!$B$30*IF(Nebenkosten!$C$30="Fläche",$I8,IF(Nebenkosten!$C$30="Anteil",$J8,$K8))*IF(Nebenkosten!$D$30="Heizung",$H8,$G8)/Nebenkosten!$E$30)</f>
        <v/>
      </c>
      <c r="AV8" s="11">
        <f>IF(OR(Nebenkosten!$B$31="",Nebenkosten!$E$31=0,$F8=0),0,Nebenkosten!$B$31*IF(Nebenkosten!$C$31="Fläche",$I8,IF(Nebenkosten!$C$31="Anteil",$J8,$K8))*IF(Nebenkosten!$D$31="Heizung",$H8,$G8)/Nebenkosten!$E$31)</f>
        <v/>
      </c>
      <c r="AW8" s="11">
        <f>IF(OR(Nebenkosten!$B$32="",Nebenkosten!$E$32=0,$F8=0),0,Nebenkosten!$B$32*IF(Nebenkosten!$C$32="Fläche",$I8,IF(Nebenkosten!$C$32="Anteil",$J8,$K8))*IF(Nebenkosten!$D$32="Heizung",$H8,$G8)/Nebenkosten!$E$32)</f>
        <v/>
      </c>
      <c r="AX8" s="11">
        <f>IF(OR(Nebenkosten!$B$33="",Nebenkosten!$E$33=0,$F8=0),0,Nebenkosten!$B$33*IF(Nebenkosten!$C$33="Fläche",$I8,IF(Nebenkosten!$C$33="Anteil",$J8,$K8))*IF(Nebenkosten!$D$33="Heizung",$H8,$G8)/Nebenkosten!$E$33)</f>
        <v/>
      </c>
      <c r="AY8" s="11">
        <f>IF(OR(Nebenkosten!$B$34="",Nebenkosten!$E$34=0,$F8=0),0,Nebenkosten!$B$34*IF(Nebenkosten!$C$34="Fläche",$I8,IF(Nebenkosten!$C$34="Anteil",$J8,$K8))*IF(Nebenkosten!$D$34="Heizung",$H8,$G8)/Nebenkosten!$E$34)</f>
        <v/>
      </c>
      <c r="AZ8" s="11">
        <f>ROUND(SUM(AA8:AY8)*20,0)/20</f>
        <v/>
      </c>
      <c r="BA8" s="11">
        <f>IF(F8=0,0,N8)</f>
        <v/>
      </c>
      <c r="BB8" s="11">
        <f>AZ8-BA8</f>
        <v/>
      </c>
    </row>
    <row r="9">
      <c r="A9" s="10">
        <f>'Mein Haus'!A49</f>
        <v/>
      </c>
      <c r="B9" s="23">
        <f>IF('Mein Haus'!C49="","",'Mein Haus'!C49)</f>
        <v/>
      </c>
      <c r="C9" s="23">
        <f>IF('Mein Haus'!B49="","",'Mein Haus'!B49)</f>
        <v/>
      </c>
      <c r="D9" s="21">
        <f>IF(AND('Mein Haus'!C49&lt;&gt;"",'Mein Haus'!B49&lt;&gt;"",Nebenkosten!$B$7&lt;&gt;""),MAX(IF('Mein Haus'!D49="",Nebenkosten!$B$7,'Mein Haus'!D49),Nebenkosten!$B$7),"")</f>
        <v/>
      </c>
      <c r="E9" s="21">
        <f>IF(AND('Mein Haus'!C49&lt;&gt;"",'Mein Haus'!B49&lt;&gt;"",Nebenkosten!$B$7&lt;&gt;""),MIN(IF('Mein Haus'!F49="",Nebenkosten!$D$7,'Mein Haus'!F49),Nebenkosten!$D$7),"")</f>
        <v/>
      </c>
      <c r="F9" s="10">
        <f>IF(D9="",0,MAX(0,E9-D9+1))</f>
        <v/>
      </c>
      <c r="G9" s="49">
        <f>IF(F9=0,0,F9/Nebenkosten!$F$7)</f>
        <v/>
      </c>
      <c r="H9" s="49">
        <f>IF(F9=0,0,SUMPRODUCT(O9:Z9,$O$3:$Z$3)/Einstellungen!$F$17)</f>
        <v/>
      </c>
      <c r="I9" s="19">
        <f>IF(F9=0,0,IFERROR(INDEX('Mein Haus'!$D$11:$D$40,MATCH(C9,'Mein Haus'!$A$11:$A$40,0)),0))</f>
        <v/>
      </c>
      <c r="J9" s="19">
        <f>IF(F9=0,0,IFERROR(INDEX('Mein Haus'!$E$11:$E$40,MATCH(C9,'Mein Haus'!$A$11:$A$40,0)),0))</f>
        <v/>
      </c>
      <c r="K9" s="19">
        <f>IF(F9=0,0,IFERROR(INDEX('Mein Haus'!$F$11:$F$40,MATCH(C9,'Mein Haus'!$A$11:$A$40,0)),0))</f>
        <v/>
      </c>
      <c r="L9" s="11">
        <f>IF(F9=0,0,N('Mein Haus'!H49)*SUM(O9:Z9))</f>
        <v/>
      </c>
      <c r="M9" s="22" t="n"/>
      <c r="N9" s="11">
        <f>IF(M9&lt;&gt;"",M9,L9)</f>
        <v/>
      </c>
      <c r="O9" s="19">
        <f>IF(F9=0,0,MAX(0,MIN(E9,EOMONTH(EDATE(Nebenkosten!$B$7,0),0))-MAX(D9,EDATE(Nebenkosten!$B$7,0))+1)/DAY(EOMONTH(EDATE(Nebenkosten!$B$7,0),0)))</f>
        <v/>
      </c>
      <c r="P9" s="19">
        <f>IF(F9=0,0,MAX(0,MIN(E9,EOMONTH(EDATE(Nebenkosten!$B$7,1),0))-MAX(D9,EDATE(Nebenkosten!$B$7,1))+1)/DAY(EOMONTH(EDATE(Nebenkosten!$B$7,1),0)))</f>
        <v/>
      </c>
      <c r="Q9" s="19">
        <f>IF(F9=0,0,MAX(0,MIN(E9,EOMONTH(EDATE(Nebenkosten!$B$7,2),0))-MAX(D9,EDATE(Nebenkosten!$B$7,2))+1)/DAY(EOMONTH(EDATE(Nebenkosten!$B$7,2),0)))</f>
        <v/>
      </c>
      <c r="R9" s="19">
        <f>IF(F9=0,0,MAX(0,MIN(E9,EOMONTH(EDATE(Nebenkosten!$B$7,3),0))-MAX(D9,EDATE(Nebenkosten!$B$7,3))+1)/DAY(EOMONTH(EDATE(Nebenkosten!$B$7,3),0)))</f>
        <v/>
      </c>
      <c r="S9" s="19">
        <f>IF(F9=0,0,MAX(0,MIN(E9,EOMONTH(EDATE(Nebenkosten!$B$7,4),0))-MAX(D9,EDATE(Nebenkosten!$B$7,4))+1)/DAY(EOMONTH(EDATE(Nebenkosten!$B$7,4),0)))</f>
        <v/>
      </c>
      <c r="T9" s="19">
        <f>IF(F9=0,0,MAX(0,MIN(E9,EOMONTH(EDATE(Nebenkosten!$B$7,5),0))-MAX(D9,EDATE(Nebenkosten!$B$7,5))+1)/DAY(EOMONTH(EDATE(Nebenkosten!$B$7,5),0)))</f>
        <v/>
      </c>
      <c r="U9" s="19">
        <f>IF(F9=0,0,MAX(0,MIN(E9,EOMONTH(EDATE(Nebenkosten!$B$7,6),0))-MAX(D9,EDATE(Nebenkosten!$B$7,6))+1)/DAY(EOMONTH(EDATE(Nebenkosten!$B$7,6),0)))</f>
        <v/>
      </c>
      <c r="V9" s="19">
        <f>IF(F9=0,0,MAX(0,MIN(E9,EOMONTH(EDATE(Nebenkosten!$B$7,7),0))-MAX(D9,EDATE(Nebenkosten!$B$7,7))+1)/DAY(EOMONTH(EDATE(Nebenkosten!$B$7,7),0)))</f>
        <v/>
      </c>
      <c r="W9" s="19">
        <f>IF(F9=0,0,MAX(0,MIN(E9,EOMONTH(EDATE(Nebenkosten!$B$7,8),0))-MAX(D9,EDATE(Nebenkosten!$B$7,8))+1)/DAY(EOMONTH(EDATE(Nebenkosten!$B$7,8),0)))</f>
        <v/>
      </c>
      <c r="X9" s="19">
        <f>IF(F9=0,0,MAX(0,MIN(E9,EOMONTH(EDATE(Nebenkosten!$B$7,9),0))-MAX(D9,EDATE(Nebenkosten!$B$7,9))+1)/DAY(EOMONTH(EDATE(Nebenkosten!$B$7,9),0)))</f>
        <v/>
      </c>
      <c r="Y9" s="19">
        <f>IF(F9=0,0,MAX(0,MIN(E9,EOMONTH(EDATE(Nebenkosten!$B$7,10),0))-MAX(D9,EDATE(Nebenkosten!$B$7,10))+1)/DAY(EOMONTH(EDATE(Nebenkosten!$B$7,10),0)))</f>
        <v/>
      </c>
      <c r="Z9" s="19">
        <f>IF(F9=0,0,MAX(0,MIN(E9,EOMONTH(EDATE(Nebenkosten!$B$7,11),0))-MAX(D9,EDATE(Nebenkosten!$B$7,11))+1)/DAY(EOMONTH(EDATE(Nebenkosten!$B$7,11),0)))</f>
        <v/>
      </c>
      <c r="AA9" s="11">
        <f>IF(OR(Nebenkosten!$B$10="",Nebenkosten!$E$10=0,$F9=0),0,Nebenkosten!$B$10*IF(Nebenkosten!$C$10="Fläche",$I9,IF(Nebenkosten!$C$10="Anteil",$J9,$K9))*IF(Nebenkosten!$D$10="Heizung",$H9,$G9)/Nebenkosten!$E$10)</f>
        <v/>
      </c>
      <c r="AB9" s="11">
        <f>IF(OR(Nebenkosten!$B$11="",Nebenkosten!$E$11=0,$F9=0),0,Nebenkosten!$B$11*IF(Nebenkosten!$C$11="Fläche",$I9,IF(Nebenkosten!$C$11="Anteil",$J9,$K9))*IF(Nebenkosten!$D$11="Heizung",$H9,$G9)/Nebenkosten!$E$11)</f>
        <v/>
      </c>
      <c r="AC9" s="11">
        <f>IF(OR(Nebenkosten!$B$12="",Nebenkosten!$E$12=0,$F9=0),0,Nebenkosten!$B$12*IF(Nebenkosten!$C$12="Fläche",$I9,IF(Nebenkosten!$C$12="Anteil",$J9,$K9))*IF(Nebenkosten!$D$12="Heizung",$H9,$G9)/Nebenkosten!$E$12)</f>
        <v/>
      </c>
      <c r="AD9" s="11">
        <f>IF(OR(Nebenkosten!$B$13="",Nebenkosten!$E$13=0,$F9=0),0,Nebenkosten!$B$13*IF(Nebenkosten!$C$13="Fläche",$I9,IF(Nebenkosten!$C$13="Anteil",$J9,$K9))*IF(Nebenkosten!$D$13="Heizung",$H9,$G9)/Nebenkosten!$E$13)</f>
        <v/>
      </c>
      <c r="AE9" s="11">
        <f>IF(OR(Nebenkosten!$B$14="",Nebenkosten!$E$14=0,$F9=0),0,Nebenkosten!$B$14*IF(Nebenkosten!$C$14="Fläche",$I9,IF(Nebenkosten!$C$14="Anteil",$J9,$K9))*IF(Nebenkosten!$D$14="Heizung",$H9,$G9)/Nebenkosten!$E$14)</f>
        <v/>
      </c>
      <c r="AF9" s="11">
        <f>IF(OR(Nebenkosten!$B$15="",Nebenkosten!$E$15=0,$F9=0),0,Nebenkosten!$B$15*IF(Nebenkosten!$C$15="Fläche",$I9,IF(Nebenkosten!$C$15="Anteil",$J9,$K9))*IF(Nebenkosten!$D$15="Heizung",$H9,$G9)/Nebenkosten!$E$15)</f>
        <v/>
      </c>
      <c r="AG9" s="11">
        <f>IF(OR(Nebenkosten!$B$16="",Nebenkosten!$E$16=0,$F9=0),0,Nebenkosten!$B$16*IF(Nebenkosten!$C$16="Fläche",$I9,IF(Nebenkosten!$C$16="Anteil",$J9,$K9))*IF(Nebenkosten!$D$16="Heizung",$H9,$G9)/Nebenkosten!$E$16)</f>
        <v/>
      </c>
      <c r="AH9" s="11">
        <f>IF(OR(Nebenkosten!$B$17="",Nebenkosten!$E$17=0,$F9=0),0,Nebenkosten!$B$17*IF(Nebenkosten!$C$17="Fläche",$I9,IF(Nebenkosten!$C$17="Anteil",$J9,$K9))*IF(Nebenkosten!$D$17="Heizung",$H9,$G9)/Nebenkosten!$E$17)</f>
        <v/>
      </c>
      <c r="AI9" s="11">
        <f>IF(OR(Nebenkosten!$B$18="",Nebenkosten!$E$18=0,$F9=0),0,Nebenkosten!$B$18*IF(Nebenkosten!$C$18="Fläche",$I9,IF(Nebenkosten!$C$18="Anteil",$J9,$K9))*IF(Nebenkosten!$D$18="Heizung",$H9,$G9)/Nebenkosten!$E$18)</f>
        <v/>
      </c>
      <c r="AJ9" s="11">
        <f>IF(OR(Nebenkosten!$B$19="",Nebenkosten!$E$19=0,$F9=0),0,Nebenkosten!$B$19*IF(Nebenkosten!$C$19="Fläche",$I9,IF(Nebenkosten!$C$19="Anteil",$J9,$K9))*IF(Nebenkosten!$D$19="Heizung",$H9,$G9)/Nebenkosten!$E$19)</f>
        <v/>
      </c>
      <c r="AK9" s="11">
        <f>IF(OR(Nebenkosten!$B$20="",Nebenkosten!$E$20=0,$F9=0),0,Nebenkosten!$B$20*IF(Nebenkosten!$C$20="Fläche",$I9,IF(Nebenkosten!$C$20="Anteil",$J9,$K9))*IF(Nebenkosten!$D$20="Heizung",$H9,$G9)/Nebenkosten!$E$20)</f>
        <v/>
      </c>
      <c r="AL9" s="11">
        <f>IF(OR(Nebenkosten!$B$21="",Nebenkosten!$E$21=0,$F9=0),0,Nebenkosten!$B$21*IF(Nebenkosten!$C$21="Fläche",$I9,IF(Nebenkosten!$C$21="Anteil",$J9,$K9))*IF(Nebenkosten!$D$21="Heizung",$H9,$G9)/Nebenkosten!$E$21)</f>
        <v/>
      </c>
      <c r="AM9" s="11">
        <f>IF(OR(Nebenkosten!$B$22="",Nebenkosten!$E$22=0,$F9=0),0,Nebenkosten!$B$22*IF(Nebenkosten!$C$22="Fläche",$I9,IF(Nebenkosten!$C$22="Anteil",$J9,$K9))*IF(Nebenkosten!$D$22="Heizung",$H9,$G9)/Nebenkosten!$E$22)</f>
        <v/>
      </c>
      <c r="AN9" s="11">
        <f>IF(OR(Nebenkosten!$B$23="",Nebenkosten!$E$23=0,$F9=0),0,Nebenkosten!$B$23*IF(Nebenkosten!$C$23="Fläche",$I9,IF(Nebenkosten!$C$23="Anteil",$J9,$K9))*IF(Nebenkosten!$D$23="Heizung",$H9,$G9)/Nebenkosten!$E$23)</f>
        <v/>
      </c>
      <c r="AO9" s="11">
        <f>IF(OR(Nebenkosten!$B$24="",Nebenkosten!$E$24=0,$F9=0),0,Nebenkosten!$B$24*IF(Nebenkosten!$C$24="Fläche",$I9,IF(Nebenkosten!$C$24="Anteil",$J9,$K9))*IF(Nebenkosten!$D$24="Heizung",$H9,$G9)/Nebenkosten!$E$24)</f>
        <v/>
      </c>
      <c r="AP9" s="11">
        <f>IF(OR(Nebenkosten!$B$25="",Nebenkosten!$E$25=0,$F9=0),0,Nebenkosten!$B$25*IF(Nebenkosten!$C$25="Fläche",$I9,IF(Nebenkosten!$C$25="Anteil",$J9,$K9))*IF(Nebenkosten!$D$25="Heizung",$H9,$G9)/Nebenkosten!$E$25)</f>
        <v/>
      </c>
      <c r="AQ9" s="11">
        <f>IF(OR(Nebenkosten!$B$26="",Nebenkosten!$E$26=0,$F9=0),0,Nebenkosten!$B$26*IF(Nebenkosten!$C$26="Fläche",$I9,IF(Nebenkosten!$C$26="Anteil",$J9,$K9))*IF(Nebenkosten!$D$26="Heizung",$H9,$G9)/Nebenkosten!$E$26)</f>
        <v/>
      </c>
      <c r="AR9" s="11">
        <f>IF(OR(Nebenkosten!$B$27="",Nebenkosten!$E$27=0,$F9=0),0,Nebenkosten!$B$27*IF(Nebenkosten!$C$27="Fläche",$I9,IF(Nebenkosten!$C$27="Anteil",$J9,$K9))*IF(Nebenkosten!$D$27="Heizung",$H9,$G9)/Nebenkosten!$E$27)</f>
        <v/>
      </c>
      <c r="AS9" s="11">
        <f>IF(OR(Nebenkosten!$B$28="",Nebenkosten!$E$28=0,$F9=0),0,Nebenkosten!$B$28*IF(Nebenkosten!$C$28="Fläche",$I9,IF(Nebenkosten!$C$28="Anteil",$J9,$K9))*IF(Nebenkosten!$D$28="Heizung",$H9,$G9)/Nebenkosten!$E$28)</f>
        <v/>
      </c>
      <c r="AT9" s="11">
        <f>IF(OR(Nebenkosten!$B$29="",Nebenkosten!$E$29=0,$F9=0),0,Nebenkosten!$B$29*IF(Nebenkosten!$C$29="Fläche",$I9,IF(Nebenkosten!$C$29="Anteil",$J9,$K9))*IF(Nebenkosten!$D$29="Heizung",$H9,$G9)/Nebenkosten!$E$29)</f>
        <v/>
      </c>
      <c r="AU9" s="11">
        <f>IF(OR(Nebenkosten!$B$30="",Nebenkosten!$E$30=0,$F9=0),0,Nebenkosten!$B$30*IF(Nebenkosten!$C$30="Fläche",$I9,IF(Nebenkosten!$C$30="Anteil",$J9,$K9))*IF(Nebenkosten!$D$30="Heizung",$H9,$G9)/Nebenkosten!$E$30)</f>
        <v/>
      </c>
      <c r="AV9" s="11">
        <f>IF(OR(Nebenkosten!$B$31="",Nebenkosten!$E$31=0,$F9=0),0,Nebenkosten!$B$31*IF(Nebenkosten!$C$31="Fläche",$I9,IF(Nebenkosten!$C$31="Anteil",$J9,$K9))*IF(Nebenkosten!$D$31="Heizung",$H9,$G9)/Nebenkosten!$E$31)</f>
        <v/>
      </c>
      <c r="AW9" s="11">
        <f>IF(OR(Nebenkosten!$B$32="",Nebenkosten!$E$32=0,$F9=0),0,Nebenkosten!$B$32*IF(Nebenkosten!$C$32="Fläche",$I9,IF(Nebenkosten!$C$32="Anteil",$J9,$K9))*IF(Nebenkosten!$D$32="Heizung",$H9,$G9)/Nebenkosten!$E$32)</f>
        <v/>
      </c>
      <c r="AX9" s="11">
        <f>IF(OR(Nebenkosten!$B$33="",Nebenkosten!$E$33=0,$F9=0),0,Nebenkosten!$B$33*IF(Nebenkosten!$C$33="Fläche",$I9,IF(Nebenkosten!$C$33="Anteil",$J9,$K9))*IF(Nebenkosten!$D$33="Heizung",$H9,$G9)/Nebenkosten!$E$33)</f>
        <v/>
      </c>
      <c r="AY9" s="11">
        <f>IF(OR(Nebenkosten!$B$34="",Nebenkosten!$E$34=0,$F9=0),0,Nebenkosten!$B$34*IF(Nebenkosten!$C$34="Fläche",$I9,IF(Nebenkosten!$C$34="Anteil",$J9,$K9))*IF(Nebenkosten!$D$34="Heizung",$H9,$G9)/Nebenkosten!$E$34)</f>
        <v/>
      </c>
      <c r="AZ9" s="11">
        <f>ROUND(SUM(AA9:AY9)*20,0)/20</f>
        <v/>
      </c>
      <c r="BA9" s="11">
        <f>IF(F9=0,0,N9)</f>
        <v/>
      </c>
      <c r="BB9" s="11">
        <f>AZ9-BA9</f>
        <v/>
      </c>
    </row>
    <row r="10">
      <c r="A10" s="10">
        <f>'Mein Haus'!A50</f>
        <v/>
      </c>
      <c r="B10" s="23">
        <f>IF('Mein Haus'!C50="","",'Mein Haus'!C50)</f>
        <v/>
      </c>
      <c r="C10" s="23">
        <f>IF('Mein Haus'!B50="","",'Mein Haus'!B50)</f>
        <v/>
      </c>
      <c r="D10" s="21">
        <f>IF(AND('Mein Haus'!C50&lt;&gt;"",'Mein Haus'!B50&lt;&gt;"",Nebenkosten!$B$7&lt;&gt;""),MAX(IF('Mein Haus'!D50="",Nebenkosten!$B$7,'Mein Haus'!D50),Nebenkosten!$B$7),"")</f>
        <v/>
      </c>
      <c r="E10" s="21">
        <f>IF(AND('Mein Haus'!C50&lt;&gt;"",'Mein Haus'!B50&lt;&gt;"",Nebenkosten!$B$7&lt;&gt;""),MIN(IF('Mein Haus'!F50="",Nebenkosten!$D$7,'Mein Haus'!F50),Nebenkosten!$D$7),"")</f>
        <v/>
      </c>
      <c r="F10" s="10">
        <f>IF(D10="",0,MAX(0,E10-D10+1))</f>
        <v/>
      </c>
      <c r="G10" s="49">
        <f>IF(F10=0,0,F10/Nebenkosten!$F$7)</f>
        <v/>
      </c>
      <c r="H10" s="49">
        <f>IF(F10=0,0,SUMPRODUCT(O10:Z10,$O$3:$Z$3)/Einstellungen!$F$17)</f>
        <v/>
      </c>
      <c r="I10" s="19">
        <f>IF(F10=0,0,IFERROR(INDEX('Mein Haus'!$D$11:$D$40,MATCH(C10,'Mein Haus'!$A$11:$A$40,0)),0))</f>
        <v/>
      </c>
      <c r="J10" s="19">
        <f>IF(F10=0,0,IFERROR(INDEX('Mein Haus'!$E$11:$E$40,MATCH(C10,'Mein Haus'!$A$11:$A$40,0)),0))</f>
        <v/>
      </c>
      <c r="K10" s="19">
        <f>IF(F10=0,0,IFERROR(INDEX('Mein Haus'!$F$11:$F$40,MATCH(C10,'Mein Haus'!$A$11:$A$40,0)),0))</f>
        <v/>
      </c>
      <c r="L10" s="11">
        <f>IF(F10=0,0,N('Mein Haus'!H50)*SUM(O10:Z10))</f>
        <v/>
      </c>
      <c r="M10" s="22" t="n"/>
      <c r="N10" s="11">
        <f>IF(M10&lt;&gt;"",M10,L10)</f>
        <v/>
      </c>
      <c r="O10" s="19">
        <f>IF(F10=0,0,MAX(0,MIN(E10,EOMONTH(EDATE(Nebenkosten!$B$7,0),0))-MAX(D10,EDATE(Nebenkosten!$B$7,0))+1)/DAY(EOMONTH(EDATE(Nebenkosten!$B$7,0),0)))</f>
        <v/>
      </c>
      <c r="P10" s="19">
        <f>IF(F10=0,0,MAX(0,MIN(E10,EOMONTH(EDATE(Nebenkosten!$B$7,1),0))-MAX(D10,EDATE(Nebenkosten!$B$7,1))+1)/DAY(EOMONTH(EDATE(Nebenkosten!$B$7,1),0)))</f>
        <v/>
      </c>
      <c r="Q10" s="19">
        <f>IF(F10=0,0,MAX(0,MIN(E10,EOMONTH(EDATE(Nebenkosten!$B$7,2),0))-MAX(D10,EDATE(Nebenkosten!$B$7,2))+1)/DAY(EOMONTH(EDATE(Nebenkosten!$B$7,2),0)))</f>
        <v/>
      </c>
      <c r="R10" s="19">
        <f>IF(F10=0,0,MAX(0,MIN(E10,EOMONTH(EDATE(Nebenkosten!$B$7,3),0))-MAX(D10,EDATE(Nebenkosten!$B$7,3))+1)/DAY(EOMONTH(EDATE(Nebenkosten!$B$7,3),0)))</f>
        <v/>
      </c>
      <c r="S10" s="19">
        <f>IF(F10=0,0,MAX(0,MIN(E10,EOMONTH(EDATE(Nebenkosten!$B$7,4),0))-MAX(D10,EDATE(Nebenkosten!$B$7,4))+1)/DAY(EOMONTH(EDATE(Nebenkosten!$B$7,4),0)))</f>
        <v/>
      </c>
      <c r="T10" s="19">
        <f>IF(F10=0,0,MAX(0,MIN(E10,EOMONTH(EDATE(Nebenkosten!$B$7,5),0))-MAX(D10,EDATE(Nebenkosten!$B$7,5))+1)/DAY(EOMONTH(EDATE(Nebenkosten!$B$7,5),0)))</f>
        <v/>
      </c>
      <c r="U10" s="19">
        <f>IF(F10=0,0,MAX(0,MIN(E10,EOMONTH(EDATE(Nebenkosten!$B$7,6),0))-MAX(D10,EDATE(Nebenkosten!$B$7,6))+1)/DAY(EOMONTH(EDATE(Nebenkosten!$B$7,6),0)))</f>
        <v/>
      </c>
      <c r="V10" s="19">
        <f>IF(F10=0,0,MAX(0,MIN(E10,EOMONTH(EDATE(Nebenkosten!$B$7,7),0))-MAX(D10,EDATE(Nebenkosten!$B$7,7))+1)/DAY(EOMONTH(EDATE(Nebenkosten!$B$7,7),0)))</f>
        <v/>
      </c>
      <c r="W10" s="19">
        <f>IF(F10=0,0,MAX(0,MIN(E10,EOMONTH(EDATE(Nebenkosten!$B$7,8),0))-MAX(D10,EDATE(Nebenkosten!$B$7,8))+1)/DAY(EOMONTH(EDATE(Nebenkosten!$B$7,8),0)))</f>
        <v/>
      </c>
      <c r="X10" s="19">
        <f>IF(F10=0,0,MAX(0,MIN(E10,EOMONTH(EDATE(Nebenkosten!$B$7,9),0))-MAX(D10,EDATE(Nebenkosten!$B$7,9))+1)/DAY(EOMONTH(EDATE(Nebenkosten!$B$7,9),0)))</f>
        <v/>
      </c>
      <c r="Y10" s="19">
        <f>IF(F10=0,0,MAX(0,MIN(E10,EOMONTH(EDATE(Nebenkosten!$B$7,10),0))-MAX(D10,EDATE(Nebenkosten!$B$7,10))+1)/DAY(EOMONTH(EDATE(Nebenkosten!$B$7,10),0)))</f>
        <v/>
      </c>
      <c r="Z10" s="19">
        <f>IF(F10=0,0,MAX(0,MIN(E10,EOMONTH(EDATE(Nebenkosten!$B$7,11),0))-MAX(D10,EDATE(Nebenkosten!$B$7,11))+1)/DAY(EOMONTH(EDATE(Nebenkosten!$B$7,11),0)))</f>
        <v/>
      </c>
      <c r="AA10" s="11">
        <f>IF(OR(Nebenkosten!$B$10="",Nebenkosten!$E$10=0,$F10=0),0,Nebenkosten!$B$10*IF(Nebenkosten!$C$10="Fläche",$I10,IF(Nebenkosten!$C$10="Anteil",$J10,$K10))*IF(Nebenkosten!$D$10="Heizung",$H10,$G10)/Nebenkosten!$E$10)</f>
        <v/>
      </c>
      <c r="AB10" s="11">
        <f>IF(OR(Nebenkosten!$B$11="",Nebenkosten!$E$11=0,$F10=0),0,Nebenkosten!$B$11*IF(Nebenkosten!$C$11="Fläche",$I10,IF(Nebenkosten!$C$11="Anteil",$J10,$K10))*IF(Nebenkosten!$D$11="Heizung",$H10,$G10)/Nebenkosten!$E$11)</f>
        <v/>
      </c>
      <c r="AC10" s="11">
        <f>IF(OR(Nebenkosten!$B$12="",Nebenkosten!$E$12=0,$F10=0),0,Nebenkosten!$B$12*IF(Nebenkosten!$C$12="Fläche",$I10,IF(Nebenkosten!$C$12="Anteil",$J10,$K10))*IF(Nebenkosten!$D$12="Heizung",$H10,$G10)/Nebenkosten!$E$12)</f>
        <v/>
      </c>
      <c r="AD10" s="11">
        <f>IF(OR(Nebenkosten!$B$13="",Nebenkosten!$E$13=0,$F10=0),0,Nebenkosten!$B$13*IF(Nebenkosten!$C$13="Fläche",$I10,IF(Nebenkosten!$C$13="Anteil",$J10,$K10))*IF(Nebenkosten!$D$13="Heizung",$H10,$G10)/Nebenkosten!$E$13)</f>
        <v/>
      </c>
      <c r="AE10" s="11">
        <f>IF(OR(Nebenkosten!$B$14="",Nebenkosten!$E$14=0,$F10=0),0,Nebenkosten!$B$14*IF(Nebenkosten!$C$14="Fläche",$I10,IF(Nebenkosten!$C$14="Anteil",$J10,$K10))*IF(Nebenkosten!$D$14="Heizung",$H10,$G10)/Nebenkosten!$E$14)</f>
        <v/>
      </c>
      <c r="AF10" s="11">
        <f>IF(OR(Nebenkosten!$B$15="",Nebenkosten!$E$15=0,$F10=0),0,Nebenkosten!$B$15*IF(Nebenkosten!$C$15="Fläche",$I10,IF(Nebenkosten!$C$15="Anteil",$J10,$K10))*IF(Nebenkosten!$D$15="Heizung",$H10,$G10)/Nebenkosten!$E$15)</f>
        <v/>
      </c>
      <c r="AG10" s="11">
        <f>IF(OR(Nebenkosten!$B$16="",Nebenkosten!$E$16=0,$F10=0),0,Nebenkosten!$B$16*IF(Nebenkosten!$C$16="Fläche",$I10,IF(Nebenkosten!$C$16="Anteil",$J10,$K10))*IF(Nebenkosten!$D$16="Heizung",$H10,$G10)/Nebenkosten!$E$16)</f>
        <v/>
      </c>
      <c r="AH10" s="11">
        <f>IF(OR(Nebenkosten!$B$17="",Nebenkosten!$E$17=0,$F10=0),0,Nebenkosten!$B$17*IF(Nebenkosten!$C$17="Fläche",$I10,IF(Nebenkosten!$C$17="Anteil",$J10,$K10))*IF(Nebenkosten!$D$17="Heizung",$H10,$G10)/Nebenkosten!$E$17)</f>
        <v/>
      </c>
      <c r="AI10" s="11">
        <f>IF(OR(Nebenkosten!$B$18="",Nebenkosten!$E$18=0,$F10=0),0,Nebenkosten!$B$18*IF(Nebenkosten!$C$18="Fläche",$I10,IF(Nebenkosten!$C$18="Anteil",$J10,$K10))*IF(Nebenkosten!$D$18="Heizung",$H10,$G10)/Nebenkosten!$E$18)</f>
        <v/>
      </c>
      <c r="AJ10" s="11">
        <f>IF(OR(Nebenkosten!$B$19="",Nebenkosten!$E$19=0,$F10=0),0,Nebenkosten!$B$19*IF(Nebenkosten!$C$19="Fläche",$I10,IF(Nebenkosten!$C$19="Anteil",$J10,$K10))*IF(Nebenkosten!$D$19="Heizung",$H10,$G10)/Nebenkosten!$E$19)</f>
        <v/>
      </c>
      <c r="AK10" s="11">
        <f>IF(OR(Nebenkosten!$B$20="",Nebenkosten!$E$20=0,$F10=0),0,Nebenkosten!$B$20*IF(Nebenkosten!$C$20="Fläche",$I10,IF(Nebenkosten!$C$20="Anteil",$J10,$K10))*IF(Nebenkosten!$D$20="Heizung",$H10,$G10)/Nebenkosten!$E$20)</f>
        <v/>
      </c>
      <c r="AL10" s="11">
        <f>IF(OR(Nebenkosten!$B$21="",Nebenkosten!$E$21=0,$F10=0),0,Nebenkosten!$B$21*IF(Nebenkosten!$C$21="Fläche",$I10,IF(Nebenkosten!$C$21="Anteil",$J10,$K10))*IF(Nebenkosten!$D$21="Heizung",$H10,$G10)/Nebenkosten!$E$21)</f>
        <v/>
      </c>
      <c r="AM10" s="11">
        <f>IF(OR(Nebenkosten!$B$22="",Nebenkosten!$E$22=0,$F10=0),0,Nebenkosten!$B$22*IF(Nebenkosten!$C$22="Fläche",$I10,IF(Nebenkosten!$C$22="Anteil",$J10,$K10))*IF(Nebenkosten!$D$22="Heizung",$H10,$G10)/Nebenkosten!$E$22)</f>
        <v/>
      </c>
      <c r="AN10" s="11">
        <f>IF(OR(Nebenkosten!$B$23="",Nebenkosten!$E$23=0,$F10=0),0,Nebenkosten!$B$23*IF(Nebenkosten!$C$23="Fläche",$I10,IF(Nebenkosten!$C$23="Anteil",$J10,$K10))*IF(Nebenkosten!$D$23="Heizung",$H10,$G10)/Nebenkosten!$E$23)</f>
        <v/>
      </c>
      <c r="AO10" s="11">
        <f>IF(OR(Nebenkosten!$B$24="",Nebenkosten!$E$24=0,$F10=0),0,Nebenkosten!$B$24*IF(Nebenkosten!$C$24="Fläche",$I10,IF(Nebenkosten!$C$24="Anteil",$J10,$K10))*IF(Nebenkosten!$D$24="Heizung",$H10,$G10)/Nebenkosten!$E$24)</f>
        <v/>
      </c>
      <c r="AP10" s="11">
        <f>IF(OR(Nebenkosten!$B$25="",Nebenkosten!$E$25=0,$F10=0),0,Nebenkosten!$B$25*IF(Nebenkosten!$C$25="Fläche",$I10,IF(Nebenkosten!$C$25="Anteil",$J10,$K10))*IF(Nebenkosten!$D$25="Heizung",$H10,$G10)/Nebenkosten!$E$25)</f>
        <v/>
      </c>
      <c r="AQ10" s="11">
        <f>IF(OR(Nebenkosten!$B$26="",Nebenkosten!$E$26=0,$F10=0),0,Nebenkosten!$B$26*IF(Nebenkosten!$C$26="Fläche",$I10,IF(Nebenkosten!$C$26="Anteil",$J10,$K10))*IF(Nebenkosten!$D$26="Heizung",$H10,$G10)/Nebenkosten!$E$26)</f>
        <v/>
      </c>
      <c r="AR10" s="11">
        <f>IF(OR(Nebenkosten!$B$27="",Nebenkosten!$E$27=0,$F10=0),0,Nebenkosten!$B$27*IF(Nebenkosten!$C$27="Fläche",$I10,IF(Nebenkosten!$C$27="Anteil",$J10,$K10))*IF(Nebenkosten!$D$27="Heizung",$H10,$G10)/Nebenkosten!$E$27)</f>
        <v/>
      </c>
      <c r="AS10" s="11">
        <f>IF(OR(Nebenkosten!$B$28="",Nebenkosten!$E$28=0,$F10=0),0,Nebenkosten!$B$28*IF(Nebenkosten!$C$28="Fläche",$I10,IF(Nebenkosten!$C$28="Anteil",$J10,$K10))*IF(Nebenkosten!$D$28="Heizung",$H10,$G10)/Nebenkosten!$E$28)</f>
        <v/>
      </c>
      <c r="AT10" s="11">
        <f>IF(OR(Nebenkosten!$B$29="",Nebenkosten!$E$29=0,$F10=0),0,Nebenkosten!$B$29*IF(Nebenkosten!$C$29="Fläche",$I10,IF(Nebenkosten!$C$29="Anteil",$J10,$K10))*IF(Nebenkosten!$D$29="Heizung",$H10,$G10)/Nebenkosten!$E$29)</f>
        <v/>
      </c>
      <c r="AU10" s="11">
        <f>IF(OR(Nebenkosten!$B$30="",Nebenkosten!$E$30=0,$F10=0),0,Nebenkosten!$B$30*IF(Nebenkosten!$C$30="Fläche",$I10,IF(Nebenkosten!$C$30="Anteil",$J10,$K10))*IF(Nebenkosten!$D$30="Heizung",$H10,$G10)/Nebenkosten!$E$30)</f>
        <v/>
      </c>
      <c r="AV10" s="11">
        <f>IF(OR(Nebenkosten!$B$31="",Nebenkosten!$E$31=0,$F10=0),0,Nebenkosten!$B$31*IF(Nebenkosten!$C$31="Fläche",$I10,IF(Nebenkosten!$C$31="Anteil",$J10,$K10))*IF(Nebenkosten!$D$31="Heizung",$H10,$G10)/Nebenkosten!$E$31)</f>
        <v/>
      </c>
      <c r="AW10" s="11">
        <f>IF(OR(Nebenkosten!$B$32="",Nebenkosten!$E$32=0,$F10=0),0,Nebenkosten!$B$32*IF(Nebenkosten!$C$32="Fläche",$I10,IF(Nebenkosten!$C$32="Anteil",$J10,$K10))*IF(Nebenkosten!$D$32="Heizung",$H10,$G10)/Nebenkosten!$E$32)</f>
        <v/>
      </c>
      <c r="AX10" s="11">
        <f>IF(OR(Nebenkosten!$B$33="",Nebenkosten!$E$33=0,$F10=0),0,Nebenkosten!$B$33*IF(Nebenkosten!$C$33="Fläche",$I10,IF(Nebenkosten!$C$33="Anteil",$J10,$K10))*IF(Nebenkosten!$D$33="Heizung",$H10,$G10)/Nebenkosten!$E$33)</f>
        <v/>
      </c>
      <c r="AY10" s="11">
        <f>IF(OR(Nebenkosten!$B$34="",Nebenkosten!$E$34=0,$F10=0),0,Nebenkosten!$B$34*IF(Nebenkosten!$C$34="Fläche",$I10,IF(Nebenkosten!$C$34="Anteil",$J10,$K10))*IF(Nebenkosten!$D$34="Heizung",$H10,$G10)/Nebenkosten!$E$34)</f>
        <v/>
      </c>
      <c r="AZ10" s="11">
        <f>ROUND(SUM(AA10:AY10)*20,0)/20</f>
        <v/>
      </c>
      <c r="BA10" s="11">
        <f>IF(F10=0,0,N10)</f>
        <v/>
      </c>
      <c r="BB10" s="11">
        <f>AZ10-BA10</f>
        <v/>
      </c>
    </row>
    <row r="11">
      <c r="A11" s="10">
        <f>'Mein Haus'!A51</f>
        <v/>
      </c>
      <c r="B11" s="23">
        <f>IF('Mein Haus'!C51="","",'Mein Haus'!C51)</f>
        <v/>
      </c>
      <c r="C11" s="23">
        <f>IF('Mein Haus'!B51="","",'Mein Haus'!B51)</f>
        <v/>
      </c>
      <c r="D11" s="21">
        <f>IF(AND('Mein Haus'!C51&lt;&gt;"",'Mein Haus'!B51&lt;&gt;"",Nebenkosten!$B$7&lt;&gt;""),MAX(IF('Mein Haus'!D51="",Nebenkosten!$B$7,'Mein Haus'!D51),Nebenkosten!$B$7),"")</f>
        <v/>
      </c>
      <c r="E11" s="21">
        <f>IF(AND('Mein Haus'!C51&lt;&gt;"",'Mein Haus'!B51&lt;&gt;"",Nebenkosten!$B$7&lt;&gt;""),MIN(IF('Mein Haus'!F51="",Nebenkosten!$D$7,'Mein Haus'!F51),Nebenkosten!$D$7),"")</f>
        <v/>
      </c>
      <c r="F11" s="10">
        <f>IF(D11="",0,MAX(0,E11-D11+1))</f>
        <v/>
      </c>
      <c r="G11" s="49">
        <f>IF(F11=0,0,F11/Nebenkosten!$F$7)</f>
        <v/>
      </c>
      <c r="H11" s="49">
        <f>IF(F11=0,0,SUMPRODUCT(O11:Z11,$O$3:$Z$3)/Einstellungen!$F$17)</f>
        <v/>
      </c>
      <c r="I11" s="19">
        <f>IF(F11=0,0,IFERROR(INDEX('Mein Haus'!$D$11:$D$40,MATCH(C11,'Mein Haus'!$A$11:$A$40,0)),0))</f>
        <v/>
      </c>
      <c r="J11" s="19">
        <f>IF(F11=0,0,IFERROR(INDEX('Mein Haus'!$E$11:$E$40,MATCH(C11,'Mein Haus'!$A$11:$A$40,0)),0))</f>
        <v/>
      </c>
      <c r="K11" s="19">
        <f>IF(F11=0,0,IFERROR(INDEX('Mein Haus'!$F$11:$F$40,MATCH(C11,'Mein Haus'!$A$11:$A$40,0)),0))</f>
        <v/>
      </c>
      <c r="L11" s="11">
        <f>IF(F11=0,0,N('Mein Haus'!H51)*SUM(O11:Z11))</f>
        <v/>
      </c>
      <c r="M11" s="22" t="n"/>
      <c r="N11" s="11">
        <f>IF(M11&lt;&gt;"",M11,L11)</f>
        <v/>
      </c>
      <c r="O11" s="19">
        <f>IF(F11=0,0,MAX(0,MIN(E11,EOMONTH(EDATE(Nebenkosten!$B$7,0),0))-MAX(D11,EDATE(Nebenkosten!$B$7,0))+1)/DAY(EOMONTH(EDATE(Nebenkosten!$B$7,0),0)))</f>
        <v/>
      </c>
      <c r="P11" s="19">
        <f>IF(F11=0,0,MAX(0,MIN(E11,EOMONTH(EDATE(Nebenkosten!$B$7,1),0))-MAX(D11,EDATE(Nebenkosten!$B$7,1))+1)/DAY(EOMONTH(EDATE(Nebenkosten!$B$7,1),0)))</f>
        <v/>
      </c>
      <c r="Q11" s="19">
        <f>IF(F11=0,0,MAX(0,MIN(E11,EOMONTH(EDATE(Nebenkosten!$B$7,2),0))-MAX(D11,EDATE(Nebenkosten!$B$7,2))+1)/DAY(EOMONTH(EDATE(Nebenkosten!$B$7,2),0)))</f>
        <v/>
      </c>
      <c r="R11" s="19">
        <f>IF(F11=0,0,MAX(0,MIN(E11,EOMONTH(EDATE(Nebenkosten!$B$7,3),0))-MAX(D11,EDATE(Nebenkosten!$B$7,3))+1)/DAY(EOMONTH(EDATE(Nebenkosten!$B$7,3),0)))</f>
        <v/>
      </c>
      <c r="S11" s="19">
        <f>IF(F11=0,0,MAX(0,MIN(E11,EOMONTH(EDATE(Nebenkosten!$B$7,4),0))-MAX(D11,EDATE(Nebenkosten!$B$7,4))+1)/DAY(EOMONTH(EDATE(Nebenkosten!$B$7,4),0)))</f>
        <v/>
      </c>
      <c r="T11" s="19">
        <f>IF(F11=0,0,MAX(0,MIN(E11,EOMONTH(EDATE(Nebenkosten!$B$7,5),0))-MAX(D11,EDATE(Nebenkosten!$B$7,5))+1)/DAY(EOMONTH(EDATE(Nebenkosten!$B$7,5),0)))</f>
        <v/>
      </c>
      <c r="U11" s="19">
        <f>IF(F11=0,0,MAX(0,MIN(E11,EOMONTH(EDATE(Nebenkosten!$B$7,6),0))-MAX(D11,EDATE(Nebenkosten!$B$7,6))+1)/DAY(EOMONTH(EDATE(Nebenkosten!$B$7,6),0)))</f>
        <v/>
      </c>
      <c r="V11" s="19">
        <f>IF(F11=0,0,MAX(0,MIN(E11,EOMONTH(EDATE(Nebenkosten!$B$7,7),0))-MAX(D11,EDATE(Nebenkosten!$B$7,7))+1)/DAY(EOMONTH(EDATE(Nebenkosten!$B$7,7),0)))</f>
        <v/>
      </c>
      <c r="W11" s="19">
        <f>IF(F11=0,0,MAX(0,MIN(E11,EOMONTH(EDATE(Nebenkosten!$B$7,8),0))-MAX(D11,EDATE(Nebenkosten!$B$7,8))+1)/DAY(EOMONTH(EDATE(Nebenkosten!$B$7,8),0)))</f>
        <v/>
      </c>
      <c r="X11" s="19">
        <f>IF(F11=0,0,MAX(0,MIN(E11,EOMONTH(EDATE(Nebenkosten!$B$7,9),0))-MAX(D11,EDATE(Nebenkosten!$B$7,9))+1)/DAY(EOMONTH(EDATE(Nebenkosten!$B$7,9),0)))</f>
        <v/>
      </c>
      <c r="Y11" s="19">
        <f>IF(F11=0,0,MAX(0,MIN(E11,EOMONTH(EDATE(Nebenkosten!$B$7,10),0))-MAX(D11,EDATE(Nebenkosten!$B$7,10))+1)/DAY(EOMONTH(EDATE(Nebenkosten!$B$7,10),0)))</f>
        <v/>
      </c>
      <c r="Z11" s="19">
        <f>IF(F11=0,0,MAX(0,MIN(E11,EOMONTH(EDATE(Nebenkosten!$B$7,11),0))-MAX(D11,EDATE(Nebenkosten!$B$7,11))+1)/DAY(EOMONTH(EDATE(Nebenkosten!$B$7,11),0)))</f>
        <v/>
      </c>
      <c r="AA11" s="11">
        <f>IF(OR(Nebenkosten!$B$10="",Nebenkosten!$E$10=0,$F11=0),0,Nebenkosten!$B$10*IF(Nebenkosten!$C$10="Fläche",$I11,IF(Nebenkosten!$C$10="Anteil",$J11,$K11))*IF(Nebenkosten!$D$10="Heizung",$H11,$G11)/Nebenkosten!$E$10)</f>
        <v/>
      </c>
      <c r="AB11" s="11">
        <f>IF(OR(Nebenkosten!$B$11="",Nebenkosten!$E$11=0,$F11=0),0,Nebenkosten!$B$11*IF(Nebenkosten!$C$11="Fläche",$I11,IF(Nebenkosten!$C$11="Anteil",$J11,$K11))*IF(Nebenkosten!$D$11="Heizung",$H11,$G11)/Nebenkosten!$E$11)</f>
        <v/>
      </c>
      <c r="AC11" s="11">
        <f>IF(OR(Nebenkosten!$B$12="",Nebenkosten!$E$12=0,$F11=0),0,Nebenkosten!$B$12*IF(Nebenkosten!$C$12="Fläche",$I11,IF(Nebenkosten!$C$12="Anteil",$J11,$K11))*IF(Nebenkosten!$D$12="Heizung",$H11,$G11)/Nebenkosten!$E$12)</f>
        <v/>
      </c>
      <c r="AD11" s="11">
        <f>IF(OR(Nebenkosten!$B$13="",Nebenkosten!$E$13=0,$F11=0),0,Nebenkosten!$B$13*IF(Nebenkosten!$C$13="Fläche",$I11,IF(Nebenkosten!$C$13="Anteil",$J11,$K11))*IF(Nebenkosten!$D$13="Heizung",$H11,$G11)/Nebenkosten!$E$13)</f>
        <v/>
      </c>
      <c r="AE11" s="11">
        <f>IF(OR(Nebenkosten!$B$14="",Nebenkosten!$E$14=0,$F11=0),0,Nebenkosten!$B$14*IF(Nebenkosten!$C$14="Fläche",$I11,IF(Nebenkosten!$C$14="Anteil",$J11,$K11))*IF(Nebenkosten!$D$14="Heizung",$H11,$G11)/Nebenkosten!$E$14)</f>
        <v/>
      </c>
      <c r="AF11" s="11">
        <f>IF(OR(Nebenkosten!$B$15="",Nebenkosten!$E$15=0,$F11=0),0,Nebenkosten!$B$15*IF(Nebenkosten!$C$15="Fläche",$I11,IF(Nebenkosten!$C$15="Anteil",$J11,$K11))*IF(Nebenkosten!$D$15="Heizung",$H11,$G11)/Nebenkosten!$E$15)</f>
        <v/>
      </c>
      <c r="AG11" s="11">
        <f>IF(OR(Nebenkosten!$B$16="",Nebenkosten!$E$16=0,$F11=0),0,Nebenkosten!$B$16*IF(Nebenkosten!$C$16="Fläche",$I11,IF(Nebenkosten!$C$16="Anteil",$J11,$K11))*IF(Nebenkosten!$D$16="Heizung",$H11,$G11)/Nebenkosten!$E$16)</f>
        <v/>
      </c>
      <c r="AH11" s="11">
        <f>IF(OR(Nebenkosten!$B$17="",Nebenkosten!$E$17=0,$F11=0),0,Nebenkosten!$B$17*IF(Nebenkosten!$C$17="Fläche",$I11,IF(Nebenkosten!$C$17="Anteil",$J11,$K11))*IF(Nebenkosten!$D$17="Heizung",$H11,$G11)/Nebenkosten!$E$17)</f>
        <v/>
      </c>
      <c r="AI11" s="11">
        <f>IF(OR(Nebenkosten!$B$18="",Nebenkosten!$E$18=0,$F11=0),0,Nebenkosten!$B$18*IF(Nebenkosten!$C$18="Fläche",$I11,IF(Nebenkosten!$C$18="Anteil",$J11,$K11))*IF(Nebenkosten!$D$18="Heizung",$H11,$G11)/Nebenkosten!$E$18)</f>
        <v/>
      </c>
      <c r="AJ11" s="11">
        <f>IF(OR(Nebenkosten!$B$19="",Nebenkosten!$E$19=0,$F11=0),0,Nebenkosten!$B$19*IF(Nebenkosten!$C$19="Fläche",$I11,IF(Nebenkosten!$C$19="Anteil",$J11,$K11))*IF(Nebenkosten!$D$19="Heizung",$H11,$G11)/Nebenkosten!$E$19)</f>
        <v/>
      </c>
      <c r="AK11" s="11">
        <f>IF(OR(Nebenkosten!$B$20="",Nebenkosten!$E$20=0,$F11=0),0,Nebenkosten!$B$20*IF(Nebenkosten!$C$20="Fläche",$I11,IF(Nebenkosten!$C$20="Anteil",$J11,$K11))*IF(Nebenkosten!$D$20="Heizung",$H11,$G11)/Nebenkosten!$E$20)</f>
        <v/>
      </c>
      <c r="AL11" s="11">
        <f>IF(OR(Nebenkosten!$B$21="",Nebenkosten!$E$21=0,$F11=0),0,Nebenkosten!$B$21*IF(Nebenkosten!$C$21="Fläche",$I11,IF(Nebenkosten!$C$21="Anteil",$J11,$K11))*IF(Nebenkosten!$D$21="Heizung",$H11,$G11)/Nebenkosten!$E$21)</f>
        <v/>
      </c>
      <c r="AM11" s="11">
        <f>IF(OR(Nebenkosten!$B$22="",Nebenkosten!$E$22=0,$F11=0),0,Nebenkosten!$B$22*IF(Nebenkosten!$C$22="Fläche",$I11,IF(Nebenkosten!$C$22="Anteil",$J11,$K11))*IF(Nebenkosten!$D$22="Heizung",$H11,$G11)/Nebenkosten!$E$22)</f>
        <v/>
      </c>
      <c r="AN11" s="11">
        <f>IF(OR(Nebenkosten!$B$23="",Nebenkosten!$E$23=0,$F11=0),0,Nebenkosten!$B$23*IF(Nebenkosten!$C$23="Fläche",$I11,IF(Nebenkosten!$C$23="Anteil",$J11,$K11))*IF(Nebenkosten!$D$23="Heizung",$H11,$G11)/Nebenkosten!$E$23)</f>
        <v/>
      </c>
      <c r="AO11" s="11">
        <f>IF(OR(Nebenkosten!$B$24="",Nebenkosten!$E$24=0,$F11=0),0,Nebenkosten!$B$24*IF(Nebenkosten!$C$24="Fläche",$I11,IF(Nebenkosten!$C$24="Anteil",$J11,$K11))*IF(Nebenkosten!$D$24="Heizung",$H11,$G11)/Nebenkosten!$E$24)</f>
        <v/>
      </c>
      <c r="AP11" s="11">
        <f>IF(OR(Nebenkosten!$B$25="",Nebenkosten!$E$25=0,$F11=0),0,Nebenkosten!$B$25*IF(Nebenkosten!$C$25="Fläche",$I11,IF(Nebenkosten!$C$25="Anteil",$J11,$K11))*IF(Nebenkosten!$D$25="Heizung",$H11,$G11)/Nebenkosten!$E$25)</f>
        <v/>
      </c>
      <c r="AQ11" s="11">
        <f>IF(OR(Nebenkosten!$B$26="",Nebenkosten!$E$26=0,$F11=0),0,Nebenkosten!$B$26*IF(Nebenkosten!$C$26="Fläche",$I11,IF(Nebenkosten!$C$26="Anteil",$J11,$K11))*IF(Nebenkosten!$D$26="Heizung",$H11,$G11)/Nebenkosten!$E$26)</f>
        <v/>
      </c>
      <c r="AR11" s="11">
        <f>IF(OR(Nebenkosten!$B$27="",Nebenkosten!$E$27=0,$F11=0),0,Nebenkosten!$B$27*IF(Nebenkosten!$C$27="Fläche",$I11,IF(Nebenkosten!$C$27="Anteil",$J11,$K11))*IF(Nebenkosten!$D$27="Heizung",$H11,$G11)/Nebenkosten!$E$27)</f>
        <v/>
      </c>
      <c r="AS11" s="11">
        <f>IF(OR(Nebenkosten!$B$28="",Nebenkosten!$E$28=0,$F11=0),0,Nebenkosten!$B$28*IF(Nebenkosten!$C$28="Fläche",$I11,IF(Nebenkosten!$C$28="Anteil",$J11,$K11))*IF(Nebenkosten!$D$28="Heizung",$H11,$G11)/Nebenkosten!$E$28)</f>
        <v/>
      </c>
      <c r="AT11" s="11">
        <f>IF(OR(Nebenkosten!$B$29="",Nebenkosten!$E$29=0,$F11=0),0,Nebenkosten!$B$29*IF(Nebenkosten!$C$29="Fläche",$I11,IF(Nebenkosten!$C$29="Anteil",$J11,$K11))*IF(Nebenkosten!$D$29="Heizung",$H11,$G11)/Nebenkosten!$E$29)</f>
        <v/>
      </c>
      <c r="AU11" s="11">
        <f>IF(OR(Nebenkosten!$B$30="",Nebenkosten!$E$30=0,$F11=0),0,Nebenkosten!$B$30*IF(Nebenkosten!$C$30="Fläche",$I11,IF(Nebenkosten!$C$30="Anteil",$J11,$K11))*IF(Nebenkosten!$D$30="Heizung",$H11,$G11)/Nebenkosten!$E$30)</f>
        <v/>
      </c>
      <c r="AV11" s="11">
        <f>IF(OR(Nebenkosten!$B$31="",Nebenkosten!$E$31=0,$F11=0),0,Nebenkosten!$B$31*IF(Nebenkosten!$C$31="Fläche",$I11,IF(Nebenkosten!$C$31="Anteil",$J11,$K11))*IF(Nebenkosten!$D$31="Heizung",$H11,$G11)/Nebenkosten!$E$31)</f>
        <v/>
      </c>
      <c r="AW11" s="11">
        <f>IF(OR(Nebenkosten!$B$32="",Nebenkosten!$E$32=0,$F11=0),0,Nebenkosten!$B$32*IF(Nebenkosten!$C$32="Fläche",$I11,IF(Nebenkosten!$C$32="Anteil",$J11,$K11))*IF(Nebenkosten!$D$32="Heizung",$H11,$G11)/Nebenkosten!$E$32)</f>
        <v/>
      </c>
      <c r="AX11" s="11">
        <f>IF(OR(Nebenkosten!$B$33="",Nebenkosten!$E$33=0,$F11=0),0,Nebenkosten!$B$33*IF(Nebenkosten!$C$33="Fläche",$I11,IF(Nebenkosten!$C$33="Anteil",$J11,$K11))*IF(Nebenkosten!$D$33="Heizung",$H11,$G11)/Nebenkosten!$E$33)</f>
        <v/>
      </c>
      <c r="AY11" s="11">
        <f>IF(OR(Nebenkosten!$B$34="",Nebenkosten!$E$34=0,$F11=0),0,Nebenkosten!$B$34*IF(Nebenkosten!$C$34="Fläche",$I11,IF(Nebenkosten!$C$34="Anteil",$J11,$K11))*IF(Nebenkosten!$D$34="Heizung",$H11,$G11)/Nebenkosten!$E$34)</f>
        <v/>
      </c>
      <c r="AZ11" s="11">
        <f>ROUND(SUM(AA11:AY11)*20,0)/20</f>
        <v/>
      </c>
      <c r="BA11" s="11">
        <f>IF(F11=0,0,N11)</f>
        <v/>
      </c>
      <c r="BB11" s="11">
        <f>AZ11-BA11</f>
        <v/>
      </c>
    </row>
    <row r="12">
      <c r="A12" s="10">
        <f>'Mein Haus'!A52</f>
        <v/>
      </c>
      <c r="B12" s="23">
        <f>IF('Mein Haus'!C52="","",'Mein Haus'!C52)</f>
        <v/>
      </c>
      <c r="C12" s="23">
        <f>IF('Mein Haus'!B52="","",'Mein Haus'!B52)</f>
        <v/>
      </c>
      <c r="D12" s="21">
        <f>IF(AND('Mein Haus'!C52&lt;&gt;"",'Mein Haus'!B52&lt;&gt;"",Nebenkosten!$B$7&lt;&gt;""),MAX(IF('Mein Haus'!D52="",Nebenkosten!$B$7,'Mein Haus'!D52),Nebenkosten!$B$7),"")</f>
        <v/>
      </c>
      <c r="E12" s="21">
        <f>IF(AND('Mein Haus'!C52&lt;&gt;"",'Mein Haus'!B52&lt;&gt;"",Nebenkosten!$B$7&lt;&gt;""),MIN(IF('Mein Haus'!F52="",Nebenkosten!$D$7,'Mein Haus'!F52),Nebenkosten!$D$7),"")</f>
        <v/>
      </c>
      <c r="F12" s="10">
        <f>IF(D12="",0,MAX(0,E12-D12+1))</f>
        <v/>
      </c>
      <c r="G12" s="49">
        <f>IF(F12=0,0,F12/Nebenkosten!$F$7)</f>
        <v/>
      </c>
      <c r="H12" s="49">
        <f>IF(F12=0,0,SUMPRODUCT(O12:Z12,$O$3:$Z$3)/Einstellungen!$F$17)</f>
        <v/>
      </c>
      <c r="I12" s="19">
        <f>IF(F12=0,0,IFERROR(INDEX('Mein Haus'!$D$11:$D$40,MATCH(C12,'Mein Haus'!$A$11:$A$40,0)),0))</f>
        <v/>
      </c>
      <c r="J12" s="19">
        <f>IF(F12=0,0,IFERROR(INDEX('Mein Haus'!$E$11:$E$40,MATCH(C12,'Mein Haus'!$A$11:$A$40,0)),0))</f>
        <v/>
      </c>
      <c r="K12" s="19">
        <f>IF(F12=0,0,IFERROR(INDEX('Mein Haus'!$F$11:$F$40,MATCH(C12,'Mein Haus'!$A$11:$A$40,0)),0))</f>
        <v/>
      </c>
      <c r="L12" s="11">
        <f>IF(F12=0,0,N('Mein Haus'!H52)*SUM(O12:Z12))</f>
        <v/>
      </c>
      <c r="M12" s="22" t="n"/>
      <c r="N12" s="11">
        <f>IF(M12&lt;&gt;"",M12,L12)</f>
        <v/>
      </c>
      <c r="O12" s="19">
        <f>IF(F12=0,0,MAX(0,MIN(E12,EOMONTH(EDATE(Nebenkosten!$B$7,0),0))-MAX(D12,EDATE(Nebenkosten!$B$7,0))+1)/DAY(EOMONTH(EDATE(Nebenkosten!$B$7,0),0)))</f>
        <v/>
      </c>
      <c r="P12" s="19">
        <f>IF(F12=0,0,MAX(0,MIN(E12,EOMONTH(EDATE(Nebenkosten!$B$7,1),0))-MAX(D12,EDATE(Nebenkosten!$B$7,1))+1)/DAY(EOMONTH(EDATE(Nebenkosten!$B$7,1),0)))</f>
        <v/>
      </c>
      <c r="Q12" s="19">
        <f>IF(F12=0,0,MAX(0,MIN(E12,EOMONTH(EDATE(Nebenkosten!$B$7,2),0))-MAX(D12,EDATE(Nebenkosten!$B$7,2))+1)/DAY(EOMONTH(EDATE(Nebenkosten!$B$7,2),0)))</f>
        <v/>
      </c>
      <c r="R12" s="19">
        <f>IF(F12=0,0,MAX(0,MIN(E12,EOMONTH(EDATE(Nebenkosten!$B$7,3),0))-MAX(D12,EDATE(Nebenkosten!$B$7,3))+1)/DAY(EOMONTH(EDATE(Nebenkosten!$B$7,3),0)))</f>
        <v/>
      </c>
      <c r="S12" s="19">
        <f>IF(F12=0,0,MAX(0,MIN(E12,EOMONTH(EDATE(Nebenkosten!$B$7,4),0))-MAX(D12,EDATE(Nebenkosten!$B$7,4))+1)/DAY(EOMONTH(EDATE(Nebenkosten!$B$7,4),0)))</f>
        <v/>
      </c>
      <c r="T12" s="19">
        <f>IF(F12=0,0,MAX(0,MIN(E12,EOMONTH(EDATE(Nebenkosten!$B$7,5),0))-MAX(D12,EDATE(Nebenkosten!$B$7,5))+1)/DAY(EOMONTH(EDATE(Nebenkosten!$B$7,5),0)))</f>
        <v/>
      </c>
      <c r="U12" s="19">
        <f>IF(F12=0,0,MAX(0,MIN(E12,EOMONTH(EDATE(Nebenkosten!$B$7,6),0))-MAX(D12,EDATE(Nebenkosten!$B$7,6))+1)/DAY(EOMONTH(EDATE(Nebenkosten!$B$7,6),0)))</f>
        <v/>
      </c>
      <c r="V12" s="19">
        <f>IF(F12=0,0,MAX(0,MIN(E12,EOMONTH(EDATE(Nebenkosten!$B$7,7),0))-MAX(D12,EDATE(Nebenkosten!$B$7,7))+1)/DAY(EOMONTH(EDATE(Nebenkosten!$B$7,7),0)))</f>
        <v/>
      </c>
      <c r="W12" s="19">
        <f>IF(F12=0,0,MAX(0,MIN(E12,EOMONTH(EDATE(Nebenkosten!$B$7,8),0))-MAX(D12,EDATE(Nebenkosten!$B$7,8))+1)/DAY(EOMONTH(EDATE(Nebenkosten!$B$7,8),0)))</f>
        <v/>
      </c>
      <c r="X12" s="19">
        <f>IF(F12=0,0,MAX(0,MIN(E12,EOMONTH(EDATE(Nebenkosten!$B$7,9),0))-MAX(D12,EDATE(Nebenkosten!$B$7,9))+1)/DAY(EOMONTH(EDATE(Nebenkosten!$B$7,9),0)))</f>
        <v/>
      </c>
      <c r="Y12" s="19">
        <f>IF(F12=0,0,MAX(0,MIN(E12,EOMONTH(EDATE(Nebenkosten!$B$7,10),0))-MAX(D12,EDATE(Nebenkosten!$B$7,10))+1)/DAY(EOMONTH(EDATE(Nebenkosten!$B$7,10),0)))</f>
        <v/>
      </c>
      <c r="Z12" s="19">
        <f>IF(F12=0,0,MAX(0,MIN(E12,EOMONTH(EDATE(Nebenkosten!$B$7,11),0))-MAX(D12,EDATE(Nebenkosten!$B$7,11))+1)/DAY(EOMONTH(EDATE(Nebenkosten!$B$7,11),0)))</f>
        <v/>
      </c>
      <c r="AA12" s="11">
        <f>IF(OR(Nebenkosten!$B$10="",Nebenkosten!$E$10=0,$F12=0),0,Nebenkosten!$B$10*IF(Nebenkosten!$C$10="Fläche",$I12,IF(Nebenkosten!$C$10="Anteil",$J12,$K12))*IF(Nebenkosten!$D$10="Heizung",$H12,$G12)/Nebenkosten!$E$10)</f>
        <v/>
      </c>
      <c r="AB12" s="11">
        <f>IF(OR(Nebenkosten!$B$11="",Nebenkosten!$E$11=0,$F12=0),0,Nebenkosten!$B$11*IF(Nebenkosten!$C$11="Fläche",$I12,IF(Nebenkosten!$C$11="Anteil",$J12,$K12))*IF(Nebenkosten!$D$11="Heizung",$H12,$G12)/Nebenkosten!$E$11)</f>
        <v/>
      </c>
      <c r="AC12" s="11">
        <f>IF(OR(Nebenkosten!$B$12="",Nebenkosten!$E$12=0,$F12=0),0,Nebenkosten!$B$12*IF(Nebenkosten!$C$12="Fläche",$I12,IF(Nebenkosten!$C$12="Anteil",$J12,$K12))*IF(Nebenkosten!$D$12="Heizung",$H12,$G12)/Nebenkosten!$E$12)</f>
        <v/>
      </c>
      <c r="AD12" s="11">
        <f>IF(OR(Nebenkosten!$B$13="",Nebenkosten!$E$13=0,$F12=0),0,Nebenkosten!$B$13*IF(Nebenkosten!$C$13="Fläche",$I12,IF(Nebenkosten!$C$13="Anteil",$J12,$K12))*IF(Nebenkosten!$D$13="Heizung",$H12,$G12)/Nebenkosten!$E$13)</f>
        <v/>
      </c>
      <c r="AE12" s="11">
        <f>IF(OR(Nebenkosten!$B$14="",Nebenkosten!$E$14=0,$F12=0),0,Nebenkosten!$B$14*IF(Nebenkosten!$C$14="Fläche",$I12,IF(Nebenkosten!$C$14="Anteil",$J12,$K12))*IF(Nebenkosten!$D$14="Heizung",$H12,$G12)/Nebenkosten!$E$14)</f>
        <v/>
      </c>
      <c r="AF12" s="11">
        <f>IF(OR(Nebenkosten!$B$15="",Nebenkosten!$E$15=0,$F12=0),0,Nebenkosten!$B$15*IF(Nebenkosten!$C$15="Fläche",$I12,IF(Nebenkosten!$C$15="Anteil",$J12,$K12))*IF(Nebenkosten!$D$15="Heizung",$H12,$G12)/Nebenkosten!$E$15)</f>
        <v/>
      </c>
      <c r="AG12" s="11">
        <f>IF(OR(Nebenkosten!$B$16="",Nebenkosten!$E$16=0,$F12=0),0,Nebenkosten!$B$16*IF(Nebenkosten!$C$16="Fläche",$I12,IF(Nebenkosten!$C$16="Anteil",$J12,$K12))*IF(Nebenkosten!$D$16="Heizung",$H12,$G12)/Nebenkosten!$E$16)</f>
        <v/>
      </c>
      <c r="AH12" s="11">
        <f>IF(OR(Nebenkosten!$B$17="",Nebenkosten!$E$17=0,$F12=0),0,Nebenkosten!$B$17*IF(Nebenkosten!$C$17="Fläche",$I12,IF(Nebenkosten!$C$17="Anteil",$J12,$K12))*IF(Nebenkosten!$D$17="Heizung",$H12,$G12)/Nebenkosten!$E$17)</f>
        <v/>
      </c>
      <c r="AI12" s="11">
        <f>IF(OR(Nebenkosten!$B$18="",Nebenkosten!$E$18=0,$F12=0),0,Nebenkosten!$B$18*IF(Nebenkosten!$C$18="Fläche",$I12,IF(Nebenkosten!$C$18="Anteil",$J12,$K12))*IF(Nebenkosten!$D$18="Heizung",$H12,$G12)/Nebenkosten!$E$18)</f>
        <v/>
      </c>
      <c r="AJ12" s="11">
        <f>IF(OR(Nebenkosten!$B$19="",Nebenkosten!$E$19=0,$F12=0),0,Nebenkosten!$B$19*IF(Nebenkosten!$C$19="Fläche",$I12,IF(Nebenkosten!$C$19="Anteil",$J12,$K12))*IF(Nebenkosten!$D$19="Heizung",$H12,$G12)/Nebenkosten!$E$19)</f>
        <v/>
      </c>
      <c r="AK12" s="11">
        <f>IF(OR(Nebenkosten!$B$20="",Nebenkosten!$E$20=0,$F12=0),0,Nebenkosten!$B$20*IF(Nebenkosten!$C$20="Fläche",$I12,IF(Nebenkosten!$C$20="Anteil",$J12,$K12))*IF(Nebenkosten!$D$20="Heizung",$H12,$G12)/Nebenkosten!$E$20)</f>
        <v/>
      </c>
      <c r="AL12" s="11">
        <f>IF(OR(Nebenkosten!$B$21="",Nebenkosten!$E$21=0,$F12=0),0,Nebenkosten!$B$21*IF(Nebenkosten!$C$21="Fläche",$I12,IF(Nebenkosten!$C$21="Anteil",$J12,$K12))*IF(Nebenkosten!$D$21="Heizung",$H12,$G12)/Nebenkosten!$E$21)</f>
        <v/>
      </c>
      <c r="AM12" s="11">
        <f>IF(OR(Nebenkosten!$B$22="",Nebenkosten!$E$22=0,$F12=0),0,Nebenkosten!$B$22*IF(Nebenkosten!$C$22="Fläche",$I12,IF(Nebenkosten!$C$22="Anteil",$J12,$K12))*IF(Nebenkosten!$D$22="Heizung",$H12,$G12)/Nebenkosten!$E$22)</f>
        <v/>
      </c>
      <c r="AN12" s="11">
        <f>IF(OR(Nebenkosten!$B$23="",Nebenkosten!$E$23=0,$F12=0),0,Nebenkosten!$B$23*IF(Nebenkosten!$C$23="Fläche",$I12,IF(Nebenkosten!$C$23="Anteil",$J12,$K12))*IF(Nebenkosten!$D$23="Heizung",$H12,$G12)/Nebenkosten!$E$23)</f>
        <v/>
      </c>
      <c r="AO12" s="11">
        <f>IF(OR(Nebenkosten!$B$24="",Nebenkosten!$E$24=0,$F12=0),0,Nebenkosten!$B$24*IF(Nebenkosten!$C$24="Fläche",$I12,IF(Nebenkosten!$C$24="Anteil",$J12,$K12))*IF(Nebenkosten!$D$24="Heizung",$H12,$G12)/Nebenkosten!$E$24)</f>
        <v/>
      </c>
      <c r="AP12" s="11">
        <f>IF(OR(Nebenkosten!$B$25="",Nebenkosten!$E$25=0,$F12=0),0,Nebenkosten!$B$25*IF(Nebenkosten!$C$25="Fläche",$I12,IF(Nebenkosten!$C$25="Anteil",$J12,$K12))*IF(Nebenkosten!$D$25="Heizung",$H12,$G12)/Nebenkosten!$E$25)</f>
        <v/>
      </c>
      <c r="AQ12" s="11">
        <f>IF(OR(Nebenkosten!$B$26="",Nebenkosten!$E$26=0,$F12=0),0,Nebenkosten!$B$26*IF(Nebenkosten!$C$26="Fläche",$I12,IF(Nebenkosten!$C$26="Anteil",$J12,$K12))*IF(Nebenkosten!$D$26="Heizung",$H12,$G12)/Nebenkosten!$E$26)</f>
        <v/>
      </c>
      <c r="AR12" s="11">
        <f>IF(OR(Nebenkosten!$B$27="",Nebenkosten!$E$27=0,$F12=0),0,Nebenkosten!$B$27*IF(Nebenkosten!$C$27="Fläche",$I12,IF(Nebenkosten!$C$27="Anteil",$J12,$K12))*IF(Nebenkosten!$D$27="Heizung",$H12,$G12)/Nebenkosten!$E$27)</f>
        <v/>
      </c>
      <c r="AS12" s="11">
        <f>IF(OR(Nebenkosten!$B$28="",Nebenkosten!$E$28=0,$F12=0),0,Nebenkosten!$B$28*IF(Nebenkosten!$C$28="Fläche",$I12,IF(Nebenkosten!$C$28="Anteil",$J12,$K12))*IF(Nebenkosten!$D$28="Heizung",$H12,$G12)/Nebenkosten!$E$28)</f>
        <v/>
      </c>
      <c r="AT12" s="11">
        <f>IF(OR(Nebenkosten!$B$29="",Nebenkosten!$E$29=0,$F12=0),0,Nebenkosten!$B$29*IF(Nebenkosten!$C$29="Fläche",$I12,IF(Nebenkosten!$C$29="Anteil",$J12,$K12))*IF(Nebenkosten!$D$29="Heizung",$H12,$G12)/Nebenkosten!$E$29)</f>
        <v/>
      </c>
      <c r="AU12" s="11">
        <f>IF(OR(Nebenkosten!$B$30="",Nebenkosten!$E$30=0,$F12=0),0,Nebenkosten!$B$30*IF(Nebenkosten!$C$30="Fläche",$I12,IF(Nebenkosten!$C$30="Anteil",$J12,$K12))*IF(Nebenkosten!$D$30="Heizung",$H12,$G12)/Nebenkosten!$E$30)</f>
        <v/>
      </c>
      <c r="AV12" s="11">
        <f>IF(OR(Nebenkosten!$B$31="",Nebenkosten!$E$31=0,$F12=0),0,Nebenkosten!$B$31*IF(Nebenkosten!$C$31="Fläche",$I12,IF(Nebenkosten!$C$31="Anteil",$J12,$K12))*IF(Nebenkosten!$D$31="Heizung",$H12,$G12)/Nebenkosten!$E$31)</f>
        <v/>
      </c>
      <c r="AW12" s="11">
        <f>IF(OR(Nebenkosten!$B$32="",Nebenkosten!$E$32=0,$F12=0),0,Nebenkosten!$B$32*IF(Nebenkosten!$C$32="Fläche",$I12,IF(Nebenkosten!$C$32="Anteil",$J12,$K12))*IF(Nebenkosten!$D$32="Heizung",$H12,$G12)/Nebenkosten!$E$32)</f>
        <v/>
      </c>
      <c r="AX12" s="11">
        <f>IF(OR(Nebenkosten!$B$33="",Nebenkosten!$E$33=0,$F12=0),0,Nebenkosten!$B$33*IF(Nebenkosten!$C$33="Fläche",$I12,IF(Nebenkosten!$C$33="Anteil",$J12,$K12))*IF(Nebenkosten!$D$33="Heizung",$H12,$G12)/Nebenkosten!$E$33)</f>
        <v/>
      </c>
      <c r="AY12" s="11">
        <f>IF(OR(Nebenkosten!$B$34="",Nebenkosten!$E$34=0,$F12=0),0,Nebenkosten!$B$34*IF(Nebenkosten!$C$34="Fläche",$I12,IF(Nebenkosten!$C$34="Anteil",$J12,$K12))*IF(Nebenkosten!$D$34="Heizung",$H12,$G12)/Nebenkosten!$E$34)</f>
        <v/>
      </c>
      <c r="AZ12" s="11">
        <f>ROUND(SUM(AA12:AY12)*20,0)/20</f>
        <v/>
      </c>
      <c r="BA12" s="11">
        <f>IF(F12=0,0,N12)</f>
        <v/>
      </c>
      <c r="BB12" s="11">
        <f>AZ12-BA12</f>
        <v/>
      </c>
    </row>
    <row r="13">
      <c r="A13" s="10">
        <f>'Mein Haus'!A53</f>
        <v/>
      </c>
      <c r="B13" s="23">
        <f>IF('Mein Haus'!C53="","",'Mein Haus'!C53)</f>
        <v/>
      </c>
      <c r="C13" s="23">
        <f>IF('Mein Haus'!B53="","",'Mein Haus'!B53)</f>
        <v/>
      </c>
      <c r="D13" s="21">
        <f>IF(AND('Mein Haus'!C53&lt;&gt;"",'Mein Haus'!B53&lt;&gt;"",Nebenkosten!$B$7&lt;&gt;""),MAX(IF('Mein Haus'!D53="",Nebenkosten!$B$7,'Mein Haus'!D53),Nebenkosten!$B$7),"")</f>
        <v/>
      </c>
      <c r="E13" s="21">
        <f>IF(AND('Mein Haus'!C53&lt;&gt;"",'Mein Haus'!B53&lt;&gt;"",Nebenkosten!$B$7&lt;&gt;""),MIN(IF('Mein Haus'!F53="",Nebenkosten!$D$7,'Mein Haus'!F53),Nebenkosten!$D$7),"")</f>
        <v/>
      </c>
      <c r="F13" s="10">
        <f>IF(D13="",0,MAX(0,E13-D13+1))</f>
        <v/>
      </c>
      <c r="G13" s="49">
        <f>IF(F13=0,0,F13/Nebenkosten!$F$7)</f>
        <v/>
      </c>
      <c r="H13" s="49">
        <f>IF(F13=0,0,SUMPRODUCT(O13:Z13,$O$3:$Z$3)/Einstellungen!$F$17)</f>
        <v/>
      </c>
      <c r="I13" s="19">
        <f>IF(F13=0,0,IFERROR(INDEX('Mein Haus'!$D$11:$D$40,MATCH(C13,'Mein Haus'!$A$11:$A$40,0)),0))</f>
        <v/>
      </c>
      <c r="J13" s="19">
        <f>IF(F13=0,0,IFERROR(INDEX('Mein Haus'!$E$11:$E$40,MATCH(C13,'Mein Haus'!$A$11:$A$40,0)),0))</f>
        <v/>
      </c>
      <c r="K13" s="19">
        <f>IF(F13=0,0,IFERROR(INDEX('Mein Haus'!$F$11:$F$40,MATCH(C13,'Mein Haus'!$A$11:$A$40,0)),0))</f>
        <v/>
      </c>
      <c r="L13" s="11">
        <f>IF(F13=0,0,N('Mein Haus'!H53)*SUM(O13:Z13))</f>
        <v/>
      </c>
      <c r="M13" s="22" t="n"/>
      <c r="N13" s="11">
        <f>IF(M13&lt;&gt;"",M13,L13)</f>
        <v/>
      </c>
      <c r="O13" s="19">
        <f>IF(F13=0,0,MAX(0,MIN(E13,EOMONTH(EDATE(Nebenkosten!$B$7,0),0))-MAX(D13,EDATE(Nebenkosten!$B$7,0))+1)/DAY(EOMONTH(EDATE(Nebenkosten!$B$7,0),0)))</f>
        <v/>
      </c>
      <c r="P13" s="19">
        <f>IF(F13=0,0,MAX(0,MIN(E13,EOMONTH(EDATE(Nebenkosten!$B$7,1),0))-MAX(D13,EDATE(Nebenkosten!$B$7,1))+1)/DAY(EOMONTH(EDATE(Nebenkosten!$B$7,1),0)))</f>
        <v/>
      </c>
      <c r="Q13" s="19">
        <f>IF(F13=0,0,MAX(0,MIN(E13,EOMONTH(EDATE(Nebenkosten!$B$7,2),0))-MAX(D13,EDATE(Nebenkosten!$B$7,2))+1)/DAY(EOMONTH(EDATE(Nebenkosten!$B$7,2),0)))</f>
        <v/>
      </c>
      <c r="R13" s="19">
        <f>IF(F13=0,0,MAX(0,MIN(E13,EOMONTH(EDATE(Nebenkosten!$B$7,3),0))-MAX(D13,EDATE(Nebenkosten!$B$7,3))+1)/DAY(EOMONTH(EDATE(Nebenkosten!$B$7,3),0)))</f>
        <v/>
      </c>
      <c r="S13" s="19">
        <f>IF(F13=0,0,MAX(0,MIN(E13,EOMONTH(EDATE(Nebenkosten!$B$7,4),0))-MAX(D13,EDATE(Nebenkosten!$B$7,4))+1)/DAY(EOMONTH(EDATE(Nebenkosten!$B$7,4),0)))</f>
        <v/>
      </c>
      <c r="T13" s="19">
        <f>IF(F13=0,0,MAX(0,MIN(E13,EOMONTH(EDATE(Nebenkosten!$B$7,5),0))-MAX(D13,EDATE(Nebenkosten!$B$7,5))+1)/DAY(EOMONTH(EDATE(Nebenkosten!$B$7,5),0)))</f>
        <v/>
      </c>
      <c r="U13" s="19">
        <f>IF(F13=0,0,MAX(0,MIN(E13,EOMONTH(EDATE(Nebenkosten!$B$7,6),0))-MAX(D13,EDATE(Nebenkosten!$B$7,6))+1)/DAY(EOMONTH(EDATE(Nebenkosten!$B$7,6),0)))</f>
        <v/>
      </c>
      <c r="V13" s="19">
        <f>IF(F13=0,0,MAX(0,MIN(E13,EOMONTH(EDATE(Nebenkosten!$B$7,7),0))-MAX(D13,EDATE(Nebenkosten!$B$7,7))+1)/DAY(EOMONTH(EDATE(Nebenkosten!$B$7,7),0)))</f>
        <v/>
      </c>
      <c r="W13" s="19">
        <f>IF(F13=0,0,MAX(0,MIN(E13,EOMONTH(EDATE(Nebenkosten!$B$7,8),0))-MAX(D13,EDATE(Nebenkosten!$B$7,8))+1)/DAY(EOMONTH(EDATE(Nebenkosten!$B$7,8),0)))</f>
        <v/>
      </c>
      <c r="X13" s="19">
        <f>IF(F13=0,0,MAX(0,MIN(E13,EOMONTH(EDATE(Nebenkosten!$B$7,9),0))-MAX(D13,EDATE(Nebenkosten!$B$7,9))+1)/DAY(EOMONTH(EDATE(Nebenkosten!$B$7,9),0)))</f>
        <v/>
      </c>
      <c r="Y13" s="19">
        <f>IF(F13=0,0,MAX(0,MIN(E13,EOMONTH(EDATE(Nebenkosten!$B$7,10),0))-MAX(D13,EDATE(Nebenkosten!$B$7,10))+1)/DAY(EOMONTH(EDATE(Nebenkosten!$B$7,10),0)))</f>
        <v/>
      </c>
      <c r="Z13" s="19">
        <f>IF(F13=0,0,MAX(0,MIN(E13,EOMONTH(EDATE(Nebenkosten!$B$7,11),0))-MAX(D13,EDATE(Nebenkosten!$B$7,11))+1)/DAY(EOMONTH(EDATE(Nebenkosten!$B$7,11),0)))</f>
        <v/>
      </c>
      <c r="AA13" s="11">
        <f>IF(OR(Nebenkosten!$B$10="",Nebenkosten!$E$10=0,$F13=0),0,Nebenkosten!$B$10*IF(Nebenkosten!$C$10="Fläche",$I13,IF(Nebenkosten!$C$10="Anteil",$J13,$K13))*IF(Nebenkosten!$D$10="Heizung",$H13,$G13)/Nebenkosten!$E$10)</f>
        <v/>
      </c>
      <c r="AB13" s="11">
        <f>IF(OR(Nebenkosten!$B$11="",Nebenkosten!$E$11=0,$F13=0),0,Nebenkosten!$B$11*IF(Nebenkosten!$C$11="Fläche",$I13,IF(Nebenkosten!$C$11="Anteil",$J13,$K13))*IF(Nebenkosten!$D$11="Heizung",$H13,$G13)/Nebenkosten!$E$11)</f>
        <v/>
      </c>
      <c r="AC13" s="11">
        <f>IF(OR(Nebenkosten!$B$12="",Nebenkosten!$E$12=0,$F13=0),0,Nebenkosten!$B$12*IF(Nebenkosten!$C$12="Fläche",$I13,IF(Nebenkosten!$C$12="Anteil",$J13,$K13))*IF(Nebenkosten!$D$12="Heizung",$H13,$G13)/Nebenkosten!$E$12)</f>
        <v/>
      </c>
      <c r="AD13" s="11">
        <f>IF(OR(Nebenkosten!$B$13="",Nebenkosten!$E$13=0,$F13=0),0,Nebenkosten!$B$13*IF(Nebenkosten!$C$13="Fläche",$I13,IF(Nebenkosten!$C$13="Anteil",$J13,$K13))*IF(Nebenkosten!$D$13="Heizung",$H13,$G13)/Nebenkosten!$E$13)</f>
        <v/>
      </c>
      <c r="AE13" s="11">
        <f>IF(OR(Nebenkosten!$B$14="",Nebenkosten!$E$14=0,$F13=0),0,Nebenkosten!$B$14*IF(Nebenkosten!$C$14="Fläche",$I13,IF(Nebenkosten!$C$14="Anteil",$J13,$K13))*IF(Nebenkosten!$D$14="Heizung",$H13,$G13)/Nebenkosten!$E$14)</f>
        <v/>
      </c>
      <c r="AF13" s="11">
        <f>IF(OR(Nebenkosten!$B$15="",Nebenkosten!$E$15=0,$F13=0),0,Nebenkosten!$B$15*IF(Nebenkosten!$C$15="Fläche",$I13,IF(Nebenkosten!$C$15="Anteil",$J13,$K13))*IF(Nebenkosten!$D$15="Heizung",$H13,$G13)/Nebenkosten!$E$15)</f>
        <v/>
      </c>
      <c r="AG13" s="11">
        <f>IF(OR(Nebenkosten!$B$16="",Nebenkosten!$E$16=0,$F13=0),0,Nebenkosten!$B$16*IF(Nebenkosten!$C$16="Fläche",$I13,IF(Nebenkosten!$C$16="Anteil",$J13,$K13))*IF(Nebenkosten!$D$16="Heizung",$H13,$G13)/Nebenkosten!$E$16)</f>
        <v/>
      </c>
      <c r="AH13" s="11">
        <f>IF(OR(Nebenkosten!$B$17="",Nebenkosten!$E$17=0,$F13=0),0,Nebenkosten!$B$17*IF(Nebenkosten!$C$17="Fläche",$I13,IF(Nebenkosten!$C$17="Anteil",$J13,$K13))*IF(Nebenkosten!$D$17="Heizung",$H13,$G13)/Nebenkosten!$E$17)</f>
        <v/>
      </c>
      <c r="AI13" s="11">
        <f>IF(OR(Nebenkosten!$B$18="",Nebenkosten!$E$18=0,$F13=0),0,Nebenkosten!$B$18*IF(Nebenkosten!$C$18="Fläche",$I13,IF(Nebenkosten!$C$18="Anteil",$J13,$K13))*IF(Nebenkosten!$D$18="Heizung",$H13,$G13)/Nebenkosten!$E$18)</f>
        <v/>
      </c>
      <c r="AJ13" s="11">
        <f>IF(OR(Nebenkosten!$B$19="",Nebenkosten!$E$19=0,$F13=0),0,Nebenkosten!$B$19*IF(Nebenkosten!$C$19="Fläche",$I13,IF(Nebenkosten!$C$19="Anteil",$J13,$K13))*IF(Nebenkosten!$D$19="Heizung",$H13,$G13)/Nebenkosten!$E$19)</f>
        <v/>
      </c>
      <c r="AK13" s="11">
        <f>IF(OR(Nebenkosten!$B$20="",Nebenkosten!$E$20=0,$F13=0),0,Nebenkosten!$B$20*IF(Nebenkosten!$C$20="Fläche",$I13,IF(Nebenkosten!$C$20="Anteil",$J13,$K13))*IF(Nebenkosten!$D$20="Heizung",$H13,$G13)/Nebenkosten!$E$20)</f>
        <v/>
      </c>
      <c r="AL13" s="11">
        <f>IF(OR(Nebenkosten!$B$21="",Nebenkosten!$E$21=0,$F13=0),0,Nebenkosten!$B$21*IF(Nebenkosten!$C$21="Fläche",$I13,IF(Nebenkosten!$C$21="Anteil",$J13,$K13))*IF(Nebenkosten!$D$21="Heizung",$H13,$G13)/Nebenkosten!$E$21)</f>
        <v/>
      </c>
      <c r="AM13" s="11">
        <f>IF(OR(Nebenkosten!$B$22="",Nebenkosten!$E$22=0,$F13=0),0,Nebenkosten!$B$22*IF(Nebenkosten!$C$22="Fläche",$I13,IF(Nebenkosten!$C$22="Anteil",$J13,$K13))*IF(Nebenkosten!$D$22="Heizung",$H13,$G13)/Nebenkosten!$E$22)</f>
        <v/>
      </c>
      <c r="AN13" s="11">
        <f>IF(OR(Nebenkosten!$B$23="",Nebenkosten!$E$23=0,$F13=0),0,Nebenkosten!$B$23*IF(Nebenkosten!$C$23="Fläche",$I13,IF(Nebenkosten!$C$23="Anteil",$J13,$K13))*IF(Nebenkosten!$D$23="Heizung",$H13,$G13)/Nebenkosten!$E$23)</f>
        <v/>
      </c>
      <c r="AO13" s="11">
        <f>IF(OR(Nebenkosten!$B$24="",Nebenkosten!$E$24=0,$F13=0),0,Nebenkosten!$B$24*IF(Nebenkosten!$C$24="Fläche",$I13,IF(Nebenkosten!$C$24="Anteil",$J13,$K13))*IF(Nebenkosten!$D$24="Heizung",$H13,$G13)/Nebenkosten!$E$24)</f>
        <v/>
      </c>
      <c r="AP13" s="11">
        <f>IF(OR(Nebenkosten!$B$25="",Nebenkosten!$E$25=0,$F13=0),0,Nebenkosten!$B$25*IF(Nebenkosten!$C$25="Fläche",$I13,IF(Nebenkosten!$C$25="Anteil",$J13,$K13))*IF(Nebenkosten!$D$25="Heizung",$H13,$G13)/Nebenkosten!$E$25)</f>
        <v/>
      </c>
      <c r="AQ13" s="11">
        <f>IF(OR(Nebenkosten!$B$26="",Nebenkosten!$E$26=0,$F13=0),0,Nebenkosten!$B$26*IF(Nebenkosten!$C$26="Fläche",$I13,IF(Nebenkosten!$C$26="Anteil",$J13,$K13))*IF(Nebenkosten!$D$26="Heizung",$H13,$G13)/Nebenkosten!$E$26)</f>
        <v/>
      </c>
      <c r="AR13" s="11">
        <f>IF(OR(Nebenkosten!$B$27="",Nebenkosten!$E$27=0,$F13=0),0,Nebenkosten!$B$27*IF(Nebenkosten!$C$27="Fläche",$I13,IF(Nebenkosten!$C$27="Anteil",$J13,$K13))*IF(Nebenkosten!$D$27="Heizung",$H13,$G13)/Nebenkosten!$E$27)</f>
        <v/>
      </c>
      <c r="AS13" s="11">
        <f>IF(OR(Nebenkosten!$B$28="",Nebenkosten!$E$28=0,$F13=0),0,Nebenkosten!$B$28*IF(Nebenkosten!$C$28="Fläche",$I13,IF(Nebenkosten!$C$28="Anteil",$J13,$K13))*IF(Nebenkosten!$D$28="Heizung",$H13,$G13)/Nebenkosten!$E$28)</f>
        <v/>
      </c>
      <c r="AT13" s="11">
        <f>IF(OR(Nebenkosten!$B$29="",Nebenkosten!$E$29=0,$F13=0),0,Nebenkosten!$B$29*IF(Nebenkosten!$C$29="Fläche",$I13,IF(Nebenkosten!$C$29="Anteil",$J13,$K13))*IF(Nebenkosten!$D$29="Heizung",$H13,$G13)/Nebenkosten!$E$29)</f>
        <v/>
      </c>
      <c r="AU13" s="11">
        <f>IF(OR(Nebenkosten!$B$30="",Nebenkosten!$E$30=0,$F13=0),0,Nebenkosten!$B$30*IF(Nebenkosten!$C$30="Fläche",$I13,IF(Nebenkosten!$C$30="Anteil",$J13,$K13))*IF(Nebenkosten!$D$30="Heizung",$H13,$G13)/Nebenkosten!$E$30)</f>
        <v/>
      </c>
      <c r="AV13" s="11">
        <f>IF(OR(Nebenkosten!$B$31="",Nebenkosten!$E$31=0,$F13=0),0,Nebenkosten!$B$31*IF(Nebenkosten!$C$31="Fläche",$I13,IF(Nebenkosten!$C$31="Anteil",$J13,$K13))*IF(Nebenkosten!$D$31="Heizung",$H13,$G13)/Nebenkosten!$E$31)</f>
        <v/>
      </c>
      <c r="AW13" s="11">
        <f>IF(OR(Nebenkosten!$B$32="",Nebenkosten!$E$32=0,$F13=0),0,Nebenkosten!$B$32*IF(Nebenkosten!$C$32="Fläche",$I13,IF(Nebenkosten!$C$32="Anteil",$J13,$K13))*IF(Nebenkosten!$D$32="Heizung",$H13,$G13)/Nebenkosten!$E$32)</f>
        <v/>
      </c>
      <c r="AX13" s="11">
        <f>IF(OR(Nebenkosten!$B$33="",Nebenkosten!$E$33=0,$F13=0),0,Nebenkosten!$B$33*IF(Nebenkosten!$C$33="Fläche",$I13,IF(Nebenkosten!$C$33="Anteil",$J13,$K13))*IF(Nebenkosten!$D$33="Heizung",$H13,$G13)/Nebenkosten!$E$33)</f>
        <v/>
      </c>
      <c r="AY13" s="11">
        <f>IF(OR(Nebenkosten!$B$34="",Nebenkosten!$E$34=0,$F13=0),0,Nebenkosten!$B$34*IF(Nebenkosten!$C$34="Fläche",$I13,IF(Nebenkosten!$C$34="Anteil",$J13,$K13))*IF(Nebenkosten!$D$34="Heizung",$H13,$G13)/Nebenkosten!$E$34)</f>
        <v/>
      </c>
      <c r="AZ13" s="11">
        <f>ROUND(SUM(AA13:AY13)*20,0)/20</f>
        <v/>
      </c>
      <c r="BA13" s="11">
        <f>IF(F13=0,0,N13)</f>
        <v/>
      </c>
      <c r="BB13" s="11">
        <f>AZ13-BA13</f>
        <v/>
      </c>
    </row>
    <row r="14">
      <c r="A14" s="10">
        <f>'Mein Haus'!A54</f>
        <v/>
      </c>
      <c r="B14" s="23">
        <f>IF('Mein Haus'!C54="","",'Mein Haus'!C54)</f>
        <v/>
      </c>
      <c r="C14" s="23">
        <f>IF('Mein Haus'!B54="","",'Mein Haus'!B54)</f>
        <v/>
      </c>
      <c r="D14" s="21">
        <f>IF(AND('Mein Haus'!C54&lt;&gt;"",'Mein Haus'!B54&lt;&gt;"",Nebenkosten!$B$7&lt;&gt;""),MAX(IF('Mein Haus'!D54="",Nebenkosten!$B$7,'Mein Haus'!D54),Nebenkosten!$B$7),"")</f>
        <v/>
      </c>
      <c r="E14" s="21">
        <f>IF(AND('Mein Haus'!C54&lt;&gt;"",'Mein Haus'!B54&lt;&gt;"",Nebenkosten!$B$7&lt;&gt;""),MIN(IF('Mein Haus'!F54="",Nebenkosten!$D$7,'Mein Haus'!F54),Nebenkosten!$D$7),"")</f>
        <v/>
      </c>
      <c r="F14" s="10">
        <f>IF(D14="",0,MAX(0,E14-D14+1))</f>
        <v/>
      </c>
      <c r="G14" s="49">
        <f>IF(F14=0,0,F14/Nebenkosten!$F$7)</f>
        <v/>
      </c>
      <c r="H14" s="49">
        <f>IF(F14=0,0,SUMPRODUCT(O14:Z14,$O$3:$Z$3)/Einstellungen!$F$17)</f>
        <v/>
      </c>
      <c r="I14" s="19">
        <f>IF(F14=0,0,IFERROR(INDEX('Mein Haus'!$D$11:$D$40,MATCH(C14,'Mein Haus'!$A$11:$A$40,0)),0))</f>
        <v/>
      </c>
      <c r="J14" s="19">
        <f>IF(F14=0,0,IFERROR(INDEX('Mein Haus'!$E$11:$E$40,MATCH(C14,'Mein Haus'!$A$11:$A$40,0)),0))</f>
        <v/>
      </c>
      <c r="K14" s="19">
        <f>IF(F14=0,0,IFERROR(INDEX('Mein Haus'!$F$11:$F$40,MATCH(C14,'Mein Haus'!$A$11:$A$40,0)),0))</f>
        <v/>
      </c>
      <c r="L14" s="11">
        <f>IF(F14=0,0,N('Mein Haus'!H54)*SUM(O14:Z14))</f>
        <v/>
      </c>
      <c r="M14" s="22" t="n"/>
      <c r="N14" s="11">
        <f>IF(M14&lt;&gt;"",M14,L14)</f>
        <v/>
      </c>
      <c r="O14" s="19">
        <f>IF(F14=0,0,MAX(0,MIN(E14,EOMONTH(EDATE(Nebenkosten!$B$7,0),0))-MAX(D14,EDATE(Nebenkosten!$B$7,0))+1)/DAY(EOMONTH(EDATE(Nebenkosten!$B$7,0),0)))</f>
        <v/>
      </c>
      <c r="P14" s="19">
        <f>IF(F14=0,0,MAX(0,MIN(E14,EOMONTH(EDATE(Nebenkosten!$B$7,1),0))-MAX(D14,EDATE(Nebenkosten!$B$7,1))+1)/DAY(EOMONTH(EDATE(Nebenkosten!$B$7,1),0)))</f>
        <v/>
      </c>
      <c r="Q14" s="19">
        <f>IF(F14=0,0,MAX(0,MIN(E14,EOMONTH(EDATE(Nebenkosten!$B$7,2),0))-MAX(D14,EDATE(Nebenkosten!$B$7,2))+1)/DAY(EOMONTH(EDATE(Nebenkosten!$B$7,2),0)))</f>
        <v/>
      </c>
      <c r="R14" s="19">
        <f>IF(F14=0,0,MAX(0,MIN(E14,EOMONTH(EDATE(Nebenkosten!$B$7,3),0))-MAX(D14,EDATE(Nebenkosten!$B$7,3))+1)/DAY(EOMONTH(EDATE(Nebenkosten!$B$7,3),0)))</f>
        <v/>
      </c>
      <c r="S14" s="19">
        <f>IF(F14=0,0,MAX(0,MIN(E14,EOMONTH(EDATE(Nebenkosten!$B$7,4),0))-MAX(D14,EDATE(Nebenkosten!$B$7,4))+1)/DAY(EOMONTH(EDATE(Nebenkosten!$B$7,4),0)))</f>
        <v/>
      </c>
      <c r="T14" s="19">
        <f>IF(F14=0,0,MAX(0,MIN(E14,EOMONTH(EDATE(Nebenkosten!$B$7,5),0))-MAX(D14,EDATE(Nebenkosten!$B$7,5))+1)/DAY(EOMONTH(EDATE(Nebenkosten!$B$7,5),0)))</f>
        <v/>
      </c>
      <c r="U14" s="19">
        <f>IF(F14=0,0,MAX(0,MIN(E14,EOMONTH(EDATE(Nebenkosten!$B$7,6),0))-MAX(D14,EDATE(Nebenkosten!$B$7,6))+1)/DAY(EOMONTH(EDATE(Nebenkosten!$B$7,6),0)))</f>
        <v/>
      </c>
      <c r="V14" s="19">
        <f>IF(F14=0,0,MAX(0,MIN(E14,EOMONTH(EDATE(Nebenkosten!$B$7,7),0))-MAX(D14,EDATE(Nebenkosten!$B$7,7))+1)/DAY(EOMONTH(EDATE(Nebenkosten!$B$7,7),0)))</f>
        <v/>
      </c>
      <c r="W14" s="19">
        <f>IF(F14=0,0,MAX(0,MIN(E14,EOMONTH(EDATE(Nebenkosten!$B$7,8),0))-MAX(D14,EDATE(Nebenkosten!$B$7,8))+1)/DAY(EOMONTH(EDATE(Nebenkosten!$B$7,8),0)))</f>
        <v/>
      </c>
      <c r="X14" s="19">
        <f>IF(F14=0,0,MAX(0,MIN(E14,EOMONTH(EDATE(Nebenkosten!$B$7,9),0))-MAX(D14,EDATE(Nebenkosten!$B$7,9))+1)/DAY(EOMONTH(EDATE(Nebenkosten!$B$7,9),0)))</f>
        <v/>
      </c>
      <c r="Y14" s="19">
        <f>IF(F14=0,0,MAX(0,MIN(E14,EOMONTH(EDATE(Nebenkosten!$B$7,10),0))-MAX(D14,EDATE(Nebenkosten!$B$7,10))+1)/DAY(EOMONTH(EDATE(Nebenkosten!$B$7,10),0)))</f>
        <v/>
      </c>
      <c r="Z14" s="19">
        <f>IF(F14=0,0,MAX(0,MIN(E14,EOMONTH(EDATE(Nebenkosten!$B$7,11),0))-MAX(D14,EDATE(Nebenkosten!$B$7,11))+1)/DAY(EOMONTH(EDATE(Nebenkosten!$B$7,11),0)))</f>
        <v/>
      </c>
      <c r="AA14" s="11">
        <f>IF(OR(Nebenkosten!$B$10="",Nebenkosten!$E$10=0,$F14=0),0,Nebenkosten!$B$10*IF(Nebenkosten!$C$10="Fläche",$I14,IF(Nebenkosten!$C$10="Anteil",$J14,$K14))*IF(Nebenkosten!$D$10="Heizung",$H14,$G14)/Nebenkosten!$E$10)</f>
        <v/>
      </c>
      <c r="AB14" s="11">
        <f>IF(OR(Nebenkosten!$B$11="",Nebenkosten!$E$11=0,$F14=0),0,Nebenkosten!$B$11*IF(Nebenkosten!$C$11="Fläche",$I14,IF(Nebenkosten!$C$11="Anteil",$J14,$K14))*IF(Nebenkosten!$D$11="Heizung",$H14,$G14)/Nebenkosten!$E$11)</f>
        <v/>
      </c>
      <c r="AC14" s="11">
        <f>IF(OR(Nebenkosten!$B$12="",Nebenkosten!$E$12=0,$F14=0),0,Nebenkosten!$B$12*IF(Nebenkosten!$C$12="Fläche",$I14,IF(Nebenkosten!$C$12="Anteil",$J14,$K14))*IF(Nebenkosten!$D$12="Heizung",$H14,$G14)/Nebenkosten!$E$12)</f>
        <v/>
      </c>
      <c r="AD14" s="11">
        <f>IF(OR(Nebenkosten!$B$13="",Nebenkosten!$E$13=0,$F14=0),0,Nebenkosten!$B$13*IF(Nebenkosten!$C$13="Fläche",$I14,IF(Nebenkosten!$C$13="Anteil",$J14,$K14))*IF(Nebenkosten!$D$13="Heizung",$H14,$G14)/Nebenkosten!$E$13)</f>
        <v/>
      </c>
      <c r="AE14" s="11">
        <f>IF(OR(Nebenkosten!$B$14="",Nebenkosten!$E$14=0,$F14=0),0,Nebenkosten!$B$14*IF(Nebenkosten!$C$14="Fläche",$I14,IF(Nebenkosten!$C$14="Anteil",$J14,$K14))*IF(Nebenkosten!$D$14="Heizung",$H14,$G14)/Nebenkosten!$E$14)</f>
        <v/>
      </c>
      <c r="AF14" s="11">
        <f>IF(OR(Nebenkosten!$B$15="",Nebenkosten!$E$15=0,$F14=0),0,Nebenkosten!$B$15*IF(Nebenkosten!$C$15="Fläche",$I14,IF(Nebenkosten!$C$15="Anteil",$J14,$K14))*IF(Nebenkosten!$D$15="Heizung",$H14,$G14)/Nebenkosten!$E$15)</f>
        <v/>
      </c>
      <c r="AG14" s="11">
        <f>IF(OR(Nebenkosten!$B$16="",Nebenkosten!$E$16=0,$F14=0),0,Nebenkosten!$B$16*IF(Nebenkosten!$C$16="Fläche",$I14,IF(Nebenkosten!$C$16="Anteil",$J14,$K14))*IF(Nebenkosten!$D$16="Heizung",$H14,$G14)/Nebenkosten!$E$16)</f>
        <v/>
      </c>
      <c r="AH14" s="11">
        <f>IF(OR(Nebenkosten!$B$17="",Nebenkosten!$E$17=0,$F14=0),0,Nebenkosten!$B$17*IF(Nebenkosten!$C$17="Fläche",$I14,IF(Nebenkosten!$C$17="Anteil",$J14,$K14))*IF(Nebenkosten!$D$17="Heizung",$H14,$G14)/Nebenkosten!$E$17)</f>
        <v/>
      </c>
      <c r="AI14" s="11">
        <f>IF(OR(Nebenkosten!$B$18="",Nebenkosten!$E$18=0,$F14=0),0,Nebenkosten!$B$18*IF(Nebenkosten!$C$18="Fläche",$I14,IF(Nebenkosten!$C$18="Anteil",$J14,$K14))*IF(Nebenkosten!$D$18="Heizung",$H14,$G14)/Nebenkosten!$E$18)</f>
        <v/>
      </c>
      <c r="AJ14" s="11">
        <f>IF(OR(Nebenkosten!$B$19="",Nebenkosten!$E$19=0,$F14=0),0,Nebenkosten!$B$19*IF(Nebenkosten!$C$19="Fläche",$I14,IF(Nebenkosten!$C$19="Anteil",$J14,$K14))*IF(Nebenkosten!$D$19="Heizung",$H14,$G14)/Nebenkosten!$E$19)</f>
        <v/>
      </c>
      <c r="AK14" s="11">
        <f>IF(OR(Nebenkosten!$B$20="",Nebenkosten!$E$20=0,$F14=0),0,Nebenkosten!$B$20*IF(Nebenkosten!$C$20="Fläche",$I14,IF(Nebenkosten!$C$20="Anteil",$J14,$K14))*IF(Nebenkosten!$D$20="Heizung",$H14,$G14)/Nebenkosten!$E$20)</f>
        <v/>
      </c>
      <c r="AL14" s="11">
        <f>IF(OR(Nebenkosten!$B$21="",Nebenkosten!$E$21=0,$F14=0),0,Nebenkosten!$B$21*IF(Nebenkosten!$C$21="Fläche",$I14,IF(Nebenkosten!$C$21="Anteil",$J14,$K14))*IF(Nebenkosten!$D$21="Heizung",$H14,$G14)/Nebenkosten!$E$21)</f>
        <v/>
      </c>
      <c r="AM14" s="11">
        <f>IF(OR(Nebenkosten!$B$22="",Nebenkosten!$E$22=0,$F14=0),0,Nebenkosten!$B$22*IF(Nebenkosten!$C$22="Fläche",$I14,IF(Nebenkosten!$C$22="Anteil",$J14,$K14))*IF(Nebenkosten!$D$22="Heizung",$H14,$G14)/Nebenkosten!$E$22)</f>
        <v/>
      </c>
      <c r="AN14" s="11">
        <f>IF(OR(Nebenkosten!$B$23="",Nebenkosten!$E$23=0,$F14=0),0,Nebenkosten!$B$23*IF(Nebenkosten!$C$23="Fläche",$I14,IF(Nebenkosten!$C$23="Anteil",$J14,$K14))*IF(Nebenkosten!$D$23="Heizung",$H14,$G14)/Nebenkosten!$E$23)</f>
        <v/>
      </c>
      <c r="AO14" s="11">
        <f>IF(OR(Nebenkosten!$B$24="",Nebenkosten!$E$24=0,$F14=0),0,Nebenkosten!$B$24*IF(Nebenkosten!$C$24="Fläche",$I14,IF(Nebenkosten!$C$24="Anteil",$J14,$K14))*IF(Nebenkosten!$D$24="Heizung",$H14,$G14)/Nebenkosten!$E$24)</f>
        <v/>
      </c>
      <c r="AP14" s="11">
        <f>IF(OR(Nebenkosten!$B$25="",Nebenkosten!$E$25=0,$F14=0),0,Nebenkosten!$B$25*IF(Nebenkosten!$C$25="Fläche",$I14,IF(Nebenkosten!$C$25="Anteil",$J14,$K14))*IF(Nebenkosten!$D$25="Heizung",$H14,$G14)/Nebenkosten!$E$25)</f>
        <v/>
      </c>
      <c r="AQ14" s="11">
        <f>IF(OR(Nebenkosten!$B$26="",Nebenkosten!$E$26=0,$F14=0),0,Nebenkosten!$B$26*IF(Nebenkosten!$C$26="Fläche",$I14,IF(Nebenkosten!$C$26="Anteil",$J14,$K14))*IF(Nebenkosten!$D$26="Heizung",$H14,$G14)/Nebenkosten!$E$26)</f>
        <v/>
      </c>
      <c r="AR14" s="11">
        <f>IF(OR(Nebenkosten!$B$27="",Nebenkosten!$E$27=0,$F14=0),0,Nebenkosten!$B$27*IF(Nebenkosten!$C$27="Fläche",$I14,IF(Nebenkosten!$C$27="Anteil",$J14,$K14))*IF(Nebenkosten!$D$27="Heizung",$H14,$G14)/Nebenkosten!$E$27)</f>
        <v/>
      </c>
      <c r="AS14" s="11">
        <f>IF(OR(Nebenkosten!$B$28="",Nebenkosten!$E$28=0,$F14=0),0,Nebenkosten!$B$28*IF(Nebenkosten!$C$28="Fläche",$I14,IF(Nebenkosten!$C$28="Anteil",$J14,$K14))*IF(Nebenkosten!$D$28="Heizung",$H14,$G14)/Nebenkosten!$E$28)</f>
        <v/>
      </c>
      <c r="AT14" s="11">
        <f>IF(OR(Nebenkosten!$B$29="",Nebenkosten!$E$29=0,$F14=0),0,Nebenkosten!$B$29*IF(Nebenkosten!$C$29="Fläche",$I14,IF(Nebenkosten!$C$29="Anteil",$J14,$K14))*IF(Nebenkosten!$D$29="Heizung",$H14,$G14)/Nebenkosten!$E$29)</f>
        <v/>
      </c>
      <c r="AU14" s="11">
        <f>IF(OR(Nebenkosten!$B$30="",Nebenkosten!$E$30=0,$F14=0),0,Nebenkosten!$B$30*IF(Nebenkosten!$C$30="Fläche",$I14,IF(Nebenkosten!$C$30="Anteil",$J14,$K14))*IF(Nebenkosten!$D$30="Heizung",$H14,$G14)/Nebenkosten!$E$30)</f>
        <v/>
      </c>
      <c r="AV14" s="11">
        <f>IF(OR(Nebenkosten!$B$31="",Nebenkosten!$E$31=0,$F14=0),0,Nebenkosten!$B$31*IF(Nebenkosten!$C$31="Fläche",$I14,IF(Nebenkosten!$C$31="Anteil",$J14,$K14))*IF(Nebenkosten!$D$31="Heizung",$H14,$G14)/Nebenkosten!$E$31)</f>
        <v/>
      </c>
      <c r="AW14" s="11">
        <f>IF(OR(Nebenkosten!$B$32="",Nebenkosten!$E$32=0,$F14=0),0,Nebenkosten!$B$32*IF(Nebenkosten!$C$32="Fläche",$I14,IF(Nebenkosten!$C$32="Anteil",$J14,$K14))*IF(Nebenkosten!$D$32="Heizung",$H14,$G14)/Nebenkosten!$E$32)</f>
        <v/>
      </c>
      <c r="AX14" s="11">
        <f>IF(OR(Nebenkosten!$B$33="",Nebenkosten!$E$33=0,$F14=0),0,Nebenkosten!$B$33*IF(Nebenkosten!$C$33="Fläche",$I14,IF(Nebenkosten!$C$33="Anteil",$J14,$K14))*IF(Nebenkosten!$D$33="Heizung",$H14,$G14)/Nebenkosten!$E$33)</f>
        <v/>
      </c>
      <c r="AY14" s="11">
        <f>IF(OR(Nebenkosten!$B$34="",Nebenkosten!$E$34=0,$F14=0),0,Nebenkosten!$B$34*IF(Nebenkosten!$C$34="Fläche",$I14,IF(Nebenkosten!$C$34="Anteil",$J14,$K14))*IF(Nebenkosten!$D$34="Heizung",$H14,$G14)/Nebenkosten!$E$34)</f>
        <v/>
      </c>
      <c r="AZ14" s="11">
        <f>ROUND(SUM(AA14:AY14)*20,0)/20</f>
        <v/>
      </c>
      <c r="BA14" s="11">
        <f>IF(F14=0,0,N14)</f>
        <v/>
      </c>
      <c r="BB14" s="11">
        <f>AZ14-BA14</f>
        <v/>
      </c>
    </row>
    <row r="15">
      <c r="A15" s="10">
        <f>'Mein Haus'!A55</f>
        <v/>
      </c>
      <c r="B15" s="23">
        <f>IF('Mein Haus'!C55="","",'Mein Haus'!C55)</f>
        <v/>
      </c>
      <c r="C15" s="23">
        <f>IF('Mein Haus'!B55="","",'Mein Haus'!B55)</f>
        <v/>
      </c>
      <c r="D15" s="21">
        <f>IF(AND('Mein Haus'!C55&lt;&gt;"",'Mein Haus'!B55&lt;&gt;"",Nebenkosten!$B$7&lt;&gt;""),MAX(IF('Mein Haus'!D55="",Nebenkosten!$B$7,'Mein Haus'!D55),Nebenkosten!$B$7),"")</f>
        <v/>
      </c>
      <c r="E15" s="21">
        <f>IF(AND('Mein Haus'!C55&lt;&gt;"",'Mein Haus'!B55&lt;&gt;"",Nebenkosten!$B$7&lt;&gt;""),MIN(IF('Mein Haus'!F55="",Nebenkosten!$D$7,'Mein Haus'!F55),Nebenkosten!$D$7),"")</f>
        <v/>
      </c>
      <c r="F15" s="10">
        <f>IF(D15="",0,MAX(0,E15-D15+1))</f>
        <v/>
      </c>
      <c r="G15" s="49">
        <f>IF(F15=0,0,F15/Nebenkosten!$F$7)</f>
        <v/>
      </c>
      <c r="H15" s="49">
        <f>IF(F15=0,0,SUMPRODUCT(O15:Z15,$O$3:$Z$3)/Einstellungen!$F$17)</f>
        <v/>
      </c>
      <c r="I15" s="19">
        <f>IF(F15=0,0,IFERROR(INDEX('Mein Haus'!$D$11:$D$40,MATCH(C15,'Mein Haus'!$A$11:$A$40,0)),0))</f>
        <v/>
      </c>
      <c r="J15" s="19">
        <f>IF(F15=0,0,IFERROR(INDEX('Mein Haus'!$E$11:$E$40,MATCH(C15,'Mein Haus'!$A$11:$A$40,0)),0))</f>
        <v/>
      </c>
      <c r="K15" s="19">
        <f>IF(F15=0,0,IFERROR(INDEX('Mein Haus'!$F$11:$F$40,MATCH(C15,'Mein Haus'!$A$11:$A$40,0)),0))</f>
        <v/>
      </c>
      <c r="L15" s="11">
        <f>IF(F15=0,0,N('Mein Haus'!H55)*SUM(O15:Z15))</f>
        <v/>
      </c>
      <c r="M15" s="22" t="n"/>
      <c r="N15" s="11">
        <f>IF(M15&lt;&gt;"",M15,L15)</f>
        <v/>
      </c>
      <c r="O15" s="19">
        <f>IF(F15=0,0,MAX(0,MIN(E15,EOMONTH(EDATE(Nebenkosten!$B$7,0),0))-MAX(D15,EDATE(Nebenkosten!$B$7,0))+1)/DAY(EOMONTH(EDATE(Nebenkosten!$B$7,0),0)))</f>
        <v/>
      </c>
      <c r="P15" s="19">
        <f>IF(F15=0,0,MAX(0,MIN(E15,EOMONTH(EDATE(Nebenkosten!$B$7,1),0))-MAX(D15,EDATE(Nebenkosten!$B$7,1))+1)/DAY(EOMONTH(EDATE(Nebenkosten!$B$7,1),0)))</f>
        <v/>
      </c>
      <c r="Q15" s="19">
        <f>IF(F15=0,0,MAX(0,MIN(E15,EOMONTH(EDATE(Nebenkosten!$B$7,2),0))-MAX(D15,EDATE(Nebenkosten!$B$7,2))+1)/DAY(EOMONTH(EDATE(Nebenkosten!$B$7,2),0)))</f>
        <v/>
      </c>
      <c r="R15" s="19">
        <f>IF(F15=0,0,MAX(0,MIN(E15,EOMONTH(EDATE(Nebenkosten!$B$7,3),0))-MAX(D15,EDATE(Nebenkosten!$B$7,3))+1)/DAY(EOMONTH(EDATE(Nebenkosten!$B$7,3),0)))</f>
        <v/>
      </c>
      <c r="S15" s="19">
        <f>IF(F15=0,0,MAX(0,MIN(E15,EOMONTH(EDATE(Nebenkosten!$B$7,4),0))-MAX(D15,EDATE(Nebenkosten!$B$7,4))+1)/DAY(EOMONTH(EDATE(Nebenkosten!$B$7,4),0)))</f>
        <v/>
      </c>
      <c r="T15" s="19">
        <f>IF(F15=0,0,MAX(0,MIN(E15,EOMONTH(EDATE(Nebenkosten!$B$7,5),0))-MAX(D15,EDATE(Nebenkosten!$B$7,5))+1)/DAY(EOMONTH(EDATE(Nebenkosten!$B$7,5),0)))</f>
        <v/>
      </c>
      <c r="U15" s="19">
        <f>IF(F15=0,0,MAX(0,MIN(E15,EOMONTH(EDATE(Nebenkosten!$B$7,6),0))-MAX(D15,EDATE(Nebenkosten!$B$7,6))+1)/DAY(EOMONTH(EDATE(Nebenkosten!$B$7,6),0)))</f>
        <v/>
      </c>
      <c r="V15" s="19">
        <f>IF(F15=0,0,MAX(0,MIN(E15,EOMONTH(EDATE(Nebenkosten!$B$7,7),0))-MAX(D15,EDATE(Nebenkosten!$B$7,7))+1)/DAY(EOMONTH(EDATE(Nebenkosten!$B$7,7),0)))</f>
        <v/>
      </c>
      <c r="W15" s="19">
        <f>IF(F15=0,0,MAX(0,MIN(E15,EOMONTH(EDATE(Nebenkosten!$B$7,8),0))-MAX(D15,EDATE(Nebenkosten!$B$7,8))+1)/DAY(EOMONTH(EDATE(Nebenkosten!$B$7,8),0)))</f>
        <v/>
      </c>
      <c r="X15" s="19">
        <f>IF(F15=0,0,MAX(0,MIN(E15,EOMONTH(EDATE(Nebenkosten!$B$7,9),0))-MAX(D15,EDATE(Nebenkosten!$B$7,9))+1)/DAY(EOMONTH(EDATE(Nebenkosten!$B$7,9),0)))</f>
        <v/>
      </c>
      <c r="Y15" s="19">
        <f>IF(F15=0,0,MAX(0,MIN(E15,EOMONTH(EDATE(Nebenkosten!$B$7,10),0))-MAX(D15,EDATE(Nebenkosten!$B$7,10))+1)/DAY(EOMONTH(EDATE(Nebenkosten!$B$7,10),0)))</f>
        <v/>
      </c>
      <c r="Z15" s="19">
        <f>IF(F15=0,0,MAX(0,MIN(E15,EOMONTH(EDATE(Nebenkosten!$B$7,11),0))-MAX(D15,EDATE(Nebenkosten!$B$7,11))+1)/DAY(EOMONTH(EDATE(Nebenkosten!$B$7,11),0)))</f>
        <v/>
      </c>
      <c r="AA15" s="11">
        <f>IF(OR(Nebenkosten!$B$10="",Nebenkosten!$E$10=0,$F15=0),0,Nebenkosten!$B$10*IF(Nebenkosten!$C$10="Fläche",$I15,IF(Nebenkosten!$C$10="Anteil",$J15,$K15))*IF(Nebenkosten!$D$10="Heizung",$H15,$G15)/Nebenkosten!$E$10)</f>
        <v/>
      </c>
      <c r="AB15" s="11">
        <f>IF(OR(Nebenkosten!$B$11="",Nebenkosten!$E$11=0,$F15=0),0,Nebenkosten!$B$11*IF(Nebenkosten!$C$11="Fläche",$I15,IF(Nebenkosten!$C$11="Anteil",$J15,$K15))*IF(Nebenkosten!$D$11="Heizung",$H15,$G15)/Nebenkosten!$E$11)</f>
        <v/>
      </c>
      <c r="AC15" s="11">
        <f>IF(OR(Nebenkosten!$B$12="",Nebenkosten!$E$12=0,$F15=0),0,Nebenkosten!$B$12*IF(Nebenkosten!$C$12="Fläche",$I15,IF(Nebenkosten!$C$12="Anteil",$J15,$K15))*IF(Nebenkosten!$D$12="Heizung",$H15,$G15)/Nebenkosten!$E$12)</f>
        <v/>
      </c>
      <c r="AD15" s="11">
        <f>IF(OR(Nebenkosten!$B$13="",Nebenkosten!$E$13=0,$F15=0),0,Nebenkosten!$B$13*IF(Nebenkosten!$C$13="Fläche",$I15,IF(Nebenkosten!$C$13="Anteil",$J15,$K15))*IF(Nebenkosten!$D$13="Heizung",$H15,$G15)/Nebenkosten!$E$13)</f>
        <v/>
      </c>
      <c r="AE15" s="11">
        <f>IF(OR(Nebenkosten!$B$14="",Nebenkosten!$E$14=0,$F15=0),0,Nebenkosten!$B$14*IF(Nebenkosten!$C$14="Fläche",$I15,IF(Nebenkosten!$C$14="Anteil",$J15,$K15))*IF(Nebenkosten!$D$14="Heizung",$H15,$G15)/Nebenkosten!$E$14)</f>
        <v/>
      </c>
      <c r="AF15" s="11">
        <f>IF(OR(Nebenkosten!$B$15="",Nebenkosten!$E$15=0,$F15=0),0,Nebenkosten!$B$15*IF(Nebenkosten!$C$15="Fläche",$I15,IF(Nebenkosten!$C$15="Anteil",$J15,$K15))*IF(Nebenkosten!$D$15="Heizung",$H15,$G15)/Nebenkosten!$E$15)</f>
        <v/>
      </c>
      <c r="AG15" s="11">
        <f>IF(OR(Nebenkosten!$B$16="",Nebenkosten!$E$16=0,$F15=0),0,Nebenkosten!$B$16*IF(Nebenkosten!$C$16="Fläche",$I15,IF(Nebenkosten!$C$16="Anteil",$J15,$K15))*IF(Nebenkosten!$D$16="Heizung",$H15,$G15)/Nebenkosten!$E$16)</f>
        <v/>
      </c>
      <c r="AH15" s="11">
        <f>IF(OR(Nebenkosten!$B$17="",Nebenkosten!$E$17=0,$F15=0),0,Nebenkosten!$B$17*IF(Nebenkosten!$C$17="Fläche",$I15,IF(Nebenkosten!$C$17="Anteil",$J15,$K15))*IF(Nebenkosten!$D$17="Heizung",$H15,$G15)/Nebenkosten!$E$17)</f>
        <v/>
      </c>
      <c r="AI15" s="11">
        <f>IF(OR(Nebenkosten!$B$18="",Nebenkosten!$E$18=0,$F15=0),0,Nebenkosten!$B$18*IF(Nebenkosten!$C$18="Fläche",$I15,IF(Nebenkosten!$C$18="Anteil",$J15,$K15))*IF(Nebenkosten!$D$18="Heizung",$H15,$G15)/Nebenkosten!$E$18)</f>
        <v/>
      </c>
      <c r="AJ15" s="11">
        <f>IF(OR(Nebenkosten!$B$19="",Nebenkosten!$E$19=0,$F15=0),0,Nebenkosten!$B$19*IF(Nebenkosten!$C$19="Fläche",$I15,IF(Nebenkosten!$C$19="Anteil",$J15,$K15))*IF(Nebenkosten!$D$19="Heizung",$H15,$G15)/Nebenkosten!$E$19)</f>
        <v/>
      </c>
      <c r="AK15" s="11">
        <f>IF(OR(Nebenkosten!$B$20="",Nebenkosten!$E$20=0,$F15=0),0,Nebenkosten!$B$20*IF(Nebenkosten!$C$20="Fläche",$I15,IF(Nebenkosten!$C$20="Anteil",$J15,$K15))*IF(Nebenkosten!$D$20="Heizung",$H15,$G15)/Nebenkosten!$E$20)</f>
        <v/>
      </c>
      <c r="AL15" s="11">
        <f>IF(OR(Nebenkosten!$B$21="",Nebenkosten!$E$21=0,$F15=0),0,Nebenkosten!$B$21*IF(Nebenkosten!$C$21="Fläche",$I15,IF(Nebenkosten!$C$21="Anteil",$J15,$K15))*IF(Nebenkosten!$D$21="Heizung",$H15,$G15)/Nebenkosten!$E$21)</f>
        <v/>
      </c>
      <c r="AM15" s="11">
        <f>IF(OR(Nebenkosten!$B$22="",Nebenkosten!$E$22=0,$F15=0),0,Nebenkosten!$B$22*IF(Nebenkosten!$C$22="Fläche",$I15,IF(Nebenkosten!$C$22="Anteil",$J15,$K15))*IF(Nebenkosten!$D$22="Heizung",$H15,$G15)/Nebenkosten!$E$22)</f>
        <v/>
      </c>
      <c r="AN15" s="11">
        <f>IF(OR(Nebenkosten!$B$23="",Nebenkosten!$E$23=0,$F15=0),0,Nebenkosten!$B$23*IF(Nebenkosten!$C$23="Fläche",$I15,IF(Nebenkosten!$C$23="Anteil",$J15,$K15))*IF(Nebenkosten!$D$23="Heizung",$H15,$G15)/Nebenkosten!$E$23)</f>
        <v/>
      </c>
      <c r="AO15" s="11">
        <f>IF(OR(Nebenkosten!$B$24="",Nebenkosten!$E$24=0,$F15=0),0,Nebenkosten!$B$24*IF(Nebenkosten!$C$24="Fläche",$I15,IF(Nebenkosten!$C$24="Anteil",$J15,$K15))*IF(Nebenkosten!$D$24="Heizung",$H15,$G15)/Nebenkosten!$E$24)</f>
        <v/>
      </c>
      <c r="AP15" s="11">
        <f>IF(OR(Nebenkosten!$B$25="",Nebenkosten!$E$25=0,$F15=0),0,Nebenkosten!$B$25*IF(Nebenkosten!$C$25="Fläche",$I15,IF(Nebenkosten!$C$25="Anteil",$J15,$K15))*IF(Nebenkosten!$D$25="Heizung",$H15,$G15)/Nebenkosten!$E$25)</f>
        <v/>
      </c>
      <c r="AQ15" s="11">
        <f>IF(OR(Nebenkosten!$B$26="",Nebenkosten!$E$26=0,$F15=0),0,Nebenkosten!$B$26*IF(Nebenkosten!$C$26="Fläche",$I15,IF(Nebenkosten!$C$26="Anteil",$J15,$K15))*IF(Nebenkosten!$D$26="Heizung",$H15,$G15)/Nebenkosten!$E$26)</f>
        <v/>
      </c>
      <c r="AR15" s="11">
        <f>IF(OR(Nebenkosten!$B$27="",Nebenkosten!$E$27=0,$F15=0),0,Nebenkosten!$B$27*IF(Nebenkosten!$C$27="Fläche",$I15,IF(Nebenkosten!$C$27="Anteil",$J15,$K15))*IF(Nebenkosten!$D$27="Heizung",$H15,$G15)/Nebenkosten!$E$27)</f>
        <v/>
      </c>
      <c r="AS15" s="11">
        <f>IF(OR(Nebenkosten!$B$28="",Nebenkosten!$E$28=0,$F15=0),0,Nebenkosten!$B$28*IF(Nebenkosten!$C$28="Fläche",$I15,IF(Nebenkosten!$C$28="Anteil",$J15,$K15))*IF(Nebenkosten!$D$28="Heizung",$H15,$G15)/Nebenkosten!$E$28)</f>
        <v/>
      </c>
      <c r="AT15" s="11">
        <f>IF(OR(Nebenkosten!$B$29="",Nebenkosten!$E$29=0,$F15=0),0,Nebenkosten!$B$29*IF(Nebenkosten!$C$29="Fläche",$I15,IF(Nebenkosten!$C$29="Anteil",$J15,$K15))*IF(Nebenkosten!$D$29="Heizung",$H15,$G15)/Nebenkosten!$E$29)</f>
        <v/>
      </c>
      <c r="AU15" s="11">
        <f>IF(OR(Nebenkosten!$B$30="",Nebenkosten!$E$30=0,$F15=0),0,Nebenkosten!$B$30*IF(Nebenkosten!$C$30="Fläche",$I15,IF(Nebenkosten!$C$30="Anteil",$J15,$K15))*IF(Nebenkosten!$D$30="Heizung",$H15,$G15)/Nebenkosten!$E$30)</f>
        <v/>
      </c>
      <c r="AV15" s="11">
        <f>IF(OR(Nebenkosten!$B$31="",Nebenkosten!$E$31=0,$F15=0),0,Nebenkosten!$B$31*IF(Nebenkosten!$C$31="Fläche",$I15,IF(Nebenkosten!$C$31="Anteil",$J15,$K15))*IF(Nebenkosten!$D$31="Heizung",$H15,$G15)/Nebenkosten!$E$31)</f>
        <v/>
      </c>
      <c r="AW15" s="11">
        <f>IF(OR(Nebenkosten!$B$32="",Nebenkosten!$E$32=0,$F15=0),0,Nebenkosten!$B$32*IF(Nebenkosten!$C$32="Fläche",$I15,IF(Nebenkosten!$C$32="Anteil",$J15,$K15))*IF(Nebenkosten!$D$32="Heizung",$H15,$G15)/Nebenkosten!$E$32)</f>
        <v/>
      </c>
      <c r="AX15" s="11">
        <f>IF(OR(Nebenkosten!$B$33="",Nebenkosten!$E$33=0,$F15=0),0,Nebenkosten!$B$33*IF(Nebenkosten!$C$33="Fläche",$I15,IF(Nebenkosten!$C$33="Anteil",$J15,$K15))*IF(Nebenkosten!$D$33="Heizung",$H15,$G15)/Nebenkosten!$E$33)</f>
        <v/>
      </c>
      <c r="AY15" s="11">
        <f>IF(OR(Nebenkosten!$B$34="",Nebenkosten!$E$34=0,$F15=0),0,Nebenkosten!$B$34*IF(Nebenkosten!$C$34="Fläche",$I15,IF(Nebenkosten!$C$34="Anteil",$J15,$K15))*IF(Nebenkosten!$D$34="Heizung",$H15,$G15)/Nebenkosten!$E$34)</f>
        <v/>
      </c>
      <c r="AZ15" s="11">
        <f>ROUND(SUM(AA15:AY15)*20,0)/20</f>
        <v/>
      </c>
      <c r="BA15" s="11">
        <f>IF(F15=0,0,N15)</f>
        <v/>
      </c>
      <c r="BB15" s="11">
        <f>AZ15-BA15</f>
        <v/>
      </c>
    </row>
    <row r="16">
      <c r="A16" s="10">
        <f>'Mein Haus'!A56</f>
        <v/>
      </c>
      <c r="B16" s="23">
        <f>IF('Mein Haus'!C56="","",'Mein Haus'!C56)</f>
        <v/>
      </c>
      <c r="C16" s="23">
        <f>IF('Mein Haus'!B56="","",'Mein Haus'!B56)</f>
        <v/>
      </c>
      <c r="D16" s="21">
        <f>IF(AND('Mein Haus'!C56&lt;&gt;"",'Mein Haus'!B56&lt;&gt;"",Nebenkosten!$B$7&lt;&gt;""),MAX(IF('Mein Haus'!D56="",Nebenkosten!$B$7,'Mein Haus'!D56),Nebenkosten!$B$7),"")</f>
        <v/>
      </c>
      <c r="E16" s="21">
        <f>IF(AND('Mein Haus'!C56&lt;&gt;"",'Mein Haus'!B56&lt;&gt;"",Nebenkosten!$B$7&lt;&gt;""),MIN(IF('Mein Haus'!F56="",Nebenkosten!$D$7,'Mein Haus'!F56),Nebenkosten!$D$7),"")</f>
        <v/>
      </c>
      <c r="F16" s="10">
        <f>IF(D16="",0,MAX(0,E16-D16+1))</f>
        <v/>
      </c>
      <c r="G16" s="49">
        <f>IF(F16=0,0,F16/Nebenkosten!$F$7)</f>
        <v/>
      </c>
      <c r="H16" s="49">
        <f>IF(F16=0,0,SUMPRODUCT(O16:Z16,$O$3:$Z$3)/Einstellungen!$F$17)</f>
        <v/>
      </c>
      <c r="I16" s="19">
        <f>IF(F16=0,0,IFERROR(INDEX('Mein Haus'!$D$11:$D$40,MATCH(C16,'Mein Haus'!$A$11:$A$40,0)),0))</f>
        <v/>
      </c>
      <c r="J16" s="19">
        <f>IF(F16=0,0,IFERROR(INDEX('Mein Haus'!$E$11:$E$40,MATCH(C16,'Mein Haus'!$A$11:$A$40,0)),0))</f>
        <v/>
      </c>
      <c r="K16" s="19">
        <f>IF(F16=0,0,IFERROR(INDEX('Mein Haus'!$F$11:$F$40,MATCH(C16,'Mein Haus'!$A$11:$A$40,0)),0))</f>
        <v/>
      </c>
      <c r="L16" s="11">
        <f>IF(F16=0,0,N('Mein Haus'!H56)*SUM(O16:Z16))</f>
        <v/>
      </c>
      <c r="M16" s="22" t="n"/>
      <c r="N16" s="11">
        <f>IF(M16&lt;&gt;"",M16,L16)</f>
        <v/>
      </c>
      <c r="O16" s="19">
        <f>IF(F16=0,0,MAX(0,MIN(E16,EOMONTH(EDATE(Nebenkosten!$B$7,0),0))-MAX(D16,EDATE(Nebenkosten!$B$7,0))+1)/DAY(EOMONTH(EDATE(Nebenkosten!$B$7,0),0)))</f>
        <v/>
      </c>
      <c r="P16" s="19">
        <f>IF(F16=0,0,MAX(0,MIN(E16,EOMONTH(EDATE(Nebenkosten!$B$7,1),0))-MAX(D16,EDATE(Nebenkosten!$B$7,1))+1)/DAY(EOMONTH(EDATE(Nebenkosten!$B$7,1),0)))</f>
        <v/>
      </c>
      <c r="Q16" s="19">
        <f>IF(F16=0,0,MAX(0,MIN(E16,EOMONTH(EDATE(Nebenkosten!$B$7,2),0))-MAX(D16,EDATE(Nebenkosten!$B$7,2))+1)/DAY(EOMONTH(EDATE(Nebenkosten!$B$7,2),0)))</f>
        <v/>
      </c>
      <c r="R16" s="19">
        <f>IF(F16=0,0,MAX(0,MIN(E16,EOMONTH(EDATE(Nebenkosten!$B$7,3),0))-MAX(D16,EDATE(Nebenkosten!$B$7,3))+1)/DAY(EOMONTH(EDATE(Nebenkosten!$B$7,3),0)))</f>
        <v/>
      </c>
      <c r="S16" s="19">
        <f>IF(F16=0,0,MAX(0,MIN(E16,EOMONTH(EDATE(Nebenkosten!$B$7,4),0))-MAX(D16,EDATE(Nebenkosten!$B$7,4))+1)/DAY(EOMONTH(EDATE(Nebenkosten!$B$7,4),0)))</f>
        <v/>
      </c>
      <c r="T16" s="19">
        <f>IF(F16=0,0,MAX(0,MIN(E16,EOMONTH(EDATE(Nebenkosten!$B$7,5),0))-MAX(D16,EDATE(Nebenkosten!$B$7,5))+1)/DAY(EOMONTH(EDATE(Nebenkosten!$B$7,5),0)))</f>
        <v/>
      </c>
      <c r="U16" s="19">
        <f>IF(F16=0,0,MAX(0,MIN(E16,EOMONTH(EDATE(Nebenkosten!$B$7,6),0))-MAX(D16,EDATE(Nebenkosten!$B$7,6))+1)/DAY(EOMONTH(EDATE(Nebenkosten!$B$7,6),0)))</f>
        <v/>
      </c>
      <c r="V16" s="19">
        <f>IF(F16=0,0,MAX(0,MIN(E16,EOMONTH(EDATE(Nebenkosten!$B$7,7),0))-MAX(D16,EDATE(Nebenkosten!$B$7,7))+1)/DAY(EOMONTH(EDATE(Nebenkosten!$B$7,7),0)))</f>
        <v/>
      </c>
      <c r="W16" s="19">
        <f>IF(F16=0,0,MAX(0,MIN(E16,EOMONTH(EDATE(Nebenkosten!$B$7,8),0))-MAX(D16,EDATE(Nebenkosten!$B$7,8))+1)/DAY(EOMONTH(EDATE(Nebenkosten!$B$7,8),0)))</f>
        <v/>
      </c>
      <c r="X16" s="19">
        <f>IF(F16=0,0,MAX(0,MIN(E16,EOMONTH(EDATE(Nebenkosten!$B$7,9),0))-MAX(D16,EDATE(Nebenkosten!$B$7,9))+1)/DAY(EOMONTH(EDATE(Nebenkosten!$B$7,9),0)))</f>
        <v/>
      </c>
      <c r="Y16" s="19">
        <f>IF(F16=0,0,MAX(0,MIN(E16,EOMONTH(EDATE(Nebenkosten!$B$7,10),0))-MAX(D16,EDATE(Nebenkosten!$B$7,10))+1)/DAY(EOMONTH(EDATE(Nebenkosten!$B$7,10),0)))</f>
        <v/>
      </c>
      <c r="Z16" s="19">
        <f>IF(F16=0,0,MAX(0,MIN(E16,EOMONTH(EDATE(Nebenkosten!$B$7,11),0))-MAX(D16,EDATE(Nebenkosten!$B$7,11))+1)/DAY(EOMONTH(EDATE(Nebenkosten!$B$7,11),0)))</f>
        <v/>
      </c>
      <c r="AA16" s="11">
        <f>IF(OR(Nebenkosten!$B$10="",Nebenkosten!$E$10=0,$F16=0),0,Nebenkosten!$B$10*IF(Nebenkosten!$C$10="Fläche",$I16,IF(Nebenkosten!$C$10="Anteil",$J16,$K16))*IF(Nebenkosten!$D$10="Heizung",$H16,$G16)/Nebenkosten!$E$10)</f>
        <v/>
      </c>
      <c r="AB16" s="11">
        <f>IF(OR(Nebenkosten!$B$11="",Nebenkosten!$E$11=0,$F16=0),0,Nebenkosten!$B$11*IF(Nebenkosten!$C$11="Fläche",$I16,IF(Nebenkosten!$C$11="Anteil",$J16,$K16))*IF(Nebenkosten!$D$11="Heizung",$H16,$G16)/Nebenkosten!$E$11)</f>
        <v/>
      </c>
      <c r="AC16" s="11">
        <f>IF(OR(Nebenkosten!$B$12="",Nebenkosten!$E$12=0,$F16=0),0,Nebenkosten!$B$12*IF(Nebenkosten!$C$12="Fläche",$I16,IF(Nebenkosten!$C$12="Anteil",$J16,$K16))*IF(Nebenkosten!$D$12="Heizung",$H16,$G16)/Nebenkosten!$E$12)</f>
        <v/>
      </c>
      <c r="AD16" s="11">
        <f>IF(OR(Nebenkosten!$B$13="",Nebenkosten!$E$13=0,$F16=0),0,Nebenkosten!$B$13*IF(Nebenkosten!$C$13="Fläche",$I16,IF(Nebenkosten!$C$13="Anteil",$J16,$K16))*IF(Nebenkosten!$D$13="Heizung",$H16,$G16)/Nebenkosten!$E$13)</f>
        <v/>
      </c>
      <c r="AE16" s="11">
        <f>IF(OR(Nebenkosten!$B$14="",Nebenkosten!$E$14=0,$F16=0),0,Nebenkosten!$B$14*IF(Nebenkosten!$C$14="Fläche",$I16,IF(Nebenkosten!$C$14="Anteil",$J16,$K16))*IF(Nebenkosten!$D$14="Heizung",$H16,$G16)/Nebenkosten!$E$14)</f>
        <v/>
      </c>
      <c r="AF16" s="11">
        <f>IF(OR(Nebenkosten!$B$15="",Nebenkosten!$E$15=0,$F16=0),0,Nebenkosten!$B$15*IF(Nebenkosten!$C$15="Fläche",$I16,IF(Nebenkosten!$C$15="Anteil",$J16,$K16))*IF(Nebenkosten!$D$15="Heizung",$H16,$G16)/Nebenkosten!$E$15)</f>
        <v/>
      </c>
      <c r="AG16" s="11">
        <f>IF(OR(Nebenkosten!$B$16="",Nebenkosten!$E$16=0,$F16=0),0,Nebenkosten!$B$16*IF(Nebenkosten!$C$16="Fläche",$I16,IF(Nebenkosten!$C$16="Anteil",$J16,$K16))*IF(Nebenkosten!$D$16="Heizung",$H16,$G16)/Nebenkosten!$E$16)</f>
        <v/>
      </c>
      <c r="AH16" s="11">
        <f>IF(OR(Nebenkosten!$B$17="",Nebenkosten!$E$17=0,$F16=0),0,Nebenkosten!$B$17*IF(Nebenkosten!$C$17="Fläche",$I16,IF(Nebenkosten!$C$17="Anteil",$J16,$K16))*IF(Nebenkosten!$D$17="Heizung",$H16,$G16)/Nebenkosten!$E$17)</f>
        <v/>
      </c>
      <c r="AI16" s="11">
        <f>IF(OR(Nebenkosten!$B$18="",Nebenkosten!$E$18=0,$F16=0),0,Nebenkosten!$B$18*IF(Nebenkosten!$C$18="Fläche",$I16,IF(Nebenkosten!$C$18="Anteil",$J16,$K16))*IF(Nebenkosten!$D$18="Heizung",$H16,$G16)/Nebenkosten!$E$18)</f>
        <v/>
      </c>
      <c r="AJ16" s="11">
        <f>IF(OR(Nebenkosten!$B$19="",Nebenkosten!$E$19=0,$F16=0),0,Nebenkosten!$B$19*IF(Nebenkosten!$C$19="Fläche",$I16,IF(Nebenkosten!$C$19="Anteil",$J16,$K16))*IF(Nebenkosten!$D$19="Heizung",$H16,$G16)/Nebenkosten!$E$19)</f>
        <v/>
      </c>
      <c r="AK16" s="11">
        <f>IF(OR(Nebenkosten!$B$20="",Nebenkosten!$E$20=0,$F16=0),0,Nebenkosten!$B$20*IF(Nebenkosten!$C$20="Fläche",$I16,IF(Nebenkosten!$C$20="Anteil",$J16,$K16))*IF(Nebenkosten!$D$20="Heizung",$H16,$G16)/Nebenkosten!$E$20)</f>
        <v/>
      </c>
      <c r="AL16" s="11">
        <f>IF(OR(Nebenkosten!$B$21="",Nebenkosten!$E$21=0,$F16=0),0,Nebenkosten!$B$21*IF(Nebenkosten!$C$21="Fläche",$I16,IF(Nebenkosten!$C$21="Anteil",$J16,$K16))*IF(Nebenkosten!$D$21="Heizung",$H16,$G16)/Nebenkosten!$E$21)</f>
        <v/>
      </c>
      <c r="AM16" s="11">
        <f>IF(OR(Nebenkosten!$B$22="",Nebenkosten!$E$22=0,$F16=0),0,Nebenkosten!$B$22*IF(Nebenkosten!$C$22="Fläche",$I16,IF(Nebenkosten!$C$22="Anteil",$J16,$K16))*IF(Nebenkosten!$D$22="Heizung",$H16,$G16)/Nebenkosten!$E$22)</f>
        <v/>
      </c>
      <c r="AN16" s="11">
        <f>IF(OR(Nebenkosten!$B$23="",Nebenkosten!$E$23=0,$F16=0),0,Nebenkosten!$B$23*IF(Nebenkosten!$C$23="Fläche",$I16,IF(Nebenkosten!$C$23="Anteil",$J16,$K16))*IF(Nebenkosten!$D$23="Heizung",$H16,$G16)/Nebenkosten!$E$23)</f>
        <v/>
      </c>
      <c r="AO16" s="11">
        <f>IF(OR(Nebenkosten!$B$24="",Nebenkosten!$E$24=0,$F16=0),0,Nebenkosten!$B$24*IF(Nebenkosten!$C$24="Fläche",$I16,IF(Nebenkosten!$C$24="Anteil",$J16,$K16))*IF(Nebenkosten!$D$24="Heizung",$H16,$G16)/Nebenkosten!$E$24)</f>
        <v/>
      </c>
      <c r="AP16" s="11">
        <f>IF(OR(Nebenkosten!$B$25="",Nebenkosten!$E$25=0,$F16=0),0,Nebenkosten!$B$25*IF(Nebenkosten!$C$25="Fläche",$I16,IF(Nebenkosten!$C$25="Anteil",$J16,$K16))*IF(Nebenkosten!$D$25="Heizung",$H16,$G16)/Nebenkosten!$E$25)</f>
        <v/>
      </c>
      <c r="AQ16" s="11">
        <f>IF(OR(Nebenkosten!$B$26="",Nebenkosten!$E$26=0,$F16=0),0,Nebenkosten!$B$26*IF(Nebenkosten!$C$26="Fläche",$I16,IF(Nebenkosten!$C$26="Anteil",$J16,$K16))*IF(Nebenkosten!$D$26="Heizung",$H16,$G16)/Nebenkosten!$E$26)</f>
        <v/>
      </c>
      <c r="AR16" s="11">
        <f>IF(OR(Nebenkosten!$B$27="",Nebenkosten!$E$27=0,$F16=0),0,Nebenkosten!$B$27*IF(Nebenkosten!$C$27="Fläche",$I16,IF(Nebenkosten!$C$27="Anteil",$J16,$K16))*IF(Nebenkosten!$D$27="Heizung",$H16,$G16)/Nebenkosten!$E$27)</f>
        <v/>
      </c>
      <c r="AS16" s="11">
        <f>IF(OR(Nebenkosten!$B$28="",Nebenkosten!$E$28=0,$F16=0),0,Nebenkosten!$B$28*IF(Nebenkosten!$C$28="Fläche",$I16,IF(Nebenkosten!$C$28="Anteil",$J16,$K16))*IF(Nebenkosten!$D$28="Heizung",$H16,$G16)/Nebenkosten!$E$28)</f>
        <v/>
      </c>
      <c r="AT16" s="11">
        <f>IF(OR(Nebenkosten!$B$29="",Nebenkosten!$E$29=0,$F16=0),0,Nebenkosten!$B$29*IF(Nebenkosten!$C$29="Fläche",$I16,IF(Nebenkosten!$C$29="Anteil",$J16,$K16))*IF(Nebenkosten!$D$29="Heizung",$H16,$G16)/Nebenkosten!$E$29)</f>
        <v/>
      </c>
      <c r="AU16" s="11">
        <f>IF(OR(Nebenkosten!$B$30="",Nebenkosten!$E$30=0,$F16=0),0,Nebenkosten!$B$30*IF(Nebenkosten!$C$30="Fläche",$I16,IF(Nebenkosten!$C$30="Anteil",$J16,$K16))*IF(Nebenkosten!$D$30="Heizung",$H16,$G16)/Nebenkosten!$E$30)</f>
        <v/>
      </c>
      <c r="AV16" s="11">
        <f>IF(OR(Nebenkosten!$B$31="",Nebenkosten!$E$31=0,$F16=0),0,Nebenkosten!$B$31*IF(Nebenkosten!$C$31="Fläche",$I16,IF(Nebenkosten!$C$31="Anteil",$J16,$K16))*IF(Nebenkosten!$D$31="Heizung",$H16,$G16)/Nebenkosten!$E$31)</f>
        <v/>
      </c>
      <c r="AW16" s="11">
        <f>IF(OR(Nebenkosten!$B$32="",Nebenkosten!$E$32=0,$F16=0),0,Nebenkosten!$B$32*IF(Nebenkosten!$C$32="Fläche",$I16,IF(Nebenkosten!$C$32="Anteil",$J16,$K16))*IF(Nebenkosten!$D$32="Heizung",$H16,$G16)/Nebenkosten!$E$32)</f>
        <v/>
      </c>
      <c r="AX16" s="11">
        <f>IF(OR(Nebenkosten!$B$33="",Nebenkosten!$E$33=0,$F16=0),0,Nebenkosten!$B$33*IF(Nebenkosten!$C$33="Fläche",$I16,IF(Nebenkosten!$C$33="Anteil",$J16,$K16))*IF(Nebenkosten!$D$33="Heizung",$H16,$G16)/Nebenkosten!$E$33)</f>
        <v/>
      </c>
      <c r="AY16" s="11">
        <f>IF(OR(Nebenkosten!$B$34="",Nebenkosten!$E$34=0,$F16=0),0,Nebenkosten!$B$34*IF(Nebenkosten!$C$34="Fläche",$I16,IF(Nebenkosten!$C$34="Anteil",$J16,$K16))*IF(Nebenkosten!$D$34="Heizung",$H16,$G16)/Nebenkosten!$E$34)</f>
        <v/>
      </c>
      <c r="AZ16" s="11">
        <f>ROUND(SUM(AA16:AY16)*20,0)/20</f>
        <v/>
      </c>
      <c r="BA16" s="11">
        <f>IF(F16=0,0,N16)</f>
        <v/>
      </c>
      <c r="BB16" s="11">
        <f>AZ16-BA16</f>
        <v/>
      </c>
    </row>
    <row r="17">
      <c r="A17" s="10">
        <f>'Mein Haus'!A57</f>
        <v/>
      </c>
      <c r="B17" s="23">
        <f>IF('Mein Haus'!C57="","",'Mein Haus'!C57)</f>
        <v/>
      </c>
      <c r="C17" s="23">
        <f>IF('Mein Haus'!B57="","",'Mein Haus'!B57)</f>
        <v/>
      </c>
      <c r="D17" s="21">
        <f>IF(AND('Mein Haus'!C57&lt;&gt;"",'Mein Haus'!B57&lt;&gt;"",Nebenkosten!$B$7&lt;&gt;""),MAX(IF('Mein Haus'!D57="",Nebenkosten!$B$7,'Mein Haus'!D57),Nebenkosten!$B$7),"")</f>
        <v/>
      </c>
      <c r="E17" s="21">
        <f>IF(AND('Mein Haus'!C57&lt;&gt;"",'Mein Haus'!B57&lt;&gt;"",Nebenkosten!$B$7&lt;&gt;""),MIN(IF('Mein Haus'!F57="",Nebenkosten!$D$7,'Mein Haus'!F57),Nebenkosten!$D$7),"")</f>
        <v/>
      </c>
      <c r="F17" s="10">
        <f>IF(D17="",0,MAX(0,E17-D17+1))</f>
        <v/>
      </c>
      <c r="G17" s="49">
        <f>IF(F17=0,0,F17/Nebenkosten!$F$7)</f>
        <v/>
      </c>
      <c r="H17" s="49">
        <f>IF(F17=0,0,SUMPRODUCT(O17:Z17,$O$3:$Z$3)/Einstellungen!$F$17)</f>
        <v/>
      </c>
      <c r="I17" s="19">
        <f>IF(F17=0,0,IFERROR(INDEX('Mein Haus'!$D$11:$D$40,MATCH(C17,'Mein Haus'!$A$11:$A$40,0)),0))</f>
        <v/>
      </c>
      <c r="J17" s="19">
        <f>IF(F17=0,0,IFERROR(INDEX('Mein Haus'!$E$11:$E$40,MATCH(C17,'Mein Haus'!$A$11:$A$40,0)),0))</f>
        <v/>
      </c>
      <c r="K17" s="19">
        <f>IF(F17=0,0,IFERROR(INDEX('Mein Haus'!$F$11:$F$40,MATCH(C17,'Mein Haus'!$A$11:$A$40,0)),0))</f>
        <v/>
      </c>
      <c r="L17" s="11">
        <f>IF(F17=0,0,N('Mein Haus'!H57)*SUM(O17:Z17))</f>
        <v/>
      </c>
      <c r="M17" s="22" t="n"/>
      <c r="N17" s="11">
        <f>IF(M17&lt;&gt;"",M17,L17)</f>
        <v/>
      </c>
      <c r="O17" s="19">
        <f>IF(F17=0,0,MAX(0,MIN(E17,EOMONTH(EDATE(Nebenkosten!$B$7,0),0))-MAX(D17,EDATE(Nebenkosten!$B$7,0))+1)/DAY(EOMONTH(EDATE(Nebenkosten!$B$7,0),0)))</f>
        <v/>
      </c>
      <c r="P17" s="19">
        <f>IF(F17=0,0,MAX(0,MIN(E17,EOMONTH(EDATE(Nebenkosten!$B$7,1),0))-MAX(D17,EDATE(Nebenkosten!$B$7,1))+1)/DAY(EOMONTH(EDATE(Nebenkosten!$B$7,1),0)))</f>
        <v/>
      </c>
      <c r="Q17" s="19">
        <f>IF(F17=0,0,MAX(0,MIN(E17,EOMONTH(EDATE(Nebenkosten!$B$7,2),0))-MAX(D17,EDATE(Nebenkosten!$B$7,2))+1)/DAY(EOMONTH(EDATE(Nebenkosten!$B$7,2),0)))</f>
        <v/>
      </c>
      <c r="R17" s="19">
        <f>IF(F17=0,0,MAX(0,MIN(E17,EOMONTH(EDATE(Nebenkosten!$B$7,3),0))-MAX(D17,EDATE(Nebenkosten!$B$7,3))+1)/DAY(EOMONTH(EDATE(Nebenkosten!$B$7,3),0)))</f>
        <v/>
      </c>
      <c r="S17" s="19">
        <f>IF(F17=0,0,MAX(0,MIN(E17,EOMONTH(EDATE(Nebenkosten!$B$7,4),0))-MAX(D17,EDATE(Nebenkosten!$B$7,4))+1)/DAY(EOMONTH(EDATE(Nebenkosten!$B$7,4),0)))</f>
        <v/>
      </c>
      <c r="T17" s="19">
        <f>IF(F17=0,0,MAX(0,MIN(E17,EOMONTH(EDATE(Nebenkosten!$B$7,5),0))-MAX(D17,EDATE(Nebenkosten!$B$7,5))+1)/DAY(EOMONTH(EDATE(Nebenkosten!$B$7,5),0)))</f>
        <v/>
      </c>
      <c r="U17" s="19">
        <f>IF(F17=0,0,MAX(0,MIN(E17,EOMONTH(EDATE(Nebenkosten!$B$7,6),0))-MAX(D17,EDATE(Nebenkosten!$B$7,6))+1)/DAY(EOMONTH(EDATE(Nebenkosten!$B$7,6),0)))</f>
        <v/>
      </c>
      <c r="V17" s="19">
        <f>IF(F17=0,0,MAX(0,MIN(E17,EOMONTH(EDATE(Nebenkosten!$B$7,7),0))-MAX(D17,EDATE(Nebenkosten!$B$7,7))+1)/DAY(EOMONTH(EDATE(Nebenkosten!$B$7,7),0)))</f>
        <v/>
      </c>
      <c r="W17" s="19">
        <f>IF(F17=0,0,MAX(0,MIN(E17,EOMONTH(EDATE(Nebenkosten!$B$7,8),0))-MAX(D17,EDATE(Nebenkosten!$B$7,8))+1)/DAY(EOMONTH(EDATE(Nebenkosten!$B$7,8),0)))</f>
        <v/>
      </c>
      <c r="X17" s="19">
        <f>IF(F17=0,0,MAX(0,MIN(E17,EOMONTH(EDATE(Nebenkosten!$B$7,9),0))-MAX(D17,EDATE(Nebenkosten!$B$7,9))+1)/DAY(EOMONTH(EDATE(Nebenkosten!$B$7,9),0)))</f>
        <v/>
      </c>
      <c r="Y17" s="19">
        <f>IF(F17=0,0,MAX(0,MIN(E17,EOMONTH(EDATE(Nebenkosten!$B$7,10),0))-MAX(D17,EDATE(Nebenkosten!$B$7,10))+1)/DAY(EOMONTH(EDATE(Nebenkosten!$B$7,10),0)))</f>
        <v/>
      </c>
      <c r="Z17" s="19">
        <f>IF(F17=0,0,MAX(0,MIN(E17,EOMONTH(EDATE(Nebenkosten!$B$7,11),0))-MAX(D17,EDATE(Nebenkosten!$B$7,11))+1)/DAY(EOMONTH(EDATE(Nebenkosten!$B$7,11),0)))</f>
        <v/>
      </c>
      <c r="AA17" s="11">
        <f>IF(OR(Nebenkosten!$B$10="",Nebenkosten!$E$10=0,$F17=0),0,Nebenkosten!$B$10*IF(Nebenkosten!$C$10="Fläche",$I17,IF(Nebenkosten!$C$10="Anteil",$J17,$K17))*IF(Nebenkosten!$D$10="Heizung",$H17,$G17)/Nebenkosten!$E$10)</f>
        <v/>
      </c>
      <c r="AB17" s="11">
        <f>IF(OR(Nebenkosten!$B$11="",Nebenkosten!$E$11=0,$F17=0),0,Nebenkosten!$B$11*IF(Nebenkosten!$C$11="Fläche",$I17,IF(Nebenkosten!$C$11="Anteil",$J17,$K17))*IF(Nebenkosten!$D$11="Heizung",$H17,$G17)/Nebenkosten!$E$11)</f>
        <v/>
      </c>
      <c r="AC17" s="11">
        <f>IF(OR(Nebenkosten!$B$12="",Nebenkosten!$E$12=0,$F17=0),0,Nebenkosten!$B$12*IF(Nebenkosten!$C$12="Fläche",$I17,IF(Nebenkosten!$C$12="Anteil",$J17,$K17))*IF(Nebenkosten!$D$12="Heizung",$H17,$G17)/Nebenkosten!$E$12)</f>
        <v/>
      </c>
      <c r="AD17" s="11">
        <f>IF(OR(Nebenkosten!$B$13="",Nebenkosten!$E$13=0,$F17=0),0,Nebenkosten!$B$13*IF(Nebenkosten!$C$13="Fläche",$I17,IF(Nebenkosten!$C$13="Anteil",$J17,$K17))*IF(Nebenkosten!$D$13="Heizung",$H17,$G17)/Nebenkosten!$E$13)</f>
        <v/>
      </c>
      <c r="AE17" s="11">
        <f>IF(OR(Nebenkosten!$B$14="",Nebenkosten!$E$14=0,$F17=0),0,Nebenkosten!$B$14*IF(Nebenkosten!$C$14="Fläche",$I17,IF(Nebenkosten!$C$14="Anteil",$J17,$K17))*IF(Nebenkosten!$D$14="Heizung",$H17,$G17)/Nebenkosten!$E$14)</f>
        <v/>
      </c>
      <c r="AF17" s="11">
        <f>IF(OR(Nebenkosten!$B$15="",Nebenkosten!$E$15=0,$F17=0),0,Nebenkosten!$B$15*IF(Nebenkosten!$C$15="Fläche",$I17,IF(Nebenkosten!$C$15="Anteil",$J17,$K17))*IF(Nebenkosten!$D$15="Heizung",$H17,$G17)/Nebenkosten!$E$15)</f>
        <v/>
      </c>
      <c r="AG17" s="11">
        <f>IF(OR(Nebenkosten!$B$16="",Nebenkosten!$E$16=0,$F17=0),0,Nebenkosten!$B$16*IF(Nebenkosten!$C$16="Fläche",$I17,IF(Nebenkosten!$C$16="Anteil",$J17,$K17))*IF(Nebenkosten!$D$16="Heizung",$H17,$G17)/Nebenkosten!$E$16)</f>
        <v/>
      </c>
      <c r="AH17" s="11">
        <f>IF(OR(Nebenkosten!$B$17="",Nebenkosten!$E$17=0,$F17=0),0,Nebenkosten!$B$17*IF(Nebenkosten!$C$17="Fläche",$I17,IF(Nebenkosten!$C$17="Anteil",$J17,$K17))*IF(Nebenkosten!$D$17="Heizung",$H17,$G17)/Nebenkosten!$E$17)</f>
        <v/>
      </c>
      <c r="AI17" s="11">
        <f>IF(OR(Nebenkosten!$B$18="",Nebenkosten!$E$18=0,$F17=0),0,Nebenkosten!$B$18*IF(Nebenkosten!$C$18="Fläche",$I17,IF(Nebenkosten!$C$18="Anteil",$J17,$K17))*IF(Nebenkosten!$D$18="Heizung",$H17,$G17)/Nebenkosten!$E$18)</f>
        <v/>
      </c>
      <c r="AJ17" s="11">
        <f>IF(OR(Nebenkosten!$B$19="",Nebenkosten!$E$19=0,$F17=0),0,Nebenkosten!$B$19*IF(Nebenkosten!$C$19="Fläche",$I17,IF(Nebenkosten!$C$19="Anteil",$J17,$K17))*IF(Nebenkosten!$D$19="Heizung",$H17,$G17)/Nebenkosten!$E$19)</f>
        <v/>
      </c>
      <c r="AK17" s="11">
        <f>IF(OR(Nebenkosten!$B$20="",Nebenkosten!$E$20=0,$F17=0),0,Nebenkosten!$B$20*IF(Nebenkosten!$C$20="Fläche",$I17,IF(Nebenkosten!$C$20="Anteil",$J17,$K17))*IF(Nebenkosten!$D$20="Heizung",$H17,$G17)/Nebenkosten!$E$20)</f>
        <v/>
      </c>
      <c r="AL17" s="11">
        <f>IF(OR(Nebenkosten!$B$21="",Nebenkosten!$E$21=0,$F17=0),0,Nebenkosten!$B$21*IF(Nebenkosten!$C$21="Fläche",$I17,IF(Nebenkosten!$C$21="Anteil",$J17,$K17))*IF(Nebenkosten!$D$21="Heizung",$H17,$G17)/Nebenkosten!$E$21)</f>
        <v/>
      </c>
      <c r="AM17" s="11">
        <f>IF(OR(Nebenkosten!$B$22="",Nebenkosten!$E$22=0,$F17=0),0,Nebenkosten!$B$22*IF(Nebenkosten!$C$22="Fläche",$I17,IF(Nebenkosten!$C$22="Anteil",$J17,$K17))*IF(Nebenkosten!$D$22="Heizung",$H17,$G17)/Nebenkosten!$E$22)</f>
        <v/>
      </c>
      <c r="AN17" s="11">
        <f>IF(OR(Nebenkosten!$B$23="",Nebenkosten!$E$23=0,$F17=0),0,Nebenkosten!$B$23*IF(Nebenkosten!$C$23="Fläche",$I17,IF(Nebenkosten!$C$23="Anteil",$J17,$K17))*IF(Nebenkosten!$D$23="Heizung",$H17,$G17)/Nebenkosten!$E$23)</f>
        <v/>
      </c>
      <c r="AO17" s="11">
        <f>IF(OR(Nebenkosten!$B$24="",Nebenkosten!$E$24=0,$F17=0),0,Nebenkosten!$B$24*IF(Nebenkosten!$C$24="Fläche",$I17,IF(Nebenkosten!$C$24="Anteil",$J17,$K17))*IF(Nebenkosten!$D$24="Heizung",$H17,$G17)/Nebenkosten!$E$24)</f>
        <v/>
      </c>
      <c r="AP17" s="11">
        <f>IF(OR(Nebenkosten!$B$25="",Nebenkosten!$E$25=0,$F17=0),0,Nebenkosten!$B$25*IF(Nebenkosten!$C$25="Fläche",$I17,IF(Nebenkosten!$C$25="Anteil",$J17,$K17))*IF(Nebenkosten!$D$25="Heizung",$H17,$G17)/Nebenkosten!$E$25)</f>
        <v/>
      </c>
      <c r="AQ17" s="11">
        <f>IF(OR(Nebenkosten!$B$26="",Nebenkosten!$E$26=0,$F17=0),0,Nebenkosten!$B$26*IF(Nebenkosten!$C$26="Fläche",$I17,IF(Nebenkosten!$C$26="Anteil",$J17,$K17))*IF(Nebenkosten!$D$26="Heizung",$H17,$G17)/Nebenkosten!$E$26)</f>
        <v/>
      </c>
      <c r="AR17" s="11">
        <f>IF(OR(Nebenkosten!$B$27="",Nebenkosten!$E$27=0,$F17=0),0,Nebenkosten!$B$27*IF(Nebenkosten!$C$27="Fläche",$I17,IF(Nebenkosten!$C$27="Anteil",$J17,$K17))*IF(Nebenkosten!$D$27="Heizung",$H17,$G17)/Nebenkosten!$E$27)</f>
        <v/>
      </c>
      <c r="AS17" s="11">
        <f>IF(OR(Nebenkosten!$B$28="",Nebenkosten!$E$28=0,$F17=0),0,Nebenkosten!$B$28*IF(Nebenkosten!$C$28="Fläche",$I17,IF(Nebenkosten!$C$28="Anteil",$J17,$K17))*IF(Nebenkosten!$D$28="Heizung",$H17,$G17)/Nebenkosten!$E$28)</f>
        <v/>
      </c>
      <c r="AT17" s="11">
        <f>IF(OR(Nebenkosten!$B$29="",Nebenkosten!$E$29=0,$F17=0),0,Nebenkosten!$B$29*IF(Nebenkosten!$C$29="Fläche",$I17,IF(Nebenkosten!$C$29="Anteil",$J17,$K17))*IF(Nebenkosten!$D$29="Heizung",$H17,$G17)/Nebenkosten!$E$29)</f>
        <v/>
      </c>
      <c r="AU17" s="11">
        <f>IF(OR(Nebenkosten!$B$30="",Nebenkosten!$E$30=0,$F17=0),0,Nebenkosten!$B$30*IF(Nebenkosten!$C$30="Fläche",$I17,IF(Nebenkosten!$C$30="Anteil",$J17,$K17))*IF(Nebenkosten!$D$30="Heizung",$H17,$G17)/Nebenkosten!$E$30)</f>
        <v/>
      </c>
      <c r="AV17" s="11">
        <f>IF(OR(Nebenkosten!$B$31="",Nebenkosten!$E$31=0,$F17=0),0,Nebenkosten!$B$31*IF(Nebenkosten!$C$31="Fläche",$I17,IF(Nebenkosten!$C$31="Anteil",$J17,$K17))*IF(Nebenkosten!$D$31="Heizung",$H17,$G17)/Nebenkosten!$E$31)</f>
        <v/>
      </c>
      <c r="AW17" s="11">
        <f>IF(OR(Nebenkosten!$B$32="",Nebenkosten!$E$32=0,$F17=0),0,Nebenkosten!$B$32*IF(Nebenkosten!$C$32="Fläche",$I17,IF(Nebenkosten!$C$32="Anteil",$J17,$K17))*IF(Nebenkosten!$D$32="Heizung",$H17,$G17)/Nebenkosten!$E$32)</f>
        <v/>
      </c>
      <c r="AX17" s="11">
        <f>IF(OR(Nebenkosten!$B$33="",Nebenkosten!$E$33=0,$F17=0),0,Nebenkosten!$B$33*IF(Nebenkosten!$C$33="Fläche",$I17,IF(Nebenkosten!$C$33="Anteil",$J17,$K17))*IF(Nebenkosten!$D$33="Heizung",$H17,$G17)/Nebenkosten!$E$33)</f>
        <v/>
      </c>
      <c r="AY17" s="11">
        <f>IF(OR(Nebenkosten!$B$34="",Nebenkosten!$E$34=0,$F17=0),0,Nebenkosten!$B$34*IF(Nebenkosten!$C$34="Fläche",$I17,IF(Nebenkosten!$C$34="Anteil",$J17,$K17))*IF(Nebenkosten!$D$34="Heizung",$H17,$G17)/Nebenkosten!$E$34)</f>
        <v/>
      </c>
      <c r="AZ17" s="11">
        <f>ROUND(SUM(AA17:AY17)*20,0)/20</f>
        <v/>
      </c>
      <c r="BA17" s="11">
        <f>IF(F17=0,0,N17)</f>
        <v/>
      </c>
      <c r="BB17" s="11">
        <f>AZ17-BA17</f>
        <v/>
      </c>
    </row>
    <row r="18">
      <c r="A18" s="10">
        <f>'Mein Haus'!A58</f>
        <v/>
      </c>
      <c r="B18" s="23">
        <f>IF('Mein Haus'!C58="","",'Mein Haus'!C58)</f>
        <v/>
      </c>
      <c r="C18" s="23">
        <f>IF('Mein Haus'!B58="","",'Mein Haus'!B58)</f>
        <v/>
      </c>
      <c r="D18" s="21">
        <f>IF(AND('Mein Haus'!C58&lt;&gt;"",'Mein Haus'!B58&lt;&gt;"",Nebenkosten!$B$7&lt;&gt;""),MAX(IF('Mein Haus'!D58="",Nebenkosten!$B$7,'Mein Haus'!D58),Nebenkosten!$B$7),"")</f>
        <v/>
      </c>
      <c r="E18" s="21">
        <f>IF(AND('Mein Haus'!C58&lt;&gt;"",'Mein Haus'!B58&lt;&gt;"",Nebenkosten!$B$7&lt;&gt;""),MIN(IF('Mein Haus'!F58="",Nebenkosten!$D$7,'Mein Haus'!F58),Nebenkosten!$D$7),"")</f>
        <v/>
      </c>
      <c r="F18" s="10">
        <f>IF(D18="",0,MAX(0,E18-D18+1))</f>
        <v/>
      </c>
      <c r="G18" s="49">
        <f>IF(F18=0,0,F18/Nebenkosten!$F$7)</f>
        <v/>
      </c>
      <c r="H18" s="49">
        <f>IF(F18=0,0,SUMPRODUCT(O18:Z18,$O$3:$Z$3)/Einstellungen!$F$17)</f>
        <v/>
      </c>
      <c r="I18" s="19">
        <f>IF(F18=0,0,IFERROR(INDEX('Mein Haus'!$D$11:$D$40,MATCH(C18,'Mein Haus'!$A$11:$A$40,0)),0))</f>
        <v/>
      </c>
      <c r="J18" s="19">
        <f>IF(F18=0,0,IFERROR(INDEX('Mein Haus'!$E$11:$E$40,MATCH(C18,'Mein Haus'!$A$11:$A$40,0)),0))</f>
        <v/>
      </c>
      <c r="K18" s="19">
        <f>IF(F18=0,0,IFERROR(INDEX('Mein Haus'!$F$11:$F$40,MATCH(C18,'Mein Haus'!$A$11:$A$40,0)),0))</f>
        <v/>
      </c>
      <c r="L18" s="11">
        <f>IF(F18=0,0,N('Mein Haus'!H58)*SUM(O18:Z18))</f>
        <v/>
      </c>
      <c r="M18" s="22" t="n"/>
      <c r="N18" s="11">
        <f>IF(M18&lt;&gt;"",M18,L18)</f>
        <v/>
      </c>
      <c r="O18" s="19">
        <f>IF(F18=0,0,MAX(0,MIN(E18,EOMONTH(EDATE(Nebenkosten!$B$7,0),0))-MAX(D18,EDATE(Nebenkosten!$B$7,0))+1)/DAY(EOMONTH(EDATE(Nebenkosten!$B$7,0),0)))</f>
        <v/>
      </c>
      <c r="P18" s="19">
        <f>IF(F18=0,0,MAX(0,MIN(E18,EOMONTH(EDATE(Nebenkosten!$B$7,1),0))-MAX(D18,EDATE(Nebenkosten!$B$7,1))+1)/DAY(EOMONTH(EDATE(Nebenkosten!$B$7,1),0)))</f>
        <v/>
      </c>
      <c r="Q18" s="19">
        <f>IF(F18=0,0,MAX(0,MIN(E18,EOMONTH(EDATE(Nebenkosten!$B$7,2),0))-MAX(D18,EDATE(Nebenkosten!$B$7,2))+1)/DAY(EOMONTH(EDATE(Nebenkosten!$B$7,2),0)))</f>
        <v/>
      </c>
      <c r="R18" s="19">
        <f>IF(F18=0,0,MAX(0,MIN(E18,EOMONTH(EDATE(Nebenkosten!$B$7,3),0))-MAX(D18,EDATE(Nebenkosten!$B$7,3))+1)/DAY(EOMONTH(EDATE(Nebenkosten!$B$7,3),0)))</f>
        <v/>
      </c>
      <c r="S18" s="19">
        <f>IF(F18=0,0,MAX(0,MIN(E18,EOMONTH(EDATE(Nebenkosten!$B$7,4),0))-MAX(D18,EDATE(Nebenkosten!$B$7,4))+1)/DAY(EOMONTH(EDATE(Nebenkosten!$B$7,4),0)))</f>
        <v/>
      </c>
      <c r="T18" s="19">
        <f>IF(F18=0,0,MAX(0,MIN(E18,EOMONTH(EDATE(Nebenkosten!$B$7,5),0))-MAX(D18,EDATE(Nebenkosten!$B$7,5))+1)/DAY(EOMONTH(EDATE(Nebenkosten!$B$7,5),0)))</f>
        <v/>
      </c>
      <c r="U18" s="19">
        <f>IF(F18=0,0,MAX(0,MIN(E18,EOMONTH(EDATE(Nebenkosten!$B$7,6),0))-MAX(D18,EDATE(Nebenkosten!$B$7,6))+1)/DAY(EOMONTH(EDATE(Nebenkosten!$B$7,6),0)))</f>
        <v/>
      </c>
      <c r="V18" s="19">
        <f>IF(F18=0,0,MAX(0,MIN(E18,EOMONTH(EDATE(Nebenkosten!$B$7,7),0))-MAX(D18,EDATE(Nebenkosten!$B$7,7))+1)/DAY(EOMONTH(EDATE(Nebenkosten!$B$7,7),0)))</f>
        <v/>
      </c>
      <c r="W18" s="19">
        <f>IF(F18=0,0,MAX(0,MIN(E18,EOMONTH(EDATE(Nebenkosten!$B$7,8),0))-MAX(D18,EDATE(Nebenkosten!$B$7,8))+1)/DAY(EOMONTH(EDATE(Nebenkosten!$B$7,8),0)))</f>
        <v/>
      </c>
      <c r="X18" s="19">
        <f>IF(F18=0,0,MAX(0,MIN(E18,EOMONTH(EDATE(Nebenkosten!$B$7,9),0))-MAX(D18,EDATE(Nebenkosten!$B$7,9))+1)/DAY(EOMONTH(EDATE(Nebenkosten!$B$7,9),0)))</f>
        <v/>
      </c>
      <c r="Y18" s="19">
        <f>IF(F18=0,0,MAX(0,MIN(E18,EOMONTH(EDATE(Nebenkosten!$B$7,10),0))-MAX(D18,EDATE(Nebenkosten!$B$7,10))+1)/DAY(EOMONTH(EDATE(Nebenkosten!$B$7,10),0)))</f>
        <v/>
      </c>
      <c r="Z18" s="19">
        <f>IF(F18=0,0,MAX(0,MIN(E18,EOMONTH(EDATE(Nebenkosten!$B$7,11),0))-MAX(D18,EDATE(Nebenkosten!$B$7,11))+1)/DAY(EOMONTH(EDATE(Nebenkosten!$B$7,11),0)))</f>
        <v/>
      </c>
      <c r="AA18" s="11">
        <f>IF(OR(Nebenkosten!$B$10="",Nebenkosten!$E$10=0,$F18=0),0,Nebenkosten!$B$10*IF(Nebenkosten!$C$10="Fläche",$I18,IF(Nebenkosten!$C$10="Anteil",$J18,$K18))*IF(Nebenkosten!$D$10="Heizung",$H18,$G18)/Nebenkosten!$E$10)</f>
        <v/>
      </c>
      <c r="AB18" s="11">
        <f>IF(OR(Nebenkosten!$B$11="",Nebenkosten!$E$11=0,$F18=0),0,Nebenkosten!$B$11*IF(Nebenkosten!$C$11="Fläche",$I18,IF(Nebenkosten!$C$11="Anteil",$J18,$K18))*IF(Nebenkosten!$D$11="Heizung",$H18,$G18)/Nebenkosten!$E$11)</f>
        <v/>
      </c>
      <c r="AC18" s="11">
        <f>IF(OR(Nebenkosten!$B$12="",Nebenkosten!$E$12=0,$F18=0),0,Nebenkosten!$B$12*IF(Nebenkosten!$C$12="Fläche",$I18,IF(Nebenkosten!$C$12="Anteil",$J18,$K18))*IF(Nebenkosten!$D$12="Heizung",$H18,$G18)/Nebenkosten!$E$12)</f>
        <v/>
      </c>
      <c r="AD18" s="11">
        <f>IF(OR(Nebenkosten!$B$13="",Nebenkosten!$E$13=0,$F18=0),0,Nebenkosten!$B$13*IF(Nebenkosten!$C$13="Fläche",$I18,IF(Nebenkosten!$C$13="Anteil",$J18,$K18))*IF(Nebenkosten!$D$13="Heizung",$H18,$G18)/Nebenkosten!$E$13)</f>
        <v/>
      </c>
      <c r="AE18" s="11">
        <f>IF(OR(Nebenkosten!$B$14="",Nebenkosten!$E$14=0,$F18=0),0,Nebenkosten!$B$14*IF(Nebenkosten!$C$14="Fläche",$I18,IF(Nebenkosten!$C$14="Anteil",$J18,$K18))*IF(Nebenkosten!$D$14="Heizung",$H18,$G18)/Nebenkosten!$E$14)</f>
        <v/>
      </c>
      <c r="AF18" s="11">
        <f>IF(OR(Nebenkosten!$B$15="",Nebenkosten!$E$15=0,$F18=0),0,Nebenkosten!$B$15*IF(Nebenkosten!$C$15="Fläche",$I18,IF(Nebenkosten!$C$15="Anteil",$J18,$K18))*IF(Nebenkosten!$D$15="Heizung",$H18,$G18)/Nebenkosten!$E$15)</f>
        <v/>
      </c>
      <c r="AG18" s="11">
        <f>IF(OR(Nebenkosten!$B$16="",Nebenkosten!$E$16=0,$F18=0),0,Nebenkosten!$B$16*IF(Nebenkosten!$C$16="Fläche",$I18,IF(Nebenkosten!$C$16="Anteil",$J18,$K18))*IF(Nebenkosten!$D$16="Heizung",$H18,$G18)/Nebenkosten!$E$16)</f>
        <v/>
      </c>
      <c r="AH18" s="11">
        <f>IF(OR(Nebenkosten!$B$17="",Nebenkosten!$E$17=0,$F18=0),0,Nebenkosten!$B$17*IF(Nebenkosten!$C$17="Fläche",$I18,IF(Nebenkosten!$C$17="Anteil",$J18,$K18))*IF(Nebenkosten!$D$17="Heizung",$H18,$G18)/Nebenkosten!$E$17)</f>
        <v/>
      </c>
      <c r="AI18" s="11">
        <f>IF(OR(Nebenkosten!$B$18="",Nebenkosten!$E$18=0,$F18=0),0,Nebenkosten!$B$18*IF(Nebenkosten!$C$18="Fläche",$I18,IF(Nebenkosten!$C$18="Anteil",$J18,$K18))*IF(Nebenkosten!$D$18="Heizung",$H18,$G18)/Nebenkosten!$E$18)</f>
        <v/>
      </c>
      <c r="AJ18" s="11">
        <f>IF(OR(Nebenkosten!$B$19="",Nebenkosten!$E$19=0,$F18=0),0,Nebenkosten!$B$19*IF(Nebenkosten!$C$19="Fläche",$I18,IF(Nebenkosten!$C$19="Anteil",$J18,$K18))*IF(Nebenkosten!$D$19="Heizung",$H18,$G18)/Nebenkosten!$E$19)</f>
        <v/>
      </c>
      <c r="AK18" s="11">
        <f>IF(OR(Nebenkosten!$B$20="",Nebenkosten!$E$20=0,$F18=0),0,Nebenkosten!$B$20*IF(Nebenkosten!$C$20="Fläche",$I18,IF(Nebenkosten!$C$20="Anteil",$J18,$K18))*IF(Nebenkosten!$D$20="Heizung",$H18,$G18)/Nebenkosten!$E$20)</f>
        <v/>
      </c>
      <c r="AL18" s="11">
        <f>IF(OR(Nebenkosten!$B$21="",Nebenkosten!$E$21=0,$F18=0),0,Nebenkosten!$B$21*IF(Nebenkosten!$C$21="Fläche",$I18,IF(Nebenkosten!$C$21="Anteil",$J18,$K18))*IF(Nebenkosten!$D$21="Heizung",$H18,$G18)/Nebenkosten!$E$21)</f>
        <v/>
      </c>
      <c r="AM18" s="11">
        <f>IF(OR(Nebenkosten!$B$22="",Nebenkosten!$E$22=0,$F18=0),0,Nebenkosten!$B$22*IF(Nebenkosten!$C$22="Fläche",$I18,IF(Nebenkosten!$C$22="Anteil",$J18,$K18))*IF(Nebenkosten!$D$22="Heizung",$H18,$G18)/Nebenkosten!$E$22)</f>
        <v/>
      </c>
      <c r="AN18" s="11">
        <f>IF(OR(Nebenkosten!$B$23="",Nebenkosten!$E$23=0,$F18=0),0,Nebenkosten!$B$23*IF(Nebenkosten!$C$23="Fläche",$I18,IF(Nebenkosten!$C$23="Anteil",$J18,$K18))*IF(Nebenkosten!$D$23="Heizung",$H18,$G18)/Nebenkosten!$E$23)</f>
        <v/>
      </c>
      <c r="AO18" s="11">
        <f>IF(OR(Nebenkosten!$B$24="",Nebenkosten!$E$24=0,$F18=0),0,Nebenkosten!$B$24*IF(Nebenkosten!$C$24="Fläche",$I18,IF(Nebenkosten!$C$24="Anteil",$J18,$K18))*IF(Nebenkosten!$D$24="Heizung",$H18,$G18)/Nebenkosten!$E$24)</f>
        <v/>
      </c>
      <c r="AP18" s="11">
        <f>IF(OR(Nebenkosten!$B$25="",Nebenkosten!$E$25=0,$F18=0),0,Nebenkosten!$B$25*IF(Nebenkosten!$C$25="Fläche",$I18,IF(Nebenkosten!$C$25="Anteil",$J18,$K18))*IF(Nebenkosten!$D$25="Heizung",$H18,$G18)/Nebenkosten!$E$25)</f>
        <v/>
      </c>
      <c r="AQ18" s="11">
        <f>IF(OR(Nebenkosten!$B$26="",Nebenkosten!$E$26=0,$F18=0),0,Nebenkosten!$B$26*IF(Nebenkosten!$C$26="Fläche",$I18,IF(Nebenkosten!$C$26="Anteil",$J18,$K18))*IF(Nebenkosten!$D$26="Heizung",$H18,$G18)/Nebenkosten!$E$26)</f>
        <v/>
      </c>
      <c r="AR18" s="11">
        <f>IF(OR(Nebenkosten!$B$27="",Nebenkosten!$E$27=0,$F18=0),0,Nebenkosten!$B$27*IF(Nebenkosten!$C$27="Fläche",$I18,IF(Nebenkosten!$C$27="Anteil",$J18,$K18))*IF(Nebenkosten!$D$27="Heizung",$H18,$G18)/Nebenkosten!$E$27)</f>
        <v/>
      </c>
      <c r="AS18" s="11">
        <f>IF(OR(Nebenkosten!$B$28="",Nebenkosten!$E$28=0,$F18=0),0,Nebenkosten!$B$28*IF(Nebenkosten!$C$28="Fläche",$I18,IF(Nebenkosten!$C$28="Anteil",$J18,$K18))*IF(Nebenkosten!$D$28="Heizung",$H18,$G18)/Nebenkosten!$E$28)</f>
        <v/>
      </c>
      <c r="AT18" s="11">
        <f>IF(OR(Nebenkosten!$B$29="",Nebenkosten!$E$29=0,$F18=0),0,Nebenkosten!$B$29*IF(Nebenkosten!$C$29="Fläche",$I18,IF(Nebenkosten!$C$29="Anteil",$J18,$K18))*IF(Nebenkosten!$D$29="Heizung",$H18,$G18)/Nebenkosten!$E$29)</f>
        <v/>
      </c>
      <c r="AU18" s="11">
        <f>IF(OR(Nebenkosten!$B$30="",Nebenkosten!$E$30=0,$F18=0),0,Nebenkosten!$B$30*IF(Nebenkosten!$C$30="Fläche",$I18,IF(Nebenkosten!$C$30="Anteil",$J18,$K18))*IF(Nebenkosten!$D$30="Heizung",$H18,$G18)/Nebenkosten!$E$30)</f>
        <v/>
      </c>
      <c r="AV18" s="11">
        <f>IF(OR(Nebenkosten!$B$31="",Nebenkosten!$E$31=0,$F18=0),0,Nebenkosten!$B$31*IF(Nebenkosten!$C$31="Fläche",$I18,IF(Nebenkosten!$C$31="Anteil",$J18,$K18))*IF(Nebenkosten!$D$31="Heizung",$H18,$G18)/Nebenkosten!$E$31)</f>
        <v/>
      </c>
      <c r="AW18" s="11">
        <f>IF(OR(Nebenkosten!$B$32="",Nebenkosten!$E$32=0,$F18=0),0,Nebenkosten!$B$32*IF(Nebenkosten!$C$32="Fläche",$I18,IF(Nebenkosten!$C$32="Anteil",$J18,$K18))*IF(Nebenkosten!$D$32="Heizung",$H18,$G18)/Nebenkosten!$E$32)</f>
        <v/>
      </c>
      <c r="AX18" s="11">
        <f>IF(OR(Nebenkosten!$B$33="",Nebenkosten!$E$33=0,$F18=0),0,Nebenkosten!$B$33*IF(Nebenkosten!$C$33="Fläche",$I18,IF(Nebenkosten!$C$33="Anteil",$J18,$K18))*IF(Nebenkosten!$D$33="Heizung",$H18,$G18)/Nebenkosten!$E$33)</f>
        <v/>
      </c>
      <c r="AY18" s="11">
        <f>IF(OR(Nebenkosten!$B$34="",Nebenkosten!$E$34=0,$F18=0),0,Nebenkosten!$B$34*IF(Nebenkosten!$C$34="Fläche",$I18,IF(Nebenkosten!$C$34="Anteil",$J18,$K18))*IF(Nebenkosten!$D$34="Heizung",$H18,$G18)/Nebenkosten!$E$34)</f>
        <v/>
      </c>
      <c r="AZ18" s="11">
        <f>ROUND(SUM(AA18:AY18)*20,0)/20</f>
        <v/>
      </c>
      <c r="BA18" s="11">
        <f>IF(F18=0,0,N18)</f>
        <v/>
      </c>
      <c r="BB18" s="11">
        <f>AZ18-BA18</f>
        <v/>
      </c>
    </row>
    <row r="19">
      <c r="A19" s="10">
        <f>'Mein Haus'!A59</f>
        <v/>
      </c>
      <c r="B19" s="23">
        <f>IF('Mein Haus'!C59="","",'Mein Haus'!C59)</f>
        <v/>
      </c>
      <c r="C19" s="23">
        <f>IF('Mein Haus'!B59="","",'Mein Haus'!B59)</f>
        <v/>
      </c>
      <c r="D19" s="21">
        <f>IF(AND('Mein Haus'!C59&lt;&gt;"",'Mein Haus'!B59&lt;&gt;"",Nebenkosten!$B$7&lt;&gt;""),MAX(IF('Mein Haus'!D59="",Nebenkosten!$B$7,'Mein Haus'!D59),Nebenkosten!$B$7),"")</f>
        <v/>
      </c>
      <c r="E19" s="21">
        <f>IF(AND('Mein Haus'!C59&lt;&gt;"",'Mein Haus'!B59&lt;&gt;"",Nebenkosten!$B$7&lt;&gt;""),MIN(IF('Mein Haus'!F59="",Nebenkosten!$D$7,'Mein Haus'!F59),Nebenkosten!$D$7),"")</f>
        <v/>
      </c>
      <c r="F19" s="10">
        <f>IF(D19="",0,MAX(0,E19-D19+1))</f>
        <v/>
      </c>
      <c r="G19" s="49">
        <f>IF(F19=0,0,F19/Nebenkosten!$F$7)</f>
        <v/>
      </c>
      <c r="H19" s="49">
        <f>IF(F19=0,0,SUMPRODUCT(O19:Z19,$O$3:$Z$3)/Einstellungen!$F$17)</f>
        <v/>
      </c>
      <c r="I19" s="19">
        <f>IF(F19=0,0,IFERROR(INDEX('Mein Haus'!$D$11:$D$40,MATCH(C19,'Mein Haus'!$A$11:$A$40,0)),0))</f>
        <v/>
      </c>
      <c r="J19" s="19">
        <f>IF(F19=0,0,IFERROR(INDEX('Mein Haus'!$E$11:$E$40,MATCH(C19,'Mein Haus'!$A$11:$A$40,0)),0))</f>
        <v/>
      </c>
      <c r="K19" s="19">
        <f>IF(F19=0,0,IFERROR(INDEX('Mein Haus'!$F$11:$F$40,MATCH(C19,'Mein Haus'!$A$11:$A$40,0)),0))</f>
        <v/>
      </c>
      <c r="L19" s="11">
        <f>IF(F19=0,0,N('Mein Haus'!H59)*SUM(O19:Z19))</f>
        <v/>
      </c>
      <c r="M19" s="22" t="n"/>
      <c r="N19" s="11">
        <f>IF(M19&lt;&gt;"",M19,L19)</f>
        <v/>
      </c>
      <c r="O19" s="19">
        <f>IF(F19=0,0,MAX(0,MIN(E19,EOMONTH(EDATE(Nebenkosten!$B$7,0),0))-MAX(D19,EDATE(Nebenkosten!$B$7,0))+1)/DAY(EOMONTH(EDATE(Nebenkosten!$B$7,0),0)))</f>
        <v/>
      </c>
      <c r="P19" s="19">
        <f>IF(F19=0,0,MAX(0,MIN(E19,EOMONTH(EDATE(Nebenkosten!$B$7,1),0))-MAX(D19,EDATE(Nebenkosten!$B$7,1))+1)/DAY(EOMONTH(EDATE(Nebenkosten!$B$7,1),0)))</f>
        <v/>
      </c>
      <c r="Q19" s="19">
        <f>IF(F19=0,0,MAX(0,MIN(E19,EOMONTH(EDATE(Nebenkosten!$B$7,2),0))-MAX(D19,EDATE(Nebenkosten!$B$7,2))+1)/DAY(EOMONTH(EDATE(Nebenkosten!$B$7,2),0)))</f>
        <v/>
      </c>
      <c r="R19" s="19">
        <f>IF(F19=0,0,MAX(0,MIN(E19,EOMONTH(EDATE(Nebenkosten!$B$7,3),0))-MAX(D19,EDATE(Nebenkosten!$B$7,3))+1)/DAY(EOMONTH(EDATE(Nebenkosten!$B$7,3),0)))</f>
        <v/>
      </c>
      <c r="S19" s="19">
        <f>IF(F19=0,0,MAX(0,MIN(E19,EOMONTH(EDATE(Nebenkosten!$B$7,4),0))-MAX(D19,EDATE(Nebenkosten!$B$7,4))+1)/DAY(EOMONTH(EDATE(Nebenkosten!$B$7,4),0)))</f>
        <v/>
      </c>
      <c r="T19" s="19">
        <f>IF(F19=0,0,MAX(0,MIN(E19,EOMONTH(EDATE(Nebenkosten!$B$7,5),0))-MAX(D19,EDATE(Nebenkosten!$B$7,5))+1)/DAY(EOMONTH(EDATE(Nebenkosten!$B$7,5),0)))</f>
        <v/>
      </c>
      <c r="U19" s="19">
        <f>IF(F19=0,0,MAX(0,MIN(E19,EOMONTH(EDATE(Nebenkosten!$B$7,6),0))-MAX(D19,EDATE(Nebenkosten!$B$7,6))+1)/DAY(EOMONTH(EDATE(Nebenkosten!$B$7,6),0)))</f>
        <v/>
      </c>
      <c r="V19" s="19">
        <f>IF(F19=0,0,MAX(0,MIN(E19,EOMONTH(EDATE(Nebenkosten!$B$7,7),0))-MAX(D19,EDATE(Nebenkosten!$B$7,7))+1)/DAY(EOMONTH(EDATE(Nebenkosten!$B$7,7),0)))</f>
        <v/>
      </c>
      <c r="W19" s="19">
        <f>IF(F19=0,0,MAX(0,MIN(E19,EOMONTH(EDATE(Nebenkosten!$B$7,8),0))-MAX(D19,EDATE(Nebenkosten!$B$7,8))+1)/DAY(EOMONTH(EDATE(Nebenkosten!$B$7,8),0)))</f>
        <v/>
      </c>
      <c r="X19" s="19">
        <f>IF(F19=0,0,MAX(0,MIN(E19,EOMONTH(EDATE(Nebenkosten!$B$7,9),0))-MAX(D19,EDATE(Nebenkosten!$B$7,9))+1)/DAY(EOMONTH(EDATE(Nebenkosten!$B$7,9),0)))</f>
        <v/>
      </c>
      <c r="Y19" s="19">
        <f>IF(F19=0,0,MAX(0,MIN(E19,EOMONTH(EDATE(Nebenkosten!$B$7,10),0))-MAX(D19,EDATE(Nebenkosten!$B$7,10))+1)/DAY(EOMONTH(EDATE(Nebenkosten!$B$7,10),0)))</f>
        <v/>
      </c>
      <c r="Z19" s="19">
        <f>IF(F19=0,0,MAX(0,MIN(E19,EOMONTH(EDATE(Nebenkosten!$B$7,11),0))-MAX(D19,EDATE(Nebenkosten!$B$7,11))+1)/DAY(EOMONTH(EDATE(Nebenkosten!$B$7,11),0)))</f>
        <v/>
      </c>
      <c r="AA19" s="11">
        <f>IF(OR(Nebenkosten!$B$10="",Nebenkosten!$E$10=0,$F19=0),0,Nebenkosten!$B$10*IF(Nebenkosten!$C$10="Fläche",$I19,IF(Nebenkosten!$C$10="Anteil",$J19,$K19))*IF(Nebenkosten!$D$10="Heizung",$H19,$G19)/Nebenkosten!$E$10)</f>
        <v/>
      </c>
      <c r="AB19" s="11">
        <f>IF(OR(Nebenkosten!$B$11="",Nebenkosten!$E$11=0,$F19=0),0,Nebenkosten!$B$11*IF(Nebenkosten!$C$11="Fläche",$I19,IF(Nebenkosten!$C$11="Anteil",$J19,$K19))*IF(Nebenkosten!$D$11="Heizung",$H19,$G19)/Nebenkosten!$E$11)</f>
        <v/>
      </c>
      <c r="AC19" s="11">
        <f>IF(OR(Nebenkosten!$B$12="",Nebenkosten!$E$12=0,$F19=0),0,Nebenkosten!$B$12*IF(Nebenkosten!$C$12="Fläche",$I19,IF(Nebenkosten!$C$12="Anteil",$J19,$K19))*IF(Nebenkosten!$D$12="Heizung",$H19,$G19)/Nebenkosten!$E$12)</f>
        <v/>
      </c>
      <c r="AD19" s="11">
        <f>IF(OR(Nebenkosten!$B$13="",Nebenkosten!$E$13=0,$F19=0),0,Nebenkosten!$B$13*IF(Nebenkosten!$C$13="Fläche",$I19,IF(Nebenkosten!$C$13="Anteil",$J19,$K19))*IF(Nebenkosten!$D$13="Heizung",$H19,$G19)/Nebenkosten!$E$13)</f>
        <v/>
      </c>
      <c r="AE19" s="11">
        <f>IF(OR(Nebenkosten!$B$14="",Nebenkosten!$E$14=0,$F19=0),0,Nebenkosten!$B$14*IF(Nebenkosten!$C$14="Fläche",$I19,IF(Nebenkosten!$C$14="Anteil",$J19,$K19))*IF(Nebenkosten!$D$14="Heizung",$H19,$G19)/Nebenkosten!$E$14)</f>
        <v/>
      </c>
      <c r="AF19" s="11">
        <f>IF(OR(Nebenkosten!$B$15="",Nebenkosten!$E$15=0,$F19=0),0,Nebenkosten!$B$15*IF(Nebenkosten!$C$15="Fläche",$I19,IF(Nebenkosten!$C$15="Anteil",$J19,$K19))*IF(Nebenkosten!$D$15="Heizung",$H19,$G19)/Nebenkosten!$E$15)</f>
        <v/>
      </c>
      <c r="AG19" s="11">
        <f>IF(OR(Nebenkosten!$B$16="",Nebenkosten!$E$16=0,$F19=0),0,Nebenkosten!$B$16*IF(Nebenkosten!$C$16="Fläche",$I19,IF(Nebenkosten!$C$16="Anteil",$J19,$K19))*IF(Nebenkosten!$D$16="Heizung",$H19,$G19)/Nebenkosten!$E$16)</f>
        <v/>
      </c>
      <c r="AH19" s="11">
        <f>IF(OR(Nebenkosten!$B$17="",Nebenkosten!$E$17=0,$F19=0),0,Nebenkosten!$B$17*IF(Nebenkosten!$C$17="Fläche",$I19,IF(Nebenkosten!$C$17="Anteil",$J19,$K19))*IF(Nebenkosten!$D$17="Heizung",$H19,$G19)/Nebenkosten!$E$17)</f>
        <v/>
      </c>
      <c r="AI19" s="11">
        <f>IF(OR(Nebenkosten!$B$18="",Nebenkosten!$E$18=0,$F19=0),0,Nebenkosten!$B$18*IF(Nebenkosten!$C$18="Fläche",$I19,IF(Nebenkosten!$C$18="Anteil",$J19,$K19))*IF(Nebenkosten!$D$18="Heizung",$H19,$G19)/Nebenkosten!$E$18)</f>
        <v/>
      </c>
      <c r="AJ19" s="11">
        <f>IF(OR(Nebenkosten!$B$19="",Nebenkosten!$E$19=0,$F19=0),0,Nebenkosten!$B$19*IF(Nebenkosten!$C$19="Fläche",$I19,IF(Nebenkosten!$C$19="Anteil",$J19,$K19))*IF(Nebenkosten!$D$19="Heizung",$H19,$G19)/Nebenkosten!$E$19)</f>
        <v/>
      </c>
      <c r="AK19" s="11">
        <f>IF(OR(Nebenkosten!$B$20="",Nebenkosten!$E$20=0,$F19=0),0,Nebenkosten!$B$20*IF(Nebenkosten!$C$20="Fläche",$I19,IF(Nebenkosten!$C$20="Anteil",$J19,$K19))*IF(Nebenkosten!$D$20="Heizung",$H19,$G19)/Nebenkosten!$E$20)</f>
        <v/>
      </c>
      <c r="AL19" s="11">
        <f>IF(OR(Nebenkosten!$B$21="",Nebenkosten!$E$21=0,$F19=0),0,Nebenkosten!$B$21*IF(Nebenkosten!$C$21="Fläche",$I19,IF(Nebenkosten!$C$21="Anteil",$J19,$K19))*IF(Nebenkosten!$D$21="Heizung",$H19,$G19)/Nebenkosten!$E$21)</f>
        <v/>
      </c>
      <c r="AM19" s="11">
        <f>IF(OR(Nebenkosten!$B$22="",Nebenkosten!$E$22=0,$F19=0),0,Nebenkosten!$B$22*IF(Nebenkosten!$C$22="Fläche",$I19,IF(Nebenkosten!$C$22="Anteil",$J19,$K19))*IF(Nebenkosten!$D$22="Heizung",$H19,$G19)/Nebenkosten!$E$22)</f>
        <v/>
      </c>
      <c r="AN19" s="11">
        <f>IF(OR(Nebenkosten!$B$23="",Nebenkosten!$E$23=0,$F19=0),0,Nebenkosten!$B$23*IF(Nebenkosten!$C$23="Fläche",$I19,IF(Nebenkosten!$C$23="Anteil",$J19,$K19))*IF(Nebenkosten!$D$23="Heizung",$H19,$G19)/Nebenkosten!$E$23)</f>
        <v/>
      </c>
      <c r="AO19" s="11">
        <f>IF(OR(Nebenkosten!$B$24="",Nebenkosten!$E$24=0,$F19=0),0,Nebenkosten!$B$24*IF(Nebenkosten!$C$24="Fläche",$I19,IF(Nebenkosten!$C$24="Anteil",$J19,$K19))*IF(Nebenkosten!$D$24="Heizung",$H19,$G19)/Nebenkosten!$E$24)</f>
        <v/>
      </c>
      <c r="AP19" s="11">
        <f>IF(OR(Nebenkosten!$B$25="",Nebenkosten!$E$25=0,$F19=0),0,Nebenkosten!$B$25*IF(Nebenkosten!$C$25="Fläche",$I19,IF(Nebenkosten!$C$25="Anteil",$J19,$K19))*IF(Nebenkosten!$D$25="Heizung",$H19,$G19)/Nebenkosten!$E$25)</f>
        <v/>
      </c>
      <c r="AQ19" s="11">
        <f>IF(OR(Nebenkosten!$B$26="",Nebenkosten!$E$26=0,$F19=0),0,Nebenkosten!$B$26*IF(Nebenkosten!$C$26="Fläche",$I19,IF(Nebenkosten!$C$26="Anteil",$J19,$K19))*IF(Nebenkosten!$D$26="Heizung",$H19,$G19)/Nebenkosten!$E$26)</f>
        <v/>
      </c>
      <c r="AR19" s="11">
        <f>IF(OR(Nebenkosten!$B$27="",Nebenkosten!$E$27=0,$F19=0),0,Nebenkosten!$B$27*IF(Nebenkosten!$C$27="Fläche",$I19,IF(Nebenkosten!$C$27="Anteil",$J19,$K19))*IF(Nebenkosten!$D$27="Heizung",$H19,$G19)/Nebenkosten!$E$27)</f>
        <v/>
      </c>
      <c r="AS19" s="11">
        <f>IF(OR(Nebenkosten!$B$28="",Nebenkosten!$E$28=0,$F19=0),0,Nebenkosten!$B$28*IF(Nebenkosten!$C$28="Fläche",$I19,IF(Nebenkosten!$C$28="Anteil",$J19,$K19))*IF(Nebenkosten!$D$28="Heizung",$H19,$G19)/Nebenkosten!$E$28)</f>
        <v/>
      </c>
      <c r="AT19" s="11">
        <f>IF(OR(Nebenkosten!$B$29="",Nebenkosten!$E$29=0,$F19=0),0,Nebenkosten!$B$29*IF(Nebenkosten!$C$29="Fläche",$I19,IF(Nebenkosten!$C$29="Anteil",$J19,$K19))*IF(Nebenkosten!$D$29="Heizung",$H19,$G19)/Nebenkosten!$E$29)</f>
        <v/>
      </c>
      <c r="AU19" s="11">
        <f>IF(OR(Nebenkosten!$B$30="",Nebenkosten!$E$30=0,$F19=0),0,Nebenkosten!$B$30*IF(Nebenkosten!$C$30="Fläche",$I19,IF(Nebenkosten!$C$30="Anteil",$J19,$K19))*IF(Nebenkosten!$D$30="Heizung",$H19,$G19)/Nebenkosten!$E$30)</f>
        <v/>
      </c>
      <c r="AV19" s="11">
        <f>IF(OR(Nebenkosten!$B$31="",Nebenkosten!$E$31=0,$F19=0),0,Nebenkosten!$B$31*IF(Nebenkosten!$C$31="Fläche",$I19,IF(Nebenkosten!$C$31="Anteil",$J19,$K19))*IF(Nebenkosten!$D$31="Heizung",$H19,$G19)/Nebenkosten!$E$31)</f>
        <v/>
      </c>
      <c r="AW19" s="11">
        <f>IF(OR(Nebenkosten!$B$32="",Nebenkosten!$E$32=0,$F19=0),0,Nebenkosten!$B$32*IF(Nebenkosten!$C$32="Fläche",$I19,IF(Nebenkosten!$C$32="Anteil",$J19,$K19))*IF(Nebenkosten!$D$32="Heizung",$H19,$G19)/Nebenkosten!$E$32)</f>
        <v/>
      </c>
      <c r="AX19" s="11">
        <f>IF(OR(Nebenkosten!$B$33="",Nebenkosten!$E$33=0,$F19=0),0,Nebenkosten!$B$33*IF(Nebenkosten!$C$33="Fläche",$I19,IF(Nebenkosten!$C$33="Anteil",$J19,$K19))*IF(Nebenkosten!$D$33="Heizung",$H19,$G19)/Nebenkosten!$E$33)</f>
        <v/>
      </c>
      <c r="AY19" s="11">
        <f>IF(OR(Nebenkosten!$B$34="",Nebenkosten!$E$34=0,$F19=0),0,Nebenkosten!$B$34*IF(Nebenkosten!$C$34="Fläche",$I19,IF(Nebenkosten!$C$34="Anteil",$J19,$K19))*IF(Nebenkosten!$D$34="Heizung",$H19,$G19)/Nebenkosten!$E$34)</f>
        <v/>
      </c>
      <c r="AZ19" s="11">
        <f>ROUND(SUM(AA19:AY19)*20,0)/20</f>
        <v/>
      </c>
      <c r="BA19" s="11">
        <f>IF(F19=0,0,N19)</f>
        <v/>
      </c>
      <c r="BB19" s="11">
        <f>AZ19-BA19</f>
        <v/>
      </c>
    </row>
    <row r="20">
      <c r="A20" s="10">
        <f>'Mein Haus'!A60</f>
        <v/>
      </c>
      <c r="B20" s="23">
        <f>IF('Mein Haus'!C60="","",'Mein Haus'!C60)</f>
        <v/>
      </c>
      <c r="C20" s="23">
        <f>IF('Mein Haus'!B60="","",'Mein Haus'!B60)</f>
        <v/>
      </c>
      <c r="D20" s="21">
        <f>IF(AND('Mein Haus'!C60&lt;&gt;"",'Mein Haus'!B60&lt;&gt;"",Nebenkosten!$B$7&lt;&gt;""),MAX(IF('Mein Haus'!D60="",Nebenkosten!$B$7,'Mein Haus'!D60),Nebenkosten!$B$7),"")</f>
        <v/>
      </c>
      <c r="E20" s="21">
        <f>IF(AND('Mein Haus'!C60&lt;&gt;"",'Mein Haus'!B60&lt;&gt;"",Nebenkosten!$B$7&lt;&gt;""),MIN(IF('Mein Haus'!F60="",Nebenkosten!$D$7,'Mein Haus'!F60),Nebenkosten!$D$7),"")</f>
        <v/>
      </c>
      <c r="F20" s="10">
        <f>IF(D20="",0,MAX(0,E20-D20+1))</f>
        <v/>
      </c>
      <c r="G20" s="49">
        <f>IF(F20=0,0,F20/Nebenkosten!$F$7)</f>
        <v/>
      </c>
      <c r="H20" s="49">
        <f>IF(F20=0,0,SUMPRODUCT(O20:Z20,$O$3:$Z$3)/Einstellungen!$F$17)</f>
        <v/>
      </c>
      <c r="I20" s="19">
        <f>IF(F20=0,0,IFERROR(INDEX('Mein Haus'!$D$11:$D$40,MATCH(C20,'Mein Haus'!$A$11:$A$40,0)),0))</f>
        <v/>
      </c>
      <c r="J20" s="19">
        <f>IF(F20=0,0,IFERROR(INDEX('Mein Haus'!$E$11:$E$40,MATCH(C20,'Mein Haus'!$A$11:$A$40,0)),0))</f>
        <v/>
      </c>
      <c r="K20" s="19">
        <f>IF(F20=0,0,IFERROR(INDEX('Mein Haus'!$F$11:$F$40,MATCH(C20,'Mein Haus'!$A$11:$A$40,0)),0))</f>
        <v/>
      </c>
      <c r="L20" s="11">
        <f>IF(F20=0,0,N('Mein Haus'!H60)*SUM(O20:Z20))</f>
        <v/>
      </c>
      <c r="M20" s="22" t="n"/>
      <c r="N20" s="11">
        <f>IF(M20&lt;&gt;"",M20,L20)</f>
        <v/>
      </c>
      <c r="O20" s="19">
        <f>IF(F20=0,0,MAX(0,MIN(E20,EOMONTH(EDATE(Nebenkosten!$B$7,0),0))-MAX(D20,EDATE(Nebenkosten!$B$7,0))+1)/DAY(EOMONTH(EDATE(Nebenkosten!$B$7,0),0)))</f>
        <v/>
      </c>
      <c r="P20" s="19">
        <f>IF(F20=0,0,MAX(0,MIN(E20,EOMONTH(EDATE(Nebenkosten!$B$7,1),0))-MAX(D20,EDATE(Nebenkosten!$B$7,1))+1)/DAY(EOMONTH(EDATE(Nebenkosten!$B$7,1),0)))</f>
        <v/>
      </c>
      <c r="Q20" s="19">
        <f>IF(F20=0,0,MAX(0,MIN(E20,EOMONTH(EDATE(Nebenkosten!$B$7,2),0))-MAX(D20,EDATE(Nebenkosten!$B$7,2))+1)/DAY(EOMONTH(EDATE(Nebenkosten!$B$7,2),0)))</f>
        <v/>
      </c>
      <c r="R20" s="19">
        <f>IF(F20=0,0,MAX(0,MIN(E20,EOMONTH(EDATE(Nebenkosten!$B$7,3),0))-MAX(D20,EDATE(Nebenkosten!$B$7,3))+1)/DAY(EOMONTH(EDATE(Nebenkosten!$B$7,3),0)))</f>
        <v/>
      </c>
      <c r="S20" s="19">
        <f>IF(F20=0,0,MAX(0,MIN(E20,EOMONTH(EDATE(Nebenkosten!$B$7,4),0))-MAX(D20,EDATE(Nebenkosten!$B$7,4))+1)/DAY(EOMONTH(EDATE(Nebenkosten!$B$7,4),0)))</f>
        <v/>
      </c>
      <c r="T20" s="19">
        <f>IF(F20=0,0,MAX(0,MIN(E20,EOMONTH(EDATE(Nebenkosten!$B$7,5),0))-MAX(D20,EDATE(Nebenkosten!$B$7,5))+1)/DAY(EOMONTH(EDATE(Nebenkosten!$B$7,5),0)))</f>
        <v/>
      </c>
      <c r="U20" s="19">
        <f>IF(F20=0,0,MAX(0,MIN(E20,EOMONTH(EDATE(Nebenkosten!$B$7,6),0))-MAX(D20,EDATE(Nebenkosten!$B$7,6))+1)/DAY(EOMONTH(EDATE(Nebenkosten!$B$7,6),0)))</f>
        <v/>
      </c>
      <c r="V20" s="19">
        <f>IF(F20=0,0,MAX(0,MIN(E20,EOMONTH(EDATE(Nebenkosten!$B$7,7),0))-MAX(D20,EDATE(Nebenkosten!$B$7,7))+1)/DAY(EOMONTH(EDATE(Nebenkosten!$B$7,7),0)))</f>
        <v/>
      </c>
      <c r="W20" s="19">
        <f>IF(F20=0,0,MAX(0,MIN(E20,EOMONTH(EDATE(Nebenkosten!$B$7,8),0))-MAX(D20,EDATE(Nebenkosten!$B$7,8))+1)/DAY(EOMONTH(EDATE(Nebenkosten!$B$7,8),0)))</f>
        <v/>
      </c>
      <c r="X20" s="19">
        <f>IF(F20=0,0,MAX(0,MIN(E20,EOMONTH(EDATE(Nebenkosten!$B$7,9),0))-MAX(D20,EDATE(Nebenkosten!$B$7,9))+1)/DAY(EOMONTH(EDATE(Nebenkosten!$B$7,9),0)))</f>
        <v/>
      </c>
      <c r="Y20" s="19">
        <f>IF(F20=0,0,MAX(0,MIN(E20,EOMONTH(EDATE(Nebenkosten!$B$7,10),0))-MAX(D20,EDATE(Nebenkosten!$B$7,10))+1)/DAY(EOMONTH(EDATE(Nebenkosten!$B$7,10),0)))</f>
        <v/>
      </c>
      <c r="Z20" s="19">
        <f>IF(F20=0,0,MAX(0,MIN(E20,EOMONTH(EDATE(Nebenkosten!$B$7,11),0))-MAX(D20,EDATE(Nebenkosten!$B$7,11))+1)/DAY(EOMONTH(EDATE(Nebenkosten!$B$7,11),0)))</f>
        <v/>
      </c>
      <c r="AA20" s="11">
        <f>IF(OR(Nebenkosten!$B$10="",Nebenkosten!$E$10=0,$F20=0),0,Nebenkosten!$B$10*IF(Nebenkosten!$C$10="Fläche",$I20,IF(Nebenkosten!$C$10="Anteil",$J20,$K20))*IF(Nebenkosten!$D$10="Heizung",$H20,$G20)/Nebenkosten!$E$10)</f>
        <v/>
      </c>
      <c r="AB20" s="11">
        <f>IF(OR(Nebenkosten!$B$11="",Nebenkosten!$E$11=0,$F20=0),0,Nebenkosten!$B$11*IF(Nebenkosten!$C$11="Fläche",$I20,IF(Nebenkosten!$C$11="Anteil",$J20,$K20))*IF(Nebenkosten!$D$11="Heizung",$H20,$G20)/Nebenkosten!$E$11)</f>
        <v/>
      </c>
      <c r="AC20" s="11">
        <f>IF(OR(Nebenkosten!$B$12="",Nebenkosten!$E$12=0,$F20=0),0,Nebenkosten!$B$12*IF(Nebenkosten!$C$12="Fläche",$I20,IF(Nebenkosten!$C$12="Anteil",$J20,$K20))*IF(Nebenkosten!$D$12="Heizung",$H20,$G20)/Nebenkosten!$E$12)</f>
        <v/>
      </c>
      <c r="AD20" s="11">
        <f>IF(OR(Nebenkosten!$B$13="",Nebenkosten!$E$13=0,$F20=0),0,Nebenkosten!$B$13*IF(Nebenkosten!$C$13="Fläche",$I20,IF(Nebenkosten!$C$13="Anteil",$J20,$K20))*IF(Nebenkosten!$D$13="Heizung",$H20,$G20)/Nebenkosten!$E$13)</f>
        <v/>
      </c>
      <c r="AE20" s="11">
        <f>IF(OR(Nebenkosten!$B$14="",Nebenkosten!$E$14=0,$F20=0),0,Nebenkosten!$B$14*IF(Nebenkosten!$C$14="Fläche",$I20,IF(Nebenkosten!$C$14="Anteil",$J20,$K20))*IF(Nebenkosten!$D$14="Heizung",$H20,$G20)/Nebenkosten!$E$14)</f>
        <v/>
      </c>
      <c r="AF20" s="11">
        <f>IF(OR(Nebenkosten!$B$15="",Nebenkosten!$E$15=0,$F20=0),0,Nebenkosten!$B$15*IF(Nebenkosten!$C$15="Fläche",$I20,IF(Nebenkosten!$C$15="Anteil",$J20,$K20))*IF(Nebenkosten!$D$15="Heizung",$H20,$G20)/Nebenkosten!$E$15)</f>
        <v/>
      </c>
      <c r="AG20" s="11">
        <f>IF(OR(Nebenkosten!$B$16="",Nebenkosten!$E$16=0,$F20=0),0,Nebenkosten!$B$16*IF(Nebenkosten!$C$16="Fläche",$I20,IF(Nebenkosten!$C$16="Anteil",$J20,$K20))*IF(Nebenkosten!$D$16="Heizung",$H20,$G20)/Nebenkosten!$E$16)</f>
        <v/>
      </c>
      <c r="AH20" s="11">
        <f>IF(OR(Nebenkosten!$B$17="",Nebenkosten!$E$17=0,$F20=0),0,Nebenkosten!$B$17*IF(Nebenkosten!$C$17="Fläche",$I20,IF(Nebenkosten!$C$17="Anteil",$J20,$K20))*IF(Nebenkosten!$D$17="Heizung",$H20,$G20)/Nebenkosten!$E$17)</f>
        <v/>
      </c>
      <c r="AI20" s="11">
        <f>IF(OR(Nebenkosten!$B$18="",Nebenkosten!$E$18=0,$F20=0),0,Nebenkosten!$B$18*IF(Nebenkosten!$C$18="Fläche",$I20,IF(Nebenkosten!$C$18="Anteil",$J20,$K20))*IF(Nebenkosten!$D$18="Heizung",$H20,$G20)/Nebenkosten!$E$18)</f>
        <v/>
      </c>
      <c r="AJ20" s="11">
        <f>IF(OR(Nebenkosten!$B$19="",Nebenkosten!$E$19=0,$F20=0),0,Nebenkosten!$B$19*IF(Nebenkosten!$C$19="Fläche",$I20,IF(Nebenkosten!$C$19="Anteil",$J20,$K20))*IF(Nebenkosten!$D$19="Heizung",$H20,$G20)/Nebenkosten!$E$19)</f>
        <v/>
      </c>
      <c r="AK20" s="11">
        <f>IF(OR(Nebenkosten!$B$20="",Nebenkosten!$E$20=0,$F20=0),0,Nebenkosten!$B$20*IF(Nebenkosten!$C$20="Fläche",$I20,IF(Nebenkosten!$C$20="Anteil",$J20,$K20))*IF(Nebenkosten!$D$20="Heizung",$H20,$G20)/Nebenkosten!$E$20)</f>
        <v/>
      </c>
      <c r="AL20" s="11">
        <f>IF(OR(Nebenkosten!$B$21="",Nebenkosten!$E$21=0,$F20=0),0,Nebenkosten!$B$21*IF(Nebenkosten!$C$21="Fläche",$I20,IF(Nebenkosten!$C$21="Anteil",$J20,$K20))*IF(Nebenkosten!$D$21="Heizung",$H20,$G20)/Nebenkosten!$E$21)</f>
        <v/>
      </c>
      <c r="AM20" s="11">
        <f>IF(OR(Nebenkosten!$B$22="",Nebenkosten!$E$22=0,$F20=0),0,Nebenkosten!$B$22*IF(Nebenkosten!$C$22="Fläche",$I20,IF(Nebenkosten!$C$22="Anteil",$J20,$K20))*IF(Nebenkosten!$D$22="Heizung",$H20,$G20)/Nebenkosten!$E$22)</f>
        <v/>
      </c>
      <c r="AN20" s="11">
        <f>IF(OR(Nebenkosten!$B$23="",Nebenkosten!$E$23=0,$F20=0),0,Nebenkosten!$B$23*IF(Nebenkosten!$C$23="Fläche",$I20,IF(Nebenkosten!$C$23="Anteil",$J20,$K20))*IF(Nebenkosten!$D$23="Heizung",$H20,$G20)/Nebenkosten!$E$23)</f>
        <v/>
      </c>
      <c r="AO20" s="11">
        <f>IF(OR(Nebenkosten!$B$24="",Nebenkosten!$E$24=0,$F20=0),0,Nebenkosten!$B$24*IF(Nebenkosten!$C$24="Fläche",$I20,IF(Nebenkosten!$C$24="Anteil",$J20,$K20))*IF(Nebenkosten!$D$24="Heizung",$H20,$G20)/Nebenkosten!$E$24)</f>
        <v/>
      </c>
      <c r="AP20" s="11">
        <f>IF(OR(Nebenkosten!$B$25="",Nebenkosten!$E$25=0,$F20=0),0,Nebenkosten!$B$25*IF(Nebenkosten!$C$25="Fläche",$I20,IF(Nebenkosten!$C$25="Anteil",$J20,$K20))*IF(Nebenkosten!$D$25="Heizung",$H20,$G20)/Nebenkosten!$E$25)</f>
        <v/>
      </c>
      <c r="AQ20" s="11">
        <f>IF(OR(Nebenkosten!$B$26="",Nebenkosten!$E$26=0,$F20=0),0,Nebenkosten!$B$26*IF(Nebenkosten!$C$26="Fläche",$I20,IF(Nebenkosten!$C$26="Anteil",$J20,$K20))*IF(Nebenkosten!$D$26="Heizung",$H20,$G20)/Nebenkosten!$E$26)</f>
        <v/>
      </c>
      <c r="AR20" s="11">
        <f>IF(OR(Nebenkosten!$B$27="",Nebenkosten!$E$27=0,$F20=0),0,Nebenkosten!$B$27*IF(Nebenkosten!$C$27="Fläche",$I20,IF(Nebenkosten!$C$27="Anteil",$J20,$K20))*IF(Nebenkosten!$D$27="Heizung",$H20,$G20)/Nebenkosten!$E$27)</f>
        <v/>
      </c>
      <c r="AS20" s="11">
        <f>IF(OR(Nebenkosten!$B$28="",Nebenkosten!$E$28=0,$F20=0),0,Nebenkosten!$B$28*IF(Nebenkosten!$C$28="Fläche",$I20,IF(Nebenkosten!$C$28="Anteil",$J20,$K20))*IF(Nebenkosten!$D$28="Heizung",$H20,$G20)/Nebenkosten!$E$28)</f>
        <v/>
      </c>
      <c r="AT20" s="11">
        <f>IF(OR(Nebenkosten!$B$29="",Nebenkosten!$E$29=0,$F20=0),0,Nebenkosten!$B$29*IF(Nebenkosten!$C$29="Fläche",$I20,IF(Nebenkosten!$C$29="Anteil",$J20,$K20))*IF(Nebenkosten!$D$29="Heizung",$H20,$G20)/Nebenkosten!$E$29)</f>
        <v/>
      </c>
      <c r="AU20" s="11">
        <f>IF(OR(Nebenkosten!$B$30="",Nebenkosten!$E$30=0,$F20=0),0,Nebenkosten!$B$30*IF(Nebenkosten!$C$30="Fläche",$I20,IF(Nebenkosten!$C$30="Anteil",$J20,$K20))*IF(Nebenkosten!$D$30="Heizung",$H20,$G20)/Nebenkosten!$E$30)</f>
        <v/>
      </c>
      <c r="AV20" s="11">
        <f>IF(OR(Nebenkosten!$B$31="",Nebenkosten!$E$31=0,$F20=0),0,Nebenkosten!$B$31*IF(Nebenkosten!$C$31="Fläche",$I20,IF(Nebenkosten!$C$31="Anteil",$J20,$K20))*IF(Nebenkosten!$D$31="Heizung",$H20,$G20)/Nebenkosten!$E$31)</f>
        <v/>
      </c>
      <c r="AW20" s="11">
        <f>IF(OR(Nebenkosten!$B$32="",Nebenkosten!$E$32=0,$F20=0),0,Nebenkosten!$B$32*IF(Nebenkosten!$C$32="Fläche",$I20,IF(Nebenkosten!$C$32="Anteil",$J20,$K20))*IF(Nebenkosten!$D$32="Heizung",$H20,$G20)/Nebenkosten!$E$32)</f>
        <v/>
      </c>
      <c r="AX20" s="11">
        <f>IF(OR(Nebenkosten!$B$33="",Nebenkosten!$E$33=0,$F20=0),0,Nebenkosten!$B$33*IF(Nebenkosten!$C$33="Fläche",$I20,IF(Nebenkosten!$C$33="Anteil",$J20,$K20))*IF(Nebenkosten!$D$33="Heizung",$H20,$G20)/Nebenkosten!$E$33)</f>
        <v/>
      </c>
      <c r="AY20" s="11">
        <f>IF(OR(Nebenkosten!$B$34="",Nebenkosten!$E$34=0,$F20=0),0,Nebenkosten!$B$34*IF(Nebenkosten!$C$34="Fläche",$I20,IF(Nebenkosten!$C$34="Anteil",$J20,$K20))*IF(Nebenkosten!$D$34="Heizung",$H20,$G20)/Nebenkosten!$E$34)</f>
        <v/>
      </c>
      <c r="AZ20" s="11">
        <f>ROUND(SUM(AA20:AY20)*20,0)/20</f>
        <v/>
      </c>
      <c r="BA20" s="11">
        <f>IF(F20=0,0,N20)</f>
        <v/>
      </c>
      <c r="BB20" s="11">
        <f>AZ20-BA20</f>
        <v/>
      </c>
    </row>
    <row r="21">
      <c r="A21" s="10">
        <f>'Mein Haus'!A61</f>
        <v/>
      </c>
      <c r="B21" s="23">
        <f>IF('Mein Haus'!C61="","",'Mein Haus'!C61)</f>
        <v/>
      </c>
      <c r="C21" s="23">
        <f>IF('Mein Haus'!B61="","",'Mein Haus'!B61)</f>
        <v/>
      </c>
      <c r="D21" s="21">
        <f>IF(AND('Mein Haus'!C61&lt;&gt;"",'Mein Haus'!B61&lt;&gt;"",Nebenkosten!$B$7&lt;&gt;""),MAX(IF('Mein Haus'!D61="",Nebenkosten!$B$7,'Mein Haus'!D61),Nebenkosten!$B$7),"")</f>
        <v/>
      </c>
      <c r="E21" s="21">
        <f>IF(AND('Mein Haus'!C61&lt;&gt;"",'Mein Haus'!B61&lt;&gt;"",Nebenkosten!$B$7&lt;&gt;""),MIN(IF('Mein Haus'!F61="",Nebenkosten!$D$7,'Mein Haus'!F61),Nebenkosten!$D$7),"")</f>
        <v/>
      </c>
      <c r="F21" s="10">
        <f>IF(D21="",0,MAX(0,E21-D21+1))</f>
        <v/>
      </c>
      <c r="G21" s="49">
        <f>IF(F21=0,0,F21/Nebenkosten!$F$7)</f>
        <v/>
      </c>
      <c r="H21" s="49">
        <f>IF(F21=0,0,SUMPRODUCT(O21:Z21,$O$3:$Z$3)/Einstellungen!$F$17)</f>
        <v/>
      </c>
      <c r="I21" s="19">
        <f>IF(F21=0,0,IFERROR(INDEX('Mein Haus'!$D$11:$D$40,MATCH(C21,'Mein Haus'!$A$11:$A$40,0)),0))</f>
        <v/>
      </c>
      <c r="J21" s="19">
        <f>IF(F21=0,0,IFERROR(INDEX('Mein Haus'!$E$11:$E$40,MATCH(C21,'Mein Haus'!$A$11:$A$40,0)),0))</f>
        <v/>
      </c>
      <c r="K21" s="19">
        <f>IF(F21=0,0,IFERROR(INDEX('Mein Haus'!$F$11:$F$40,MATCH(C21,'Mein Haus'!$A$11:$A$40,0)),0))</f>
        <v/>
      </c>
      <c r="L21" s="11">
        <f>IF(F21=0,0,N('Mein Haus'!H61)*SUM(O21:Z21))</f>
        <v/>
      </c>
      <c r="M21" s="22" t="n"/>
      <c r="N21" s="11">
        <f>IF(M21&lt;&gt;"",M21,L21)</f>
        <v/>
      </c>
      <c r="O21" s="19">
        <f>IF(F21=0,0,MAX(0,MIN(E21,EOMONTH(EDATE(Nebenkosten!$B$7,0),0))-MAX(D21,EDATE(Nebenkosten!$B$7,0))+1)/DAY(EOMONTH(EDATE(Nebenkosten!$B$7,0),0)))</f>
        <v/>
      </c>
      <c r="P21" s="19">
        <f>IF(F21=0,0,MAX(0,MIN(E21,EOMONTH(EDATE(Nebenkosten!$B$7,1),0))-MAX(D21,EDATE(Nebenkosten!$B$7,1))+1)/DAY(EOMONTH(EDATE(Nebenkosten!$B$7,1),0)))</f>
        <v/>
      </c>
      <c r="Q21" s="19">
        <f>IF(F21=0,0,MAX(0,MIN(E21,EOMONTH(EDATE(Nebenkosten!$B$7,2),0))-MAX(D21,EDATE(Nebenkosten!$B$7,2))+1)/DAY(EOMONTH(EDATE(Nebenkosten!$B$7,2),0)))</f>
        <v/>
      </c>
      <c r="R21" s="19">
        <f>IF(F21=0,0,MAX(0,MIN(E21,EOMONTH(EDATE(Nebenkosten!$B$7,3),0))-MAX(D21,EDATE(Nebenkosten!$B$7,3))+1)/DAY(EOMONTH(EDATE(Nebenkosten!$B$7,3),0)))</f>
        <v/>
      </c>
      <c r="S21" s="19">
        <f>IF(F21=0,0,MAX(0,MIN(E21,EOMONTH(EDATE(Nebenkosten!$B$7,4),0))-MAX(D21,EDATE(Nebenkosten!$B$7,4))+1)/DAY(EOMONTH(EDATE(Nebenkosten!$B$7,4),0)))</f>
        <v/>
      </c>
      <c r="T21" s="19">
        <f>IF(F21=0,0,MAX(0,MIN(E21,EOMONTH(EDATE(Nebenkosten!$B$7,5),0))-MAX(D21,EDATE(Nebenkosten!$B$7,5))+1)/DAY(EOMONTH(EDATE(Nebenkosten!$B$7,5),0)))</f>
        <v/>
      </c>
      <c r="U21" s="19">
        <f>IF(F21=0,0,MAX(0,MIN(E21,EOMONTH(EDATE(Nebenkosten!$B$7,6),0))-MAX(D21,EDATE(Nebenkosten!$B$7,6))+1)/DAY(EOMONTH(EDATE(Nebenkosten!$B$7,6),0)))</f>
        <v/>
      </c>
      <c r="V21" s="19">
        <f>IF(F21=0,0,MAX(0,MIN(E21,EOMONTH(EDATE(Nebenkosten!$B$7,7),0))-MAX(D21,EDATE(Nebenkosten!$B$7,7))+1)/DAY(EOMONTH(EDATE(Nebenkosten!$B$7,7),0)))</f>
        <v/>
      </c>
      <c r="W21" s="19">
        <f>IF(F21=0,0,MAX(0,MIN(E21,EOMONTH(EDATE(Nebenkosten!$B$7,8),0))-MAX(D21,EDATE(Nebenkosten!$B$7,8))+1)/DAY(EOMONTH(EDATE(Nebenkosten!$B$7,8),0)))</f>
        <v/>
      </c>
      <c r="X21" s="19">
        <f>IF(F21=0,0,MAX(0,MIN(E21,EOMONTH(EDATE(Nebenkosten!$B$7,9),0))-MAX(D21,EDATE(Nebenkosten!$B$7,9))+1)/DAY(EOMONTH(EDATE(Nebenkosten!$B$7,9),0)))</f>
        <v/>
      </c>
      <c r="Y21" s="19">
        <f>IF(F21=0,0,MAX(0,MIN(E21,EOMONTH(EDATE(Nebenkosten!$B$7,10),0))-MAX(D21,EDATE(Nebenkosten!$B$7,10))+1)/DAY(EOMONTH(EDATE(Nebenkosten!$B$7,10),0)))</f>
        <v/>
      </c>
      <c r="Z21" s="19">
        <f>IF(F21=0,0,MAX(0,MIN(E21,EOMONTH(EDATE(Nebenkosten!$B$7,11),0))-MAX(D21,EDATE(Nebenkosten!$B$7,11))+1)/DAY(EOMONTH(EDATE(Nebenkosten!$B$7,11),0)))</f>
        <v/>
      </c>
      <c r="AA21" s="11">
        <f>IF(OR(Nebenkosten!$B$10="",Nebenkosten!$E$10=0,$F21=0),0,Nebenkosten!$B$10*IF(Nebenkosten!$C$10="Fläche",$I21,IF(Nebenkosten!$C$10="Anteil",$J21,$K21))*IF(Nebenkosten!$D$10="Heizung",$H21,$G21)/Nebenkosten!$E$10)</f>
        <v/>
      </c>
      <c r="AB21" s="11">
        <f>IF(OR(Nebenkosten!$B$11="",Nebenkosten!$E$11=0,$F21=0),0,Nebenkosten!$B$11*IF(Nebenkosten!$C$11="Fläche",$I21,IF(Nebenkosten!$C$11="Anteil",$J21,$K21))*IF(Nebenkosten!$D$11="Heizung",$H21,$G21)/Nebenkosten!$E$11)</f>
        <v/>
      </c>
      <c r="AC21" s="11">
        <f>IF(OR(Nebenkosten!$B$12="",Nebenkosten!$E$12=0,$F21=0),0,Nebenkosten!$B$12*IF(Nebenkosten!$C$12="Fläche",$I21,IF(Nebenkosten!$C$12="Anteil",$J21,$K21))*IF(Nebenkosten!$D$12="Heizung",$H21,$G21)/Nebenkosten!$E$12)</f>
        <v/>
      </c>
      <c r="AD21" s="11">
        <f>IF(OR(Nebenkosten!$B$13="",Nebenkosten!$E$13=0,$F21=0),0,Nebenkosten!$B$13*IF(Nebenkosten!$C$13="Fläche",$I21,IF(Nebenkosten!$C$13="Anteil",$J21,$K21))*IF(Nebenkosten!$D$13="Heizung",$H21,$G21)/Nebenkosten!$E$13)</f>
        <v/>
      </c>
      <c r="AE21" s="11">
        <f>IF(OR(Nebenkosten!$B$14="",Nebenkosten!$E$14=0,$F21=0),0,Nebenkosten!$B$14*IF(Nebenkosten!$C$14="Fläche",$I21,IF(Nebenkosten!$C$14="Anteil",$J21,$K21))*IF(Nebenkosten!$D$14="Heizung",$H21,$G21)/Nebenkosten!$E$14)</f>
        <v/>
      </c>
      <c r="AF21" s="11">
        <f>IF(OR(Nebenkosten!$B$15="",Nebenkosten!$E$15=0,$F21=0),0,Nebenkosten!$B$15*IF(Nebenkosten!$C$15="Fläche",$I21,IF(Nebenkosten!$C$15="Anteil",$J21,$K21))*IF(Nebenkosten!$D$15="Heizung",$H21,$G21)/Nebenkosten!$E$15)</f>
        <v/>
      </c>
      <c r="AG21" s="11">
        <f>IF(OR(Nebenkosten!$B$16="",Nebenkosten!$E$16=0,$F21=0),0,Nebenkosten!$B$16*IF(Nebenkosten!$C$16="Fläche",$I21,IF(Nebenkosten!$C$16="Anteil",$J21,$K21))*IF(Nebenkosten!$D$16="Heizung",$H21,$G21)/Nebenkosten!$E$16)</f>
        <v/>
      </c>
      <c r="AH21" s="11">
        <f>IF(OR(Nebenkosten!$B$17="",Nebenkosten!$E$17=0,$F21=0),0,Nebenkosten!$B$17*IF(Nebenkosten!$C$17="Fläche",$I21,IF(Nebenkosten!$C$17="Anteil",$J21,$K21))*IF(Nebenkosten!$D$17="Heizung",$H21,$G21)/Nebenkosten!$E$17)</f>
        <v/>
      </c>
      <c r="AI21" s="11">
        <f>IF(OR(Nebenkosten!$B$18="",Nebenkosten!$E$18=0,$F21=0),0,Nebenkosten!$B$18*IF(Nebenkosten!$C$18="Fläche",$I21,IF(Nebenkosten!$C$18="Anteil",$J21,$K21))*IF(Nebenkosten!$D$18="Heizung",$H21,$G21)/Nebenkosten!$E$18)</f>
        <v/>
      </c>
      <c r="AJ21" s="11">
        <f>IF(OR(Nebenkosten!$B$19="",Nebenkosten!$E$19=0,$F21=0),0,Nebenkosten!$B$19*IF(Nebenkosten!$C$19="Fläche",$I21,IF(Nebenkosten!$C$19="Anteil",$J21,$K21))*IF(Nebenkosten!$D$19="Heizung",$H21,$G21)/Nebenkosten!$E$19)</f>
        <v/>
      </c>
      <c r="AK21" s="11">
        <f>IF(OR(Nebenkosten!$B$20="",Nebenkosten!$E$20=0,$F21=0),0,Nebenkosten!$B$20*IF(Nebenkosten!$C$20="Fläche",$I21,IF(Nebenkosten!$C$20="Anteil",$J21,$K21))*IF(Nebenkosten!$D$20="Heizung",$H21,$G21)/Nebenkosten!$E$20)</f>
        <v/>
      </c>
      <c r="AL21" s="11">
        <f>IF(OR(Nebenkosten!$B$21="",Nebenkosten!$E$21=0,$F21=0),0,Nebenkosten!$B$21*IF(Nebenkosten!$C$21="Fläche",$I21,IF(Nebenkosten!$C$21="Anteil",$J21,$K21))*IF(Nebenkosten!$D$21="Heizung",$H21,$G21)/Nebenkosten!$E$21)</f>
        <v/>
      </c>
      <c r="AM21" s="11">
        <f>IF(OR(Nebenkosten!$B$22="",Nebenkosten!$E$22=0,$F21=0),0,Nebenkosten!$B$22*IF(Nebenkosten!$C$22="Fläche",$I21,IF(Nebenkosten!$C$22="Anteil",$J21,$K21))*IF(Nebenkosten!$D$22="Heizung",$H21,$G21)/Nebenkosten!$E$22)</f>
        <v/>
      </c>
      <c r="AN21" s="11">
        <f>IF(OR(Nebenkosten!$B$23="",Nebenkosten!$E$23=0,$F21=0),0,Nebenkosten!$B$23*IF(Nebenkosten!$C$23="Fläche",$I21,IF(Nebenkosten!$C$23="Anteil",$J21,$K21))*IF(Nebenkosten!$D$23="Heizung",$H21,$G21)/Nebenkosten!$E$23)</f>
        <v/>
      </c>
      <c r="AO21" s="11">
        <f>IF(OR(Nebenkosten!$B$24="",Nebenkosten!$E$24=0,$F21=0),0,Nebenkosten!$B$24*IF(Nebenkosten!$C$24="Fläche",$I21,IF(Nebenkosten!$C$24="Anteil",$J21,$K21))*IF(Nebenkosten!$D$24="Heizung",$H21,$G21)/Nebenkosten!$E$24)</f>
        <v/>
      </c>
      <c r="AP21" s="11">
        <f>IF(OR(Nebenkosten!$B$25="",Nebenkosten!$E$25=0,$F21=0),0,Nebenkosten!$B$25*IF(Nebenkosten!$C$25="Fläche",$I21,IF(Nebenkosten!$C$25="Anteil",$J21,$K21))*IF(Nebenkosten!$D$25="Heizung",$H21,$G21)/Nebenkosten!$E$25)</f>
        <v/>
      </c>
      <c r="AQ21" s="11">
        <f>IF(OR(Nebenkosten!$B$26="",Nebenkosten!$E$26=0,$F21=0),0,Nebenkosten!$B$26*IF(Nebenkosten!$C$26="Fläche",$I21,IF(Nebenkosten!$C$26="Anteil",$J21,$K21))*IF(Nebenkosten!$D$26="Heizung",$H21,$G21)/Nebenkosten!$E$26)</f>
        <v/>
      </c>
      <c r="AR21" s="11">
        <f>IF(OR(Nebenkosten!$B$27="",Nebenkosten!$E$27=0,$F21=0),0,Nebenkosten!$B$27*IF(Nebenkosten!$C$27="Fläche",$I21,IF(Nebenkosten!$C$27="Anteil",$J21,$K21))*IF(Nebenkosten!$D$27="Heizung",$H21,$G21)/Nebenkosten!$E$27)</f>
        <v/>
      </c>
      <c r="AS21" s="11">
        <f>IF(OR(Nebenkosten!$B$28="",Nebenkosten!$E$28=0,$F21=0),0,Nebenkosten!$B$28*IF(Nebenkosten!$C$28="Fläche",$I21,IF(Nebenkosten!$C$28="Anteil",$J21,$K21))*IF(Nebenkosten!$D$28="Heizung",$H21,$G21)/Nebenkosten!$E$28)</f>
        <v/>
      </c>
      <c r="AT21" s="11">
        <f>IF(OR(Nebenkosten!$B$29="",Nebenkosten!$E$29=0,$F21=0),0,Nebenkosten!$B$29*IF(Nebenkosten!$C$29="Fläche",$I21,IF(Nebenkosten!$C$29="Anteil",$J21,$K21))*IF(Nebenkosten!$D$29="Heizung",$H21,$G21)/Nebenkosten!$E$29)</f>
        <v/>
      </c>
      <c r="AU21" s="11">
        <f>IF(OR(Nebenkosten!$B$30="",Nebenkosten!$E$30=0,$F21=0),0,Nebenkosten!$B$30*IF(Nebenkosten!$C$30="Fläche",$I21,IF(Nebenkosten!$C$30="Anteil",$J21,$K21))*IF(Nebenkosten!$D$30="Heizung",$H21,$G21)/Nebenkosten!$E$30)</f>
        <v/>
      </c>
      <c r="AV21" s="11">
        <f>IF(OR(Nebenkosten!$B$31="",Nebenkosten!$E$31=0,$F21=0),0,Nebenkosten!$B$31*IF(Nebenkosten!$C$31="Fläche",$I21,IF(Nebenkosten!$C$31="Anteil",$J21,$K21))*IF(Nebenkosten!$D$31="Heizung",$H21,$G21)/Nebenkosten!$E$31)</f>
        <v/>
      </c>
      <c r="AW21" s="11">
        <f>IF(OR(Nebenkosten!$B$32="",Nebenkosten!$E$32=0,$F21=0),0,Nebenkosten!$B$32*IF(Nebenkosten!$C$32="Fläche",$I21,IF(Nebenkosten!$C$32="Anteil",$J21,$K21))*IF(Nebenkosten!$D$32="Heizung",$H21,$G21)/Nebenkosten!$E$32)</f>
        <v/>
      </c>
      <c r="AX21" s="11">
        <f>IF(OR(Nebenkosten!$B$33="",Nebenkosten!$E$33=0,$F21=0),0,Nebenkosten!$B$33*IF(Nebenkosten!$C$33="Fläche",$I21,IF(Nebenkosten!$C$33="Anteil",$J21,$K21))*IF(Nebenkosten!$D$33="Heizung",$H21,$G21)/Nebenkosten!$E$33)</f>
        <v/>
      </c>
      <c r="AY21" s="11">
        <f>IF(OR(Nebenkosten!$B$34="",Nebenkosten!$E$34=0,$F21=0),0,Nebenkosten!$B$34*IF(Nebenkosten!$C$34="Fläche",$I21,IF(Nebenkosten!$C$34="Anteil",$J21,$K21))*IF(Nebenkosten!$D$34="Heizung",$H21,$G21)/Nebenkosten!$E$34)</f>
        <v/>
      </c>
      <c r="AZ21" s="11">
        <f>ROUND(SUM(AA21:AY21)*20,0)/20</f>
        <v/>
      </c>
      <c r="BA21" s="11">
        <f>IF(F21=0,0,N21)</f>
        <v/>
      </c>
      <c r="BB21" s="11">
        <f>AZ21-BA21</f>
        <v/>
      </c>
    </row>
    <row r="22">
      <c r="A22" s="10">
        <f>'Mein Haus'!A62</f>
        <v/>
      </c>
      <c r="B22" s="23">
        <f>IF('Mein Haus'!C62="","",'Mein Haus'!C62)</f>
        <v/>
      </c>
      <c r="C22" s="23">
        <f>IF('Mein Haus'!B62="","",'Mein Haus'!B62)</f>
        <v/>
      </c>
      <c r="D22" s="21">
        <f>IF(AND('Mein Haus'!C62&lt;&gt;"",'Mein Haus'!B62&lt;&gt;"",Nebenkosten!$B$7&lt;&gt;""),MAX(IF('Mein Haus'!D62="",Nebenkosten!$B$7,'Mein Haus'!D62),Nebenkosten!$B$7),"")</f>
        <v/>
      </c>
      <c r="E22" s="21">
        <f>IF(AND('Mein Haus'!C62&lt;&gt;"",'Mein Haus'!B62&lt;&gt;"",Nebenkosten!$B$7&lt;&gt;""),MIN(IF('Mein Haus'!F62="",Nebenkosten!$D$7,'Mein Haus'!F62),Nebenkosten!$D$7),"")</f>
        <v/>
      </c>
      <c r="F22" s="10">
        <f>IF(D22="",0,MAX(0,E22-D22+1))</f>
        <v/>
      </c>
      <c r="G22" s="49">
        <f>IF(F22=0,0,F22/Nebenkosten!$F$7)</f>
        <v/>
      </c>
      <c r="H22" s="49">
        <f>IF(F22=0,0,SUMPRODUCT(O22:Z22,$O$3:$Z$3)/Einstellungen!$F$17)</f>
        <v/>
      </c>
      <c r="I22" s="19">
        <f>IF(F22=0,0,IFERROR(INDEX('Mein Haus'!$D$11:$D$40,MATCH(C22,'Mein Haus'!$A$11:$A$40,0)),0))</f>
        <v/>
      </c>
      <c r="J22" s="19">
        <f>IF(F22=0,0,IFERROR(INDEX('Mein Haus'!$E$11:$E$40,MATCH(C22,'Mein Haus'!$A$11:$A$40,0)),0))</f>
        <v/>
      </c>
      <c r="K22" s="19">
        <f>IF(F22=0,0,IFERROR(INDEX('Mein Haus'!$F$11:$F$40,MATCH(C22,'Mein Haus'!$A$11:$A$40,0)),0))</f>
        <v/>
      </c>
      <c r="L22" s="11">
        <f>IF(F22=0,0,N('Mein Haus'!H62)*SUM(O22:Z22))</f>
        <v/>
      </c>
      <c r="M22" s="22" t="n"/>
      <c r="N22" s="11">
        <f>IF(M22&lt;&gt;"",M22,L22)</f>
        <v/>
      </c>
      <c r="O22" s="19">
        <f>IF(F22=0,0,MAX(0,MIN(E22,EOMONTH(EDATE(Nebenkosten!$B$7,0),0))-MAX(D22,EDATE(Nebenkosten!$B$7,0))+1)/DAY(EOMONTH(EDATE(Nebenkosten!$B$7,0),0)))</f>
        <v/>
      </c>
      <c r="P22" s="19">
        <f>IF(F22=0,0,MAX(0,MIN(E22,EOMONTH(EDATE(Nebenkosten!$B$7,1),0))-MAX(D22,EDATE(Nebenkosten!$B$7,1))+1)/DAY(EOMONTH(EDATE(Nebenkosten!$B$7,1),0)))</f>
        <v/>
      </c>
      <c r="Q22" s="19">
        <f>IF(F22=0,0,MAX(0,MIN(E22,EOMONTH(EDATE(Nebenkosten!$B$7,2),0))-MAX(D22,EDATE(Nebenkosten!$B$7,2))+1)/DAY(EOMONTH(EDATE(Nebenkosten!$B$7,2),0)))</f>
        <v/>
      </c>
      <c r="R22" s="19">
        <f>IF(F22=0,0,MAX(0,MIN(E22,EOMONTH(EDATE(Nebenkosten!$B$7,3),0))-MAX(D22,EDATE(Nebenkosten!$B$7,3))+1)/DAY(EOMONTH(EDATE(Nebenkosten!$B$7,3),0)))</f>
        <v/>
      </c>
      <c r="S22" s="19">
        <f>IF(F22=0,0,MAX(0,MIN(E22,EOMONTH(EDATE(Nebenkosten!$B$7,4),0))-MAX(D22,EDATE(Nebenkosten!$B$7,4))+1)/DAY(EOMONTH(EDATE(Nebenkosten!$B$7,4),0)))</f>
        <v/>
      </c>
      <c r="T22" s="19">
        <f>IF(F22=0,0,MAX(0,MIN(E22,EOMONTH(EDATE(Nebenkosten!$B$7,5),0))-MAX(D22,EDATE(Nebenkosten!$B$7,5))+1)/DAY(EOMONTH(EDATE(Nebenkosten!$B$7,5),0)))</f>
        <v/>
      </c>
      <c r="U22" s="19">
        <f>IF(F22=0,0,MAX(0,MIN(E22,EOMONTH(EDATE(Nebenkosten!$B$7,6),0))-MAX(D22,EDATE(Nebenkosten!$B$7,6))+1)/DAY(EOMONTH(EDATE(Nebenkosten!$B$7,6),0)))</f>
        <v/>
      </c>
      <c r="V22" s="19">
        <f>IF(F22=0,0,MAX(0,MIN(E22,EOMONTH(EDATE(Nebenkosten!$B$7,7),0))-MAX(D22,EDATE(Nebenkosten!$B$7,7))+1)/DAY(EOMONTH(EDATE(Nebenkosten!$B$7,7),0)))</f>
        <v/>
      </c>
      <c r="W22" s="19">
        <f>IF(F22=0,0,MAX(0,MIN(E22,EOMONTH(EDATE(Nebenkosten!$B$7,8),0))-MAX(D22,EDATE(Nebenkosten!$B$7,8))+1)/DAY(EOMONTH(EDATE(Nebenkosten!$B$7,8),0)))</f>
        <v/>
      </c>
      <c r="X22" s="19">
        <f>IF(F22=0,0,MAX(0,MIN(E22,EOMONTH(EDATE(Nebenkosten!$B$7,9),0))-MAX(D22,EDATE(Nebenkosten!$B$7,9))+1)/DAY(EOMONTH(EDATE(Nebenkosten!$B$7,9),0)))</f>
        <v/>
      </c>
      <c r="Y22" s="19">
        <f>IF(F22=0,0,MAX(0,MIN(E22,EOMONTH(EDATE(Nebenkosten!$B$7,10),0))-MAX(D22,EDATE(Nebenkosten!$B$7,10))+1)/DAY(EOMONTH(EDATE(Nebenkosten!$B$7,10),0)))</f>
        <v/>
      </c>
      <c r="Z22" s="19">
        <f>IF(F22=0,0,MAX(0,MIN(E22,EOMONTH(EDATE(Nebenkosten!$B$7,11),0))-MAX(D22,EDATE(Nebenkosten!$B$7,11))+1)/DAY(EOMONTH(EDATE(Nebenkosten!$B$7,11),0)))</f>
        <v/>
      </c>
      <c r="AA22" s="11">
        <f>IF(OR(Nebenkosten!$B$10="",Nebenkosten!$E$10=0,$F22=0),0,Nebenkosten!$B$10*IF(Nebenkosten!$C$10="Fläche",$I22,IF(Nebenkosten!$C$10="Anteil",$J22,$K22))*IF(Nebenkosten!$D$10="Heizung",$H22,$G22)/Nebenkosten!$E$10)</f>
        <v/>
      </c>
      <c r="AB22" s="11">
        <f>IF(OR(Nebenkosten!$B$11="",Nebenkosten!$E$11=0,$F22=0),0,Nebenkosten!$B$11*IF(Nebenkosten!$C$11="Fläche",$I22,IF(Nebenkosten!$C$11="Anteil",$J22,$K22))*IF(Nebenkosten!$D$11="Heizung",$H22,$G22)/Nebenkosten!$E$11)</f>
        <v/>
      </c>
      <c r="AC22" s="11">
        <f>IF(OR(Nebenkosten!$B$12="",Nebenkosten!$E$12=0,$F22=0),0,Nebenkosten!$B$12*IF(Nebenkosten!$C$12="Fläche",$I22,IF(Nebenkosten!$C$12="Anteil",$J22,$K22))*IF(Nebenkosten!$D$12="Heizung",$H22,$G22)/Nebenkosten!$E$12)</f>
        <v/>
      </c>
      <c r="AD22" s="11">
        <f>IF(OR(Nebenkosten!$B$13="",Nebenkosten!$E$13=0,$F22=0),0,Nebenkosten!$B$13*IF(Nebenkosten!$C$13="Fläche",$I22,IF(Nebenkosten!$C$13="Anteil",$J22,$K22))*IF(Nebenkosten!$D$13="Heizung",$H22,$G22)/Nebenkosten!$E$13)</f>
        <v/>
      </c>
      <c r="AE22" s="11">
        <f>IF(OR(Nebenkosten!$B$14="",Nebenkosten!$E$14=0,$F22=0),0,Nebenkosten!$B$14*IF(Nebenkosten!$C$14="Fläche",$I22,IF(Nebenkosten!$C$14="Anteil",$J22,$K22))*IF(Nebenkosten!$D$14="Heizung",$H22,$G22)/Nebenkosten!$E$14)</f>
        <v/>
      </c>
      <c r="AF22" s="11">
        <f>IF(OR(Nebenkosten!$B$15="",Nebenkosten!$E$15=0,$F22=0),0,Nebenkosten!$B$15*IF(Nebenkosten!$C$15="Fläche",$I22,IF(Nebenkosten!$C$15="Anteil",$J22,$K22))*IF(Nebenkosten!$D$15="Heizung",$H22,$G22)/Nebenkosten!$E$15)</f>
        <v/>
      </c>
      <c r="AG22" s="11">
        <f>IF(OR(Nebenkosten!$B$16="",Nebenkosten!$E$16=0,$F22=0),0,Nebenkosten!$B$16*IF(Nebenkosten!$C$16="Fläche",$I22,IF(Nebenkosten!$C$16="Anteil",$J22,$K22))*IF(Nebenkosten!$D$16="Heizung",$H22,$G22)/Nebenkosten!$E$16)</f>
        <v/>
      </c>
      <c r="AH22" s="11">
        <f>IF(OR(Nebenkosten!$B$17="",Nebenkosten!$E$17=0,$F22=0),0,Nebenkosten!$B$17*IF(Nebenkosten!$C$17="Fläche",$I22,IF(Nebenkosten!$C$17="Anteil",$J22,$K22))*IF(Nebenkosten!$D$17="Heizung",$H22,$G22)/Nebenkosten!$E$17)</f>
        <v/>
      </c>
      <c r="AI22" s="11">
        <f>IF(OR(Nebenkosten!$B$18="",Nebenkosten!$E$18=0,$F22=0),0,Nebenkosten!$B$18*IF(Nebenkosten!$C$18="Fläche",$I22,IF(Nebenkosten!$C$18="Anteil",$J22,$K22))*IF(Nebenkosten!$D$18="Heizung",$H22,$G22)/Nebenkosten!$E$18)</f>
        <v/>
      </c>
      <c r="AJ22" s="11">
        <f>IF(OR(Nebenkosten!$B$19="",Nebenkosten!$E$19=0,$F22=0),0,Nebenkosten!$B$19*IF(Nebenkosten!$C$19="Fläche",$I22,IF(Nebenkosten!$C$19="Anteil",$J22,$K22))*IF(Nebenkosten!$D$19="Heizung",$H22,$G22)/Nebenkosten!$E$19)</f>
        <v/>
      </c>
      <c r="AK22" s="11">
        <f>IF(OR(Nebenkosten!$B$20="",Nebenkosten!$E$20=0,$F22=0),0,Nebenkosten!$B$20*IF(Nebenkosten!$C$20="Fläche",$I22,IF(Nebenkosten!$C$20="Anteil",$J22,$K22))*IF(Nebenkosten!$D$20="Heizung",$H22,$G22)/Nebenkosten!$E$20)</f>
        <v/>
      </c>
      <c r="AL22" s="11">
        <f>IF(OR(Nebenkosten!$B$21="",Nebenkosten!$E$21=0,$F22=0),0,Nebenkosten!$B$21*IF(Nebenkosten!$C$21="Fläche",$I22,IF(Nebenkosten!$C$21="Anteil",$J22,$K22))*IF(Nebenkosten!$D$21="Heizung",$H22,$G22)/Nebenkosten!$E$21)</f>
        <v/>
      </c>
      <c r="AM22" s="11">
        <f>IF(OR(Nebenkosten!$B$22="",Nebenkosten!$E$22=0,$F22=0),0,Nebenkosten!$B$22*IF(Nebenkosten!$C$22="Fläche",$I22,IF(Nebenkosten!$C$22="Anteil",$J22,$K22))*IF(Nebenkosten!$D$22="Heizung",$H22,$G22)/Nebenkosten!$E$22)</f>
        <v/>
      </c>
      <c r="AN22" s="11">
        <f>IF(OR(Nebenkosten!$B$23="",Nebenkosten!$E$23=0,$F22=0),0,Nebenkosten!$B$23*IF(Nebenkosten!$C$23="Fläche",$I22,IF(Nebenkosten!$C$23="Anteil",$J22,$K22))*IF(Nebenkosten!$D$23="Heizung",$H22,$G22)/Nebenkosten!$E$23)</f>
        <v/>
      </c>
      <c r="AO22" s="11">
        <f>IF(OR(Nebenkosten!$B$24="",Nebenkosten!$E$24=0,$F22=0),0,Nebenkosten!$B$24*IF(Nebenkosten!$C$24="Fläche",$I22,IF(Nebenkosten!$C$24="Anteil",$J22,$K22))*IF(Nebenkosten!$D$24="Heizung",$H22,$G22)/Nebenkosten!$E$24)</f>
        <v/>
      </c>
      <c r="AP22" s="11">
        <f>IF(OR(Nebenkosten!$B$25="",Nebenkosten!$E$25=0,$F22=0),0,Nebenkosten!$B$25*IF(Nebenkosten!$C$25="Fläche",$I22,IF(Nebenkosten!$C$25="Anteil",$J22,$K22))*IF(Nebenkosten!$D$25="Heizung",$H22,$G22)/Nebenkosten!$E$25)</f>
        <v/>
      </c>
      <c r="AQ22" s="11">
        <f>IF(OR(Nebenkosten!$B$26="",Nebenkosten!$E$26=0,$F22=0),0,Nebenkosten!$B$26*IF(Nebenkosten!$C$26="Fläche",$I22,IF(Nebenkosten!$C$26="Anteil",$J22,$K22))*IF(Nebenkosten!$D$26="Heizung",$H22,$G22)/Nebenkosten!$E$26)</f>
        <v/>
      </c>
      <c r="AR22" s="11">
        <f>IF(OR(Nebenkosten!$B$27="",Nebenkosten!$E$27=0,$F22=0),0,Nebenkosten!$B$27*IF(Nebenkosten!$C$27="Fläche",$I22,IF(Nebenkosten!$C$27="Anteil",$J22,$K22))*IF(Nebenkosten!$D$27="Heizung",$H22,$G22)/Nebenkosten!$E$27)</f>
        <v/>
      </c>
      <c r="AS22" s="11">
        <f>IF(OR(Nebenkosten!$B$28="",Nebenkosten!$E$28=0,$F22=0),0,Nebenkosten!$B$28*IF(Nebenkosten!$C$28="Fläche",$I22,IF(Nebenkosten!$C$28="Anteil",$J22,$K22))*IF(Nebenkosten!$D$28="Heizung",$H22,$G22)/Nebenkosten!$E$28)</f>
        <v/>
      </c>
      <c r="AT22" s="11">
        <f>IF(OR(Nebenkosten!$B$29="",Nebenkosten!$E$29=0,$F22=0),0,Nebenkosten!$B$29*IF(Nebenkosten!$C$29="Fläche",$I22,IF(Nebenkosten!$C$29="Anteil",$J22,$K22))*IF(Nebenkosten!$D$29="Heizung",$H22,$G22)/Nebenkosten!$E$29)</f>
        <v/>
      </c>
      <c r="AU22" s="11">
        <f>IF(OR(Nebenkosten!$B$30="",Nebenkosten!$E$30=0,$F22=0),0,Nebenkosten!$B$30*IF(Nebenkosten!$C$30="Fläche",$I22,IF(Nebenkosten!$C$30="Anteil",$J22,$K22))*IF(Nebenkosten!$D$30="Heizung",$H22,$G22)/Nebenkosten!$E$30)</f>
        <v/>
      </c>
      <c r="AV22" s="11">
        <f>IF(OR(Nebenkosten!$B$31="",Nebenkosten!$E$31=0,$F22=0),0,Nebenkosten!$B$31*IF(Nebenkosten!$C$31="Fläche",$I22,IF(Nebenkosten!$C$31="Anteil",$J22,$K22))*IF(Nebenkosten!$D$31="Heizung",$H22,$G22)/Nebenkosten!$E$31)</f>
        <v/>
      </c>
      <c r="AW22" s="11">
        <f>IF(OR(Nebenkosten!$B$32="",Nebenkosten!$E$32=0,$F22=0),0,Nebenkosten!$B$32*IF(Nebenkosten!$C$32="Fläche",$I22,IF(Nebenkosten!$C$32="Anteil",$J22,$K22))*IF(Nebenkosten!$D$32="Heizung",$H22,$G22)/Nebenkosten!$E$32)</f>
        <v/>
      </c>
      <c r="AX22" s="11">
        <f>IF(OR(Nebenkosten!$B$33="",Nebenkosten!$E$33=0,$F22=0),0,Nebenkosten!$B$33*IF(Nebenkosten!$C$33="Fläche",$I22,IF(Nebenkosten!$C$33="Anteil",$J22,$K22))*IF(Nebenkosten!$D$33="Heizung",$H22,$G22)/Nebenkosten!$E$33)</f>
        <v/>
      </c>
      <c r="AY22" s="11">
        <f>IF(OR(Nebenkosten!$B$34="",Nebenkosten!$E$34=0,$F22=0),0,Nebenkosten!$B$34*IF(Nebenkosten!$C$34="Fläche",$I22,IF(Nebenkosten!$C$34="Anteil",$J22,$K22))*IF(Nebenkosten!$D$34="Heizung",$H22,$G22)/Nebenkosten!$E$34)</f>
        <v/>
      </c>
      <c r="AZ22" s="11">
        <f>ROUND(SUM(AA22:AY22)*20,0)/20</f>
        <v/>
      </c>
      <c r="BA22" s="11">
        <f>IF(F22=0,0,N22)</f>
        <v/>
      </c>
      <c r="BB22" s="11">
        <f>AZ22-BA22</f>
        <v/>
      </c>
    </row>
    <row r="23">
      <c r="A23" s="10">
        <f>'Mein Haus'!A63</f>
        <v/>
      </c>
      <c r="B23" s="23">
        <f>IF('Mein Haus'!C63="","",'Mein Haus'!C63)</f>
        <v/>
      </c>
      <c r="C23" s="23">
        <f>IF('Mein Haus'!B63="","",'Mein Haus'!B63)</f>
        <v/>
      </c>
      <c r="D23" s="21">
        <f>IF(AND('Mein Haus'!C63&lt;&gt;"",'Mein Haus'!B63&lt;&gt;"",Nebenkosten!$B$7&lt;&gt;""),MAX(IF('Mein Haus'!D63="",Nebenkosten!$B$7,'Mein Haus'!D63),Nebenkosten!$B$7),"")</f>
        <v/>
      </c>
      <c r="E23" s="21">
        <f>IF(AND('Mein Haus'!C63&lt;&gt;"",'Mein Haus'!B63&lt;&gt;"",Nebenkosten!$B$7&lt;&gt;""),MIN(IF('Mein Haus'!F63="",Nebenkosten!$D$7,'Mein Haus'!F63),Nebenkosten!$D$7),"")</f>
        <v/>
      </c>
      <c r="F23" s="10">
        <f>IF(D23="",0,MAX(0,E23-D23+1))</f>
        <v/>
      </c>
      <c r="G23" s="49">
        <f>IF(F23=0,0,F23/Nebenkosten!$F$7)</f>
        <v/>
      </c>
      <c r="H23" s="49">
        <f>IF(F23=0,0,SUMPRODUCT(O23:Z23,$O$3:$Z$3)/Einstellungen!$F$17)</f>
        <v/>
      </c>
      <c r="I23" s="19">
        <f>IF(F23=0,0,IFERROR(INDEX('Mein Haus'!$D$11:$D$40,MATCH(C23,'Mein Haus'!$A$11:$A$40,0)),0))</f>
        <v/>
      </c>
      <c r="J23" s="19">
        <f>IF(F23=0,0,IFERROR(INDEX('Mein Haus'!$E$11:$E$40,MATCH(C23,'Mein Haus'!$A$11:$A$40,0)),0))</f>
        <v/>
      </c>
      <c r="K23" s="19">
        <f>IF(F23=0,0,IFERROR(INDEX('Mein Haus'!$F$11:$F$40,MATCH(C23,'Mein Haus'!$A$11:$A$40,0)),0))</f>
        <v/>
      </c>
      <c r="L23" s="11">
        <f>IF(F23=0,0,N('Mein Haus'!H63)*SUM(O23:Z23))</f>
        <v/>
      </c>
      <c r="M23" s="22" t="n"/>
      <c r="N23" s="11">
        <f>IF(M23&lt;&gt;"",M23,L23)</f>
        <v/>
      </c>
      <c r="O23" s="19">
        <f>IF(F23=0,0,MAX(0,MIN(E23,EOMONTH(EDATE(Nebenkosten!$B$7,0),0))-MAX(D23,EDATE(Nebenkosten!$B$7,0))+1)/DAY(EOMONTH(EDATE(Nebenkosten!$B$7,0),0)))</f>
        <v/>
      </c>
      <c r="P23" s="19">
        <f>IF(F23=0,0,MAX(0,MIN(E23,EOMONTH(EDATE(Nebenkosten!$B$7,1),0))-MAX(D23,EDATE(Nebenkosten!$B$7,1))+1)/DAY(EOMONTH(EDATE(Nebenkosten!$B$7,1),0)))</f>
        <v/>
      </c>
      <c r="Q23" s="19">
        <f>IF(F23=0,0,MAX(0,MIN(E23,EOMONTH(EDATE(Nebenkosten!$B$7,2),0))-MAX(D23,EDATE(Nebenkosten!$B$7,2))+1)/DAY(EOMONTH(EDATE(Nebenkosten!$B$7,2),0)))</f>
        <v/>
      </c>
      <c r="R23" s="19">
        <f>IF(F23=0,0,MAX(0,MIN(E23,EOMONTH(EDATE(Nebenkosten!$B$7,3),0))-MAX(D23,EDATE(Nebenkosten!$B$7,3))+1)/DAY(EOMONTH(EDATE(Nebenkosten!$B$7,3),0)))</f>
        <v/>
      </c>
      <c r="S23" s="19">
        <f>IF(F23=0,0,MAX(0,MIN(E23,EOMONTH(EDATE(Nebenkosten!$B$7,4),0))-MAX(D23,EDATE(Nebenkosten!$B$7,4))+1)/DAY(EOMONTH(EDATE(Nebenkosten!$B$7,4),0)))</f>
        <v/>
      </c>
      <c r="T23" s="19">
        <f>IF(F23=0,0,MAX(0,MIN(E23,EOMONTH(EDATE(Nebenkosten!$B$7,5),0))-MAX(D23,EDATE(Nebenkosten!$B$7,5))+1)/DAY(EOMONTH(EDATE(Nebenkosten!$B$7,5),0)))</f>
        <v/>
      </c>
      <c r="U23" s="19">
        <f>IF(F23=0,0,MAX(0,MIN(E23,EOMONTH(EDATE(Nebenkosten!$B$7,6),0))-MAX(D23,EDATE(Nebenkosten!$B$7,6))+1)/DAY(EOMONTH(EDATE(Nebenkosten!$B$7,6),0)))</f>
        <v/>
      </c>
      <c r="V23" s="19">
        <f>IF(F23=0,0,MAX(0,MIN(E23,EOMONTH(EDATE(Nebenkosten!$B$7,7),0))-MAX(D23,EDATE(Nebenkosten!$B$7,7))+1)/DAY(EOMONTH(EDATE(Nebenkosten!$B$7,7),0)))</f>
        <v/>
      </c>
      <c r="W23" s="19">
        <f>IF(F23=0,0,MAX(0,MIN(E23,EOMONTH(EDATE(Nebenkosten!$B$7,8),0))-MAX(D23,EDATE(Nebenkosten!$B$7,8))+1)/DAY(EOMONTH(EDATE(Nebenkosten!$B$7,8),0)))</f>
        <v/>
      </c>
      <c r="X23" s="19">
        <f>IF(F23=0,0,MAX(0,MIN(E23,EOMONTH(EDATE(Nebenkosten!$B$7,9),0))-MAX(D23,EDATE(Nebenkosten!$B$7,9))+1)/DAY(EOMONTH(EDATE(Nebenkosten!$B$7,9),0)))</f>
        <v/>
      </c>
      <c r="Y23" s="19">
        <f>IF(F23=0,0,MAX(0,MIN(E23,EOMONTH(EDATE(Nebenkosten!$B$7,10),0))-MAX(D23,EDATE(Nebenkosten!$B$7,10))+1)/DAY(EOMONTH(EDATE(Nebenkosten!$B$7,10),0)))</f>
        <v/>
      </c>
      <c r="Z23" s="19">
        <f>IF(F23=0,0,MAX(0,MIN(E23,EOMONTH(EDATE(Nebenkosten!$B$7,11),0))-MAX(D23,EDATE(Nebenkosten!$B$7,11))+1)/DAY(EOMONTH(EDATE(Nebenkosten!$B$7,11),0)))</f>
        <v/>
      </c>
      <c r="AA23" s="11">
        <f>IF(OR(Nebenkosten!$B$10="",Nebenkosten!$E$10=0,$F23=0),0,Nebenkosten!$B$10*IF(Nebenkosten!$C$10="Fläche",$I23,IF(Nebenkosten!$C$10="Anteil",$J23,$K23))*IF(Nebenkosten!$D$10="Heizung",$H23,$G23)/Nebenkosten!$E$10)</f>
        <v/>
      </c>
      <c r="AB23" s="11">
        <f>IF(OR(Nebenkosten!$B$11="",Nebenkosten!$E$11=0,$F23=0),0,Nebenkosten!$B$11*IF(Nebenkosten!$C$11="Fläche",$I23,IF(Nebenkosten!$C$11="Anteil",$J23,$K23))*IF(Nebenkosten!$D$11="Heizung",$H23,$G23)/Nebenkosten!$E$11)</f>
        <v/>
      </c>
      <c r="AC23" s="11">
        <f>IF(OR(Nebenkosten!$B$12="",Nebenkosten!$E$12=0,$F23=0),0,Nebenkosten!$B$12*IF(Nebenkosten!$C$12="Fläche",$I23,IF(Nebenkosten!$C$12="Anteil",$J23,$K23))*IF(Nebenkosten!$D$12="Heizung",$H23,$G23)/Nebenkosten!$E$12)</f>
        <v/>
      </c>
      <c r="AD23" s="11">
        <f>IF(OR(Nebenkosten!$B$13="",Nebenkosten!$E$13=0,$F23=0),0,Nebenkosten!$B$13*IF(Nebenkosten!$C$13="Fläche",$I23,IF(Nebenkosten!$C$13="Anteil",$J23,$K23))*IF(Nebenkosten!$D$13="Heizung",$H23,$G23)/Nebenkosten!$E$13)</f>
        <v/>
      </c>
      <c r="AE23" s="11">
        <f>IF(OR(Nebenkosten!$B$14="",Nebenkosten!$E$14=0,$F23=0),0,Nebenkosten!$B$14*IF(Nebenkosten!$C$14="Fläche",$I23,IF(Nebenkosten!$C$14="Anteil",$J23,$K23))*IF(Nebenkosten!$D$14="Heizung",$H23,$G23)/Nebenkosten!$E$14)</f>
        <v/>
      </c>
      <c r="AF23" s="11">
        <f>IF(OR(Nebenkosten!$B$15="",Nebenkosten!$E$15=0,$F23=0),0,Nebenkosten!$B$15*IF(Nebenkosten!$C$15="Fläche",$I23,IF(Nebenkosten!$C$15="Anteil",$J23,$K23))*IF(Nebenkosten!$D$15="Heizung",$H23,$G23)/Nebenkosten!$E$15)</f>
        <v/>
      </c>
      <c r="AG23" s="11">
        <f>IF(OR(Nebenkosten!$B$16="",Nebenkosten!$E$16=0,$F23=0),0,Nebenkosten!$B$16*IF(Nebenkosten!$C$16="Fläche",$I23,IF(Nebenkosten!$C$16="Anteil",$J23,$K23))*IF(Nebenkosten!$D$16="Heizung",$H23,$G23)/Nebenkosten!$E$16)</f>
        <v/>
      </c>
      <c r="AH23" s="11">
        <f>IF(OR(Nebenkosten!$B$17="",Nebenkosten!$E$17=0,$F23=0),0,Nebenkosten!$B$17*IF(Nebenkosten!$C$17="Fläche",$I23,IF(Nebenkosten!$C$17="Anteil",$J23,$K23))*IF(Nebenkosten!$D$17="Heizung",$H23,$G23)/Nebenkosten!$E$17)</f>
        <v/>
      </c>
      <c r="AI23" s="11">
        <f>IF(OR(Nebenkosten!$B$18="",Nebenkosten!$E$18=0,$F23=0),0,Nebenkosten!$B$18*IF(Nebenkosten!$C$18="Fläche",$I23,IF(Nebenkosten!$C$18="Anteil",$J23,$K23))*IF(Nebenkosten!$D$18="Heizung",$H23,$G23)/Nebenkosten!$E$18)</f>
        <v/>
      </c>
      <c r="AJ23" s="11">
        <f>IF(OR(Nebenkosten!$B$19="",Nebenkosten!$E$19=0,$F23=0),0,Nebenkosten!$B$19*IF(Nebenkosten!$C$19="Fläche",$I23,IF(Nebenkosten!$C$19="Anteil",$J23,$K23))*IF(Nebenkosten!$D$19="Heizung",$H23,$G23)/Nebenkosten!$E$19)</f>
        <v/>
      </c>
      <c r="AK23" s="11">
        <f>IF(OR(Nebenkosten!$B$20="",Nebenkosten!$E$20=0,$F23=0),0,Nebenkosten!$B$20*IF(Nebenkosten!$C$20="Fläche",$I23,IF(Nebenkosten!$C$20="Anteil",$J23,$K23))*IF(Nebenkosten!$D$20="Heizung",$H23,$G23)/Nebenkosten!$E$20)</f>
        <v/>
      </c>
      <c r="AL23" s="11">
        <f>IF(OR(Nebenkosten!$B$21="",Nebenkosten!$E$21=0,$F23=0),0,Nebenkosten!$B$21*IF(Nebenkosten!$C$21="Fläche",$I23,IF(Nebenkosten!$C$21="Anteil",$J23,$K23))*IF(Nebenkosten!$D$21="Heizung",$H23,$G23)/Nebenkosten!$E$21)</f>
        <v/>
      </c>
      <c r="AM23" s="11">
        <f>IF(OR(Nebenkosten!$B$22="",Nebenkosten!$E$22=0,$F23=0),0,Nebenkosten!$B$22*IF(Nebenkosten!$C$22="Fläche",$I23,IF(Nebenkosten!$C$22="Anteil",$J23,$K23))*IF(Nebenkosten!$D$22="Heizung",$H23,$G23)/Nebenkosten!$E$22)</f>
        <v/>
      </c>
      <c r="AN23" s="11">
        <f>IF(OR(Nebenkosten!$B$23="",Nebenkosten!$E$23=0,$F23=0),0,Nebenkosten!$B$23*IF(Nebenkosten!$C$23="Fläche",$I23,IF(Nebenkosten!$C$23="Anteil",$J23,$K23))*IF(Nebenkosten!$D$23="Heizung",$H23,$G23)/Nebenkosten!$E$23)</f>
        <v/>
      </c>
      <c r="AO23" s="11">
        <f>IF(OR(Nebenkosten!$B$24="",Nebenkosten!$E$24=0,$F23=0),0,Nebenkosten!$B$24*IF(Nebenkosten!$C$24="Fläche",$I23,IF(Nebenkosten!$C$24="Anteil",$J23,$K23))*IF(Nebenkosten!$D$24="Heizung",$H23,$G23)/Nebenkosten!$E$24)</f>
        <v/>
      </c>
      <c r="AP23" s="11">
        <f>IF(OR(Nebenkosten!$B$25="",Nebenkosten!$E$25=0,$F23=0),0,Nebenkosten!$B$25*IF(Nebenkosten!$C$25="Fläche",$I23,IF(Nebenkosten!$C$25="Anteil",$J23,$K23))*IF(Nebenkosten!$D$25="Heizung",$H23,$G23)/Nebenkosten!$E$25)</f>
        <v/>
      </c>
      <c r="AQ23" s="11">
        <f>IF(OR(Nebenkosten!$B$26="",Nebenkosten!$E$26=0,$F23=0),0,Nebenkosten!$B$26*IF(Nebenkosten!$C$26="Fläche",$I23,IF(Nebenkosten!$C$26="Anteil",$J23,$K23))*IF(Nebenkosten!$D$26="Heizung",$H23,$G23)/Nebenkosten!$E$26)</f>
        <v/>
      </c>
      <c r="AR23" s="11">
        <f>IF(OR(Nebenkosten!$B$27="",Nebenkosten!$E$27=0,$F23=0),0,Nebenkosten!$B$27*IF(Nebenkosten!$C$27="Fläche",$I23,IF(Nebenkosten!$C$27="Anteil",$J23,$K23))*IF(Nebenkosten!$D$27="Heizung",$H23,$G23)/Nebenkosten!$E$27)</f>
        <v/>
      </c>
      <c r="AS23" s="11">
        <f>IF(OR(Nebenkosten!$B$28="",Nebenkosten!$E$28=0,$F23=0),0,Nebenkosten!$B$28*IF(Nebenkosten!$C$28="Fläche",$I23,IF(Nebenkosten!$C$28="Anteil",$J23,$K23))*IF(Nebenkosten!$D$28="Heizung",$H23,$G23)/Nebenkosten!$E$28)</f>
        <v/>
      </c>
      <c r="AT23" s="11">
        <f>IF(OR(Nebenkosten!$B$29="",Nebenkosten!$E$29=0,$F23=0),0,Nebenkosten!$B$29*IF(Nebenkosten!$C$29="Fläche",$I23,IF(Nebenkosten!$C$29="Anteil",$J23,$K23))*IF(Nebenkosten!$D$29="Heizung",$H23,$G23)/Nebenkosten!$E$29)</f>
        <v/>
      </c>
      <c r="AU23" s="11">
        <f>IF(OR(Nebenkosten!$B$30="",Nebenkosten!$E$30=0,$F23=0),0,Nebenkosten!$B$30*IF(Nebenkosten!$C$30="Fläche",$I23,IF(Nebenkosten!$C$30="Anteil",$J23,$K23))*IF(Nebenkosten!$D$30="Heizung",$H23,$G23)/Nebenkosten!$E$30)</f>
        <v/>
      </c>
      <c r="AV23" s="11">
        <f>IF(OR(Nebenkosten!$B$31="",Nebenkosten!$E$31=0,$F23=0),0,Nebenkosten!$B$31*IF(Nebenkosten!$C$31="Fläche",$I23,IF(Nebenkosten!$C$31="Anteil",$J23,$K23))*IF(Nebenkosten!$D$31="Heizung",$H23,$G23)/Nebenkosten!$E$31)</f>
        <v/>
      </c>
      <c r="AW23" s="11">
        <f>IF(OR(Nebenkosten!$B$32="",Nebenkosten!$E$32=0,$F23=0),0,Nebenkosten!$B$32*IF(Nebenkosten!$C$32="Fläche",$I23,IF(Nebenkosten!$C$32="Anteil",$J23,$K23))*IF(Nebenkosten!$D$32="Heizung",$H23,$G23)/Nebenkosten!$E$32)</f>
        <v/>
      </c>
      <c r="AX23" s="11">
        <f>IF(OR(Nebenkosten!$B$33="",Nebenkosten!$E$33=0,$F23=0),0,Nebenkosten!$B$33*IF(Nebenkosten!$C$33="Fläche",$I23,IF(Nebenkosten!$C$33="Anteil",$J23,$K23))*IF(Nebenkosten!$D$33="Heizung",$H23,$G23)/Nebenkosten!$E$33)</f>
        <v/>
      </c>
      <c r="AY23" s="11">
        <f>IF(OR(Nebenkosten!$B$34="",Nebenkosten!$E$34=0,$F23=0),0,Nebenkosten!$B$34*IF(Nebenkosten!$C$34="Fläche",$I23,IF(Nebenkosten!$C$34="Anteil",$J23,$K23))*IF(Nebenkosten!$D$34="Heizung",$H23,$G23)/Nebenkosten!$E$34)</f>
        <v/>
      </c>
      <c r="AZ23" s="11">
        <f>ROUND(SUM(AA23:AY23)*20,0)/20</f>
        <v/>
      </c>
      <c r="BA23" s="11">
        <f>IF(F23=0,0,N23)</f>
        <v/>
      </c>
      <c r="BB23" s="11">
        <f>AZ23-BA23</f>
        <v/>
      </c>
    </row>
    <row r="24">
      <c r="A24" s="10">
        <f>'Mein Haus'!A64</f>
        <v/>
      </c>
      <c r="B24" s="23">
        <f>IF('Mein Haus'!C64="","",'Mein Haus'!C64)</f>
        <v/>
      </c>
      <c r="C24" s="23">
        <f>IF('Mein Haus'!B64="","",'Mein Haus'!B64)</f>
        <v/>
      </c>
      <c r="D24" s="21">
        <f>IF(AND('Mein Haus'!C64&lt;&gt;"",'Mein Haus'!B64&lt;&gt;"",Nebenkosten!$B$7&lt;&gt;""),MAX(IF('Mein Haus'!D64="",Nebenkosten!$B$7,'Mein Haus'!D64),Nebenkosten!$B$7),"")</f>
        <v/>
      </c>
      <c r="E24" s="21">
        <f>IF(AND('Mein Haus'!C64&lt;&gt;"",'Mein Haus'!B64&lt;&gt;"",Nebenkosten!$B$7&lt;&gt;""),MIN(IF('Mein Haus'!F64="",Nebenkosten!$D$7,'Mein Haus'!F64),Nebenkosten!$D$7),"")</f>
        <v/>
      </c>
      <c r="F24" s="10">
        <f>IF(D24="",0,MAX(0,E24-D24+1))</f>
        <v/>
      </c>
      <c r="G24" s="49">
        <f>IF(F24=0,0,F24/Nebenkosten!$F$7)</f>
        <v/>
      </c>
      <c r="H24" s="49">
        <f>IF(F24=0,0,SUMPRODUCT(O24:Z24,$O$3:$Z$3)/Einstellungen!$F$17)</f>
        <v/>
      </c>
      <c r="I24" s="19">
        <f>IF(F24=0,0,IFERROR(INDEX('Mein Haus'!$D$11:$D$40,MATCH(C24,'Mein Haus'!$A$11:$A$40,0)),0))</f>
        <v/>
      </c>
      <c r="J24" s="19">
        <f>IF(F24=0,0,IFERROR(INDEX('Mein Haus'!$E$11:$E$40,MATCH(C24,'Mein Haus'!$A$11:$A$40,0)),0))</f>
        <v/>
      </c>
      <c r="K24" s="19">
        <f>IF(F24=0,0,IFERROR(INDEX('Mein Haus'!$F$11:$F$40,MATCH(C24,'Mein Haus'!$A$11:$A$40,0)),0))</f>
        <v/>
      </c>
      <c r="L24" s="11">
        <f>IF(F24=0,0,N('Mein Haus'!H64)*SUM(O24:Z24))</f>
        <v/>
      </c>
      <c r="M24" s="22" t="n"/>
      <c r="N24" s="11">
        <f>IF(M24&lt;&gt;"",M24,L24)</f>
        <v/>
      </c>
      <c r="O24" s="19">
        <f>IF(F24=0,0,MAX(0,MIN(E24,EOMONTH(EDATE(Nebenkosten!$B$7,0),0))-MAX(D24,EDATE(Nebenkosten!$B$7,0))+1)/DAY(EOMONTH(EDATE(Nebenkosten!$B$7,0),0)))</f>
        <v/>
      </c>
      <c r="P24" s="19">
        <f>IF(F24=0,0,MAX(0,MIN(E24,EOMONTH(EDATE(Nebenkosten!$B$7,1),0))-MAX(D24,EDATE(Nebenkosten!$B$7,1))+1)/DAY(EOMONTH(EDATE(Nebenkosten!$B$7,1),0)))</f>
        <v/>
      </c>
      <c r="Q24" s="19">
        <f>IF(F24=0,0,MAX(0,MIN(E24,EOMONTH(EDATE(Nebenkosten!$B$7,2),0))-MAX(D24,EDATE(Nebenkosten!$B$7,2))+1)/DAY(EOMONTH(EDATE(Nebenkosten!$B$7,2),0)))</f>
        <v/>
      </c>
      <c r="R24" s="19">
        <f>IF(F24=0,0,MAX(0,MIN(E24,EOMONTH(EDATE(Nebenkosten!$B$7,3),0))-MAX(D24,EDATE(Nebenkosten!$B$7,3))+1)/DAY(EOMONTH(EDATE(Nebenkosten!$B$7,3),0)))</f>
        <v/>
      </c>
      <c r="S24" s="19">
        <f>IF(F24=0,0,MAX(0,MIN(E24,EOMONTH(EDATE(Nebenkosten!$B$7,4),0))-MAX(D24,EDATE(Nebenkosten!$B$7,4))+1)/DAY(EOMONTH(EDATE(Nebenkosten!$B$7,4),0)))</f>
        <v/>
      </c>
      <c r="T24" s="19">
        <f>IF(F24=0,0,MAX(0,MIN(E24,EOMONTH(EDATE(Nebenkosten!$B$7,5),0))-MAX(D24,EDATE(Nebenkosten!$B$7,5))+1)/DAY(EOMONTH(EDATE(Nebenkosten!$B$7,5),0)))</f>
        <v/>
      </c>
      <c r="U24" s="19">
        <f>IF(F24=0,0,MAX(0,MIN(E24,EOMONTH(EDATE(Nebenkosten!$B$7,6),0))-MAX(D24,EDATE(Nebenkosten!$B$7,6))+1)/DAY(EOMONTH(EDATE(Nebenkosten!$B$7,6),0)))</f>
        <v/>
      </c>
      <c r="V24" s="19">
        <f>IF(F24=0,0,MAX(0,MIN(E24,EOMONTH(EDATE(Nebenkosten!$B$7,7),0))-MAX(D24,EDATE(Nebenkosten!$B$7,7))+1)/DAY(EOMONTH(EDATE(Nebenkosten!$B$7,7),0)))</f>
        <v/>
      </c>
      <c r="W24" s="19">
        <f>IF(F24=0,0,MAX(0,MIN(E24,EOMONTH(EDATE(Nebenkosten!$B$7,8),0))-MAX(D24,EDATE(Nebenkosten!$B$7,8))+1)/DAY(EOMONTH(EDATE(Nebenkosten!$B$7,8),0)))</f>
        <v/>
      </c>
      <c r="X24" s="19">
        <f>IF(F24=0,0,MAX(0,MIN(E24,EOMONTH(EDATE(Nebenkosten!$B$7,9),0))-MAX(D24,EDATE(Nebenkosten!$B$7,9))+1)/DAY(EOMONTH(EDATE(Nebenkosten!$B$7,9),0)))</f>
        <v/>
      </c>
      <c r="Y24" s="19">
        <f>IF(F24=0,0,MAX(0,MIN(E24,EOMONTH(EDATE(Nebenkosten!$B$7,10),0))-MAX(D24,EDATE(Nebenkosten!$B$7,10))+1)/DAY(EOMONTH(EDATE(Nebenkosten!$B$7,10),0)))</f>
        <v/>
      </c>
      <c r="Z24" s="19">
        <f>IF(F24=0,0,MAX(0,MIN(E24,EOMONTH(EDATE(Nebenkosten!$B$7,11),0))-MAX(D24,EDATE(Nebenkosten!$B$7,11))+1)/DAY(EOMONTH(EDATE(Nebenkosten!$B$7,11),0)))</f>
        <v/>
      </c>
      <c r="AA24" s="11">
        <f>IF(OR(Nebenkosten!$B$10="",Nebenkosten!$E$10=0,$F24=0),0,Nebenkosten!$B$10*IF(Nebenkosten!$C$10="Fläche",$I24,IF(Nebenkosten!$C$10="Anteil",$J24,$K24))*IF(Nebenkosten!$D$10="Heizung",$H24,$G24)/Nebenkosten!$E$10)</f>
        <v/>
      </c>
      <c r="AB24" s="11">
        <f>IF(OR(Nebenkosten!$B$11="",Nebenkosten!$E$11=0,$F24=0),0,Nebenkosten!$B$11*IF(Nebenkosten!$C$11="Fläche",$I24,IF(Nebenkosten!$C$11="Anteil",$J24,$K24))*IF(Nebenkosten!$D$11="Heizung",$H24,$G24)/Nebenkosten!$E$11)</f>
        <v/>
      </c>
      <c r="AC24" s="11">
        <f>IF(OR(Nebenkosten!$B$12="",Nebenkosten!$E$12=0,$F24=0),0,Nebenkosten!$B$12*IF(Nebenkosten!$C$12="Fläche",$I24,IF(Nebenkosten!$C$12="Anteil",$J24,$K24))*IF(Nebenkosten!$D$12="Heizung",$H24,$G24)/Nebenkosten!$E$12)</f>
        <v/>
      </c>
      <c r="AD24" s="11">
        <f>IF(OR(Nebenkosten!$B$13="",Nebenkosten!$E$13=0,$F24=0),0,Nebenkosten!$B$13*IF(Nebenkosten!$C$13="Fläche",$I24,IF(Nebenkosten!$C$13="Anteil",$J24,$K24))*IF(Nebenkosten!$D$13="Heizung",$H24,$G24)/Nebenkosten!$E$13)</f>
        <v/>
      </c>
      <c r="AE24" s="11">
        <f>IF(OR(Nebenkosten!$B$14="",Nebenkosten!$E$14=0,$F24=0),0,Nebenkosten!$B$14*IF(Nebenkosten!$C$14="Fläche",$I24,IF(Nebenkosten!$C$14="Anteil",$J24,$K24))*IF(Nebenkosten!$D$14="Heizung",$H24,$G24)/Nebenkosten!$E$14)</f>
        <v/>
      </c>
      <c r="AF24" s="11">
        <f>IF(OR(Nebenkosten!$B$15="",Nebenkosten!$E$15=0,$F24=0),0,Nebenkosten!$B$15*IF(Nebenkosten!$C$15="Fläche",$I24,IF(Nebenkosten!$C$15="Anteil",$J24,$K24))*IF(Nebenkosten!$D$15="Heizung",$H24,$G24)/Nebenkosten!$E$15)</f>
        <v/>
      </c>
      <c r="AG24" s="11">
        <f>IF(OR(Nebenkosten!$B$16="",Nebenkosten!$E$16=0,$F24=0),0,Nebenkosten!$B$16*IF(Nebenkosten!$C$16="Fläche",$I24,IF(Nebenkosten!$C$16="Anteil",$J24,$K24))*IF(Nebenkosten!$D$16="Heizung",$H24,$G24)/Nebenkosten!$E$16)</f>
        <v/>
      </c>
      <c r="AH24" s="11">
        <f>IF(OR(Nebenkosten!$B$17="",Nebenkosten!$E$17=0,$F24=0),0,Nebenkosten!$B$17*IF(Nebenkosten!$C$17="Fläche",$I24,IF(Nebenkosten!$C$17="Anteil",$J24,$K24))*IF(Nebenkosten!$D$17="Heizung",$H24,$G24)/Nebenkosten!$E$17)</f>
        <v/>
      </c>
      <c r="AI24" s="11">
        <f>IF(OR(Nebenkosten!$B$18="",Nebenkosten!$E$18=0,$F24=0),0,Nebenkosten!$B$18*IF(Nebenkosten!$C$18="Fläche",$I24,IF(Nebenkosten!$C$18="Anteil",$J24,$K24))*IF(Nebenkosten!$D$18="Heizung",$H24,$G24)/Nebenkosten!$E$18)</f>
        <v/>
      </c>
      <c r="AJ24" s="11">
        <f>IF(OR(Nebenkosten!$B$19="",Nebenkosten!$E$19=0,$F24=0),0,Nebenkosten!$B$19*IF(Nebenkosten!$C$19="Fläche",$I24,IF(Nebenkosten!$C$19="Anteil",$J24,$K24))*IF(Nebenkosten!$D$19="Heizung",$H24,$G24)/Nebenkosten!$E$19)</f>
        <v/>
      </c>
      <c r="AK24" s="11">
        <f>IF(OR(Nebenkosten!$B$20="",Nebenkosten!$E$20=0,$F24=0),0,Nebenkosten!$B$20*IF(Nebenkosten!$C$20="Fläche",$I24,IF(Nebenkosten!$C$20="Anteil",$J24,$K24))*IF(Nebenkosten!$D$20="Heizung",$H24,$G24)/Nebenkosten!$E$20)</f>
        <v/>
      </c>
      <c r="AL24" s="11">
        <f>IF(OR(Nebenkosten!$B$21="",Nebenkosten!$E$21=0,$F24=0),0,Nebenkosten!$B$21*IF(Nebenkosten!$C$21="Fläche",$I24,IF(Nebenkosten!$C$21="Anteil",$J24,$K24))*IF(Nebenkosten!$D$21="Heizung",$H24,$G24)/Nebenkosten!$E$21)</f>
        <v/>
      </c>
      <c r="AM24" s="11">
        <f>IF(OR(Nebenkosten!$B$22="",Nebenkosten!$E$22=0,$F24=0),0,Nebenkosten!$B$22*IF(Nebenkosten!$C$22="Fläche",$I24,IF(Nebenkosten!$C$22="Anteil",$J24,$K24))*IF(Nebenkosten!$D$22="Heizung",$H24,$G24)/Nebenkosten!$E$22)</f>
        <v/>
      </c>
      <c r="AN24" s="11">
        <f>IF(OR(Nebenkosten!$B$23="",Nebenkosten!$E$23=0,$F24=0),0,Nebenkosten!$B$23*IF(Nebenkosten!$C$23="Fläche",$I24,IF(Nebenkosten!$C$23="Anteil",$J24,$K24))*IF(Nebenkosten!$D$23="Heizung",$H24,$G24)/Nebenkosten!$E$23)</f>
        <v/>
      </c>
      <c r="AO24" s="11">
        <f>IF(OR(Nebenkosten!$B$24="",Nebenkosten!$E$24=0,$F24=0),0,Nebenkosten!$B$24*IF(Nebenkosten!$C$24="Fläche",$I24,IF(Nebenkosten!$C$24="Anteil",$J24,$K24))*IF(Nebenkosten!$D$24="Heizung",$H24,$G24)/Nebenkosten!$E$24)</f>
        <v/>
      </c>
      <c r="AP24" s="11">
        <f>IF(OR(Nebenkosten!$B$25="",Nebenkosten!$E$25=0,$F24=0),0,Nebenkosten!$B$25*IF(Nebenkosten!$C$25="Fläche",$I24,IF(Nebenkosten!$C$25="Anteil",$J24,$K24))*IF(Nebenkosten!$D$25="Heizung",$H24,$G24)/Nebenkosten!$E$25)</f>
        <v/>
      </c>
      <c r="AQ24" s="11">
        <f>IF(OR(Nebenkosten!$B$26="",Nebenkosten!$E$26=0,$F24=0),0,Nebenkosten!$B$26*IF(Nebenkosten!$C$26="Fläche",$I24,IF(Nebenkosten!$C$26="Anteil",$J24,$K24))*IF(Nebenkosten!$D$26="Heizung",$H24,$G24)/Nebenkosten!$E$26)</f>
        <v/>
      </c>
      <c r="AR24" s="11">
        <f>IF(OR(Nebenkosten!$B$27="",Nebenkosten!$E$27=0,$F24=0),0,Nebenkosten!$B$27*IF(Nebenkosten!$C$27="Fläche",$I24,IF(Nebenkosten!$C$27="Anteil",$J24,$K24))*IF(Nebenkosten!$D$27="Heizung",$H24,$G24)/Nebenkosten!$E$27)</f>
        <v/>
      </c>
      <c r="AS24" s="11">
        <f>IF(OR(Nebenkosten!$B$28="",Nebenkosten!$E$28=0,$F24=0),0,Nebenkosten!$B$28*IF(Nebenkosten!$C$28="Fläche",$I24,IF(Nebenkosten!$C$28="Anteil",$J24,$K24))*IF(Nebenkosten!$D$28="Heizung",$H24,$G24)/Nebenkosten!$E$28)</f>
        <v/>
      </c>
      <c r="AT24" s="11">
        <f>IF(OR(Nebenkosten!$B$29="",Nebenkosten!$E$29=0,$F24=0),0,Nebenkosten!$B$29*IF(Nebenkosten!$C$29="Fläche",$I24,IF(Nebenkosten!$C$29="Anteil",$J24,$K24))*IF(Nebenkosten!$D$29="Heizung",$H24,$G24)/Nebenkosten!$E$29)</f>
        <v/>
      </c>
      <c r="AU24" s="11">
        <f>IF(OR(Nebenkosten!$B$30="",Nebenkosten!$E$30=0,$F24=0),0,Nebenkosten!$B$30*IF(Nebenkosten!$C$30="Fläche",$I24,IF(Nebenkosten!$C$30="Anteil",$J24,$K24))*IF(Nebenkosten!$D$30="Heizung",$H24,$G24)/Nebenkosten!$E$30)</f>
        <v/>
      </c>
      <c r="AV24" s="11">
        <f>IF(OR(Nebenkosten!$B$31="",Nebenkosten!$E$31=0,$F24=0),0,Nebenkosten!$B$31*IF(Nebenkosten!$C$31="Fläche",$I24,IF(Nebenkosten!$C$31="Anteil",$J24,$K24))*IF(Nebenkosten!$D$31="Heizung",$H24,$G24)/Nebenkosten!$E$31)</f>
        <v/>
      </c>
      <c r="AW24" s="11">
        <f>IF(OR(Nebenkosten!$B$32="",Nebenkosten!$E$32=0,$F24=0),0,Nebenkosten!$B$32*IF(Nebenkosten!$C$32="Fläche",$I24,IF(Nebenkosten!$C$32="Anteil",$J24,$K24))*IF(Nebenkosten!$D$32="Heizung",$H24,$G24)/Nebenkosten!$E$32)</f>
        <v/>
      </c>
      <c r="AX24" s="11">
        <f>IF(OR(Nebenkosten!$B$33="",Nebenkosten!$E$33=0,$F24=0),0,Nebenkosten!$B$33*IF(Nebenkosten!$C$33="Fläche",$I24,IF(Nebenkosten!$C$33="Anteil",$J24,$K24))*IF(Nebenkosten!$D$33="Heizung",$H24,$G24)/Nebenkosten!$E$33)</f>
        <v/>
      </c>
      <c r="AY24" s="11">
        <f>IF(OR(Nebenkosten!$B$34="",Nebenkosten!$E$34=0,$F24=0),0,Nebenkosten!$B$34*IF(Nebenkosten!$C$34="Fläche",$I24,IF(Nebenkosten!$C$34="Anteil",$J24,$K24))*IF(Nebenkosten!$D$34="Heizung",$H24,$G24)/Nebenkosten!$E$34)</f>
        <v/>
      </c>
      <c r="AZ24" s="11">
        <f>ROUND(SUM(AA24:AY24)*20,0)/20</f>
        <v/>
      </c>
      <c r="BA24" s="11">
        <f>IF(F24=0,0,N24)</f>
        <v/>
      </c>
      <c r="BB24" s="11">
        <f>AZ24-BA24</f>
        <v/>
      </c>
    </row>
    <row r="25">
      <c r="A25" s="10">
        <f>'Mein Haus'!A65</f>
        <v/>
      </c>
      <c r="B25" s="23">
        <f>IF('Mein Haus'!C65="","",'Mein Haus'!C65)</f>
        <v/>
      </c>
      <c r="C25" s="23">
        <f>IF('Mein Haus'!B65="","",'Mein Haus'!B65)</f>
        <v/>
      </c>
      <c r="D25" s="21">
        <f>IF(AND('Mein Haus'!C65&lt;&gt;"",'Mein Haus'!B65&lt;&gt;"",Nebenkosten!$B$7&lt;&gt;""),MAX(IF('Mein Haus'!D65="",Nebenkosten!$B$7,'Mein Haus'!D65),Nebenkosten!$B$7),"")</f>
        <v/>
      </c>
      <c r="E25" s="21">
        <f>IF(AND('Mein Haus'!C65&lt;&gt;"",'Mein Haus'!B65&lt;&gt;"",Nebenkosten!$B$7&lt;&gt;""),MIN(IF('Mein Haus'!F65="",Nebenkosten!$D$7,'Mein Haus'!F65),Nebenkosten!$D$7),"")</f>
        <v/>
      </c>
      <c r="F25" s="10">
        <f>IF(D25="",0,MAX(0,E25-D25+1))</f>
        <v/>
      </c>
      <c r="G25" s="49">
        <f>IF(F25=0,0,F25/Nebenkosten!$F$7)</f>
        <v/>
      </c>
      <c r="H25" s="49">
        <f>IF(F25=0,0,SUMPRODUCT(O25:Z25,$O$3:$Z$3)/Einstellungen!$F$17)</f>
        <v/>
      </c>
      <c r="I25" s="19">
        <f>IF(F25=0,0,IFERROR(INDEX('Mein Haus'!$D$11:$D$40,MATCH(C25,'Mein Haus'!$A$11:$A$40,0)),0))</f>
        <v/>
      </c>
      <c r="J25" s="19">
        <f>IF(F25=0,0,IFERROR(INDEX('Mein Haus'!$E$11:$E$40,MATCH(C25,'Mein Haus'!$A$11:$A$40,0)),0))</f>
        <v/>
      </c>
      <c r="K25" s="19">
        <f>IF(F25=0,0,IFERROR(INDEX('Mein Haus'!$F$11:$F$40,MATCH(C25,'Mein Haus'!$A$11:$A$40,0)),0))</f>
        <v/>
      </c>
      <c r="L25" s="11">
        <f>IF(F25=0,0,N('Mein Haus'!H65)*SUM(O25:Z25))</f>
        <v/>
      </c>
      <c r="M25" s="22" t="n"/>
      <c r="N25" s="11">
        <f>IF(M25&lt;&gt;"",M25,L25)</f>
        <v/>
      </c>
      <c r="O25" s="19">
        <f>IF(F25=0,0,MAX(0,MIN(E25,EOMONTH(EDATE(Nebenkosten!$B$7,0),0))-MAX(D25,EDATE(Nebenkosten!$B$7,0))+1)/DAY(EOMONTH(EDATE(Nebenkosten!$B$7,0),0)))</f>
        <v/>
      </c>
      <c r="P25" s="19">
        <f>IF(F25=0,0,MAX(0,MIN(E25,EOMONTH(EDATE(Nebenkosten!$B$7,1),0))-MAX(D25,EDATE(Nebenkosten!$B$7,1))+1)/DAY(EOMONTH(EDATE(Nebenkosten!$B$7,1),0)))</f>
        <v/>
      </c>
      <c r="Q25" s="19">
        <f>IF(F25=0,0,MAX(0,MIN(E25,EOMONTH(EDATE(Nebenkosten!$B$7,2),0))-MAX(D25,EDATE(Nebenkosten!$B$7,2))+1)/DAY(EOMONTH(EDATE(Nebenkosten!$B$7,2),0)))</f>
        <v/>
      </c>
      <c r="R25" s="19">
        <f>IF(F25=0,0,MAX(0,MIN(E25,EOMONTH(EDATE(Nebenkosten!$B$7,3),0))-MAX(D25,EDATE(Nebenkosten!$B$7,3))+1)/DAY(EOMONTH(EDATE(Nebenkosten!$B$7,3),0)))</f>
        <v/>
      </c>
      <c r="S25" s="19">
        <f>IF(F25=0,0,MAX(0,MIN(E25,EOMONTH(EDATE(Nebenkosten!$B$7,4),0))-MAX(D25,EDATE(Nebenkosten!$B$7,4))+1)/DAY(EOMONTH(EDATE(Nebenkosten!$B$7,4),0)))</f>
        <v/>
      </c>
      <c r="T25" s="19">
        <f>IF(F25=0,0,MAX(0,MIN(E25,EOMONTH(EDATE(Nebenkosten!$B$7,5),0))-MAX(D25,EDATE(Nebenkosten!$B$7,5))+1)/DAY(EOMONTH(EDATE(Nebenkosten!$B$7,5),0)))</f>
        <v/>
      </c>
      <c r="U25" s="19">
        <f>IF(F25=0,0,MAX(0,MIN(E25,EOMONTH(EDATE(Nebenkosten!$B$7,6),0))-MAX(D25,EDATE(Nebenkosten!$B$7,6))+1)/DAY(EOMONTH(EDATE(Nebenkosten!$B$7,6),0)))</f>
        <v/>
      </c>
      <c r="V25" s="19">
        <f>IF(F25=0,0,MAX(0,MIN(E25,EOMONTH(EDATE(Nebenkosten!$B$7,7),0))-MAX(D25,EDATE(Nebenkosten!$B$7,7))+1)/DAY(EOMONTH(EDATE(Nebenkosten!$B$7,7),0)))</f>
        <v/>
      </c>
      <c r="W25" s="19">
        <f>IF(F25=0,0,MAX(0,MIN(E25,EOMONTH(EDATE(Nebenkosten!$B$7,8),0))-MAX(D25,EDATE(Nebenkosten!$B$7,8))+1)/DAY(EOMONTH(EDATE(Nebenkosten!$B$7,8),0)))</f>
        <v/>
      </c>
      <c r="X25" s="19">
        <f>IF(F25=0,0,MAX(0,MIN(E25,EOMONTH(EDATE(Nebenkosten!$B$7,9),0))-MAX(D25,EDATE(Nebenkosten!$B$7,9))+1)/DAY(EOMONTH(EDATE(Nebenkosten!$B$7,9),0)))</f>
        <v/>
      </c>
      <c r="Y25" s="19">
        <f>IF(F25=0,0,MAX(0,MIN(E25,EOMONTH(EDATE(Nebenkosten!$B$7,10),0))-MAX(D25,EDATE(Nebenkosten!$B$7,10))+1)/DAY(EOMONTH(EDATE(Nebenkosten!$B$7,10),0)))</f>
        <v/>
      </c>
      <c r="Z25" s="19">
        <f>IF(F25=0,0,MAX(0,MIN(E25,EOMONTH(EDATE(Nebenkosten!$B$7,11),0))-MAX(D25,EDATE(Nebenkosten!$B$7,11))+1)/DAY(EOMONTH(EDATE(Nebenkosten!$B$7,11),0)))</f>
        <v/>
      </c>
      <c r="AA25" s="11">
        <f>IF(OR(Nebenkosten!$B$10="",Nebenkosten!$E$10=0,$F25=0),0,Nebenkosten!$B$10*IF(Nebenkosten!$C$10="Fläche",$I25,IF(Nebenkosten!$C$10="Anteil",$J25,$K25))*IF(Nebenkosten!$D$10="Heizung",$H25,$G25)/Nebenkosten!$E$10)</f>
        <v/>
      </c>
      <c r="AB25" s="11">
        <f>IF(OR(Nebenkosten!$B$11="",Nebenkosten!$E$11=0,$F25=0),0,Nebenkosten!$B$11*IF(Nebenkosten!$C$11="Fläche",$I25,IF(Nebenkosten!$C$11="Anteil",$J25,$K25))*IF(Nebenkosten!$D$11="Heizung",$H25,$G25)/Nebenkosten!$E$11)</f>
        <v/>
      </c>
      <c r="AC25" s="11">
        <f>IF(OR(Nebenkosten!$B$12="",Nebenkosten!$E$12=0,$F25=0),0,Nebenkosten!$B$12*IF(Nebenkosten!$C$12="Fläche",$I25,IF(Nebenkosten!$C$12="Anteil",$J25,$K25))*IF(Nebenkosten!$D$12="Heizung",$H25,$G25)/Nebenkosten!$E$12)</f>
        <v/>
      </c>
      <c r="AD25" s="11">
        <f>IF(OR(Nebenkosten!$B$13="",Nebenkosten!$E$13=0,$F25=0),0,Nebenkosten!$B$13*IF(Nebenkosten!$C$13="Fläche",$I25,IF(Nebenkosten!$C$13="Anteil",$J25,$K25))*IF(Nebenkosten!$D$13="Heizung",$H25,$G25)/Nebenkosten!$E$13)</f>
        <v/>
      </c>
      <c r="AE25" s="11">
        <f>IF(OR(Nebenkosten!$B$14="",Nebenkosten!$E$14=0,$F25=0),0,Nebenkosten!$B$14*IF(Nebenkosten!$C$14="Fläche",$I25,IF(Nebenkosten!$C$14="Anteil",$J25,$K25))*IF(Nebenkosten!$D$14="Heizung",$H25,$G25)/Nebenkosten!$E$14)</f>
        <v/>
      </c>
      <c r="AF25" s="11">
        <f>IF(OR(Nebenkosten!$B$15="",Nebenkosten!$E$15=0,$F25=0),0,Nebenkosten!$B$15*IF(Nebenkosten!$C$15="Fläche",$I25,IF(Nebenkosten!$C$15="Anteil",$J25,$K25))*IF(Nebenkosten!$D$15="Heizung",$H25,$G25)/Nebenkosten!$E$15)</f>
        <v/>
      </c>
      <c r="AG25" s="11">
        <f>IF(OR(Nebenkosten!$B$16="",Nebenkosten!$E$16=0,$F25=0),0,Nebenkosten!$B$16*IF(Nebenkosten!$C$16="Fläche",$I25,IF(Nebenkosten!$C$16="Anteil",$J25,$K25))*IF(Nebenkosten!$D$16="Heizung",$H25,$G25)/Nebenkosten!$E$16)</f>
        <v/>
      </c>
      <c r="AH25" s="11">
        <f>IF(OR(Nebenkosten!$B$17="",Nebenkosten!$E$17=0,$F25=0),0,Nebenkosten!$B$17*IF(Nebenkosten!$C$17="Fläche",$I25,IF(Nebenkosten!$C$17="Anteil",$J25,$K25))*IF(Nebenkosten!$D$17="Heizung",$H25,$G25)/Nebenkosten!$E$17)</f>
        <v/>
      </c>
      <c r="AI25" s="11">
        <f>IF(OR(Nebenkosten!$B$18="",Nebenkosten!$E$18=0,$F25=0),0,Nebenkosten!$B$18*IF(Nebenkosten!$C$18="Fläche",$I25,IF(Nebenkosten!$C$18="Anteil",$J25,$K25))*IF(Nebenkosten!$D$18="Heizung",$H25,$G25)/Nebenkosten!$E$18)</f>
        <v/>
      </c>
      <c r="AJ25" s="11">
        <f>IF(OR(Nebenkosten!$B$19="",Nebenkosten!$E$19=0,$F25=0),0,Nebenkosten!$B$19*IF(Nebenkosten!$C$19="Fläche",$I25,IF(Nebenkosten!$C$19="Anteil",$J25,$K25))*IF(Nebenkosten!$D$19="Heizung",$H25,$G25)/Nebenkosten!$E$19)</f>
        <v/>
      </c>
      <c r="AK25" s="11">
        <f>IF(OR(Nebenkosten!$B$20="",Nebenkosten!$E$20=0,$F25=0),0,Nebenkosten!$B$20*IF(Nebenkosten!$C$20="Fläche",$I25,IF(Nebenkosten!$C$20="Anteil",$J25,$K25))*IF(Nebenkosten!$D$20="Heizung",$H25,$G25)/Nebenkosten!$E$20)</f>
        <v/>
      </c>
      <c r="AL25" s="11">
        <f>IF(OR(Nebenkosten!$B$21="",Nebenkosten!$E$21=0,$F25=0),0,Nebenkosten!$B$21*IF(Nebenkosten!$C$21="Fläche",$I25,IF(Nebenkosten!$C$21="Anteil",$J25,$K25))*IF(Nebenkosten!$D$21="Heizung",$H25,$G25)/Nebenkosten!$E$21)</f>
        <v/>
      </c>
      <c r="AM25" s="11">
        <f>IF(OR(Nebenkosten!$B$22="",Nebenkosten!$E$22=0,$F25=0),0,Nebenkosten!$B$22*IF(Nebenkosten!$C$22="Fläche",$I25,IF(Nebenkosten!$C$22="Anteil",$J25,$K25))*IF(Nebenkosten!$D$22="Heizung",$H25,$G25)/Nebenkosten!$E$22)</f>
        <v/>
      </c>
      <c r="AN25" s="11">
        <f>IF(OR(Nebenkosten!$B$23="",Nebenkosten!$E$23=0,$F25=0),0,Nebenkosten!$B$23*IF(Nebenkosten!$C$23="Fläche",$I25,IF(Nebenkosten!$C$23="Anteil",$J25,$K25))*IF(Nebenkosten!$D$23="Heizung",$H25,$G25)/Nebenkosten!$E$23)</f>
        <v/>
      </c>
      <c r="AO25" s="11">
        <f>IF(OR(Nebenkosten!$B$24="",Nebenkosten!$E$24=0,$F25=0),0,Nebenkosten!$B$24*IF(Nebenkosten!$C$24="Fläche",$I25,IF(Nebenkosten!$C$24="Anteil",$J25,$K25))*IF(Nebenkosten!$D$24="Heizung",$H25,$G25)/Nebenkosten!$E$24)</f>
        <v/>
      </c>
      <c r="AP25" s="11">
        <f>IF(OR(Nebenkosten!$B$25="",Nebenkosten!$E$25=0,$F25=0),0,Nebenkosten!$B$25*IF(Nebenkosten!$C$25="Fläche",$I25,IF(Nebenkosten!$C$25="Anteil",$J25,$K25))*IF(Nebenkosten!$D$25="Heizung",$H25,$G25)/Nebenkosten!$E$25)</f>
        <v/>
      </c>
      <c r="AQ25" s="11">
        <f>IF(OR(Nebenkosten!$B$26="",Nebenkosten!$E$26=0,$F25=0),0,Nebenkosten!$B$26*IF(Nebenkosten!$C$26="Fläche",$I25,IF(Nebenkosten!$C$26="Anteil",$J25,$K25))*IF(Nebenkosten!$D$26="Heizung",$H25,$G25)/Nebenkosten!$E$26)</f>
        <v/>
      </c>
      <c r="AR25" s="11">
        <f>IF(OR(Nebenkosten!$B$27="",Nebenkosten!$E$27=0,$F25=0),0,Nebenkosten!$B$27*IF(Nebenkosten!$C$27="Fläche",$I25,IF(Nebenkosten!$C$27="Anteil",$J25,$K25))*IF(Nebenkosten!$D$27="Heizung",$H25,$G25)/Nebenkosten!$E$27)</f>
        <v/>
      </c>
      <c r="AS25" s="11">
        <f>IF(OR(Nebenkosten!$B$28="",Nebenkosten!$E$28=0,$F25=0),0,Nebenkosten!$B$28*IF(Nebenkosten!$C$28="Fläche",$I25,IF(Nebenkosten!$C$28="Anteil",$J25,$K25))*IF(Nebenkosten!$D$28="Heizung",$H25,$G25)/Nebenkosten!$E$28)</f>
        <v/>
      </c>
      <c r="AT25" s="11">
        <f>IF(OR(Nebenkosten!$B$29="",Nebenkosten!$E$29=0,$F25=0),0,Nebenkosten!$B$29*IF(Nebenkosten!$C$29="Fläche",$I25,IF(Nebenkosten!$C$29="Anteil",$J25,$K25))*IF(Nebenkosten!$D$29="Heizung",$H25,$G25)/Nebenkosten!$E$29)</f>
        <v/>
      </c>
      <c r="AU25" s="11">
        <f>IF(OR(Nebenkosten!$B$30="",Nebenkosten!$E$30=0,$F25=0),0,Nebenkosten!$B$30*IF(Nebenkosten!$C$30="Fläche",$I25,IF(Nebenkosten!$C$30="Anteil",$J25,$K25))*IF(Nebenkosten!$D$30="Heizung",$H25,$G25)/Nebenkosten!$E$30)</f>
        <v/>
      </c>
      <c r="AV25" s="11">
        <f>IF(OR(Nebenkosten!$B$31="",Nebenkosten!$E$31=0,$F25=0),0,Nebenkosten!$B$31*IF(Nebenkosten!$C$31="Fläche",$I25,IF(Nebenkosten!$C$31="Anteil",$J25,$K25))*IF(Nebenkosten!$D$31="Heizung",$H25,$G25)/Nebenkosten!$E$31)</f>
        <v/>
      </c>
      <c r="AW25" s="11">
        <f>IF(OR(Nebenkosten!$B$32="",Nebenkosten!$E$32=0,$F25=0),0,Nebenkosten!$B$32*IF(Nebenkosten!$C$32="Fläche",$I25,IF(Nebenkosten!$C$32="Anteil",$J25,$K25))*IF(Nebenkosten!$D$32="Heizung",$H25,$G25)/Nebenkosten!$E$32)</f>
        <v/>
      </c>
      <c r="AX25" s="11">
        <f>IF(OR(Nebenkosten!$B$33="",Nebenkosten!$E$33=0,$F25=0),0,Nebenkosten!$B$33*IF(Nebenkosten!$C$33="Fläche",$I25,IF(Nebenkosten!$C$33="Anteil",$J25,$K25))*IF(Nebenkosten!$D$33="Heizung",$H25,$G25)/Nebenkosten!$E$33)</f>
        <v/>
      </c>
      <c r="AY25" s="11">
        <f>IF(OR(Nebenkosten!$B$34="",Nebenkosten!$E$34=0,$F25=0),0,Nebenkosten!$B$34*IF(Nebenkosten!$C$34="Fläche",$I25,IF(Nebenkosten!$C$34="Anteil",$J25,$K25))*IF(Nebenkosten!$D$34="Heizung",$H25,$G25)/Nebenkosten!$E$34)</f>
        <v/>
      </c>
      <c r="AZ25" s="11">
        <f>ROUND(SUM(AA25:AY25)*20,0)/20</f>
        <v/>
      </c>
      <c r="BA25" s="11">
        <f>IF(F25=0,0,N25)</f>
        <v/>
      </c>
      <c r="BB25" s="11">
        <f>AZ25-BA25</f>
        <v/>
      </c>
    </row>
    <row r="26">
      <c r="A26" s="10">
        <f>'Mein Haus'!A66</f>
        <v/>
      </c>
      <c r="B26" s="23">
        <f>IF('Mein Haus'!C66="","",'Mein Haus'!C66)</f>
        <v/>
      </c>
      <c r="C26" s="23">
        <f>IF('Mein Haus'!B66="","",'Mein Haus'!B66)</f>
        <v/>
      </c>
      <c r="D26" s="21">
        <f>IF(AND('Mein Haus'!C66&lt;&gt;"",'Mein Haus'!B66&lt;&gt;"",Nebenkosten!$B$7&lt;&gt;""),MAX(IF('Mein Haus'!D66="",Nebenkosten!$B$7,'Mein Haus'!D66),Nebenkosten!$B$7),"")</f>
        <v/>
      </c>
      <c r="E26" s="21">
        <f>IF(AND('Mein Haus'!C66&lt;&gt;"",'Mein Haus'!B66&lt;&gt;"",Nebenkosten!$B$7&lt;&gt;""),MIN(IF('Mein Haus'!F66="",Nebenkosten!$D$7,'Mein Haus'!F66),Nebenkosten!$D$7),"")</f>
        <v/>
      </c>
      <c r="F26" s="10">
        <f>IF(D26="",0,MAX(0,E26-D26+1))</f>
        <v/>
      </c>
      <c r="G26" s="49">
        <f>IF(F26=0,0,F26/Nebenkosten!$F$7)</f>
        <v/>
      </c>
      <c r="H26" s="49">
        <f>IF(F26=0,0,SUMPRODUCT(O26:Z26,$O$3:$Z$3)/Einstellungen!$F$17)</f>
        <v/>
      </c>
      <c r="I26" s="19">
        <f>IF(F26=0,0,IFERROR(INDEX('Mein Haus'!$D$11:$D$40,MATCH(C26,'Mein Haus'!$A$11:$A$40,0)),0))</f>
        <v/>
      </c>
      <c r="J26" s="19">
        <f>IF(F26=0,0,IFERROR(INDEX('Mein Haus'!$E$11:$E$40,MATCH(C26,'Mein Haus'!$A$11:$A$40,0)),0))</f>
        <v/>
      </c>
      <c r="K26" s="19">
        <f>IF(F26=0,0,IFERROR(INDEX('Mein Haus'!$F$11:$F$40,MATCH(C26,'Mein Haus'!$A$11:$A$40,0)),0))</f>
        <v/>
      </c>
      <c r="L26" s="11">
        <f>IF(F26=0,0,N('Mein Haus'!H66)*SUM(O26:Z26))</f>
        <v/>
      </c>
      <c r="M26" s="22" t="n"/>
      <c r="N26" s="11">
        <f>IF(M26&lt;&gt;"",M26,L26)</f>
        <v/>
      </c>
      <c r="O26" s="19">
        <f>IF(F26=0,0,MAX(0,MIN(E26,EOMONTH(EDATE(Nebenkosten!$B$7,0),0))-MAX(D26,EDATE(Nebenkosten!$B$7,0))+1)/DAY(EOMONTH(EDATE(Nebenkosten!$B$7,0),0)))</f>
        <v/>
      </c>
      <c r="P26" s="19">
        <f>IF(F26=0,0,MAX(0,MIN(E26,EOMONTH(EDATE(Nebenkosten!$B$7,1),0))-MAX(D26,EDATE(Nebenkosten!$B$7,1))+1)/DAY(EOMONTH(EDATE(Nebenkosten!$B$7,1),0)))</f>
        <v/>
      </c>
      <c r="Q26" s="19">
        <f>IF(F26=0,0,MAX(0,MIN(E26,EOMONTH(EDATE(Nebenkosten!$B$7,2),0))-MAX(D26,EDATE(Nebenkosten!$B$7,2))+1)/DAY(EOMONTH(EDATE(Nebenkosten!$B$7,2),0)))</f>
        <v/>
      </c>
      <c r="R26" s="19">
        <f>IF(F26=0,0,MAX(0,MIN(E26,EOMONTH(EDATE(Nebenkosten!$B$7,3),0))-MAX(D26,EDATE(Nebenkosten!$B$7,3))+1)/DAY(EOMONTH(EDATE(Nebenkosten!$B$7,3),0)))</f>
        <v/>
      </c>
      <c r="S26" s="19">
        <f>IF(F26=0,0,MAX(0,MIN(E26,EOMONTH(EDATE(Nebenkosten!$B$7,4),0))-MAX(D26,EDATE(Nebenkosten!$B$7,4))+1)/DAY(EOMONTH(EDATE(Nebenkosten!$B$7,4),0)))</f>
        <v/>
      </c>
      <c r="T26" s="19">
        <f>IF(F26=0,0,MAX(0,MIN(E26,EOMONTH(EDATE(Nebenkosten!$B$7,5),0))-MAX(D26,EDATE(Nebenkosten!$B$7,5))+1)/DAY(EOMONTH(EDATE(Nebenkosten!$B$7,5),0)))</f>
        <v/>
      </c>
      <c r="U26" s="19">
        <f>IF(F26=0,0,MAX(0,MIN(E26,EOMONTH(EDATE(Nebenkosten!$B$7,6),0))-MAX(D26,EDATE(Nebenkosten!$B$7,6))+1)/DAY(EOMONTH(EDATE(Nebenkosten!$B$7,6),0)))</f>
        <v/>
      </c>
      <c r="V26" s="19">
        <f>IF(F26=0,0,MAX(0,MIN(E26,EOMONTH(EDATE(Nebenkosten!$B$7,7),0))-MAX(D26,EDATE(Nebenkosten!$B$7,7))+1)/DAY(EOMONTH(EDATE(Nebenkosten!$B$7,7),0)))</f>
        <v/>
      </c>
      <c r="W26" s="19">
        <f>IF(F26=0,0,MAX(0,MIN(E26,EOMONTH(EDATE(Nebenkosten!$B$7,8),0))-MAX(D26,EDATE(Nebenkosten!$B$7,8))+1)/DAY(EOMONTH(EDATE(Nebenkosten!$B$7,8),0)))</f>
        <v/>
      </c>
      <c r="X26" s="19">
        <f>IF(F26=0,0,MAX(0,MIN(E26,EOMONTH(EDATE(Nebenkosten!$B$7,9),0))-MAX(D26,EDATE(Nebenkosten!$B$7,9))+1)/DAY(EOMONTH(EDATE(Nebenkosten!$B$7,9),0)))</f>
        <v/>
      </c>
      <c r="Y26" s="19">
        <f>IF(F26=0,0,MAX(0,MIN(E26,EOMONTH(EDATE(Nebenkosten!$B$7,10),0))-MAX(D26,EDATE(Nebenkosten!$B$7,10))+1)/DAY(EOMONTH(EDATE(Nebenkosten!$B$7,10),0)))</f>
        <v/>
      </c>
      <c r="Z26" s="19">
        <f>IF(F26=0,0,MAX(0,MIN(E26,EOMONTH(EDATE(Nebenkosten!$B$7,11),0))-MAX(D26,EDATE(Nebenkosten!$B$7,11))+1)/DAY(EOMONTH(EDATE(Nebenkosten!$B$7,11),0)))</f>
        <v/>
      </c>
      <c r="AA26" s="11">
        <f>IF(OR(Nebenkosten!$B$10="",Nebenkosten!$E$10=0,$F26=0),0,Nebenkosten!$B$10*IF(Nebenkosten!$C$10="Fläche",$I26,IF(Nebenkosten!$C$10="Anteil",$J26,$K26))*IF(Nebenkosten!$D$10="Heizung",$H26,$G26)/Nebenkosten!$E$10)</f>
        <v/>
      </c>
      <c r="AB26" s="11">
        <f>IF(OR(Nebenkosten!$B$11="",Nebenkosten!$E$11=0,$F26=0),0,Nebenkosten!$B$11*IF(Nebenkosten!$C$11="Fläche",$I26,IF(Nebenkosten!$C$11="Anteil",$J26,$K26))*IF(Nebenkosten!$D$11="Heizung",$H26,$G26)/Nebenkosten!$E$11)</f>
        <v/>
      </c>
      <c r="AC26" s="11">
        <f>IF(OR(Nebenkosten!$B$12="",Nebenkosten!$E$12=0,$F26=0),0,Nebenkosten!$B$12*IF(Nebenkosten!$C$12="Fläche",$I26,IF(Nebenkosten!$C$12="Anteil",$J26,$K26))*IF(Nebenkosten!$D$12="Heizung",$H26,$G26)/Nebenkosten!$E$12)</f>
        <v/>
      </c>
      <c r="AD26" s="11">
        <f>IF(OR(Nebenkosten!$B$13="",Nebenkosten!$E$13=0,$F26=0),0,Nebenkosten!$B$13*IF(Nebenkosten!$C$13="Fläche",$I26,IF(Nebenkosten!$C$13="Anteil",$J26,$K26))*IF(Nebenkosten!$D$13="Heizung",$H26,$G26)/Nebenkosten!$E$13)</f>
        <v/>
      </c>
      <c r="AE26" s="11">
        <f>IF(OR(Nebenkosten!$B$14="",Nebenkosten!$E$14=0,$F26=0),0,Nebenkosten!$B$14*IF(Nebenkosten!$C$14="Fläche",$I26,IF(Nebenkosten!$C$14="Anteil",$J26,$K26))*IF(Nebenkosten!$D$14="Heizung",$H26,$G26)/Nebenkosten!$E$14)</f>
        <v/>
      </c>
      <c r="AF26" s="11">
        <f>IF(OR(Nebenkosten!$B$15="",Nebenkosten!$E$15=0,$F26=0),0,Nebenkosten!$B$15*IF(Nebenkosten!$C$15="Fläche",$I26,IF(Nebenkosten!$C$15="Anteil",$J26,$K26))*IF(Nebenkosten!$D$15="Heizung",$H26,$G26)/Nebenkosten!$E$15)</f>
        <v/>
      </c>
      <c r="AG26" s="11">
        <f>IF(OR(Nebenkosten!$B$16="",Nebenkosten!$E$16=0,$F26=0),0,Nebenkosten!$B$16*IF(Nebenkosten!$C$16="Fläche",$I26,IF(Nebenkosten!$C$16="Anteil",$J26,$K26))*IF(Nebenkosten!$D$16="Heizung",$H26,$G26)/Nebenkosten!$E$16)</f>
        <v/>
      </c>
      <c r="AH26" s="11">
        <f>IF(OR(Nebenkosten!$B$17="",Nebenkosten!$E$17=0,$F26=0),0,Nebenkosten!$B$17*IF(Nebenkosten!$C$17="Fläche",$I26,IF(Nebenkosten!$C$17="Anteil",$J26,$K26))*IF(Nebenkosten!$D$17="Heizung",$H26,$G26)/Nebenkosten!$E$17)</f>
        <v/>
      </c>
      <c r="AI26" s="11">
        <f>IF(OR(Nebenkosten!$B$18="",Nebenkosten!$E$18=0,$F26=0),0,Nebenkosten!$B$18*IF(Nebenkosten!$C$18="Fläche",$I26,IF(Nebenkosten!$C$18="Anteil",$J26,$K26))*IF(Nebenkosten!$D$18="Heizung",$H26,$G26)/Nebenkosten!$E$18)</f>
        <v/>
      </c>
      <c r="AJ26" s="11">
        <f>IF(OR(Nebenkosten!$B$19="",Nebenkosten!$E$19=0,$F26=0),0,Nebenkosten!$B$19*IF(Nebenkosten!$C$19="Fläche",$I26,IF(Nebenkosten!$C$19="Anteil",$J26,$K26))*IF(Nebenkosten!$D$19="Heizung",$H26,$G26)/Nebenkosten!$E$19)</f>
        <v/>
      </c>
      <c r="AK26" s="11">
        <f>IF(OR(Nebenkosten!$B$20="",Nebenkosten!$E$20=0,$F26=0),0,Nebenkosten!$B$20*IF(Nebenkosten!$C$20="Fläche",$I26,IF(Nebenkosten!$C$20="Anteil",$J26,$K26))*IF(Nebenkosten!$D$20="Heizung",$H26,$G26)/Nebenkosten!$E$20)</f>
        <v/>
      </c>
      <c r="AL26" s="11">
        <f>IF(OR(Nebenkosten!$B$21="",Nebenkosten!$E$21=0,$F26=0),0,Nebenkosten!$B$21*IF(Nebenkosten!$C$21="Fläche",$I26,IF(Nebenkosten!$C$21="Anteil",$J26,$K26))*IF(Nebenkosten!$D$21="Heizung",$H26,$G26)/Nebenkosten!$E$21)</f>
        <v/>
      </c>
      <c r="AM26" s="11">
        <f>IF(OR(Nebenkosten!$B$22="",Nebenkosten!$E$22=0,$F26=0),0,Nebenkosten!$B$22*IF(Nebenkosten!$C$22="Fläche",$I26,IF(Nebenkosten!$C$22="Anteil",$J26,$K26))*IF(Nebenkosten!$D$22="Heizung",$H26,$G26)/Nebenkosten!$E$22)</f>
        <v/>
      </c>
      <c r="AN26" s="11">
        <f>IF(OR(Nebenkosten!$B$23="",Nebenkosten!$E$23=0,$F26=0),0,Nebenkosten!$B$23*IF(Nebenkosten!$C$23="Fläche",$I26,IF(Nebenkosten!$C$23="Anteil",$J26,$K26))*IF(Nebenkosten!$D$23="Heizung",$H26,$G26)/Nebenkosten!$E$23)</f>
        <v/>
      </c>
      <c r="AO26" s="11">
        <f>IF(OR(Nebenkosten!$B$24="",Nebenkosten!$E$24=0,$F26=0),0,Nebenkosten!$B$24*IF(Nebenkosten!$C$24="Fläche",$I26,IF(Nebenkosten!$C$24="Anteil",$J26,$K26))*IF(Nebenkosten!$D$24="Heizung",$H26,$G26)/Nebenkosten!$E$24)</f>
        <v/>
      </c>
      <c r="AP26" s="11">
        <f>IF(OR(Nebenkosten!$B$25="",Nebenkosten!$E$25=0,$F26=0),0,Nebenkosten!$B$25*IF(Nebenkosten!$C$25="Fläche",$I26,IF(Nebenkosten!$C$25="Anteil",$J26,$K26))*IF(Nebenkosten!$D$25="Heizung",$H26,$G26)/Nebenkosten!$E$25)</f>
        <v/>
      </c>
      <c r="AQ26" s="11">
        <f>IF(OR(Nebenkosten!$B$26="",Nebenkosten!$E$26=0,$F26=0),0,Nebenkosten!$B$26*IF(Nebenkosten!$C$26="Fläche",$I26,IF(Nebenkosten!$C$26="Anteil",$J26,$K26))*IF(Nebenkosten!$D$26="Heizung",$H26,$G26)/Nebenkosten!$E$26)</f>
        <v/>
      </c>
      <c r="AR26" s="11">
        <f>IF(OR(Nebenkosten!$B$27="",Nebenkosten!$E$27=0,$F26=0),0,Nebenkosten!$B$27*IF(Nebenkosten!$C$27="Fläche",$I26,IF(Nebenkosten!$C$27="Anteil",$J26,$K26))*IF(Nebenkosten!$D$27="Heizung",$H26,$G26)/Nebenkosten!$E$27)</f>
        <v/>
      </c>
      <c r="AS26" s="11">
        <f>IF(OR(Nebenkosten!$B$28="",Nebenkosten!$E$28=0,$F26=0),0,Nebenkosten!$B$28*IF(Nebenkosten!$C$28="Fläche",$I26,IF(Nebenkosten!$C$28="Anteil",$J26,$K26))*IF(Nebenkosten!$D$28="Heizung",$H26,$G26)/Nebenkosten!$E$28)</f>
        <v/>
      </c>
      <c r="AT26" s="11">
        <f>IF(OR(Nebenkosten!$B$29="",Nebenkosten!$E$29=0,$F26=0),0,Nebenkosten!$B$29*IF(Nebenkosten!$C$29="Fläche",$I26,IF(Nebenkosten!$C$29="Anteil",$J26,$K26))*IF(Nebenkosten!$D$29="Heizung",$H26,$G26)/Nebenkosten!$E$29)</f>
        <v/>
      </c>
      <c r="AU26" s="11">
        <f>IF(OR(Nebenkosten!$B$30="",Nebenkosten!$E$30=0,$F26=0),0,Nebenkosten!$B$30*IF(Nebenkosten!$C$30="Fläche",$I26,IF(Nebenkosten!$C$30="Anteil",$J26,$K26))*IF(Nebenkosten!$D$30="Heizung",$H26,$G26)/Nebenkosten!$E$30)</f>
        <v/>
      </c>
      <c r="AV26" s="11">
        <f>IF(OR(Nebenkosten!$B$31="",Nebenkosten!$E$31=0,$F26=0),0,Nebenkosten!$B$31*IF(Nebenkosten!$C$31="Fläche",$I26,IF(Nebenkosten!$C$31="Anteil",$J26,$K26))*IF(Nebenkosten!$D$31="Heizung",$H26,$G26)/Nebenkosten!$E$31)</f>
        <v/>
      </c>
      <c r="AW26" s="11">
        <f>IF(OR(Nebenkosten!$B$32="",Nebenkosten!$E$32=0,$F26=0),0,Nebenkosten!$B$32*IF(Nebenkosten!$C$32="Fläche",$I26,IF(Nebenkosten!$C$32="Anteil",$J26,$K26))*IF(Nebenkosten!$D$32="Heizung",$H26,$G26)/Nebenkosten!$E$32)</f>
        <v/>
      </c>
      <c r="AX26" s="11">
        <f>IF(OR(Nebenkosten!$B$33="",Nebenkosten!$E$33=0,$F26=0),0,Nebenkosten!$B$33*IF(Nebenkosten!$C$33="Fläche",$I26,IF(Nebenkosten!$C$33="Anteil",$J26,$K26))*IF(Nebenkosten!$D$33="Heizung",$H26,$G26)/Nebenkosten!$E$33)</f>
        <v/>
      </c>
      <c r="AY26" s="11">
        <f>IF(OR(Nebenkosten!$B$34="",Nebenkosten!$E$34=0,$F26=0),0,Nebenkosten!$B$34*IF(Nebenkosten!$C$34="Fläche",$I26,IF(Nebenkosten!$C$34="Anteil",$J26,$K26))*IF(Nebenkosten!$D$34="Heizung",$H26,$G26)/Nebenkosten!$E$34)</f>
        <v/>
      </c>
      <c r="AZ26" s="11">
        <f>ROUND(SUM(AA26:AY26)*20,0)/20</f>
        <v/>
      </c>
      <c r="BA26" s="11">
        <f>IF(F26=0,0,N26)</f>
        <v/>
      </c>
      <c r="BB26" s="11">
        <f>AZ26-BA26</f>
        <v/>
      </c>
    </row>
    <row r="27">
      <c r="A27" s="10">
        <f>'Mein Haus'!A67</f>
        <v/>
      </c>
      <c r="B27" s="23">
        <f>IF('Mein Haus'!C67="","",'Mein Haus'!C67)</f>
        <v/>
      </c>
      <c r="C27" s="23">
        <f>IF('Mein Haus'!B67="","",'Mein Haus'!B67)</f>
        <v/>
      </c>
      <c r="D27" s="21">
        <f>IF(AND('Mein Haus'!C67&lt;&gt;"",'Mein Haus'!B67&lt;&gt;"",Nebenkosten!$B$7&lt;&gt;""),MAX(IF('Mein Haus'!D67="",Nebenkosten!$B$7,'Mein Haus'!D67),Nebenkosten!$B$7),"")</f>
        <v/>
      </c>
      <c r="E27" s="21">
        <f>IF(AND('Mein Haus'!C67&lt;&gt;"",'Mein Haus'!B67&lt;&gt;"",Nebenkosten!$B$7&lt;&gt;""),MIN(IF('Mein Haus'!F67="",Nebenkosten!$D$7,'Mein Haus'!F67),Nebenkosten!$D$7),"")</f>
        <v/>
      </c>
      <c r="F27" s="10">
        <f>IF(D27="",0,MAX(0,E27-D27+1))</f>
        <v/>
      </c>
      <c r="G27" s="49">
        <f>IF(F27=0,0,F27/Nebenkosten!$F$7)</f>
        <v/>
      </c>
      <c r="H27" s="49">
        <f>IF(F27=0,0,SUMPRODUCT(O27:Z27,$O$3:$Z$3)/Einstellungen!$F$17)</f>
        <v/>
      </c>
      <c r="I27" s="19">
        <f>IF(F27=0,0,IFERROR(INDEX('Mein Haus'!$D$11:$D$40,MATCH(C27,'Mein Haus'!$A$11:$A$40,0)),0))</f>
        <v/>
      </c>
      <c r="J27" s="19">
        <f>IF(F27=0,0,IFERROR(INDEX('Mein Haus'!$E$11:$E$40,MATCH(C27,'Mein Haus'!$A$11:$A$40,0)),0))</f>
        <v/>
      </c>
      <c r="K27" s="19">
        <f>IF(F27=0,0,IFERROR(INDEX('Mein Haus'!$F$11:$F$40,MATCH(C27,'Mein Haus'!$A$11:$A$40,0)),0))</f>
        <v/>
      </c>
      <c r="L27" s="11">
        <f>IF(F27=0,0,N('Mein Haus'!H67)*SUM(O27:Z27))</f>
        <v/>
      </c>
      <c r="M27" s="22" t="n"/>
      <c r="N27" s="11">
        <f>IF(M27&lt;&gt;"",M27,L27)</f>
        <v/>
      </c>
      <c r="O27" s="19">
        <f>IF(F27=0,0,MAX(0,MIN(E27,EOMONTH(EDATE(Nebenkosten!$B$7,0),0))-MAX(D27,EDATE(Nebenkosten!$B$7,0))+1)/DAY(EOMONTH(EDATE(Nebenkosten!$B$7,0),0)))</f>
        <v/>
      </c>
      <c r="P27" s="19">
        <f>IF(F27=0,0,MAX(0,MIN(E27,EOMONTH(EDATE(Nebenkosten!$B$7,1),0))-MAX(D27,EDATE(Nebenkosten!$B$7,1))+1)/DAY(EOMONTH(EDATE(Nebenkosten!$B$7,1),0)))</f>
        <v/>
      </c>
      <c r="Q27" s="19">
        <f>IF(F27=0,0,MAX(0,MIN(E27,EOMONTH(EDATE(Nebenkosten!$B$7,2),0))-MAX(D27,EDATE(Nebenkosten!$B$7,2))+1)/DAY(EOMONTH(EDATE(Nebenkosten!$B$7,2),0)))</f>
        <v/>
      </c>
      <c r="R27" s="19">
        <f>IF(F27=0,0,MAX(0,MIN(E27,EOMONTH(EDATE(Nebenkosten!$B$7,3),0))-MAX(D27,EDATE(Nebenkosten!$B$7,3))+1)/DAY(EOMONTH(EDATE(Nebenkosten!$B$7,3),0)))</f>
        <v/>
      </c>
      <c r="S27" s="19">
        <f>IF(F27=0,0,MAX(0,MIN(E27,EOMONTH(EDATE(Nebenkosten!$B$7,4),0))-MAX(D27,EDATE(Nebenkosten!$B$7,4))+1)/DAY(EOMONTH(EDATE(Nebenkosten!$B$7,4),0)))</f>
        <v/>
      </c>
      <c r="T27" s="19">
        <f>IF(F27=0,0,MAX(0,MIN(E27,EOMONTH(EDATE(Nebenkosten!$B$7,5),0))-MAX(D27,EDATE(Nebenkosten!$B$7,5))+1)/DAY(EOMONTH(EDATE(Nebenkosten!$B$7,5),0)))</f>
        <v/>
      </c>
      <c r="U27" s="19">
        <f>IF(F27=0,0,MAX(0,MIN(E27,EOMONTH(EDATE(Nebenkosten!$B$7,6),0))-MAX(D27,EDATE(Nebenkosten!$B$7,6))+1)/DAY(EOMONTH(EDATE(Nebenkosten!$B$7,6),0)))</f>
        <v/>
      </c>
      <c r="V27" s="19">
        <f>IF(F27=0,0,MAX(0,MIN(E27,EOMONTH(EDATE(Nebenkosten!$B$7,7),0))-MAX(D27,EDATE(Nebenkosten!$B$7,7))+1)/DAY(EOMONTH(EDATE(Nebenkosten!$B$7,7),0)))</f>
        <v/>
      </c>
      <c r="W27" s="19">
        <f>IF(F27=0,0,MAX(0,MIN(E27,EOMONTH(EDATE(Nebenkosten!$B$7,8),0))-MAX(D27,EDATE(Nebenkosten!$B$7,8))+1)/DAY(EOMONTH(EDATE(Nebenkosten!$B$7,8),0)))</f>
        <v/>
      </c>
      <c r="X27" s="19">
        <f>IF(F27=0,0,MAX(0,MIN(E27,EOMONTH(EDATE(Nebenkosten!$B$7,9),0))-MAX(D27,EDATE(Nebenkosten!$B$7,9))+1)/DAY(EOMONTH(EDATE(Nebenkosten!$B$7,9),0)))</f>
        <v/>
      </c>
      <c r="Y27" s="19">
        <f>IF(F27=0,0,MAX(0,MIN(E27,EOMONTH(EDATE(Nebenkosten!$B$7,10),0))-MAX(D27,EDATE(Nebenkosten!$B$7,10))+1)/DAY(EOMONTH(EDATE(Nebenkosten!$B$7,10),0)))</f>
        <v/>
      </c>
      <c r="Z27" s="19">
        <f>IF(F27=0,0,MAX(0,MIN(E27,EOMONTH(EDATE(Nebenkosten!$B$7,11),0))-MAX(D27,EDATE(Nebenkosten!$B$7,11))+1)/DAY(EOMONTH(EDATE(Nebenkosten!$B$7,11),0)))</f>
        <v/>
      </c>
      <c r="AA27" s="11">
        <f>IF(OR(Nebenkosten!$B$10="",Nebenkosten!$E$10=0,$F27=0),0,Nebenkosten!$B$10*IF(Nebenkosten!$C$10="Fläche",$I27,IF(Nebenkosten!$C$10="Anteil",$J27,$K27))*IF(Nebenkosten!$D$10="Heizung",$H27,$G27)/Nebenkosten!$E$10)</f>
        <v/>
      </c>
      <c r="AB27" s="11">
        <f>IF(OR(Nebenkosten!$B$11="",Nebenkosten!$E$11=0,$F27=0),0,Nebenkosten!$B$11*IF(Nebenkosten!$C$11="Fläche",$I27,IF(Nebenkosten!$C$11="Anteil",$J27,$K27))*IF(Nebenkosten!$D$11="Heizung",$H27,$G27)/Nebenkosten!$E$11)</f>
        <v/>
      </c>
      <c r="AC27" s="11">
        <f>IF(OR(Nebenkosten!$B$12="",Nebenkosten!$E$12=0,$F27=0),0,Nebenkosten!$B$12*IF(Nebenkosten!$C$12="Fläche",$I27,IF(Nebenkosten!$C$12="Anteil",$J27,$K27))*IF(Nebenkosten!$D$12="Heizung",$H27,$G27)/Nebenkosten!$E$12)</f>
        <v/>
      </c>
      <c r="AD27" s="11">
        <f>IF(OR(Nebenkosten!$B$13="",Nebenkosten!$E$13=0,$F27=0),0,Nebenkosten!$B$13*IF(Nebenkosten!$C$13="Fläche",$I27,IF(Nebenkosten!$C$13="Anteil",$J27,$K27))*IF(Nebenkosten!$D$13="Heizung",$H27,$G27)/Nebenkosten!$E$13)</f>
        <v/>
      </c>
      <c r="AE27" s="11">
        <f>IF(OR(Nebenkosten!$B$14="",Nebenkosten!$E$14=0,$F27=0),0,Nebenkosten!$B$14*IF(Nebenkosten!$C$14="Fläche",$I27,IF(Nebenkosten!$C$14="Anteil",$J27,$K27))*IF(Nebenkosten!$D$14="Heizung",$H27,$G27)/Nebenkosten!$E$14)</f>
        <v/>
      </c>
      <c r="AF27" s="11">
        <f>IF(OR(Nebenkosten!$B$15="",Nebenkosten!$E$15=0,$F27=0),0,Nebenkosten!$B$15*IF(Nebenkosten!$C$15="Fläche",$I27,IF(Nebenkosten!$C$15="Anteil",$J27,$K27))*IF(Nebenkosten!$D$15="Heizung",$H27,$G27)/Nebenkosten!$E$15)</f>
        <v/>
      </c>
      <c r="AG27" s="11">
        <f>IF(OR(Nebenkosten!$B$16="",Nebenkosten!$E$16=0,$F27=0),0,Nebenkosten!$B$16*IF(Nebenkosten!$C$16="Fläche",$I27,IF(Nebenkosten!$C$16="Anteil",$J27,$K27))*IF(Nebenkosten!$D$16="Heizung",$H27,$G27)/Nebenkosten!$E$16)</f>
        <v/>
      </c>
      <c r="AH27" s="11">
        <f>IF(OR(Nebenkosten!$B$17="",Nebenkosten!$E$17=0,$F27=0),0,Nebenkosten!$B$17*IF(Nebenkosten!$C$17="Fläche",$I27,IF(Nebenkosten!$C$17="Anteil",$J27,$K27))*IF(Nebenkosten!$D$17="Heizung",$H27,$G27)/Nebenkosten!$E$17)</f>
        <v/>
      </c>
      <c r="AI27" s="11">
        <f>IF(OR(Nebenkosten!$B$18="",Nebenkosten!$E$18=0,$F27=0),0,Nebenkosten!$B$18*IF(Nebenkosten!$C$18="Fläche",$I27,IF(Nebenkosten!$C$18="Anteil",$J27,$K27))*IF(Nebenkosten!$D$18="Heizung",$H27,$G27)/Nebenkosten!$E$18)</f>
        <v/>
      </c>
      <c r="AJ27" s="11">
        <f>IF(OR(Nebenkosten!$B$19="",Nebenkosten!$E$19=0,$F27=0),0,Nebenkosten!$B$19*IF(Nebenkosten!$C$19="Fläche",$I27,IF(Nebenkosten!$C$19="Anteil",$J27,$K27))*IF(Nebenkosten!$D$19="Heizung",$H27,$G27)/Nebenkosten!$E$19)</f>
        <v/>
      </c>
      <c r="AK27" s="11">
        <f>IF(OR(Nebenkosten!$B$20="",Nebenkosten!$E$20=0,$F27=0),0,Nebenkosten!$B$20*IF(Nebenkosten!$C$20="Fläche",$I27,IF(Nebenkosten!$C$20="Anteil",$J27,$K27))*IF(Nebenkosten!$D$20="Heizung",$H27,$G27)/Nebenkosten!$E$20)</f>
        <v/>
      </c>
      <c r="AL27" s="11">
        <f>IF(OR(Nebenkosten!$B$21="",Nebenkosten!$E$21=0,$F27=0),0,Nebenkosten!$B$21*IF(Nebenkosten!$C$21="Fläche",$I27,IF(Nebenkosten!$C$21="Anteil",$J27,$K27))*IF(Nebenkosten!$D$21="Heizung",$H27,$G27)/Nebenkosten!$E$21)</f>
        <v/>
      </c>
      <c r="AM27" s="11">
        <f>IF(OR(Nebenkosten!$B$22="",Nebenkosten!$E$22=0,$F27=0),0,Nebenkosten!$B$22*IF(Nebenkosten!$C$22="Fläche",$I27,IF(Nebenkosten!$C$22="Anteil",$J27,$K27))*IF(Nebenkosten!$D$22="Heizung",$H27,$G27)/Nebenkosten!$E$22)</f>
        <v/>
      </c>
      <c r="AN27" s="11">
        <f>IF(OR(Nebenkosten!$B$23="",Nebenkosten!$E$23=0,$F27=0),0,Nebenkosten!$B$23*IF(Nebenkosten!$C$23="Fläche",$I27,IF(Nebenkosten!$C$23="Anteil",$J27,$K27))*IF(Nebenkosten!$D$23="Heizung",$H27,$G27)/Nebenkosten!$E$23)</f>
        <v/>
      </c>
      <c r="AO27" s="11">
        <f>IF(OR(Nebenkosten!$B$24="",Nebenkosten!$E$24=0,$F27=0),0,Nebenkosten!$B$24*IF(Nebenkosten!$C$24="Fläche",$I27,IF(Nebenkosten!$C$24="Anteil",$J27,$K27))*IF(Nebenkosten!$D$24="Heizung",$H27,$G27)/Nebenkosten!$E$24)</f>
        <v/>
      </c>
      <c r="AP27" s="11">
        <f>IF(OR(Nebenkosten!$B$25="",Nebenkosten!$E$25=0,$F27=0),0,Nebenkosten!$B$25*IF(Nebenkosten!$C$25="Fläche",$I27,IF(Nebenkosten!$C$25="Anteil",$J27,$K27))*IF(Nebenkosten!$D$25="Heizung",$H27,$G27)/Nebenkosten!$E$25)</f>
        <v/>
      </c>
      <c r="AQ27" s="11">
        <f>IF(OR(Nebenkosten!$B$26="",Nebenkosten!$E$26=0,$F27=0),0,Nebenkosten!$B$26*IF(Nebenkosten!$C$26="Fläche",$I27,IF(Nebenkosten!$C$26="Anteil",$J27,$K27))*IF(Nebenkosten!$D$26="Heizung",$H27,$G27)/Nebenkosten!$E$26)</f>
        <v/>
      </c>
      <c r="AR27" s="11">
        <f>IF(OR(Nebenkosten!$B$27="",Nebenkosten!$E$27=0,$F27=0),0,Nebenkosten!$B$27*IF(Nebenkosten!$C$27="Fläche",$I27,IF(Nebenkosten!$C$27="Anteil",$J27,$K27))*IF(Nebenkosten!$D$27="Heizung",$H27,$G27)/Nebenkosten!$E$27)</f>
        <v/>
      </c>
      <c r="AS27" s="11">
        <f>IF(OR(Nebenkosten!$B$28="",Nebenkosten!$E$28=0,$F27=0),0,Nebenkosten!$B$28*IF(Nebenkosten!$C$28="Fläche",$I27,IF(Nebenkosten!$C$28="Anteil",$J27,$K27))*IF(Nebenkosten!$D$28="Heizung",$H27,$G27)/Nebenkosten!$E$28)</f>
        <v/>
      </c>
      <c r="AT27" s="11">
        <f>IF(OR(Nebenkosten!$B$29="",Nebenkosten!$E$29=0,$F27=0),0,Nebenkosten!$B$29*IF(Nebenkosten!$C$29="Fläche",$I27,IF(Nebenkosten!$C$29="Anteil",$J27,$K27))*IF(Nebenkosten!$D$29="Heizung",$H27,$G27)/Nebenkosten!$E$29)</f>
        <v/>
      </c>
      <c r="AU27" s="11">
        <f>IF(OR(Nebenkosten!$B$30="",Nebenkosten!$E$30=0,$F27=0),0,Nebenkosten!$B$30*IF(Nebenkosten!$C$30="Fläche",$I27,IF(Nebenkosten!$C$30="Anteil",$J27,$K27))*IF(Nebenkosten!$D$30="Heizung",$H27,$G27)/Nebenkosten!$E$30)</f>
        <v/>
      </c>
      <c r="AV27" s="11">
        <f>IF(OR(Nebenkosten!$B$31="",Nebenkosten!$E$31=0,$F27=0),0,Nebenkosten!$B$31*IF(Nebenkosten!$C$31="Fläche",$I27,IF(Nebenkosten!$C$31="Anteil",$J27,$K27))*IF(Nebenkosten!$D$31="Heizung",$H27,$G27)/Nebenkosten!$E$31)</f>
        <v/>
      </c>
      <c r="AW27" s="11">
        <f>IF(OR(Nebenkosten!$B$32="",Nebenkosten!$E$32=0,$F27=0),0,Nebenkosten!$B$32*IF(Nebenkosten!$C$32="Fläche",$I27,IF(Nebenkosten!$C$32="Anteil",$J27,$K27))*IF(Nebenkosten!$D$32="Heizung",$H27,$G27)/Nebenkosten!$E$32)</f>
        <v/>
      </c>
      <c r="AX27" s="11">
        <f>IF(OR(Nebenkosten!$B$33="",Nebenkosten!$E$33=0,$F27=0),0,Nebenkosten!$B$33*IF(Nebenkosten!$C$33="Fläche",$I27,IF(Nebenkosten!$C$33="Anteil",$J27,$K27))*IF(Nebenkosten!$D$33="Heizung",$H27,$G27)/Nebenkosten!$E$33)</f>
        <v/>
      </c>
      <c r="AY27" s="11">
        <f>IF(OR(Nebenkosten!$B$34="",Nebenkosten!$E$34=0,$F27=0),0,Nebenkosten!$B$34*IF(Nebenkosten!$C$34="Fläche",$I27,IF(Nebenkosten!$C$34="Anteil",$J27,$K27))*IF(Nebenkosten!$D$34="Heizung",$H27,$G27)/Nebenkosten!$E$34)</f>
        <v/>
      </c>
      <c r="AZ27" s="11">
        <f>ROUND(SUM(AA27:AY27)*20,0)/20</f>
        <v/>
      </c>
      <c r="BA27" s="11">
        <f>IF(F27=0,0,N27)</f>
        <v/>
      </c>
      <c r="BB27" s="11">
        <f>AZ27-BA27</f>
        <v/>
      </c>
    </row>
    <row r="28">
      <c r="A28" s="10">
        <f>'Mein Haus'!A68</f>
        <v/>
      </c>
      <c r="B28" s="23">
        <f>IF('Mein Haus'!C68="","",'Mein Haus'!C68)</f>
        <v/>
      </c>
      <c r="C28" s="23">
        <f>IF('Mein Haus'!B68="","",'Mein Haus'!B68)</f>
        <v/>
      </c>
      <c r="D28" s="21">
        <f>IF(AND('Mein Haus'!C68&lt;&gt;"",'Mein Haus'!B68&lt;&gt;"",Nebenkosten!$B$7&lt;&gt;""),MAX(IF('Mein Haus'!D68="",Nebenkosten!$B$7,'Mein Haus'!D68),Nebenkosten!$B$7),"")</f>
        <v/>
      </c>
      <c r="E28" s="21">
        <f>IF(AND('Mein Haus'!C68&lt;&gt;"",'Mein Haus'!B68&lt;&gt;"",Nebenkosten!$B$7&lt;&gt;""),MIN(IF('Mein Haus'!F68="",Nebenkosten!$D$7,'Mein Haus'!F68),Nebenkosten!$D$7),"")</f>
        <v/>
      </c>
      <c r="F28" s="10">
        <f>IF(D28="",0,MAX(0,E28-D28+1))</f>
        <v/>
      </c>
      <c r="G28" s="49">
        <f>IF(F28=0,0,F28/Nebenkosten!$F$7)</f>
        <v/>
      </c>
      <c r="H28" s="49">
        <f>IF(F28=0,0,SUMPRODUCT(O28:Z28,$O$3:$Z$3)/Einstellungen!$F$17)</f>
        <v/>
      </c>
      <c r="I28" s="19">
        <f>IF(F28=0,0,IFERROR(INDEX('Mein Haus'!$D$11:$D$40,MATCH(C28,'Mein Haus'!$A$11:$A$40,0)),0))</f>
        <v/>
      </c>
      <c r="J28" s="19">
        <f>IF(F28=0,0,IFERROR(INDEX('Mein Haus'!$E$11:$E$40,MATCH(C28,'Mein Haus'!$A$11:$A$40,0)),0))</f>
        <v/>
      </c>
      <c r="K28" s="19">
        <f>IF(F28=0,0,IFERROR(INDEX('Mein Haus'!$F$11:$F$40,MATCH(C28,'Mein Haus'!$A$11:$A$40,0)),0))</f>
        <v/>
      </c>
      <c r="L28" s="11">
        <f>IF(F28=0,0,N('Mein Haus'!H68)*SUM(O28:Z28))</f>
        <v/>
      </c>
      <c r="M28" s="22" t="n"/>
      <c r="N28" s="11">
        <f>IF(M28&lt;&gt;"",M28,L28)</f>
        <v/>
      </c>
      <c r="O28" s="19">
        <f>IF(F28=0,0,MAX(0,MIN(E28,EOMONTH(EDATE(Nebenkosten!$B$7,0),0))-MAX(D28,EDATE(Nebenkosten!$B$7,0))+1)/DAY(EOMONTH(EDATE(Nebenkosten!$B$7,0),0)))</f>
        <v/>
      </c>
      <c r="P28" s="19">
        <f>IF(F28=0,0,MAX(0,MIN(E28,EOMONTH(EDATE(Nebenkosten!$B$7,1),0))-MAX(D28,EDATE(Nebenkosten!$B$7,1))+1)/DAY(EOMONTH(EDATE(Nebenkosten!$B$7,1),0)))</f>
        <v/>
      </c>
      <c r="Q28" s="19">
        <f>IF(F28=0,0,MAX(0,MIN(E28,EOMONTH(EDATE(Nebenkosten!$B$7,2),0))-MAX(D28,EDATE(Nebenkosten!$B$7,2))+1)/DAY(EOMONTH(EDATE(Nebenkosten!$B$7,2),0)))</f>
        <v/>
      </c>
      <c r="R28" s="19">
        <f>IF(F28=0,0,MAX(0,MIN(E28,EOMONTH(EDATE(Nebenkosten!$B$7,3),0))-MAX(D28,EDATE(Nebenkosten!$B$7,3))+1)/DAY(EOMONTH(EDATE(Nebenkosten!$B$7,3),0)))</f>
        <v/>
      </c>
      <c r="S28" s="19">
        <f>IF(F28=0,0,MAX(0,MIN(E28,EOMONTH(EDATE(Nebenkosten!$B$7,4),0))-MAX(D28,EDATE(Nebenkosten!$B$7,4))+1)/DAY(EOMONTH(EDATE(Nebenkosten!$B$7,4),0)))</f>
        <v/>
      </c>
      <c r="T28" s="19">
        <f>IF(F28=0,0,MAX(0,MIN(E28,EOMONTH(EDATE(Nebenkosten!$B$7,5),0))-MAX(D28,EDATE(Nebenkosten!$B$7,5))+1)/DAY(EOMONTH(EDATE(Nebenkosten!$B$7,5),0)))</f>
        <v/>
      </c>
      <c r="U28" s="19">
        <f>IF(F28=0,0,MAX(0,MIN(E28,EOMONTH(EDATE(Nebenkosten!$B$7,6),0))-MAX(D28,EDATE(Nebenkosten!$B$7,6))+1)/DAY(EOMONTH(EDATE(Nebenkosten!$B$7,6),0)))</f>
        <v/>
      </c>
      <c r="V28" s="19">
        <f>IF(F28=0,0,MAX(0,MIN(E28,EOMONTH(EDATE(Nebenkosten!$B$7,7),0))-MAX(D28,EDATE(Nebenkosten!$B$7,7))+1)/DAY(EOMONTH(EDATE(Nebenkosten!$B$7,7),0)))</f>
        <v/>
      </c>
      <c r="W28" s="19">
        <f>IF(F28=0,0,MAX(0,MIN(E28,EOMONTH(EDATE(Nebenkosten!$B$7,8),0))-MAX(D28,EDATE(Nebenkosten!$B$7,8))+1)/DAY(EOMONTH(EDATE(Nebenkosten!$B$7,8),0)))</f>
        <v/>
      </c>
      <c r="X28" s="19">
        <f>IF(F28=0,0,MAX(0,MIN(E28,EOMONTH(EDATE(Nebenkosten!$B$7,9),0))-MAX(D28,EDATE(Nebenkosten!$B$7,9))+1)/DAY(EOMONTH(EDATE(Nebenkosten!$B$7,9),0)))</f>
        <v/>
      </c>
      <c r="Y28" s="19">
        <f>IF(F28=0,0,MAX(0,MIN(E28,EOMONTH(EDATE(Nebenkosten!$B$7,10),0))-MAX(D28,EDATE(Nebenkosten!$B$7,10))+1)/DAY(EOMONTH(EDATE(Nebenkosten!$B$7,10),0)))</f>
        <v/>
      </c>
      <c r="Z28" s="19">
        <f>IF(F28=0,0,MAX(0,MIN(E28,EOMONTH(EDATE(Nebenkosten!$B$7,11),0))-MAX(D28,EDATE(Nebenkosten!$B$7,11))+1)/DAY(EOMONTH(EDATE(Nebenkosten!$B$7,11),0)))</f>
        <v/>
      </c>
      <c r="AA28" s="11">
        <f>IF(OR(Nebenkosten!$B$10="",Nebenkosten!$E$10=0,$F28=0),0,Nebenkosten!$B$10*IF(Nebenkosten!$C$10="Fläche",$I28,IF(Nebenkosten!$C$10="Anteil",$J28,$K28))*IF(Nebenkosten!$D$10="Heizung",$H28,$G28)/Nebenkosten!$E$10)</f>
        <v/>
      </c>
      <c r="AB28" s="11">
        <f>IF(OR(Nebenkosten!$B$11="",Nebenkosten!$E$11=0,$F28=0),0,Nebenkosten!$B$11*IF(Nebenkosten!$C$11="Fläche",$I28,IF(Nebenkosten!$C$11="Anteil",$J28,$K28))*IF(Nebenkosten!$D$11="Heizung",$H28,$G28)/Nebenkosten!$E$11)</f>
        <v/>
      </c>
      <c r="AC28" s="11">
        <f>IF(OR(Nebenkosten!$B$12="",Nebenkosten!$E$12=0,$F28=0),0,Nebenkosten!$B$12*IF(Nebenkosten!$C$12="Fläche",$I28,IF(Nebenkosten!$C$12="Anteil",$J28,$K28))*IF(Nebenkosten!$D$12="Heizung",$H28,$G28)/Nebenkosten!$E$12)</f>
        <v/>
      </c>
      <c r="AD28" s="11">
        <f>IF(OR(Nebenkosten!$B$13="",Nebenkosten!$E$13=0,$F28=0),0,Nebenkosten!$B$13*IF(Nebenkosten!$C$13="Fläche",$I28,IF(Nebenkosten!$C$13="Anteil",$J28,$K28))*IF(Nebenkosten!$D$13="Heizung",$H28,$G28)/Nebenkosten!$E$13)</f>
        <v/>
      </c>
      <c r="AE28" s="11">
        <f>IF(OR(Nebenkosten!$B$14="",Nebenkosten!$E$14=0,$F28=0),0,Nebenkosten!$B$14*IF(Nebenkosten!$C$14="Fläche",$I28,IF(Nebenkosten!$C$14="Anteil",$J28,$K28))*IF(Nebenkosten!$D$14="Heizung",$H28,$G28)/Nebenkosten!$E$14)</f>
        <v/>
      </c>
      <c r="AF28" s="11">
        <f>IF(OR(Nebenkosten!$B$15="",Nebenkosten!$E$15=0,$F28=0),0,Nebenkosten!$B$15*IF(Nebenkosten!$C$15="Fläche",$I28,IF(Nebenkosten!$C$15="Anteil",$J28,$K28))*IF(Nebenkosten!$D$15="Heizung",$H28,$G28)/Nebenkosten!$E$15)</f>
        <v/>
      </c>
      <c r="AG28" s="11">
        <f>IF(OR(Nebenkosten!$B$16="",Nebenkosten!$E$16=0,$F28=0),0,Nebenkosten!$B$16*IF(Nebenkosten!$C$16="Fläche",$I28,IF(Nebenkosten!$C$16="Anteil",$J28,$K28))*IF(Nebenkosten!$D$16="Heizung",$H28,$G28)/Nebenkosten!$E$16)</f>
        <v/>
      </c>
      <c r="AH28" s="11">
        <f>IF(OR(Nebenkosten!$B$17="",Nebenkosten!$E$17=0,$F28=0),0,Nebenkosten!$B$17*IF(Nebenkosten!$C$17="Fläche",$I28,IF(Nebenkosten!$C$17="Anteil",$J28,$K28))*IF(Nebenkosten!$D$17="Heizung",$H28,$G28)/Nebenkosten!$E$17)</f>
        <v/>
      </c>
      <c r="AI28" s="11">
        <f>IF(OR(Nebenkosten!$B$18="",Nebenkosten!$E$18=0,$F28=0),0,Nebenkosten!$B$18*IF(Nebenkosten!$C$18="Fläche",$I28,IF(Nebenkosten!$C$18="Anteil",$J28,$K28))*IF(Nebenkosten!$D$18="Heizung",$H28,$G28)/Nebenkosten!$E$18)</f>
        <v/>
      </c>
      <c r="AJ28" s="11">
        <f>IF(OR(Nebenkosten!$B$19="",Nebenkosten!$E$19=0,$F28=0),0,Nebenkosten!$B$19*IF(Nebenkosten!$C$19="Fläche",$I28,IF(Nebenkosten!$C$19="Anteil",$J28,$K28))*IF(Nebenkosten!$D$19="Heizung",$H28,$G28)/Nebenkosten!$E$19)</f>
        <v/>
      </c>
      <c r="AK28" s="11">
        <f>IF(OR(Nebenkosten!$B$20="",Nebenkosten!$E$20=0,$F28=0),0,Nebenkosten!$B$20*IF(Nebenkosten!$C$20="Fläche",$I28,IF(Nebenkosten!$C$20="Anteil",$J28,$K28))*IF(Nebenkosten!$D$20="Heizung",$H28,$G28)/Nebenkosten!$E$20)</f>
        <v/>
      </c>
      <c r="AL28" s="11">
        <f>IF(OR(Nebenkosten!$B$21="",Nebenkosten!$E$21=0,$F28=0),0,Nebenkosten!$B$21*IF(Nebenkosten!$C$21="Fläche",$I28,IF(Nebenkosten!$C$21="Anteil",$J28,$K28))*IF(Nebenkosten!$D$21="Heizung",$H28,$G28)/Nebenkosten!$E$21)</f>
        <v/>
      </c>
      <c r="AM28" s="11">
        <f>IF(OR(Nebenkosten!$B$22="",Nebenkosten!$E$22=0,$F28=0),0,Nebenkosten!$B$22*IF(Nebenkosten!$C$22="Fläche",$I28,IF(Nebenkosten!$C$22="Anteil",$J28,$K28))*IF(Nebenkosten!$D$22="Heizung",$H28,$G28)/Nebenkosten!$E$22)</f>
        <v/>
      </c>
      <c r="AN28" s="11">
        <f>IF(OR(Nebenkosten!$B$23="",Nebenkosten!$E$23=0,$F28=0),0,Nebenkosten!$B$23*IF(Nebenkosten!$C$23="Fläche",$I28,IF(Nebenkosten!$C$23="Anteil",$J28,$K28))*IF(Nebenkosten!$D$23="Heizung",$H28,$G28)/Nebenkosten!$E$23)</f>
        <v/>
      </c>
      <c r="AO28" s="11">
        <f>IF(OR(Nebenkosten!$B$24="",Nebenkosten!$E$24=0,$F28=0),0,Nebenkosten!$B$24*IF(Nebenkosten!$C$24="Fläche",$I28,IF(Nebenkosten!$C$24="Anteil",$J28,$K28))*IF(Nebenkosten!$D$24="Heizung",$H28,$G28)/Nebenkosten!$E$24)</f>
        <v/>
      </c>
      <c r="AP28" s="11">
        <f>IF(OR(Nebenkosten!$B$25="",Nebenkosten!$E$25=0,$F28=0),0,Nebenkosten!$B$25*IF(Nebenkosten!$C$25="Fläche",$I28,IF(Nebenkosten!$C$25="Anteil",$J28,$K28))*IF(Nebenkosten!$D$25="Heizung",$H28,$G28)/Nebenkosten!$E$25)</f>
        <v/>
      </c>
      <c r="AQ28" s="11">
        <f>IF(OR(Nebenkosten!$B$26="",Nebenkosten!$E$26=0,$F28=0),0,Nebenkosten!$B$26*IF(Nebenkosten!$C$26="Fläche",$I28,IF(Nebenkosten!$C$26="Anteil",$J28,$K28))*IF(Nebenkosten!$D$26="Heizung",$H28,$G28)/Nebenkosten!$E$26)</f>
        <v/>
      </c>
      <c r="AR28" s="11">
        <f>IF(OR(Nebenkosten!$B$27="",Nebenkosten!$E$27=0,$F28=0),0,Nebenkosten!$B$27*IF(Nebenkosten!$C$27="Fläche",$I28,IF(Nebenkosten!$C$27="Anteil",$J28,$K28))*IF(Nebenkosten!$D$27="Heizung",$H28,$G28)/Nebenkosten!$E$27)</f>
        <v/>
      </c>
      <c r="AS28" s="11">
        <f>IF(OR(Nebenkosten!$B$28="",Nebenkosten!$E$28=0,$F28=0),0,Nebenkosten!$B$28*IF(Nebenkosten!$C$28="Fläche",$I28,IF(Nebenkosten!$C$28="Anteil",$J28,$K28))*IF(Nebenkosten!$D$28="Heizung",$H28,$G28)/Nebenkosten!$E$28)</f>
        <v/>
      </c>
      <c r="AT28" s="11">
        <f>IF(OR(Nebenkosten!$B$29="",Nebenkosten!$E$29=0,$F28=0),0,Nebenkosten!$B$29*IF(Nebenkosten!$C$29="Fläche",$I28,IF(Nebenkosten!$C$29="Anteil",$J28,$K28))*IF(Nebenkosten!$D$29="Heizung",$H28,$G28)/Nebenkosten!$E$29)</f>
        <v/>
      </c>
      <c r="AU28" s="11">
        <f>IF(OR(Nebenkosten!$B$30="",Nebenkosten!$E$30=0,$F28=0),0,Nebenkosten!$B$30*IF(Nebenkosten!$C$30="Fläche",$I28,IF(Nebenkosten!$C$30="Anteil",$J28,$K28))*IF(Nebenkosten!$D$30="Heizung",$H28,$G28)/Nebenkosten!$E$30)</f>
        <v/>
      </c>
      <c r="AV28" s="11">
        <f>IF(OR(Nebenkosten!$B$31="",Nebenkosten!$E$31=0,$F28=0),0,Nebenkosten!$B$31*IF(Nebenkosten!$C$31="Fläche",$I28,IF(Nebenkosten!$C$31="Anteil",$J28,$K28))*IF(Nebenkosten!$D$31="Heizung",$H28,$G28)/Nebenkosten!$E$31)</f>
        <v/>
      </c>
      <c r="AW28" s="11">
        <f>IF(OR(Nebenkosten!$B$32="",Nebenkosten!$E$32=0,$F28=0),0,Nebenkosten!$B$32*IF(Nebenkosten!$C$32="Fläche",$I28,IF(Nebenkosten!$C$32="Anteil",$J28,$K28))*IF(Nebenkosten!$D$32="Heizung",$H28,$G28)/Nebenkosten!$E$32)</f>
        <v/>
      </c>
      <c r="AX28" s="11">
        <f>IF(OR(Nebenkosten!$B$33="",Nebenkosten!$E$33=0,$F28=0),0,Nebenkosten!$B$33*IF(Nebenkosten!$C$33="Fläche",$I28,IF(Nebenkosten!$C$33="Anteil",$J28,$K28))*IF(Nebenkosten!$D$33="Heizung",$H28,$G28)/Nebenkosten!$E$33)</f>
        <v/>
      </c>
      <c r="AY28" s="11">
        <f>IF(OR(Nebenkosten!$B$34="",Nebenkosten!$E$34=0,$F28=0),0,Nebenkosten!$B$34*IF(Nebenkosten!$C$34="Fläche",$I28,IF(Nebenkosten!$C$34="Anteil",$J28,$K28))*IF(Nebenkosten!$D$34="Heizung",$H28,$G28)/Nebenkosten!$E$34)</f>
        <v/>
      </c>
      <c r="AZ28" s="11">
        <f>ROUND(SUM(AA28:AY28)*20,0)/20</f>
        <v/>
      </c>
      <c r="BA28" s="11">
        <f>IF(F28=0,0,N28)</f>
        <v/>
      </c>
      <c r="BB28" s="11">
        <f>AZ28-BA28</f>
        <v/>
      </c>
    </row>
    <row r="29">
      <c r="A29" s="10">
        <f>'Mein Haus'!A69</f>
        <v/>
      </c>
      <c r="B29" s="23">
        <f>IF('Mein Haus'!C69="","",'Mein Haus'!C69)</f>
        <v/>
      </c>
      <c r="C29" s="23">
        <f>IF('Mein Haus'!B69="","",'Mein Haus'!B69)</f>
        <v/>
      </c>
      <c r="D29" s="21">
        <f>IF(AND('Mein Haus'!C69&lt;&gt;"",'Mein Haus'!B69&lt;&gt;"",Nebenkosten!$B$7&lt;&gt;""),MAX(IF('Mein Haus'!D69="",Nebenkosten!$B$7,'Mein Haus'!D69),Nebenkosten!$B$7),"")</f>
        <v/>
      </c>
      <c r="E29" s="21">
        <f>IF(AND('Mein Haus'!C69&lt;&gt;"",'Mein Haus'!B69&lt;&gt;"",Nebenkosten!$B$7&lt;&gt;""),MIN(IF('Mein Haus'!F69="",Nebenkosten!$D$7,'Mein Haus'!F69),Nebenkosten!$D$7),"")</f>
        <v/>
      </c>
      <c r="F29" s="10">
        <f>IF(D29="",0,MAX(0,E29-D29+1))</f>
        <v/>
      </c>
      <c r="G29" s="49">
        <f>IF(F29=0,0,F29/Nebenkosten!$F$7)</f>
        <v/>
      </c>
      <c r="H29" s="49">
        <f>IF(F29=0,0,SUMPRODUCT(O29:Z29,$O$3:$Z$3)/Einstellungen!$F$17)</f>
        <v/>
      </c>
      <c r="I29" s="19">
        <f>IF(F29=0,0,IFERROR(INDEX('Mein Haus'!$D$11:$D$40,MATCH(C29,'Mein Haus'!$A$11:$A$40,0)),0))</f>
        <v/>
      </c>
      <c r="J29" s="19">
        <f>IF(F29=0,0,IFERROR(INDEX('Mein Haus'!$E$11:$E$40,MATCH(C29,'Mein Haus'!$A$11:$A$40,0)),0))</f>
        <v/>
      </c>
      <c r="K29" s="19">
        <f>IF(F29=0,0,IFERROR(INDEX('Mein Haus'!$F$11:$F$40,MATCH(C29,'Mein Haus'!$A$11:$A$40,0)),0))</f>
        <v/>
      </c>
      <c r="L29" s="11">
        <f>IF(F29=0,0,N('Mein Haus'!H69)*SUM(O29:Z29))</f>
        <v/>
      </c>
      <c r="M29" s="22" t="n"/>
      <c r="N29" s="11">
        <f>IF(M29&lt;&gt;"",M29,L29)</f>
        <v/>
      </c>
      <c r="O29" s="19">
        <f>IF(F29=0,0,MAX(0,MIN(E29,EOMONTH(EDATE(Nebenkosten!$B$7,0),0))-MAX(D29,EDATE(Nebenkosten!$B$7,0))+1)/DAY(EOMONTH(EDATE(Nebenkosten!$B$7,0),0)))</f>
        <v/>
      </c>
      <c r="P29" s="19">
        <f>IF(F29=0,0,MAX(0,MIN(E29,EOMONTH(EDATE(Nebenkosten!$B$7,1),0))-MAX(D29,EDATE(Nebenkosten!$B$7,1))+1)/DAY(EOMONTH(EDATE(Nebenkosten!$B$7,1),0)))</f>
        <v/>
      </c>
      <c r="Q29" s="19">
        <f>IF(F29=0,0,MAX(0,MIN(E29,EOMONTH(EDATE(Nebenkosten!$B$7,2),0))-MAX(D29,EDATE(Nebenkosten!$B$7,2))+1)/DAY(EOMONTH(EDATE(Nebenkosten!$B$7,2),0)))</f>
        <v/>
      </c>
      <c r="R29" s="19">
        <f>IF(F29=0,0,MAX(0,MIN(E29,EOMONTH(EDATE(Nebenkosten!$B$7,3),0))-MAX(D29,EDATE(Nebenkosten!$B$7,3))+1)/DAY(EOMONTH(EDATE(Nebenkosten!$B$7,3),0)))</f>
        <v/>
      </c>
      <c r="S29" s="19">
        <f>IF(F29=0,0,MAX(0,MIN(E29,EOMONTH(EDATE(Nebenkosten!$B$7,4),0))-MAX(D29,EDATE(Nebenkosten!$B$7,4))+1)/DAY(EOMONTH(EDATE(Nebenkosten!$B$7,4),0)))</f>
        <v/>
      </c>
      <c r="T29" s="19">
        <f>IF(F29=0,0,MAX(0,MIN(E29,EOMONTH(EDATE(Nebenkosten!$B$7,5),0))-MAX(D29,EDATE(Nebenkosten!$B$7,5))+1)/DAY(EOMONTH(EDATE(Nebenkosten!$B$7,5),0)))</f>
        <v/>
      </c>
      <c r="U29" s="19">
        <f>IF(F29=0,0,MAX(0,MIN(E29,EOMONTH(EDATE(Nebenkosten!$B$7,6),0))-MAX(D29,EDATE(Nebenkosten!$B$7,6))+1)/DAY(EOMONTH(EDATE(Nebenkosten!$B$7,6),0)))</f>
        <v/>
      </c>
      <c r="V29" s="19">
        <f>IF(F29=0,0,MAX(0,MIN(E29,EOMONTH(EDATE(Nebenkosten!$B$7,7),0))-MAX(D29,EDATE(Nebenkosten!$B$7,7))+1)/DAY(EOMONTH(EDATE(Nebenkosten!$B$7,7),0)))</f>
        <v/>
      </c>
      <c r="W29" s="19">
        <f>IF(F29=0,0,MAX(0,MIN(E29,EOMONTH(EDATE(Nebenkosten!$B$7,8),0))-MAX(D29,EDATE(Nebenkosten!$B$7,8))+1)/DAY(EOMONTH(EDATE(Nebenkosten!$B$7,8),0)))</f>
        <v/>
      </c>
      <c r="X29" s="19">
        <f>IF(F29=0,0,MAX(0,MIN(E29,EOMONTH(EDATE(Nebenkosten!$B$7,9),0))-MAX(D29,EDATE(Nebenkosten!$B$7,9))+1)/DAY(EOMONTH(EDATE(Nebenkosten!$B$7,9),0)))</f>
        <v/>
      </c>
      <c r="Y29" s="19">
        <f>IF(F29=0,0,MAX(0,MIN(E29,EOMONTH(EDATE(Nebenkosten!$B$7,10),0))-MAX(D29,EDATE(Nebenkosten!$B$7,10))+1)/DAY(EOMONTH(EDATE(Nebenkosten!$B$7,10),0)))</f>
        <v/>
      </c>
      <c r="Z29" s="19">
        <f>IF(F29=0,0,MAX(0,MIN(E29,EOMONTH(EDATE(Nebenkosten!$B$7,11),0))-MAX(D29,EDATE(Nebenkosten!$B$7,11))+1)/DAY(EOMONTH(EDATE(Nebenkosten!$B$7,11),0)))</f>
        <v/>
      </c>
      <c r="AA29" s="11">
        <f>IF(OR(Nebenkosten!$B$10="",Nebenkosten!$E$10=0,$F29=0),0,Nebenkosten!$B$10*IF(Nebenkosten!$C$10="Fläche",$I29,IF(Nebenkosten!$C$10="Anteil",$J29,$K29))*IF(Nebenkosten!$D$10="Heizung",$H29,$G29)/Nebenkosten!$E$10)</f>
        <v/>
      </c>
      <c r="AB29" s="11">
        <f>IF(OR(Nebenkosten!$B$11="",Nebenkosten!$E$11=0,$F29=0),0,Nebenkosten!$B$11*IF(Nebenkosten!$C$11="Fläche",$I29,IF(Nebenkosten!$C$11="Anteil",$J29,$K29))*IF(Nebenkosten!$D$11="Heizung",$H29,$G29)/Nebenkosten!$E$11)</f>
        <v/>
      </c>
      <c r="AC29" s="11">
        <f>IF(OR(Nebenkosten!$B$12="",Nebenkosten!$E$12=0,$F29=0),0,Nebenkosten!$B$12*IF(Nebenkosten!$C$12="Fläche",$I29,IF(Nebenkosten!$C$12="Anteil",$J29,$K29))*IF(Nebenkosten!$D$12="Heizung",$H29,$G29)/Nebenkosten!$E$12)</f>
        <v/>
      </c>
      <c r="AD29" s="11">
        <f>IF(OR(Nebenkosten!$B$13="",Nebenkosten!$E$13=0,$F29=0),0,Nebenkosten!$B$13*IF(Nebenkosten!$C$13="Fläche",$I29,IF(Nebenkosten!$C$13="Anteil",$J29,$K29))*IF(Nebenkosten!$D$13="Heizung",$H29,$G29)/Nebenkosten!$E$13)</f>
        <v/>
      </c>
      <c r="AE29" s="11">
        <f>IF(OR(Nebenkosten!$B$14="",Nebenkosten!$E$14=0,$F29=0),0,Nebenkosten!$B$14*IF(Nebenkosten!$C$14="Fläche",$I29,IF(Nebenkosten!$C$14="Anteil",$J29,$K29))*IF(Nebenkosten!$D$14="Heizung",$H29,$G29)/Nebenkosten!$E$14)</f>
        <v/>
      </c>
      <c r="AF29" s="11">
        <f>IF(OR(Nebenkosten!$B$15="",Nebenkosten!$E$15=0,$F29=0),0,Nebenkosten!$B$15*IF(Nebenkosten!$C$15="Fläche",$I29,IF(Nebenkosten!$C$15="Anteil",$J29,$K29))*IF(Nebenkosten!$D$15="Heizung",$H29,$G29)/Nebenkosten!$E$15)</f>
        <v/>
      </c>
      <c r="AG29" s="11">
        <f>IF(OR(Nebenkosten!$B$16="",Nebenkosten!$E$16=0,$F29=0),0,Nebenkosten!$B$16*IF(Nebenkosten!$C$16="Fläche",$I29,IF(Nebenkosten!$C$16="Anteil",$J29,$K29))*IF(Nebenkosten!$D$16="Heizung",$H29,$G29)/Nebenkosten!$E$16)</f>
        <v/>
      </c>
      <c r="AH29" s="11">
        <f>IF(OR(Nebenkosten!$B$17="",Nebenkosten!$E$17=0,$F29=0),0,Nebenkosten!$B$17*IF(Nebenkosten!$C$17="Fläche",$I29,IF(Nebenkosten!$C$17="Anteil",$J29,$K29))*IF(Nebenkosten!$D$17="Heizung",$H29,$G29)/Nebenkosten!$E$17)</f>
        <v/>
      </c>
      <c r="AI29" s="11">
        <f>IF(OR(Nebenkosten!$B$18="",Nebenkosten!$E$18=0,$F29=0),0,Nebenkosten!$B$18*IF(Nebenkosten!$C$18="Fläche",$I29,IF(Nebenkosten!$C$18="Anteil",$J29,$K29))*IF(Nebenkosten!$D$18="Heizung",$H29,$G29)/Nebenkosten!$E$18)</f>
        <v/>
      </c>
      <c r="AJ29" s="11">
        <f>IF(OR(Nebenkosten!$B$19="",Nebenkosten!$E$19=0,$F29=0),0,Nebenkosten!$B$19*IF(Nebenkosten!$C$19="Fläche",$I29,IF(Nebenkosten!$C$19="Anteil",$J29,$K29))*IF(Nebenkosten!$D$19="Heizung",$H29,$G29)/Nebenkosten!$E$19)</f>
        <v/>
      </c>
      <c r="AK29" s="11">
        <f>IF(OR(Nebenkosten!$B$20="",Nebenkosten!$E$20=0,$F29=0),0,Nebenkosten!$B$20*IF(Nebenkosten!$C$20="Fläche",$I29,IF(Nebenkosten!$C$20="Anteil",$J29,$K29))*IF(Nebenkosten!$D$20="Heizung",$H29,$G29)/Nebenkosten!$E$20)</f>
        <v/>
      </c>
      <c r="AL29" s="11">
        <f>IF(OR(Nebenkosten!$B$21="",Nebenkosten!$E$21=0,$F29=0),0,Nebenkosten!$B$21*IF(Nebenkosten!$C$21="Fläche",$I29,IF(Nebenkosten!$C$21="Anteil",$J29,$K29))*IF(Nebenkosten!$D$21="Heizung",$H29,$G29)/Nebenkosten!$E$21)</f>
        <v/>
      </c>
      <c r="AM29" s="11">
        <f>IF(OR(Nebenkosten!$B$22="",Nebenkosten!$E$22=0,$F29=0),0,Nebenkosten!$B$22*IF(Nebenkosten!$C$22="Fläche",$I29,IF(Nebenkosten!$C$22="Anteil",$J29,$K29))*IF(Nebenkosten!$D$22="Heizung",$H29,$G29)/Nebenkosten!$E$22)</f>
        <v/>
      </c>
      <c r="AN29" s="11">
        <f>IF(OR(Nebenkosten!$B$23="",Nebenkosten!$E$23=0,$F29=0),0,Nebenkosten!$B$23*IF(Nebenkosten!$C$23="Fläche",$I29,IF(Nebenkosten!$C$23="Anteil",$J29,$K29))*IF(Nebenkosten!$D$23="Heizung",$H29,$G29)/Nebenkosten!$E$23)</f>
        <v/>
      </c>
      <c r="AO29" s="11">
        <f>IF(OR(Nebenkosten!$B$24="",Nebenkosten!$E$24=0,$F29=0),0,Nebenkosten!$B$24*IF(Nebenkosten!$C$24="Fläche",$I29,IF(Nebenkosten!$C$24="Anteil",$J29,$K29))*IF(Nebenkosten!$D$24="Heizung",$H29,$G29)/Nebenkosten!$E$24)</f>
        <v/>
      </c>
      <c r="AP29" s="11">
        <f>IF(OR(Nebenkosten!$B$25="",Nebenkosten!$E$25=0,$F29=0),0,Nebenkosten!$B$25*IF(Nebenkosten!$C$25="Fläche",$I29,IF(Nebenkosten!$C$25="Anteil",$J29,$K29))*IF(Nebenkosten!$D$25="Heizung",$H29,$G29)/Nebenkosten!$E$25)</f>
        <v/>
      </c>
      <c r="AQ29" s="11">
        <f>IF(OR(Nebenkosten!$B$26="",Nebenkosten!$E$26=0,$F29=0),0,Nebenkosten!$B$26*IF(Nebenkosten!$C$26="Fläche",$I29,IF(Nebenkosten!$C$26="Anteil",$J29,$K29))*IF(Nebenkosten!$D$26="Heizung",$H29,$G29)/Nebenkosten!$E$26)</f>
        <v/>
      </c>
      <c r="AR29" s="11">
        <f>IF(OR(Nebenkosten!$B$27="",Nebenkosten!$E$27=0,$F29=0),0,Nebenkosten!$B$27*IF(Nebenkosten!$C$27="Fläche",$I29,IF(Nebenkosten!$C$27="Anteil",$J29,$K29))*IF(Nebenkosten!$D$27="Heizung",$H29,$G29)/Nebenkosten!$E$27)</f>
        <v/>
      </c>
      <c r="AS29" s="11">
        <f>IF(OR(Nebenkosten!$B$28="",Nebenkosten!$E$28=0,$F29=0),0,Nebenkosten!$B$28*IF(Nebenkosten!$C$28="Fläche",$I29,IF(Nebenkosten!$C$28="Anteil",$J29,$K29))*IF(Nebenkosten!$D$28="Heizung",$H29,$G29)/Nebenkosten!$E$28)</f>
        <v/>
      </c>
      <c r="AT29" s="11">
        <f>IF(OR(Nebenkosten!$B$29="",Nebenkosten!$E$29=0,$F29=0),0,Nebenkosten!$B$29*IF(Nebenkosten!$C$29="Fläche",$I29,IF(Nebenkosten!$C$29="Anteil",$J29,$K29))*IF(Nebenkosten!$D$29="Heizung",$H29,$G29)/Nebenkosten!$E$29)</f>
        <v/>
      </c>
      <c r="AU29" s="11">
        <f>IF(OR(Nebenkosten!$B$30="",Nebenkosten!$E$30=0,$F29=0),0,Nebenkosten!$B$30*IF(Nebenkosten!$C$30="Fläche",$I29,IF(Nebenkosten!$C$30="Anteil",$J29,$K29))*IF(Nebenkosten!$D$30="Heizung",$H29,$G29)/Nebenkosten!$E$30)</f>
        <v/>
      </c>
      <c r="AV29" s="11">
        <f>IF(OR(Nebenkosten!$B$31="",Nebenkosten!$E$31=0,$F29=0),0,Nebenkosten!$B$31*IF(Nebenkosten!$C$31="Fläche",$I29,IF(Nebenkosten!$C$31="Anteil",$J29,$K29))*IF(Nebenkosten!$D$31="Heizung",$H29,$G29)/Nebenkosten!$E$31)</f>
        <v/>
      </c>
      <c r="AW29" s="11">
        <f>IF(OR(Nebenkosten!$B$32="",Nebenkosten!$E$32=0,$F29=0),0,Nebenkosten!$B$32*IF(Nebenkosten!$C$32="Fläche",$I29,IF(Nebenkosten!$C$32="Anteil",$J29,$K29))*IF(Nebenkosten!$D$32="Heizung",$H29,$G29)/Nebenkosten!$E$32)</f>
        <v/>
      </c>
      <c r="AX29" s="11">
        <f>IF(OR(Nebenkosten!$B$33="",Nebenkosten!$E$33=0,$F29=0),0,Nebenkosten!$B$33*IF(Nebenkosten!$C$33="Fläche",$I29,IF(Nebenkosten!$C$33="Anteil",$J29,$K29))*IF(Nebenkosten!$D$33="Heizung",$H29,$G29)/Nebenkosten!$E$33)</f>
        <v/>
      </c>
      <c r="AY29" s="11">
        <f>IF(OR(Nebenkosten!$B$34="",Nebenkosten!$E$34=0,$F29=0),0,Nebenkosten!$B$34*IF(Nebenkosten!$C$34="Fläche",$I29,IF(Nebenkosten!$C$34="Anteil",$J29,$K29))*IF(Nebenkosten!$D$34="Heizung",$H29,$G29)/Nebenkosten!$E$34)</f>
        <v/>
      </c>
      <c r="AZ29" s="11">
        <f>ROUND(SUM(AA29:AY29)*20,0)/20</f>
        <v/>
      </c>
      <c r="BA29" s="11">
        <f>IF(F29=0,0,N29)</f>
        <v/>
      </c>
      <c r="BB29" s="11">
        <f>AZ29-BA29</f>
        <v/>
      </c>
    </row>
    <row r="30">
      <c r="A30" s="10">
        <f>'Mein Haus'!A70</f>
        <v/>
      </c>
      <c r="B30" s="23">
        <f>IF('Mein Haus'!C70="","",'Mein Haus'!C70)</f>
        <v/>
      </c>
      <c r="C30" s="23">
        <f>IF('Mein Haus'!B70="","",'Mein Haus'!B70)</f>
        <v/>
      </c>
      <c r="D30" s="21">
        <f>IF(AND('Mein Haus'!C70&lt;&gt;"",'Mein Haus'!B70&lt;&gt;"",Nebenkosten!$B$7&lt;&gt;""),MAX(IF('Mein Haus'!D70="",Nebenkosten!$B$7,'Mein Haus'!D70),Nebenkosten!$B$7),"")</f>
        <v/>
      </c>
      <c r="E30" s="21">
        <f>IF(AND('Mein Haus'!C70&lt;&gt;"",'Mein Haus'!B70&lt;&gt;"",Nebenkosten!$B$7&lt;&gt;""),MIN(IF('Mein Haus'!F70="",Nebenkosten!$D$7,'Mein Haus'!F70),Nebenkosten!$D$7),"")</f>
        <v/>
      </c>
      <c r="F30" s="10">
        <f>IF(D30="",0,MAX(0,E30-D30+1))</f>
        <v/>
      </c>
      <c r="G30" s="49">
        <f>IF(F30=0,0,F30/Nebenkosten!$F$7)</f>
        <v/>
      </c>
      <c r="H30" s="49">
        <f>IF(F30=0,0,SUMPRODUCT(O30:Z30,$O$3:$Z$3)/Einstellungen!$F$17)</f>
        <v/>
      </c>
      <c r="I30" s="19">
        <f>IF(F30=0,0,IFERROR(INDEX('Mein Haus'!$D$11:$D$40,MATCH(C30,'Mein Haus'!$A$11:$A$40,0)),0))</f>
        <v/>
      </c>
      <c r="J30" s="19">
        <f>IF(F30=0,0,IFERROR(INDEX('Mein Haus'!$E$11:$E$40,MATCH(C30,'Mein Haus'!$A$11:$A$40,0)),0))</f>
        <v/>
      </c>
      <c r="K30" s="19">
        <f>IF(F30=0,0,IFERROR(INDEX('Mein Haus'!$F$11:$F$40,MATCH(C30,'Mein Haus'!$A$11:$A$40,0)),0))</f>
        <v/>
      </c>
      <c r="L30" s="11">
        <f>IF(F30=0,0,N('Mein Haus'!H70)*SUM(O30:Z30))</f>
        <v/>
      </c>
      <c r="M30" s="22" t="n"/>
      <c r="N30" s="11">
        <f>IF(M30&lt;&gt;"",M30,L30)</f>
        <v/>
      </c>
      <c r="O30" s="19">
        <f>IF(F30=0,0,MAX(0,MIN(E30,EOMONTH(EDATE(Nebenkosten!$B$7,0),0))-MAX(D30,EDATE(Nebenkosten!$B$7,0))+1)/DAY(EOMONTH(EDATE(Nebenkosten!$B$7,0),0)))</f>
        <v/>
      </c>
      <c r="P30" s="19">
        <f>IF(F30=0,0,MAX(0,MIN(E30,EOMONTH(EDATE(Nebenkosten!$B$7,1),0))-MAX(D30,EDATE(Nebenkosten!$B$7,1))+1)/DAY(EOMONTH(EDATE(Nebenkosten!$B$7,1),0)))</f>
        <v/>
      </c>
      <c r="Q30" s="19">
        <f>IF(F30=0,0,MAX(0,MIN(E30,EOMONTH(EDATE(Nebenkosten!$B$7,2),0))-MAX(D30,EDATE(Nebenkosten!$B$7,2))+1)/DAY(EOMONTH(EDATE(Nebenkosten!$B$7,2),0)))</f>
        <v/>
      </c>
      <c r="R30" s="19">
        <f>IF(F30=0,0,MAX(0,MIN(E30,EOMONTH(EDATE(Nebenkosten!$B$7,3),0))-MAX(D30,EDATE(Nebenkosten!$B$7,3))+1)/DAY(EOMONTH(EDATE(Nebenkosten!$B$7,3),0)))</f>
        <v/>
      </c>
      <c r="S30" s="19">
        <f>IF(F30=0,0,MAX(0,MIN(E30,EOMONTH(EDATE(Nebenkosten!$B$7,4),0))-MAX(D30,EDATE(Nebenkosten!$B$7,4))+1)/DAY(EOMONTH(EDATE(Nebenkosten!$B$7,4),0)))</f>
        <v/>
      </c>
      <c r="T30" s="19">
        <f>IF(F30=0,0,MAX(0,MIN(E30,EOMONTH(EDATE(Nebenkosten!$B$7,5),0))-MAX(D30,EDATE(Nebenkosten!$B$7,5))+1)/DAY(EOMONTH(EDATE(Nebenkosten!$B$7,5),0)))</f>
        <v/>
      </c>
      <c r="U30" s="19">
        <f>IF(F30=0,0,MAX(0,MIN(E30,EOMONTH(EDATE(Nebenkosten!$B$7,6),0))-MAX(D30,EDATE(Nebenkosten!$B$7,6))+1)/DAY(EOMONTH(EDATE(Nebenkosten!$B$7,6),0)))</f>
        <v/>
      </c>
      <c r="V30" s="19">
        <f>IF(F30=0,0,MAX(0,MIN(E30,EOMONTH(EDATE(Nebenkosten!$B$7,7),0))-MAX(D30,EDATE(Nebenkosten!$B$7,7))+1)/DAY(EOMONTH(EDATE(Nebenkosten!$B$7,7),0)))</f>
        <v/>
      </c>
      <c r="W30" s="19">
        <f>IF(F30=0,0,MAX(0,MIN(E30,EOMONTH(EDATE(Nebenkosten!$B$7,8),0))-MAX(D30,EDATE(Nebenkosten!$B$7,8))+1)/DAY(EOMONTH(EDATE(Nebenkosten!$B$7,8),0)))</f>
        <v/>
      </c>
      <c r="X30" s="19">
        <f>IF(F30=0,0,MAX(0,MIN(E30,EOMONTH(EDATE(Nebenkosten!$B$7,9),0))-MAX(D30,EDATE(Nebenkosten!$B$7,9))+1)/DAY(EOMONTH(EDATE(Nebenkosten!$B$7,9),0)))</f>
        <v/>
      </c>
      <c r="Y30" s="19">
        <f>IF(F30=0,0,MAX(0,MIN(E30,EOMONTH(EDATE(Nebenkosten!$B$7,10),0))-MAX(D30,EDATE(Nebenkosten!$B$7,10))+1)/DAY(EOMONTH(EDATE(Nebenkosten!$B$7,10),0)))</f>
        <v/>
      </c>
      <c r="Z30" s="19">
        <f>IF(F30=0,0,MAX(0,MIN(E30,EOMONTH(EDATE(Nebenkosten!$B$7,11),0))-MAX(D30,EDATE(Nebenkosten!$B$7,11))+1)/DAY(EOMONTH(EDATE(Nebenkosten!$B$7,11),0)))</f>
        <v/>
      </c>
      <c r="AA30" s="11">
        <f>IF(OR(Nebenkosten!$B$10="",Nebenkosten!$E$10=0,$F30=0),0,Nebenkosten!$B$10*IF(Nebenkosten!$C$10="Fläche",$I30,IF(Nebenkosten!$C$10="Anteil",$J30,$K30))*IF(Nebenkosten!$D$10="Heizung",$H30,$G30)/Nebenkosten!$E$10)</f>
        <v/>
      </c>
      <c r="AB30" s="11">
        <f>IF(OR(Nebenkosten!$B$11="",Nebenkosten!$E$11=0,$F30=0),0,Nebenkosten!$B$11*IF(Nebenkosten!$C$11="Fläche",$I30,IF(Nebenkosten!$C$11="Anteil",$J30,$K30))*IF(Nebenkosten!$D$11="Heizung",$H30,$G30)/Nebenkosten!$E$11)</f>
        <v/>
      </c>
      <c r="AC30" s="11">
        <f>IF(OR(Nebenkosten!$B$12="",Nebenkosten!$E$12=0,$F30=0),0,Nebenkosten!$B$12*IF(Nebenkosten!$C$12="Fläche",$I30,IF(Nebenkosten!$C$12="Anteil",$J30,$K30))*IF(Nebenkosten!$D$12="Heizung",$H30,$G30)/Nebenkosten!$E$12)</f>
        <v/>
      </c>
      <c r="AD30" s="11">
        <f>IF(OR(Nebenkosten!$B$13="",Nebenkosten!$E$13=0,$F30=0),0,Nebenkosten!$B$13*IF(Nebenkosten!$C$13="Fläche",$I30,IF(Nebenkosten!$C$13="Anteil",$J30,$K30))*IF(Nebenkosten!$D$13="Heizung",$H30,$G30)/Nebenkosten!$E$13)</f>
        <v/>
      </c>
      <c r="AE30" s="11">
        <f>IF(OR(Nebenkosten!$B$14="",Nebenkosten!$E$14=0,$F30=0),0,Nebenkosten!$B$14*IF(Nebenkosten!$C$14="Fläche",$I30,IF(Nebenkosten!$C$14="Anteil",$J30,$K30))*IF(Nebenkosten!$D$14="Heizung",$H30,$G30)/Nebenkosten!$E$14)</f>
        <v/>
      </c>
      <c r="AF30" s="11">
        <f>IF(OR(Nebenkosten!$B$15="",Nebenkosten!$E$15=0,$F30=0),0,Nebenkosten!$B$15*IF(Nebenkosten!$C$15="Fläche",$I30,IF(Nebenkosten!$C$15="Anteil",$J30,$K30))*IF(Nebenkosten!$D$15="Heizung",$H30,$G30)/Nebenkosten!$E$15)</f>
        <v/>
      </c>
      <c r="AG30" s="11">
        <f>IF(OR(Nebenkosten!$B$16="",Nebenkosten!$E$16=0,$F30=0),0,Nebenkosten!$B$16*IF(Nebenkosten!$C$16="Fläche",$I30,IF(Nebenkosten!$C$16="Anteil",$J30,$K30))*IF(Nebenkosten!$D$16="Heizung",$H30,$G30)/Nebenkosten!$E$16)</f>
        <v/>
      </c>
      <c r="AH30" s="11">
        <f>IF(OR(Nebenkosten!$B$17="",Nebenkosten!$E$17=0,$F30=0),0,Nebenkosten!$B$17*IF(Nebenkosten!$C$17="Fläche",$I30,IF(Nebenkosten!$C$17="Anteil",$J30,$K30))*IF(Nebenkosten!$D$17="Heizung",$H30,$G30)/Nebenkosten!$E$17)</f>
        <v/>
      </c>
      <c r="AI30" s="11">
        <f>IF(OR(Nebenkosten!$B$18="",Nebenkosten!$E$18=0,$F30=0),0,Nebenkosten!$B$18*IF(Nebenkosten!$C$18="Fläche",$I30,IF(Nebenkosten!$C$18="Anteil",$J30,$K30))*IF(Nebenkosten!$D$18="Heizung",$H30,$G30)/Nebenkosten!$E$18)</f>
        <v/>
      </c>
      <c r="AJ30" s="11">
        <f>IF(OR(Nebenkosten!$B$19="",Nebenkosten!$E$19=0,$F30=0),0,Nebenkosten!$B$19*IF(Nebenkosten!$C$19="Fläche",$I30,IF(Nebenkosten!$C$19="Anteil",$J30,$K30))*IF(Nebenkosten!$D$19="Heizung",$H30,$G30)/Nebenkosten!$E$19)</f>
        <v/>
      </c>
      <c r="AK30" s="11">
        <f>IF(OR(Nebenkosten!$B$20="",Nebenkosten!$E$20=0,$F30=0),0,Nebenkosten!$B$20*IF(Nebenkosten!$C$20="Fläche",$I30,IF(Nebenkosten!$C$20="Anteil",$J30,$K30))*IF(Nebenkosten!$D$20="Heizung",$H30,$G30)/Nebenkosten!$E$20)</f>
        <v/>
      </c>
      <c r="AL30" s="11">
        <f>IF(OR(Nebenkosten!$B$21="",Nebenkosten!$E$21=0,$F30=0),0,Nebenkosten!$B$21*IF(Nebenkosten!$C$21="Fläche",$I30,IF(Nebenkosten!$C$21="Anteil",$J30,$K30))*IF(Nebenkosten!$D$21="Heizung",$H30,$G30)/Nebenkosten!$E$21)</f>
        <v/>
      </c>
      <c r="AM30" s="11">
        <f>IF(OR(Nebenkosten!$B$22="",Nebenkosten!$E$22=0,$F30=0),0,Nebenkosten!$B$22*IF(Nebenkosten!$C$22="Fläche",$I30,IF(Nebenkosten!$C$22="Anteil",$J30,$K30))*IF(Nebenkosten!$D$22="Heizung",$H30,$G30)/Nebenkosten!$E$22)</f>
        <v/>
      </c>
      <c r="AN30" s="11">
        <f>IF(OR(Nebenkosten!$B$23="",Nebenkosten!$E$23=0,$F30=0),0,Nebenkosten!$B$23*IF(Nebenkosten!$C$23="Fläche",$I30,IF(Nebenkosten!$C$23="Anteil",$J30,$K30))*IF(Nebenkosten!$D$23="Heizung",$H30,$G30)/Nebenkosten!$E$23)</f>
        <v/>
      </c>
      <c r="AO30" s="11">
        <f>IF(OR(Nebenkosten!$B$24="",Nebenkosten!$E$24=0,$F30=0),0,Nebenkosten!$B$24*IF(Nebenkosten!$C$24="Fläche",$I30,IF(Nebenkosten!$C$24="Anteil",$J30,$K30))*IF(Nebenkosten!$D$24="Heizung",$H30,$G30)/Nebenkosten!$E$24)</f>
        <v/>
      </c>
      <c r="AP30" s="11">
        <f>IF(OR(Nebenkosten!$B$25="",Nebenkosten!$E$25=0,$F30=0),0,Nebenkosten!$B$25*IF(Nebenkosten!$C$25="Fläche",$I30,IF(Nebenkosten!$C$25="Anteil",$J30,$K30))*IF(Nebenkosten!$D$25="Heizung",$H30,$G30)/Nebenkosten!$E$25)</f>
        <v/>
      </c>
      <c r="AQ30" s="11">
        <f>IF(OR(Nebenkosten!$B$26="",Nebenkosten!$E$26=0,$F30=0),0,Nebenkosten!$B$26*IF(Nebenkosten!$C$26="Fläche",$I30,IF(Nebenkosten!$C$26="Anteil",$J30,$K30))*IF(Nebenkosten!$D$26="Heizung",$H30,$G30)/Nebenkosten!$E$26)</f>
        <v/>
      </c>
      <c r="AR30" s="11">
        <f>IF(OR(Nebenkosten!$B$27="",Nebenkosten!$E$27=0,$F30=0),0,Nebenkosten!$B$27*IF(Nebenkosten!$C$27="Fläche",$I30,IF(Nebenkosten!$C$27="Anteil",$J30,$K30))*IF(Nebenkosten!$D$27="Heizung",$H30,$G30)/Nebenkosten!$E$27)</f>
        <v/>
      </c>
      <c r="AS30" s="11">
        <f>IF(OR(Nebenkosten!$B$28="",Nebenkosten!$E$28=0,$F30=0),0,Nebenkosten!$B$28*IF(Nebenkosten!$C$28="Fläche",$I30,IF(Nebenkosten!$C$28="Anteil",$J30,$K30))*IF(Nebenkosten!$D$28="Heizung",$H30,$G30)/Nebenkosten!$E$28)</f>
        <v/>
      </c>
      <c r="AT30" s="11">
        <f>IF(OR(Nebenkosten!$B$29="",Nebenkosten!$E$29=0,$F30=0),0,Nebenkosten!$B$29*IF(Nebenkosten!$C$29="Fläche",$I30,IF(Nebenkosten!$C$29="Anteil",$J30,$K30))*IF(Nebenkosten!$D$29="Heizung",$H30,$G30)/Nebenkosten!$E$29)</f>
        <v/>
      </c>
      <c r="AU30" s="11">
        <f>IF(OR(Nebenkosten!$B$30="",Nebenkosten!$E$30=0,$F30=0),0,Nebenkosten!$B$30*IF(Nebenkosten!$C$30="Fläche",$I30,IF(Nebenkosten!$C$30="Anteil",$J30,$K30))*IF(Nebenkosten!$D$30="Heizung",$H30,$G30)/Nebenkosten!$E$30)</f>
        <v/>
      </c>
      <c r="AV30" s="11">
        <f>IF(OR(Nebenkosten!$B$31="",Nebenkosten!$E$31=0,$F30=0),0,Nebenkosten!$B$31*IF(Nebenkosten!$C$31="Fläche",$I30,IF(Nebenkosten!$C$31="Anteil",$J30,$K30))*IF(Nebenkosten!$D$31="Heizung",$H30,$G30)/Nebenkosten!$E$31)</f>
        <v/>
      </c>
      <c r="AW30" s="11">
        <f>IF(OR(Nebenkosten!$B$32="",Nebenkosten!$E$32=0,$F30=0),0,Nebenkosten!$B$32*IF(Nebenkosten!$C$32="Fläche",$I30,IF(Nebenkosten!$C$32="Anteil",$J30,$K30))*IF(Nebenkosten!$D$32="Heizung",$H30,$G30)/Nebenkosten!$E$32)</f>
        <v/>
      </c>
      <c r="AX30" s="11">
        <f>IF(OR(Nebenkosten!$B$33="",Nebenkosten!$E$33=0,$F30=0),0,Nebenkosten!$B$33*IF(Nebenkosten!$C$33="Fläche",$I30,IF(Nebenkosten!$C$33="Anteil",$J30,$K30))*IF(Nebenkosten!$D$33="Heizung",$H30,$G30)/Nebenkosten!$E$33)</f>
        <v/>
      </c>
      <c r="AY30" s="11">
        <f>IF(OR(Nebenkosten!$B$34="",Nebenkosten!$E$34=0,$F30=0),0,Nebenkosten!$B$34*IF(Nebenkosten!$C$34="Fläche",$I30,IF(Nebenkosten!$C$34="Anteil",$J30,$K30))*IF(Nebenkosten!$D$34="Heizung",$H30,$G30)/Nebenkosten!$E$34)</f>
        <v/>
      </c>
      <c r="AZ30" s="11">
        <f>ROUND(SUM(AA30:AY30)*20,0)/20</f>
        <v/>
      </c>
      <c r="BA30" s="11">
        <f>IF(F30=0,0,N30)</f>
        <v/>
      </c>
      <c r="BB30" s="11">
        <f>AZ30-BA30</f>
        <v/>
      </c>
    </row>
    <row r="31">
      <c r="A31" s="10">
        <f>'Mein Haus'!A71</f>
        <v/>
      </c>
      <c r="B31" s="23">
        <f>IF('Mein Haus'!C71="","",'Mein Haus'!C71)</f>
        <v/>
      </c>
      <c r="C31" s="23">
        <f>IF('Mein Haus'!B71="","",'Mein Haus'!B71)</f>
        <v/>
      </c>
      <c r="D31" s="21">
        <f>IF(AND('Mein Haus'!C71&lt;&gt;"",'Mein Haus'!B71&lt;&gt;"",Nebenkosten!$B$7&lt;&gt;""),MAX(IF('Mein Haus'!D71="",Nebenkosten!$B$7,'Mein Haus'!D71),Nebenkosten!$B$7),"")</f>
        <v/>
      </c>
      <c r="E31" s="21">
        <f>IF(AND('Mein Haus'!C71&lt;&gt;"",'Mein Haus'!B71&lt;&gt;"",Nebenkosten!$B$7&lt;&gt;""),MIN(IF('Mein Haus'!F71="",Nebenkosten!$D$7,'Mein Haus'!F71),Nebenkosten!$D$7),"")</f>
        <v/>
      </c>
      <c r="F31" s="10">
        <f>IF(D31="",0,MAX(0,E31-D31+1))</f>
        <v/>
      </c>
      <c r="G31" s="49">
        <f>IF(F31=0,0,F31/Nebenkosten!$F$7)</f>
        <v/>
      </c>
      <c r="H31" s="49">
        <f>IF(F31=0,0,SUMPRODUCT(O31:Z31,$O$3:$Z$3)/Einstellungen!$F$17)</f>
        <v/>
      </c>
      <c r="I31" s="19">
        <f>IF(F31=0,0,IFERROR(INDEX('Mein Haus'!$D$11:$D$40,MATCH(C31,'Mein Haus'!$A$11:$A$40,0)),0))</f>
        <v/>
      </c>
      <c r="J31" s="19">
        <f>IF(F31=0,0,IFERROR(INDEX('Mein Haus'!$E$11:$E$40,MATCH(C31,'Mein Haus'!$A$11:$A$40,0)),0))</f>
        <v/>
      </c>
      <c r="K31" s="19">
        <f>IF(F31=0,0,IFERROR(INDEX('Mein Haus'!$F$11:$F$40,MATCH(C31,'Mein Haus'!$A$11:$A$40,0)),0))</f>
        <v/>
      </c>
      <c r="L31" s="11">
        <f>IF(F31=0,0,N('Mein Haus'!H71)*SUM(O31:Z31))</f>
        <v/>
      </c>
      <c r="M31" s="22" t="n"/>
      <c r="N31" s="11">
        <f>IF(M31&lt;&gt;"",M31,L31)</f>
        <v/>
      </c>
      <c r="O31" s="19">
        <f>IF(F31=0,0,MAX(0,MIN(E31,EOMONTH(EDATE(Nebenkosten!$B$7,0),0))-MAX(D31,EDATE(Nebenkosten!$B$7,0))+1)/DAY(EOMONTH(EDATE(Nebenkosten!$B$7,0),0)))</f>
        <v/>
      </c>
      <c r="P31" s="19">
        <f>IF(F31=0,0,MAX(0,MIN(E31,EOMONTH(EDATE(Nebenkosten!$B$7,1),0))-MAX(D31,EDATE(Nebenkosten!$B$7,1))+1)/DAY(EOMONTH(EDATE(Nebenkosten!$B$7,1),0)))</f>
        <v/>
      </c>
      <c r="Q31" s="19">
        <f>IF(F31=0,0,MAX(0,MIN(E31,EOMONTH(EDATE(Nebenkosten!$B$7,2),0))-MAX(D31,EDATE(Nebenkosten!$B$7,2))+1)/DAY(EOMONTH(EDATE(Nebenkosten!$B$7,2),0)))</f>
        <v/>
      </c>
      <c r="R31" s="19">
        <f>IF(F31=0,0,MAX(0,MIN(E31,EOMONTH(EDATE(Nebenkosten!$B$7,3),0))-MAX(D31,EDATE(Nebenkosten!$B$7,3))+1)/DAY(EOMONTH(EDATE(Nebenkosten!$B$7,3),0)))</f>
        <v/>
      </c>
      <c r="S31" s="19">
        <f>IF(F31=0,0,MAX(0,MIN(E31,EOMONTH(EDATE(Nebenkosten!$B$7,4),0))-MAX(D31,EDATE(Nebenkosten!$B$7,4))+1)/DAY(EOMONTH(EDATE(Nebenkosten!$B$7,4),0)))</f>
        <v/>
      </c>
      <c r="T31" s="19">
        <f>IF(F31=0,0,MAX(0,MIN(E31,EOMONTH(EDATE(Nebenkosten!$B$7,5),0))-MAX(D31,EDATE(Nebenkosten!$B$7,5))+1)/DAY(EOMONTH(EDATE(Nebenkosten!$B$7,5),0)))</f>
        <v/>
      </c>
      <c r="U31" s="19">
        <f>IF(F31=0,0,MAX(0,MIN(E31,EOMONTH(EDATE(Nebenkosten!$B$7,6),0))-MAX(D31,EDATE(Nebenkosten!$B$7,6))+1)/DAY(EOMONTH(EDATE(Nebenkosten!$B$7,6),0)))</f>
        <v/>
      </c>
      <c r="V31" s="19">
        <f>IF(F31=0,0,MAX(0,MIN(E31,EOMONTH(EDATE(Nebenkosten!$B$7,7),0))-MAX(D31,EDATE(Nebenkosten!$B$7,7))+1)/DAY(EOMONTH(EDATE(Nebenkosten!$B$7,7),0)))</f>
        <v/>
      </c>
      <c r="W31" s="19">
        <f>IF(F31=0,0,MAX(0,MIN(E31,EOMONTH(EDATE(Nebenkosten!$B$7,8),0))-MAX(D31,EDATE(Nebenkosten!$B$7,8))+1)/DAY(EOMONTH(EDATE(Nebenkosten!$B$7,8),0)))</f>
        <v/>
      </c>
      <c r="X31" s="19">
        <f>IF(F31=0,0,MAX(0,MIN(E31,EOMONTH(EDATE(Nebenkosten!$B$7,9),0))-MAX(D31,EDATE(Nebenkosten!$B$7,9))+1)/DAY(EOMONTH(EDATE(Nebenkosten!$B$7,9),0)))</f>
        <v/>
      </c>
      <c r="Y31" s="19">
        <f>IF(F31=0,0,MAX(0,MIN(E31,EOMONTH(EDATE(Nebenkosten!$B$7,10),0))-MAX(D31,EDATE(Nebenkosten!$B$7,10))+1)/DAY(EOMONTH(EDATE(Nebenkosten!$B$7,10),0)))</f>
        <v/>
      </c>
      <c r="Z31" s="19">
        <f>IF(F31=0,0,MAX(0,MIN(E31,EOMONTH(EDATE(Nebenkosten!$B$7,11),0))-MAX(D31,EDATE(Nebenkosten!$B$7,11))+1)/DAY(EOMONTH(EDATE(Nebenkosten!$B$7,11),0)))</f>
        <v/>
      </c>
      <c r="AA31" s="11">
        <f>IF(OR(Nebenkosten!$B$10="",Nebenkosten!$E$10=0,$F31=0),0,Nebenkosten!$B$10*IF(Nebenkosten!$C$10="Fläche",$I31,IF(Nebenkosten!$C$10="Anteil",$J31,$K31))*IF(Nebenkosten!$D$10="Heizung",$H31,$G31)/Nebenkosten!$E$10)</f>
        <v/>
      </c>
      <c r="AB31" s="11">
        <f>IF(OR(Nebenkosten!$B$11="",Nebenkosten!$E$11=0,$F31=0),0,Nebenkosten!$B$11*IF(Nebenkosten!$C$11="Fläche",$I31,IF(Nebenkosten!$C$11="Anteil",$J31,$K31))*IF(Nebenkosten!$D$11="Heizung",$H31,$G31)/Nebenkosten!$E$11)</f>
        <v/>
      </c>
      <c r="AC31" s="11">
        <f>IF(OR(Nebenkosten!$B$12="",Nebenkosten!$E$12=0,$F31=0),0,Nebenkosten!$B$12*IF(Nebenkosten!$C$12="Fläche",$I31,IF(Nebenkosten!$C$12="Anteil",$J31,$K31))*IF(Nebenkosten!$D$12="Heizung",$H31,$G31)/Nebenkosten!$E$12)</f>
        <v/>
      </c>
      <c r="AD31" s="11">
        <f>IF(OR(Nebenkosten!$B$13="",Nebenkosten!$E$13=0,$F31=0),0,Nebenkosten!$B$13*IF(Nebenkosten!$C$13="Fläche",$I31,IF(Nebenkosten!$C$13="Anteil",$J31,$K31))*IF(Nebenkosten!$D$13="Heizung",$H31,$G31)/Nebenkosten!$E$13)</f>
        <v/>
      </c>
      <c r="AE31" s="11">
        <f>IF(OR(Nebenkosten!$B$14="",Nebenkosten!$E$14=0,$F31=0),0,Nebenkosten!$B$14*IF(Nebenkosten!$C$14="Fläche",$I31,IF(Nebenkosten!$C$14="Anteil",$J31,$K31))*IF(Nebenkosten!$D$14="Heizung",$H31,$G31)/Nebenkosten!$E$14)</f>
        <v/>
      </c>
      <c r="AF31" s="11">
        <f>IF(OR(Nebenkosten!$B$15="",Nebenkosten!$E$15=0,$F31=0),0,Nebenkosten!$B$15*IF(Nebenkosten!$C$15="Fläche",$I31,IF(Nebenkosten!$C$15="Anteil",$J31,$K31))*IF(Nebenkosten!$D$15="Heizung",$H31,$G31)/Nebenkosten!$E$15)</f>
        <v/>
      </c>
      <c r="AG31" s="11">
        <f>IF(OR(Nebenkosten!$B$16="",Nebenkosten!$E$16=0,$F31=0),0,Nebenkosten!$B$16*IF(Nebenkosten!$C$16="Fläche",$I31,IF(Nebenkosten!$C$16="Anteil",$J31,$K31))*IF(Nebenkosten!$D$16="Heizung",$H31,$G31)/Nebenkosten!$E$16)</f>
        <v/>
      </c>
      <c r="AH31" s="11">
        <f>IF(OR(Nebenkosten!$B$17="",Nebenkosten!$E$17=0,$F31=0),0,Nebenkosten!$B$17*IF(Nebenkosten!$C$17="Fläche",$I31,IF(Nebenkosten!$C$17="Anteil",$J31,$K31))*IF(Nebenkosten!$D$17="Heizung",$H31,$G31)/Nebenkosten!$E$17)</f>
        <v/>
      </c>
      <c r="AI31" s="11">
        <f>IF(OR(Nebenkosten!$B$18="",Nebenkosten!$E$18=0,$F31=0),0,Nebenkosten!$B$18*IF(Nebenkosten!$C$18="Fläche",$I31,IF(Nebenkosten!$C$18="Anteil",$J31,$K31))*IF(Nebenkosten!$D$18="Heizung",$H31,$G31)/Nebenkosten!$E$18)</f>
        <v/>
      </c>
      <c r="AJ31" s="11">
        <f>IF(OR(Nebenkosten!$B$19="",Nebenkosten!$E$19=0,$F31=0),0,Nebenkosten!$B$19*IF(Nebenkosten!$C$19="Fläche",$I31,IF(Nebenkosten!$C$19="Anteil",$J31,$K31))*IF(Nebenkosten!$D$19="Heizung",$H31,$G31)/Nebenkosten!$E$19)</f>
        <v/>
      </c>
      <c r="AK31" s="11">
        <f>IF(OR(Nebenkosten!$B$20="",Nebenkosten!$E$20=0,$F31=0),0,Nebenkosten!$B$20*IF(Nebenkosten!$C$20="Fläche",$I31,IF(Nebenkosten!$C$20="Anteil",$J31,$K31))*IF(Nebenkosten!$D$20="Heizung",$H31,$G31)/Nebenkosten!$E$20)</f>
        <v/>
      </c>
      <c r="AL31" s="11">
        <f>IF(OR(Nebenkosten!$B$21="",Nebenkosten!$E$21=0,$F31=0),0,Nebenkosten!$B$21*IF(Nebenkosten!$C$21="Fläche",$I31,IF(Nebenkosten!$C$21="Anteil",$J31,$K31))*IF(Nebenkosten!$D$21="Heizung",$H31,$G31)/Nebenkosten!$E$21)</f>
        <v/>
      </c>
      <c r="AM31" s="11">
        <f>IF(OR(Nebenkosten!$B$22="",Nebenkosten!$E$22=0,$F31=0),0,Nebenkosten!$B$22*IF(Nebenkosten!$C$22="Fläche",$I31,IF(Nebenkosten!$C$22="Anteil",$J31,$K31))*IF(Nebenkosten!$D$22="Heizung",$H31,$G31)/Nebenkosten!$E$22)</f>
        <v/>
      </c>
      <c r="AN31" s="11">
        <f>IF(OR(Nebenkosten!$B$23="",Nebenkosten!$E$23=0,$F31=0),0,Nebenkosten!$B$23*IF(Nebenkosten!$C$23="Fläche",$I31,IF(Nebenkosten!$C$23="Anteil",$J31,$K31))*IF(Nebenkosten!$D$23="Heizung",$H31,$G31)/Nebenkosten!$E$23)</f>
        <v/>
      </c>
      <c r="AO31" s="11">
        <f>IF(OR(Nebenkosten!$B$24="",Nebenkosten!$E$24=0,$F31=0),0,Nebenkosten!$B$24*IF(Nebenkosten!$C$24="Fläche",$I31,IF(Nebenkosten!$C$24="Anteil",$J31,$K31))*IF(Nebenkosten!$D$24="Heizung",$H31,$G31)/Nebenkosten!$E$24)</f>
        <v/>
      </c>
      <c r="AP31" s="11">
        <f>IF(OR(Nebenkosten!$B$25="",Nebenkosten!$E$25=0,$F31=0),0,Nebenkosten!$B$25*IF(Nebenkosten!$C$25="Fläche",$I31,IF(Nebenkosten!$C$25="Anteil",$J31,$K31))*IF(Nebenkosten!$D$25="Heizung",$H31,$G31)/Nebenkosten!$E$25)</f>
        <v/>
      </c>
      <c r="AQ31" s="11">
        <f>IF(OR(Nebenkosten!$B$26="",Nebenkosten!$E$26=0,$F31=0),0,Nebenkosten!$B$26*IF(Nebenkosten!$C$26="Fläche",$I31,IF(Nebenkosten!$C$26="Anteil",$J31,$K31))*IF(Nebenkosten!$D$26="Heizung",$H31,$G31)/Nebenkosten!$E$26)</f>
        <v/>
      </c>
      <c r="AR31" s="11">
        <f>IF(OR(Nebenkosten!$B$27="",Nebenkosten!$E$27=0,$F31=0),0,Nebenkosten!$B$27*IF(Nebenkosten!$C$27="Fläche",$I31,IF(Nebenkosten!$C$27="Anteil",$J31,$K31))*IF(Nebenkosten!$D$27="Heizung",$H31,$G31)/Nebenkosten!$E$27)</f>
        <v/>
      </c>
      <c r="AS31" s="11">
        <f>IF(OR(Nebenkosten!$B$28="",Nebenkosten!$E$28=0,$F31=0),0,Nebenkosten!$B$28*IF(Nebenkosten!$C$28="Fläche",$I31,IF(Nebenkosten!$C$28="Anteil",$J31,$K31))*IF(Nebenkosten!$D$28="Heizung",$H31,$G31)/Nebenkosten!$E$28)</f>
        <v/>
      </c>
      <c r="AT31" s="11">
        <f>IF(OR(Nebenkosten!$B$29="",Nebenkosten!$E$29=0,$F31=0),0,Nebenkosten!$B$29*IF(Nebenkosten!$C$29="Fläche",$I31,IF(Nebenkosten!$C$29="Anteil",$J31,$K31))*IF(Nebenkosten!$D$29="Heizung",$H31,$G31)/Nebenkosten!$E$29)</f>
        <v/>
      </c>
      <c r="AU31" s="11">
        <f>IF(OR(Nebenkosten!$B$30="",Nebenkosten!$E$30=0,$F31=0),0,Nebenkosten!$B$30*IF(Nebenkosten!$C$30="Fläche",$I31,IF(Nebenkosten!$C$30="Anteil",$J31,$K31))*IF(Nebenkosten!$D$30="Heizung",$H31,$G31)/Nebenkosten!$E$30)</f>
        <v/>
      </c>
      <c r="AV31" s="11">
        <f>IF(OR(Nebenkosten!$B$31="",Nebenkosten!$E$31=0,$F31=0),0,Nebenkosten!$B$31*IF(Nebenkosten!$C$31="Fläche",$I31,IF(Nebenkosten!$C$31="Anteil",$J31,$K31))*IF(Nebenkosten!$D$31="Heizung",$H31,$G31)/Nebenkosten!$E$31)</f>
        <v/>
      </c>
      <c r="AW31" s="11">
        <f>IF(OR(Nebenkosten!$B$32="",Nebenkosten!$E$32=0,$F31=0),0,Nebenkosten!$B$32*IF(Nebenkosten!$C$32="Fläche",$I31,IF(Nebenkosten!$C$32="Anteil",$J31,$K31))*IF(Nebenkosten!$D$32="Heizung",$H31,$G31)/Nebenkosten!$E$32)</f>
        <v/>
      </c>
      <c r="AX31" s="11">
        <f>IF(OR(Nebenkosten!$B$33="",Nebenkosten!$E$33=0,$F31=0),0,Nebenkosten!$B$33*IF(Nebenkosten!$C$33="Fläche",$I31,IF(Nebenkosten!$C$33="Anteil",$J31,$K31))*IF(Nebenkosten!$D$33="Heizung",$H31,$G31)/Nebenkosten!$E$33)</f>
        <v/>
      </c>
      <c r="AY31" s="11">
        <f>IF(OR(Nebenkosten!$B$34="",Nebenkosten!$E$34=0,$F31=0),0,Nebenkosten!$B$34*IF(Nebenkosten!$C$34="Fläche",$I31,IF(Nebenkosten!$C$34="Anteil",$J31,$K31))*IF(Nebenkosten!$D$34="Heizung",$H31,$G31)/Nebenkosten!$E$34)</f>
        <v/>
      </c>
      <c r="AZ31" s="11">
        <f>ROUND(SUM(AA31:AY31)*20,0)/20</f>
        <v/>
      </c>
      <c r="BA31" s="11">
        <f>IF(F31=0,0,N31)</f>
        <v/>
      </c>
      <c r="BB31" s="11">
        <f>AZ31-BA31</f>
        <v/>
      </c>
    </row>
    <row r="32">
      <c r="A32" s="10">
        <f>'Mein Haus'!A72</f>
        <v/>
      </c>
      <c r="B32" s="23">
        <f>IF('Mein Haus'!C72="","",'Mein Haus'!C72)</f>
        <v/>
      </c>
      <c r="C32" s="23">
        <f>IF('Mein Haus'!B72="","",'Mein Haus'!B72)</f>
        <v/>
      </c>
      <c r="D32" s="21">
        <f>IF(AND('Mein Haus'!C72&lt;&gt;"",'Mein Haus'!B72&lt;&gt;"",Nebenkosten!$B$7&lt;&gt;""),MAX(IF('Mein Haus'!D72="",Nebenkosten!$B$7,'Mein Haus'!D72),Nebenkosten!$B$7),"")</f>
        <v/>
      </c>
      <c r="E32" s="21">
        <f>IF(AND('Mein Haus'!C72&lt;&gt;"",'Mein Haus'!B72&lt;&gt;"",Nebenkosten!$B$7&lt;&gt;""),MIN(IF('Mein Haus'!F72="",Nebenkosten!$D$7,'Mein Haus'!F72),Nebenkosten!$D$7),"")</f>
        <v/>
      </c>
      <c r="F32" s="10">
        <f>IF(D32="",0,MAX(0,E32-D32+1))</f>
        <v/>
      </c>
      <c r="G32" s="49">
        <f>IF(F32=0,0,F32/Nebenkosten!$F$7)</f>
        <v/>
      </c>
      <c r="H32" s="49">
        <f>IF(F32=0,0,SUMPRODUCT(O32:Z32,$O$3:$Z$3)/Einstellungen!$F$17)</f>
        <v/>
      </c>
      <c r="I32" s="19">
        <f>IF(F32=0,0,IFERROR(INDEX('Mein Haus'!$D$11:$D$40,MATCH(C32,'Mein Haus'!$A$11:$A$40,0)),0))</f>
        <v/>
      </c>
      <c r="J32" s="19">
        <f>IF(F32=0,0,IFERROR(INDEX('Mein Haus'!$E$11:$E$40,MATCH(C32,'Mein Haus'!$A$11:$A$40,0)),0))</f>
        <v/>
      </c>
      <c r="K32" s="19">
        <f>IF(F32=0,0,IFERROR(INDEX('Mein Haus'!$F$11:$F$40,MATCH(C32,'Mein Haus'!$A$11:$A$40,0)),0))</f>
        <v/>
      </c>
      <c r="L32" s="11">
        <f>IF(F32=0,0,N('Mein Haus'!H72)*SUM(O32:Z32))</f>
        <v/>
      </c>
      <c r="M32" s="22" t="n"/>
      <c r="N32" s="11">
        <f>IF(M32&lt;&gt;"",M32,L32)</f>
        <v/>
      </c>
      <c r="O32" s="19">
        <f>IF(F32=0,0,MAX(0,MIN(E32,EOMONTH(EDATE(Nebenkosten!$B$7,0),0))-MAX(D32,EDATE(Nebenkosten!$B$7,0))+1)/DAY(EOMONTH(EDATE(Nebenkosten!$B$7,0),0)))</f>
        <v/>
      </c>
      <c r="P32" s="19">
        <f>IF(F32=0,0,MAX(0,MIN(E32,EOMONTH(EDATE(Nebenkosten!$B$7,1),0))-MAX(D32,EDATE(Nebenkosten!$B$7,1))+1)/DAY(EOMONTH(EDATE(Nebenkosten!$B$7,1),0)))</f>
        <v/>
      </c>
      <c r="Q32" s="19">
        <f>IF(F32=0,0,MAX(0,MIN(E32,EOMONTH(EDATE(Nebenkosten!$B$7,2),0))-MAX(D32,EDATE(Nebenkosten!$B$7,2))+1)/DAY(EOMONTH(EDATE(Nebenkosten!$B$7,2),0)))</f>
        <v/>
      </c>
      <c r="R32" s="19">
        <f>IF(F32=0,0,MAX(0,MIN(E32,EOMONTH(EDATE(Nebenkosten!$B$7,3),0))-MAX(D32,EDATE(Nebenkosten!$B$7,3))+1)/DAY(EOMONTH(EDATE(Nebenkosten!$B$7,3),0)))</f>
        <v/>
      </c>
      <c r="S32" s="19">
        <f>IF(F32=0,0,MAX(0,MIN(E32,EOMONTH(EDATE(Nebenkosten!$B$7,4),0))-MAX(D32,EDATE(Nebenkosten!$B$7,4))+1)/DAY(EOMONTH(EDATE(Nebenkosten!$B$7,4),0)))</f>
        <v/>
      </c>
      <c r="T32" s="19">
        <f>IF(F32=0,0,MAX(0,MIN(E32,EOMONTH(EDATE(Nebenkosten!$B$7,5),0))-MAX(D32,EDATE(Nebenkosten!$B$7,5))+1)/DAY(EOMONTH(EDATE(Nebenkosten!$B$7,5),0)))</f>
        <v/>
      </c>
      <c r="U32" s="19">
        <f>IF(F32=0,0,MAX(0,MIN(E32,EOMONTH(EDATE(Nebenkosten!$B$7,6),0))-MAX(D32,EDATE(Nebenkosten!$B$7,6))+1)/DAY(EOMONTH(EDATE(Nebenkosten!$B$7,6),0)))</f>
        <v/>
      </c>
      <c r="V32" s="19">
        <f>IF(F32=0,0,MAX(0,MIN(E32,EOMONTH(EDATE(Nebenkosten!$B$7,7),0))-MAX(D32,EDATE(Nebenkosten!$B$7,7))+1)/DAY(EOMONTH(EDATE(Nebenkosten!$B$7,7),0)))</f>
        <v/>
      </c>
      <c r="W32" s="19">
        <f>IF(F32=0,0,MAX(0,MIN(E32,EOMONTH(EDATE(Nebenkosten!$B$7,8),0))-MAX(D32,EDATE(Nebenkosten!$B$7,8))+1)/DAY(EOMONTH(EDATE(Nebenkosten!$B$7,8),0)))</f>
        <v/>
      </c>
      <c r="X32" s="19">
        <f>IF(F32=0,0,MAX(0,MIN(E32,EOMONTH(EDATE(Nebenkosten!$B$7,9),0))-MAX(D32,EDATE(Nebenkosten!$B$7,9))+1)/DAY(EOMONTH(EDATE(Nebenkosten!$B$7,9),0)))</f>
        <v/>
      </c>
      <c r="Y32" s="19">
        <f>IF(F32=0,0,MAX(0,MIN(E32,EOMONTH(EDATE(Nebenkosten!$B$7,10),0))-MAX(D32,EDATE(Nebenkosten!$B$7,10))+1)/DAY(EOMONTH(EDATE(Nebenkosten!$B$7,10),0)))</f>
        <v/>
      </c>
      <c r="Z32" s="19">
        <f>IF(F32=0,0,MAX(0,MIN(E32,EOMONTH(EDATE(Nebenkosten!$B$7,11),0))-MAX(D32,EDATE(Nebenkosten!$B$7,11))+1)/DAY(EOMONTH(EDATE(Nebenkosten!$B$7,11),0)))</f>
        <v/>
      </c>
      <c r="AA32" s="11">
        <f>IF(OR(Nebenkosten!$B$10="",Nebenkosten!$E$10=0,$F32=0),0,Nebenkosten!$B$10*IF(Nebenkosten!$C$10="Fläche",$I32,IF(Nebenkosten!$C$10="Anteil",$J32,$K32))*IF(Nebenkosten!$D$10="Heizung",$H32,$G32)/Nebenkosten!$E$10)</f>
        <v/>
      </c>
      <c r="AB32" s="11">
        <f>IF(OR(Nebenkosten!$B$11="",Nebenkosten!$E$11=0,$F32=0),0,Nebenkosten!$B$11*IF(Nebenkosten!$C$11="Fläche",$I32,IF(Nebenkosten!$C$11="Anteil",$J32,$K32))*IF(Nebenkosten!$D$11="Heizung",$H32,$G32)/Nebenkosten!$E$11)</f>
        <v/>
      </c>
      <c r="AC32" s="11">
        <f>IF(OR(Nebenkosten!$B$12="",Nebenkosten!$E$12=0,$F32=0),0,Nebenkosten!$B$12*IF(Nebenkosten!$C$12="Fläche",$I32,IF(Nebenkosten!$C$12="Anteil",$J32,$K32))*IF(Nebenkosten!$D$12="Heizung",$H32,$G32)/Nebenkosten!$E$12)</f>
        <v/>
      </c>
      <c r="AD32" s="11">
        <f>IF(OR(Nebenkosten!$B$13="",Nebenkosten!$E$13=0,$F32=0),0,Nebenkosten!$B$13*IF(Nebenkosten!$C$13="Fläche",$I32,IF(Nebenkosten!$C$13="Anteil",$J32,$K32))*IF(Nebenkosten!$D$13="Heizung",$H32,$G32)/Nebenkosten!$E$13)</f>
        <v/>
      </c>
      <c r="AE32" s="11">
        <f>IF(OR(Nebenkosten!$B$14="",Nebenkosten!$E$14=0,$F32=0),0,Nebenkosten!$B$14*IF(Nebenkosten!$C$14="Fläche",$I32,IF(Nebenkosten!$C$14="Anteil",$J32,$K32))*IF(Nebenkosten!$D$14="Heizung",$H32,$G32)/Nebenkosten!$E$14)</f>
        <v/>
      </c>
      <c r="AF32" s="11">
        <f>IF(OR(Nebenkosten!$B$15="",Nebenkosten!$E$15=0,$F32=0),0,Nebenkosten!$B$15*IF(Nebenkosten!$C$15="Fläche",$I32,IF(Nebenkosten!$C$15="Anteil",$J32,$K32))*IF(Nebenkosten!$D$15="Heizung",$H32,$G32)/Nebenkosten!$E$15)</f>
        <v/>
      </c>
      <c r="AG32" s="11">
        <f>IF(OR(Nebenkosten!$B$16="",Nebenkosten!$E$16=0,$F32=0),0,Nebenkosten!$B$16*IF(Nebenkosten!$C$16="Fläche",$I32,IF(Nebenkosten!$C$16="Anteil",$J32,$K32))*IF(Nebenkosten!$D$16="Heizung",$H32,$G32)/Nebenkosten!$E$16)</f>
        <v/>
      </c>
      <c r="AH32" s="11">
        <f>IF(OR(Nebenkosten!$B$17="",Nebenkosten!$E$17=0,$F32=0),0,Nebenkosten!$B$17*IF(Nebenkosten!$C$17="Fläche",$I32,IF(Nebenkosten!$C$17="Anteil",$J32,$K32))*IF(Nebenkosten!$D$17="Heizung",$H32,$G32)/Nebenkosten!$E$17)</f>
        <v/>
      </c>
      <c r="AI32" s="11">
        <f>IF(OR(Nebenkosten!$B$18="",Nebenkosten!$E$18=0,$F32=0),0,Nebenkosten!$B$18*IF(Nebenkosten!$C$18="Fläche",$I32,IF(Nebenkosten!$C$18="Anteil",$J32,$K32))*IF(Nebenkosten!$D$18="Heizung",$H32,$G32)/Nebenkosten!$E$18)</f>
        <v/>
      </c>
      <c r="AJ32" s="11">
        <f>IF(OR(Nebenkosten!$B$19="",Nebenkosten!$E$19=0,$F32=0),0,Nebenkosten!$B$19*IF(Nebenkosten!$C$19="Fläche",$I32,IF(Nebenkosten!$C$19="Anteil",$J32,$K32))*IF(Nebenkosten!$D$19="Heizung",$H32,$G32)/Nebenkosten!$E$19)</f>
        <v/>
      </c>
      <c r="AK32" s="11">
        <f>IF(OR(Nebenkosten!$B$20="",Nebenkosten!$E$20=0,$F32=0),0,Nebenkosten!$B$20*IF(Nebenkosten!$C$20="Fläche",$I32,IF(Nebenkosten!$C$20="Anteil",$J32,$K32))*IF(Nebenkosten!$D$20="Heizung",$H32,$G32)/Nebenkosten!$E$20)</f>
        <v/>
      </c>
      <c r="AL32" s="11">
        <f>IF(OR(Nebenkosten!$B$21="",Nebenkosten!$E$21=0,$F32=0),0,Nebenkosten!$B$21*IF(Nebenkosten!$C$21="Fläche",$I32,IF(Nebenkosten!$C$21="Anteil",$J32,$K32))*IF(Nebenkosten!$D$21="Heizung",$H32,$G32)/Nebenkosten!$E$21)</f>
        <v/>
      </c>
      <c r="AM32" s="11">
        <f>IF(OR(Nebenkosten!$B$22="",Nebenkosten!$E$22=0,$F32=0),0,Nebenkosten!$B$22*IF(Nebenkosten!$C$22="Fläche",$I32,IF(Nebenkosten!$C$22="Anteil",$J32,$K32))*IF(Nebenkosten!$D$22="Heizung",$H32,$G32)/Nebenkosten!$E$22)</f>
        <v/>
      </c>
      <c r="AN32" s="11">
        <f>IF(OR(Nebenkosten!$B$23="",Nebenkosten!$E$23=0,$F32=0),0,Nebenkosten!$B$23*IF(Nebenkosten!$C$23="Fläche",$I32,IF(Nebenkosten!$C$23="Anteil",$J32,$K32))*IF(Nebenkosten!$D$23="Heizung",$H32,$G32)/Nebenkosten!$E$23)</f>
        <v/>
      </c>
      <c r="AO32" s="11">
        <f>IF(OR(Nebenkosten!$B$24="",Nebenkosten!$E$24=0,$F32=0),0,Nebenkosten!$B$24*IF(Nebenkosten!$C$24="Fläche",$I32,IF(Nebenkosten!$C$24="Anteil",$J32,$K32))*IF(Nebenkosten!$D$24="Heizung",$H32,$G32)/Nebenkosten!$E$24)</f>
        <v/>
      </c>
      <c r="AP32" s="11">
        <f>IF(OR(Nebenkosten!$B$25="",Nebenkosten!$E$25=0,$F32=0),0,Nebenkosten!$B$25*IF(Nebenkosten!$C$25="Fläche",$I32,IF(Nebenkosten!$C$25="Anteil",$J32,$K32))*IF(Nebenkosten!$D$25="Heizung",$H32,$G32)/Nebenkosten!$E$25)</f>
        <v/>
      </c>
      <c r="AQ32" s="11">
        <f>IF(OR(Nebenkosten!$B$26="",Nebenkosten!$E$26=0,$F32=0),0,Nebenkosten!$B$26*IF(Nebenkosten!$C$26="Fläche",$I32,IF(Nebenkosten!$C$26="Anteil",$J32,$K32))*IF(Nebenkosten!$D$26="Heizung",$H32,$G32)/Nebenkosten!$E$26)</f>
        <v/>
      </c>
      <c r="AR32" s="11">
        <f>IF(OR(Nebenkosten!$B$27="",Nebenkosten!$E$27=0,$F32=0),0,Nebenkosten!$B$27*IF(Nebenkosten!$C$27="Fläche",$I32,IF(Nebenkosten!$C$27="Anteil",$J32,$K32))*IF(Nebenkosten!$D$27="Heizung",$H32,$G32)/Nebenkosten!$E$27)</f>
        <v/>
      </c>
      <c r="AS32" s="11">
        <f>IF(OR(Nebenkosten!$B$28="",Nebenkosten!$E$28=0,$F32=0),0,Nebenkosten!$B$28*IF(Nebenkosten!$C$28="Fläche",$I32,IF(Nebenkosten!$C$28="Anteil",$J32,$K32))*IF(Nebenkosten!$D$28="Heizung",$H32,$G32)/Nebenkosten!$E$28)</f>
        <v/>
      </c>
      <c r="AT32" s="11">
        <f>IF(OR(Nebenkosten!$B$29="",Nebenkosten!$E$29=0,$F32=0),0,Nebenkosten!$B$29*IF(Nebenkosten!$C$29="Fläche",$I32,IF(Nebenkosten!$C$29="Anteil",$J32,$K32))*IF(Nebenkosten!$D$29="Heizung",$H32,$G32)/Nebenkosten!$E$29)</f>
        <v/>
      </c>
      <c r="AU32" s="11">
        <f>IF(OR(Nebenkosten!$B$30="",Nebenkosten!$E$30=0,$F32=0),0,Nebenkosten!$B$30*IF(Nebenkosten!$C$30="Fläche",$I32,IF(Nebenkosten!$C$30="Anteil",$J32,$K32))*IF(Nebenkosten!$D$30="Heizung",$H32,$G32)/Nebenkosten!$E$30)</f>
        <v/>
      </c>
      <c r="AV32" s="11">
        <f>IF(OR(Nebenkosten!$B$31="",Nebenkosten!$E$31=0,$F32=0),0,Nebenkosten!$B$31*IF(Nebenkosten!$C$31="Fläche",$I32,IF(Nebenkosten!$C$31="Anteil",$J32,$K32))*IF(Nebenkosten!$D$31="Heizung",$H32,$G32)/Nebenkosten!$E$31)</f>
        <v/>
      </c>
      <c r="AW32" s="11">
        <f>IF(OR(Nebenkosten!$B$32="",Nebenkosten!$E$32=0,$F32=0),0,Nebenkosten!$B$32*IF(Nebenkosten!$C$32="Fläche",$I32,IF(Nebenkosten!$C$32="Anteil",$J32,$K32))*IF(Nebenkosten!$D$32="Heizung",$H32,$G32)/Nebenkosten!$E$32)</f>
        <v/>
      </c>
      <c r="AX32" s="11">
        <f>IF(OR(Nebenkosten!$B$33="",Nebenkosten!$E$33=0,$F32=0),0,Nebenkosten!$B$33*IF(Nebenkosten!$C$33="Fläche",$I32,IF(Nebenkosten!$C$33="Anteil",$J32,$K32))*IF(Nebenkosten!$D$33="Heizung",$H32,$G32)/Nebenkosten!$E$33)</f>
        <v/>
      </c>
      <c r="AY32" s="11">
        <f>IF(OR(Nebenkosten!$B$34="",Nebenkosten!$E$34=0,$F32=0),0,Nebenkosten!$B$34*IF(Nebenkosten!$C$34="Fläche",$I32,IF(Nebenkosten!$C$34="Anteil",$J32,$K32))*IF(Nebenkosten!$D$34="Heizung",$H32,$G32)/Nebenkosten!$E$34)</f>
        <v/>
      </c>
      <c r="AZ32" s="11">
        <f>ROUND(SUM(AA32:AY32)*20,0)/20</f>
        <v/>
      </c>
      <c r="BA32" s="11">
        <f>IF(F32=0,0,N32)</f>
        <v/>
      </c>
      <c r="BB32" s="11">
        <f>AZ32-BA32</f>
        <v/>
      </c>
    </row>
    <row r="33">
      <c r="A33" s="10">
        <f>'Mein Haus'!A73</f>
        <v/>
      </c>
      <c r="B33" s="23">
        <f>IF('Mein Haus'!C73="","",'Mein Haus'!C73)</f>
        <v/>
      </c>
      <c r="C33" s="23">
        <f>IF('Mein Haus'!B73="","",'Mein Haus'!B73)</f>
        <v/>
      </c>
      <c r="D33" s="21">
        <f>IF(AND('Mein Haus'!C73&lt;&gt;"",'Mein Haus'!B73&lt;&gt;"",Nebenkosten!$B$7&lt;&gt;""),MAX(IF('Mein Haus'!D73="",Nebenkosten!$B$7,'Mein Haus'!D73),Nebenkosten!$B$7),"")</f>
        <v/>
      </c>
      <c r="E33" s="21">
        <f>IF(AND('Mein Haus'!C73&lt;&gt;"",'Mein Haus'!B73&lt;&gt;"",Nebenkosten!$B$7&lt;&gt;""),MIN(IF('Mein Haus'!F73="",Nebenkosten!$D$7,'Mein Haus'!F73),Nebenkosten!$D$7),"")</f>
        <v/>
      </c>
      <c r="F33" s="10">
        <f>IF(D33="",0,MAX(0,E33-D33+1))</f>
        <v/>
      </c>
      <c r="G33" s="49">
        <f>IF(F33=0,0,F33/Nebenkosten!$F$7)</f>
        <v/>
      </c>
      <c r="H33" s="49">
        <f>IF(F33=0,0,SUMPRODUCT(O33:Z33,$O$3:$Z$3)/Einstellungen!$F$17)</f>
        <v/>
      </c>
      <c r="I33" s="19">
        <f>IF(F33=0,0,IFERROR(INDEX('Mein Haus'!$D$11:$D$40,MATCH(C33,'Mein Haus'!$A$11:$A$40,0)),0))</f>
        <v/>
      </c>
      <c r="J33" s="19">
        <f>IF(F33=0,0,IFERROR(INDEX('Mein Haus'!$E$11:$E$40,MATCH(C33,'Mein Haus'!$A$11:$A$40,0)),0))</f>
        <v/>
      </c>
      <c r="K33" s="19">
        <f>IF(F33=0,0,IFERROR(INDEX('Mein Haus'!$F$11:$F$40,MATCH(C33,'Mein Haus'!$A$11:$A$40,0)),0))</f>
        <v/>
      </c>
      <c r="L33" s="11">
        <f>IF(F33=0,0,N('Mein Haus'!H73)*SUM(O33:Z33))</f>
        <v/>
      </c>
      <c r="M33" s="22" t="n"/>
      <c r="N33" s="11">
        <f>IF(M33&lt;&gt;"",M33,L33)</f>
        <v/>
      </c>
      <c r="O33" s="19">
        <f>IF(F33=0,0,MAX(0,MIN(E33,EOMONTH(EDATE(Nebenkosten!$B$7,0),0))-MAX(D33,EDATE(Nebenkosten!$B$7,0))+1)/DAY(EOMONTH(EDATE(Nebenkosten!$B$7,0),0)))</f>
        <v/>
      </c>
      <c r="P33" s="19">
        <f>IF(F33=0,0,MAX(0,MIN(E33,EOMONTH(EDATE(Nebenkosten!$B$7,1),0))-MAX(D33,EDATE(Nebenkosten!$B$7,1))+1)/DAY(EOMONTH(EDATE(Nebenkosten!$B$7,1),0)))</f>
        <v/>
      </c>
      <c r="Q33" s="19">
        <f>IF(F33=0,0,MAX(0,MIN(E33,EOMONTH(EDATE(Nebenkosten!$B$7,2),0))-MAX(D33,EDATE(Nebenkosten!$B$7,2))+1)/DAY(EOMONTH(EDATE(Nebenkosten!$B$7,2),0)))</f>
        <v/>
      </c>
      <c r="R33" s="19">
        <f>IF(F33=0,0,MAX(0,MIN(E33,EOMONTH(EDATE(Nebenkosten!$B$7,3),0))-MAX(D33,EDATE(Nebenkosten!$B$7,3))+1)/DAY(EOMONTH(EDATE(Nebenkosten!$B$7,3),0)))</f>
        <v/>
      </c>
      <c r="S33" s="19">
        <f>IF(F33=0,0,MAX(0,MIN(E33,EOMONTH(EDATE(Nebenkosten!$B$7,4),0))-MAX(D33,EDATE(Nebenkosten!$B$7,4))+1)/DAY(EOMONTH(EDATE(Nebenkosten!$B$7,4),0)))</f>
        <v/>
      </c>
      <c r="T33" s="19">
        <f>IF(F33=0,0,MAX(0,MIN(E33,EOMONTH(EDATE(Nebenkosten!$B$7,5),0))-MAX(D33,EDATE(Nebenkosten!$B$7,5))+1)/DAY(EOMONTH(EDATE(Nebenkosten!$B$7,5),0)))</f>
        <v/>
      </c>
      <c r="U33" s="19">
        <f>IF(F33=0,0,MAX(0,MIN(E33,EOMONTH(EDATE(Nebenkosten!$B$7,6),0))-MAX(D33,EDATE(Nebenkosten!$B$7,6))+1)/DAY(EOMONTH(EDATE(Nebenkosten!$B$7,6),0)))</f>
        <v/>
      </c>
      <c r="V33" s="19">
        <f>IF(F33=0,0,MAX(0,MIN(E33,EOMONTH(EDATE(Nebenkosten!$B$7,7),0))-MAX(D33,EDATE(Nebenkosten!$B$7,7))+1)/DAY(EOMONTH(EDATE(Nebenkosten!$B$7,7),0)))</f>
        <v/>
      </c>
      <c r="W33" s="19">
        <f>IF(F33=0,0,MAX(0,MIN(E33,EOMONTH(EDATE(Nebenkosten!$B$7,8),0))-MAX(D33,EDATE(Nebenkosten!$B$7,8))+1)/DAY(EOMONTH(EDATE(Nebenkosten!$B$7,8),0)))</f>
        <v/>
      </c>
      <c r="X33" s="19">
        <f>IF(F33=0,0,MAX(0,MIN(E33,EOMONTH(EDATE(Nebenkosten!$B$7,9),0))-MAX(D33,EDATE(Nebenkosten!$B$7,9))+1)/DAY(EOMONTH(EDATE(Nebenkosten!$B$7,9),0)))</f>
        <v/>
      </c>
      <c r="Y33" s="19">
        <f>IF(F33=0,0,MAX(0,MIN(E33,EOMONTH(EDATE(Nebenkosten!$B$7,10),0))-MAX(D33,EDATE(Nebenkosten!$B$7,10))+1)/DAY(EOMONTH(EDATE(Nebenkosten!$B$7,10),0)))</f>
        <v/>
      </c>
      <c r="Z33" s="19">
        <f>IF(F33=0,0,MAX(0,MIN(E33,EOMONTH(EDATE(Nebenkosten!$B$7,11),0))-MAX(D33,EDATE(Nebenkosten!$B$7,11))+1)/DAY(EOMONTH(EDATE(Nebenkosten!$B$7,11),0)))</f>
        <v/>
      </c>
      <c r="AA33" s="11">
        <f>IF(OR(Nebenkosten!$B$10="",Nebenkosten!$E$10=0,$F33=0),0,Nebenkosten!$B$10*IF(Nebenkosten!$C$10="Fläche",$I33,IF(Nebenkosten!$C$10="Anteil",$J33,$K33))*IF(Nebenkosten!$D$10="Heizung",$H33,$G33)/Nebenkosten!$E$10)</f>
        <v/>
      </c>
      <c r="AB33" s="11">
        <f>IF(OR(Nebenkosten!$B$11="",Nebenkosten!$E$11=0,$F33=0),0,Nebenkosten!$B$11*IF(Nebenkosten!$C$11="Fläche",$I33,IF(Nebenkosten!$C$11="Anteil",$J33,$K33))*IF(Nebenkosten!$D$11="Heizung",$H33,$G33)/Nebenkosten!$E$11)</f>
        <v/>
      </c>
      <c r="AC33" s="11">
        <f>IF(OR(Nebenkosten!$B$12="",Nebenkosten!$E$12=0,$F33=0),0,Nebenkosten!$B$12*IF(Nebenkosten!$C$12="Fläche",$I33,IF(Nebenkosten!$C$12="Anteil",$J33,$K33))*IF(Nebenkosten!$D$12="Heizung",$H33,$G33)/Nebenkosten!$E$12)</f>
        <v/>
      </c>
      <c r="AD33" s="11">
        <f>IF(OR(Nebenkosten!$B$13="",Nebenkosten!$E$13=0,$F33=0),0,Nebenkosten!$B$13*IF(Nebenkosten!$C$13="Fläche",$I33,IF(Nebenkosten!$C$13="Anteil",$J33,$K33))*IF(Nebenkosten!$D$13="Heizung",$H33,$G33)/Nebenkosten!$E$13)</f>
        <v/>
      </c>
      <c r="AE33" s="11">
        <f>IF(OR(Nebenkosten!$B$14="",Nebenkosten!$E$14=0,$F33=0),0,Nebenkosten!$B$14*IF(Nebenkosten!$C$14="Fläche",$I33,IF(Nebenkosten!$C$14="Anteil",$J33,$K33))*IF(Nebenkosten!$D$14="Heizung",$H33,$G33)/Nebenkosten!$E$14)</f>
        <v/>
      </c>
      <c r="AF33" s="11">
        <f>IF(OR(Nebenkosten!$B$15="",Nebenkosten!$E$15=0,$F33=0),0,Nebenkosten!$B$15*IF(Nebenkosten!$C$15="Fläche",$I33,IF(Nebenkosten!$C$15="Anteil",$J33,$K33))*IF(Nebenkosten!$D$15="Heizung",$H33,$G33)/Nebenkosten!$E$15)</f>
        <v/>
      </c>
      <c r="AG33" s="11">
        <f>IF(OR(Nebenkosten!$B$16="",Nebenkosten!$E$16=0,$F33=0),0,Nebenkosten!$B$16*IF(Nebenkosten!$C$16="Fläche",$I33,IF(Nebenkosten!$C$16="Anteil",$J33,$K33))*IF(Nebenkosten!$D$16="Heizung",$H33,$G33)/Nebenkosten!$E$16)</f>
        <v/>
      </c>
      <c r="AH33" s="11">
        <f>IF(OR(Nebenkosten!$B$17="",Nebenkosten!$E$17=0,$F33=0),0,Nebenkosten!$B$17*IF(Nebenkosten!$C$17="Fläche",$I33,IF(Nebenkosten!$C$17="Anteil",$J33,$K33))*IF(Nebenkosten!$D$17="Heizung",$H33,$G33)/Nebenkosten!$E$17)</f>
        <v/>
      </c>
      <c r="AI33" s="11">
        <f>IF(OR(Nebenkosten!$B$18="",Nebenkosten!$E$18=0,$F33=0),0,Nebenkosten!$B$18*IF(Nebenkosten!$C$18="Fläche",$I33,IF(Nebenkosten!$C$18="Anteil",$J33,$K33))*IF(Nebenkosten!$D$18="Heizung",$H33,$G33)/Nebenkosten!$E$18)</f>
        <v/>
      </c>
      <c r="AJ33" s="11">
        <f>IF(OR(Nebenkosten!$B$19="",Nebenkosten!$E$19=0,$F33=0),0,Nebenkosten!$B$19*IF(Nebenkosten!$C$19="Fläche",$I33,IF(Nebenkosten!$C$19="Anteil",$J33,$K33))*IF(Nebenkosten!$D$19="Heizung",$H33,$G33)/Nebenkosten!$E$19)</f>
        <v/>
      </c>
      <c r="AK33" s="11">
        <f>IF(OR(Nebenkosten!$B$20="",Nebenkosten!$E$20=0,$F33=0),0,Nebenkosten!$B$20*IF(Nebenkosten!$C$20="Fläche",$I33,IF(Nebenkosten!$C$20="Anteil",$J33,$K33))*IF(Nebenkosten!$D$20="Heizung",$H33,$G33)/Nebenkosten!$E$20)</f>
        <v/>
      </c>
      <c r="AL33" s="11">
        <f>IF(OR(Nebenkosten!$B$21="",Nebenkosten!$E$21=0,$F33=0),0,Nebenkosten!$B$21*IF(Nebenkosten!$C$21="Fläche",$I33,IF(Nebenkosten!$C$21="Anteil",$J33,$K33))*IF(Nebenkosten!$D$21="Heizung",$H33,$G33)/Nebenkosten!$E$21)</f>
        <v/>
      </c>
      <c r="AM33" s="11">
        <f>IF(OR(Nebenkosten!$B$22="",Nebenkosten!$E$22=0,$F33=0),0,Nebenkosten!$B$22*IF(Nebenkosten!$C$22="Fläche",$I33,IF(Nebenkosten!$C$22="Anteil",$J33,$K33))*IF(Nebenkosten!$D$22="Heizung",$H33,$G33)/Nebenkosten!$E$22)</f>
        <v/>
      </c>
      <c r="AN33" s="11">
        <f>IF(OR(Nebenkosten!$B$23="",Nebenkosten!$E$23=0,$F33=0),0,Nebenkosten!$B$23*IF(Nebenkosten!$C$23="Fläche",$I33,IF(Nebenkosten!$C$23="Anteil",$J33,$K33))*IF(Nebenkosten!$D$23="Heizung",$H33,$G33)/Nebenkosten!$E$23)</f>
        <v/>
      </c>
      <c r="AO33" s="11">
        <f>IF(OR(Nebenkosten!$B$24="",Nebenkosten!$E$24=0,$F33=0),0,Nebenkosten!$B$24*IF(Nebenkosten!$C$24="Fläche",$I33,IF(Nebenkosten!$C$24="Anteil",$J33,$K33))*IF(Nebenkosten!$D$24="Heizung",$H33,$G33)/Nebenkosten!$E$24)</f>
        <v/>
      </c>
      <c r="AP33" s="11">
        <f>IF(OR(Nebenkosten!$B$25="",Nebenkosten!$E$25=0,$F33=0),0,Nebenkosten!$B$25*IF(Nebenkosten!$C$25="Fläche",$I33,IF(Nebenkosten!$C$25="Anteil",$J33,$K33))*IF(Nebenkosten!$D$25="Heizung",$H33,$G33)/Nebenkosten!$E$25)</f>
        <v/>
      </c>
      <c r="AQ33" s="11">
        <f>IF(OR(Nebenkosten!$B$26="",Nebenkosten!$E$26=0,$F33=0),0,Nebenkosten!$B$26*IF(Nebenkosten!$C$26="Fläche",$I33,IF(Nebenkosten!$C$26="Anteil",$J33,$K33))*IF(Nebenkosten!$D$26="Heizung",$H33,$G33)/Nebenkosten!$E$26)</f>
        <v/>
      </c>
      <c r="AR33" s="11">
        <f>IF(OR(Nebenkosten!$B$27="",Nebenkosten!$E$27=0,$F33=0),0,Nebenkosten!$B$27*IF(Nebenkosten!$C$27="Fläche",$I33,IF(Nebenkosten!$C$27="Anteil",$J33,$K33))*IF(Nebenkosten!$D$27="Heizung",$H33,$G33)/Nebenkosten!$E$27)</f>
        <v/>
      </c>
      <c r="AS33" s="11">
        <f>IF(OR(Nebenkosten!$B$28="",Nebenkosten!$E$28=0,$F33=0),0,Nebenkosten!$B$28*IF(Nebenkosten!$C$28="Fläche",$I33,IF(Nebenkosten!$C$28="Anteil",$J33,$K33))*IF(Nebenkosten!$D$28="Heizung",$H33,$G33)/Nebenkosten!$E$28)</f>
        <v/>
      </c>
      <c r="AT33" s="11">
        <f>IF(OR(Nebenkosten!$B$29="",Nebenkosten!$E$29=0,$F33=0),0,Nebenkosten!$B$29*IF(Nebenkosten!$C$29="Fläche",$I33,IF(Nebenkosten!$C$29="Anteil",$J33,$K33))*IF(Nebenkosten!$D$29="Heizung",$H33,$G33)/Nebenkosten!$E$29)</f>
        <v/>
      </c>
      <c r="AU33" s="11">
        <f>IF(OR(Nebenkosten!$B$30="",Nebenkosten!$E$30=0,$F33=0),0,Nebenkosten!$B$30*IF(Nebenkosten!$C$30="Fläche",$I33,IF(Nebenkosten!$C$30="Anteil",$J33,$K33))*IF(Nebenkosten!$D$30="Heizung",$H33,$G33)/Nebenkosten!$E$30)</f>
        <v/>
      </c>
      <c r="AV33" s="11">
        <f>IF(OR(Nebenkosten!$B$31="",Nebenkosten!$E$31=0,$F33=0),0,Nebenkosten!$B$31*IF(Nebenkosten!$C$31="Fläche",$I33,IF(Nebenkosten!$C$31="Anteil",$J33,$K33))*IF(Nebenkosten!$D$31="Heizung",$H33,$G33)/Nebenkosten!$E$31)</f>
        <v/>
      </c>
      <c r="AW33" s="11">
        <f>IF(OR(Nebenkosten!$B$32="",Nebenkosten!$E$32=0,$F33=0),0,Nebenkosten!$B$32*IF(Nebenkosten!$C$32="Fläche",$I33,IF(Nebenkosten!$C$32="Anteil",$J33,$K33))*IF(Nebenkosten!$D$32="Heizung",$H33,$G33)/Nebenkosten!$E$32)</f>
        <v/>
      </c>
      <c r="AX33" s="11">
        <f>IF(OR(Nebenkosten!$B$33="",Nebenkosten!$E$33=0,$F33=0),0,Nebenkosten!$B$33*IF(Nebenkosten!$C$33="Fläche",$I33,IF(Nebenkosten!$C$33="Anteil",$J33,$K33))*IF(Nebenkosten!$D$33="Heizung",$H33,$G33)/Nebenkosten!$E$33)</f>
        <v/>
      </c>
      <c r="AY33" s="11">
        <f>IF(OR(Nebenkosten!$B$34="",Nebenkosten!$E$34=0,$F33=0),0,Nebenkosten!$B$34*IF(Nebenkosten!$C$34="Fläche",$I33,IF(Nebenkosten!$C$34="Anteil",$J33,$K33))*IF(Nebenkosten!$D$34="Heizung",$H33,$G33)/Nebenkosten!$E$34)</f>
        <v/>
      </c>
      <c r="AZ33" s="11">
        <f>ROUND(SUM(AA33:AY33)*20,0)/20</f>
        <v/>
      </c>
      <c r="BA33" s="11">
        <f>IF(F33=0,0,N33)</f>
        <v/>
      </c>
      <c r="BB33" s="11">
        <f>AZ33-BA33</f>
        <v/>
      </c>
    </row>
    <row r="34">
      <c r="A34" s="10">
        <f>'Mein Haus'!A74</f>
        <v/>
      </c>
      <c r="B34" s="23">
        <f>IF('Mein Haus'!C74="","",'Mein Haus'!C74)</f>
        <v/>
      </c>
      <c r="C34" s="23">
        <f>IF('Mein Haus'!B74="","",'Mein Haus'!B74)</f>
        <v/>
      </c>
      <c r="D34" s="21">
        <f>IF(AND('Mein Haus'!C74&lt;&gt;"",'Mein Haus'!B74&lt;&gt;"",Nebenkosten!$B$7&lt;&gt;""),MAX(IF('Mein Haus'!D74="",Nebenkosten!$B$7,'Mein Haus'!D74),Nebenkosten!$B$7),"")</f>
        <v/>
      </c>
      <c r="E34" s="21">
        <f>IF(AND('Mein Haus'!C74&lt;&gt;"",'Mein Haus'!B74&lt;&gt;"",Nebenkosten!$B$7&lt;&gt;""),MIN(IF('Mein Haus'!F74="",Nebenkosten!$D$7,'Mein Haus'!F74),Nebenkosten!$D$7),"")</f>
        <v/>
      </c>
      <c r="F34" s="10">
        <f>IF(D34="",0,MAX(0,E34-D34+1))</f>
        <v/>
      </c>
      <c r="G34" s="49">
        <f>IF(F34=0,0,F34/Nebenkosten!$F$7)</f>
        <v/>
      </c>
      <c r="H34" s="49">
        <f>IF(F34=0,0,SUMPRODUCT(O34:Z34,$O$3:$Z$3)/Einstellungen!$F$17)</f>
        <v/>
      </c>
      <c r="I34" s="19">
        <f>IF(F34=0,0,IFERROR(INDEX('Mein Haus'!$D$11:$D$40,MATCH(C34,'Mein Haus'!$A$11:$A$40,0)),0))</f>
        <v/>
      </c>
      <c r="J34" s="19">
        <f>IF(F34=0,0,IFERROR(INDEX('Mein Haus'!$E$11:$E$40,MATCH(C34,'Mein Haus'!$A$11:$A$40,0)),0))</f>
        <v/>
      </c>
      <c r="K34" s="19">
        <f>IF(F34=0,0,IFERROR(INDEX('Mein Haus'!$F$11:$F$40,MATCH(C34,'Mein Haus'!$A$11:$A$40,0)),0))</f>
        <v/>
      </c>
      <c r="L34" s="11">
        <f>IF(F34=0,0,N('Mein Haus'!H74)*SUM(O34:Z34))</f>
        <v/>
      </c>
      <c r="M34" s="22" t="n"/>
      <c r="N34" s="11">
        <f>IF(M34&lt;&gt;"",M34,L34)</f>
        <v/>
      </c>
      <c r="O34" s="19">
        <f>IF(F34=0,0,MAX(0,MIN(E34,EOMONTH(EDATE(Nebenkosten!$B$7,0),0))-MAX(D34,EDATE(Nebenkosten!$B$7,0))+1)/DAY(EOMONTH(EDATE(Nebenkosten!$B$7,0),0)))</f>
        <v/>
      </c>
      <c r="P34" s="19">
        <f>IF(F34=0,0,MAX(0,MIN(E34,EOMONTH(EDATE(Nebenkosten!$B$7,1),0))-MAX(D34,EDATE(Nebenkosten!$B$7,1))+1)/DAY(EOMONTH(EDATE(Nebenkosten!$B$7,1),0)))</f>
        <v/>
      </c>
      <c r="Q34" s="19">
        <f>IF(F34=0,0,MAX(0,MIN(E34,EOMONTH(EDATE(Nebenkosten!$B$7,2),0))-MAX(D34,EDATE(Nebenkosten!$B$7,2))+1)/DAY(EOMONTH(EDATE(Nebenkosten!$B$7,2),0)))</f>
        <v/>
      </c>
      <c r="R34" s="19">
        <f>IF(F34=0,0,MAX(0,MIN(E34,EOMONTH(EDATE(Nebenkosten!$B$7,3),0))-MAX(D34,EDATE(Nebenkosten!$B$7,3))+1)/DAY(EOMONTH(EDATE(Nebenkosten!$B$7,3),0)))</f>
        <v/>
      </c>
      <c r="S34" s="19">
        <f>IF(F34=0,0,MAX(0,MIN(E34,EOMONTH(EDATE(Nebenkosten!$B$7,4),0))-MAX(D34,EDATE(Nebenkosten!$B$7,4))+1)/DAY(EOMONTH(EDATE(Nebenkosten!$B$7,4),0)))</f>
        <v/>
      </c>
      <c r="T34" s="19">
        <f>IF(F34=0,0,MAX(0,MIN(E34,EOMONTH(EDATE(Nebenkosten!$B$7,5),0))-MAX(D34,EDATE(Nebenkosten!$B$7,5))+1)/DAY(EOMONTH(EDATE(Nebenkosten!$B$7,5),0)))</f>
        <v/>
      </c>
      <c r="U34" s="19">
        <f>IF(F34=0,0,MAX(0,MIN(E34,EOMONTH(EDATE(Nebenkosten!$B$7,6),0))-MAX(D34,EDATE(Nebenkosten!$B$7,6))+1)/DAY(EOMONTH(EDATE(Nebenkosten!$B$7,6),0)))</f>
        <v/>
      </c>
      <c r="V34" s="19">
        <f>IF(F34=0,0,MAX(0,MIN(E34,EOMONTH(EDATE(Nebenkosten!$B$7,7),0))-MAX(D34,EDATE(Nebenkosten!$B$7,7))+1)/DAY(EOMONTH(EDATE(Nebenkosten!$B$7,7),0)))</f>
        <v/>
      </c>
      <c r="W34" s="19">
        <f>IF(F34=0,0,MAX(0,MIN(E34,EOMONTH(EDATE(Nebenkosten!$B$7,8),0))-MAX(D34,EDATE(Nebenkosten!$B$7,8))+1)/DAY(EOMONTH(EDATE(Nebenkosten!$B$7,8),0)))</f>
        <v/>
      </c>
      <c r="X34" s="19">
        <f>IF(F34=0,0,MAX(0,MIN(E34,EOMONTH(EDATE(Nebenkosten!$B$7,9),0))-MAX(D34,EDATE(Nebenkosten!$B$7,9))+1)/DAY(EOMONTH(EDATE(Nebenkosten!$B$7,9),0)))</f>
        <v/>
      </c>
      <c r="Y34" s="19">
        <f>IF(F34=0,0,MAX(0,MIN(E34,EOMONTH(EDATE(Nebenkosten!$B$7,10),0))-MAX(D34,EDATE(Nebenkosten!$B$7,10))+1)/DAY(EOMONTH(EDATE(Nebenkosten!$B$7,10),0)))</f>
        <v/>
      </c>
      <c r="Z34" s="19">
        <f>IF(F34=0,0,MAX(0,MIN(E34,EOMONTH(EDATE(Nebenkosten!$B$7,11),0))-MAX(D34,EDATE(Nebenkosten!$B$7,11))+1)/DAY(EOMONTH(EDATE(Nebenkosten!$B$7,11),0)))</f>
        <v/>
      </c>
      <c r="AA34" s="11">
        <f>IF(OR(Nebenkosten!$B$10="",Nebenkosten!$E$10=0,$F34=0),0,Nebenkosten!$B$10*IF(Nebenkosten!$C$10="Fläche",$I34,IF(Nebenkosten!$C$10="Anteil",$J34,$K34))*IF(Nebenkosten!$D$10="Heizung",$H34,$G34)/Nebenkosten!$E$10)</f>
        <v/>
      </c>
      <c r="AB34" s="11">
        <f>IF(OR(Nebenkosten!$B$11="",Nebenkosten!$E$11=0,$F34=0),0,Nebenkosten!$B$11*IF(Nebenkosten!$C$11="Fläche",$I34,IF(Nebenkosten!$C$11="Anteil",$J34,$K34))*IF(Nebenkosten!$D$11="Heizung",$H34,$G34)/Nebenkosten!$E$11)</f>
        <v/>
      </c>
      <c r="AC34" s="11">
        <f>IF(OR(Nebenkosten!$B$12="",Nebenkosten!$E$12=0,$F34=0),0,Nebenkosten!$B$12*IF(Nebenkosten!$C$12="Fläche",$I34,IF(Nebenkosten!$C$12="Anteil",$J34,$K34))*IF(Nebenkosten!$D$12="Heizung",$H34,$G34)/Nebenkosten!$E$12)</f>
        <v/>
      </c>
      <c r="AD34" s="11">
        <f>IF(OR(Nebenkosten!$B$13="",Nebenkosten!$E$13=0,$F34=0),0,Nebenkosten!$B$13*IF(Nebenkosten!$C$13="Fläche",$I34,IF(Nebenkosten!$C$13="Anteil",$J34,$K34))*IF(Nebenkosten!$D$13="Heizung",$H34,$G34)/Nebenkosten!$E$13)</f>
        <v/>
      </c>
      <c r="AE34" s="11">
        <f>IF(OR(Nebenkosten!$B$14="",Nebenkosten!$E$14=0,$F34=0),0,Nebenkosten!$B$14*IF(Nebenkosten!$C$14="Fläche",$I34,IF(Nebenkosten!$C$14="Anteil",$J34,$K34))*IF(Nebenkosten!$D$14="Heizung",$H34,$G34)/Nebenkosten!$E$14)</f>
        <v/>
      </c>
      <c r="AF34" s="11">
        <f>IF(OR(Nebenkosten!$B$15="",Nebenkosten!$E$15=0,$F34=0),0,Nebenkosten!$B$15*IF(Nebenkosten!$C$15="Fläche",$I34,IF(Nebenkosten!$C$15="Anteil",$J34,$K34))*IF(Nebenkosten!$D$15="Heizung",$H34,$G34)/Nebenkosten!$E$15)</f>
        <v/>
      </c>
      <c r="AG34" s="11">
        <f>IF(OR(Nebenkosten!$B$16="",Nebenkosten!$E$16=0,$F34=0),0,Nebenkosten!$B$16*IF(Nebenkosten!$C$16="Fläche",$I34,IF(Nebenkosten!$C$16="Anteil",$J34,$K34))*IF(Nebenkosten!$D$16="Heizung",$H34,$G34)/Nebenkosten!$E$16)</f>
        <v/>
      </c>
      <c r="AH34" s="11">
        <f>IF(OR(Nebenkosten!$B$17="",Nebenkosten!$E$17=0,$F34=0),0,Nebenkosten!$B$17*IF(Nebenkosten!$C$17="Fläche",$I34,IF(Nebenkosten!$C$17="Anteil",$J34,$K34))*IF(Nebenkosten!$D$17="Heizung",$H34,$G34)/Nebenkosten!$E$17)</f>
        <v/>
      </c>
      <c r="AI34" s="11">
        <f>IF(OR(Nebenkosten!$B$18="",Nebenkosten!$E$18=0,$F34=0),0,Nebenkosten!$B$18*IF(Nebenkosten!$C$18="Fläche",$I34,IF(Nebenkosten!$C$18="Anteil",$J34,$K34))*IF(Nebenkosten!$D$18="Heizung",$H34,$G34)/Nebenkosten!$E$18)</f>
        <v/>
      </c>
      <c r="AJ34" s="11">
        <f>IF(OR(Nebenkosten!$B$19="",Nebenkosten!$E$19=0,$F34=0),0,Nebenkosten!$B$19*IF(Nebenkosten!$C$19="Fläche",$I34,IF(Nebenkosten!$C$19="Anteil",$J34,$K34))*IF(Nebenkosten!$D$19="Heizung",$H34,$G34)/Nebenkosten!$E$19)</f>
        <v/>
      </c>
      <c r="AK34" s="11">
        <f>IF(OR(Nebenkosten!$B$20="",Nebenkosten!$E$20=0,$F34=0),0,Nebenkosten!$B$20*IF(Nebenkosten!$C$20="Fläche",$I34,IF(Nebenkosten!$C$20="Anteil",$J34,$K34))*IF(Nebenkosten!$D$20="Heizung",$H34,$G34)/Nebenkosten!$E$20)</f>
        <v/>
      </c>
      <c r="AL34" s="11">
        <f>IF(OR(Nebenkosten!$B$21="",Nebenkosten!$E$21=0,$F34=0),0,Nebenkosten!$B$21*IF(Nebenkosten!$C$21="Fläche",$I34,IF(Nebenkosten!$C$21="Anteil",$J34,$K34))*IF(Nebenkosten!$D$21="Heizung",$H34,$G34)/Nebenkosten!$E$21)</f>
        <v/>
      </c>
      <c r="AM34" s="11">
        <f>IF(OR(Nebenkosten!$B$22="",Nebenkosten!$E$22=0,$F34=0),0,Nebenkosten!$B$22*IF(Nebenkosten!$C$22="Fläche",$I34,IF(Nebenkosten!$C$22="Anteil",$J34,$K34))*IF(Nebenkosten!$D$22="Heizung",$H34,$G34)/Nebenkosten!$E$22)</f>
        <v/>
      </c>
      <c r="AN34" s="11">
        <f>IF(OR(Nebenkosten!$B$23="",Nebenkosten!$E$23=0,$F34=0),0,Nebenkosten!$B$23*IF(Nebenkosten!$C$23="Fläche",$I34,IF(Nebenkosten!$C$23="Anteil",$J34,$K34))*IF(Nebenkosten!$D$23="Heizung",$H34,$G34)/Nebenkosten!$E$23)</f>
        <v/>
      </c>
      <c r="AO34" s="11">
        <f>IF(OR(Nebenkosten!$B$24="",Nebenkosten!$E$24=0,$F34=0),0,Nebenkosten!$B$24*IF(Nebenkosten!$C$24="Fläche",$I34,IF(Nebenkosten!$C$24="Anteil",$J34,$K34))*IF(Nebenkosten!$D$24="Heizung",$H34,$G34)/Nebenkosten!$E$24)</f>
        <v/>
      </c>
      <c r="AP34" s="11">
        <f>IF(OR(Nebenkosten!$B$25="",Nebenkosten!$E$25=0,$F34=0),0,Nebenkosten!$B$25*IF(Nebenkosten!$C$25="Fläche",$I34,IF(Nebenkosten!$C$25="Anteil",$J34,$K34))*IF(Nebenkosten!$D$25="Heizung",$H34,$G34)/Nebenkosten!$E$25)</f>
        <v/>
      </c>
      <c r="AQ34" s="11">
        <f>IF(OR(Nebenkosten!$B$26="",Nebenkosten!$E$26=0,$F34=0),0,Nebenkosten!$B$26*IF(Nebenkosten!$C$26="Fläche",$I34,IF(Nebenkosten!$C$26="Anteil",$J34,$K34))*IF(Nebenkosten!$D$26="Heizung",$H34,$G34)/Nebenkosten!$E$26)</f>
        <v/>
      </c>
      <c r="AR34" s="11">
        <f>IF(OR(Nebenkosten!$B$27="",Nebenkosten!$E$27=0,$F34=0),0,Nebenkosten!$B$27*IF(Nebenkosten!$C$27="Fläche",$I34,IF(Nebenkosten!$C$27="Anteil",$J34,$K34))*IF(Nebenkosten!$D$27="Heizung",$H34,$G34)/Nebenkosten!$E$27)</f>
        <v/>
      </c>
      <c r="AS34" s="11">
        <f>IF(OR(Nebenkosten!$B$28="",Nebenkosten!$E$28=0,$F34=0),0,Nebenkosten!$B$28*IF(Nebenkosten!$C$28="Fläche",$I34,IF(Nebenkosten!$C$28="Anteil",$J34,$K34))*IF(Nebenkosten!$D$28="Heizung",$H34,$G34)/Nebenkosten!$E$28)</f>
        <v/>
      </c>
      <c r="AT34" s="11">
        <f>IF(OR(Nebenkosten!$B$29="",Nebenkosten!$E$29=0,$F34=0),0,Nebenkosten!$B$29*IF(Nebenkosten!$C$29="Fläche",$I34,IF(Nebenkosten!$C$29="Anteil",$J34,$K34))*IF(Nebenkosten!$D$29="Heizung",$H34,$G34)/Nebenkosten!$E$29)</f>
        <v/>
      </c>
      <c r="AU34" s="11">
        <f>IF(OR(Nebenkosten!$B$30="",Nebenkosten!$E$30=0,$F34=0),0,Nebenkosten!$B$30*IF(Nebenkosten!$C$30="Fläche",$I34,IF(Nebenkosten!$C$30="Anteil",$J34,$K34))*IF(Nebenkosten!$D$30="Heizung",$H34,$G34)/Nebenkosten!$E$30)</f>
        <v/>
      </c>
      <c r="AV34" s="11">
        <f>IF(OR(Nebenkosten!$B$31="",Nebenkosten!$E$31=0,$F34=0),0,Nebenkosten!$B$31*IF(Nebenkosten!$C$31="Fläche",$I34,IF(Nebenkosten!$C$31="Anteil",$J34,$K34))*IF(Nebenkosten!$D$31="Heizung",$H34,$G34)/Nebenkosten!$E$31)</f>
        <v/>
      </c>
      <c r="AW34" s="11">
        <f>IF(OR(Nebenkosten!$B$32="",Nebenkosten!$E$32=0,$F34=0),0,Nebenkosten!$B$32*IF(Nebenkosten!$C$32="Fläche",$I34,IF(Nebenkosten!$C$32="Anteil",$J34,$K34))*IF(Nebenkosten!$D$32="Heizung",$H34,$G34)/Nebenkosten!$E$32)</f>
        <v/>
      </c>
      <c r="AX34" s="11">
        <f>IF(OR(Nebenkosten!$B$33="",Nebenkosten!$E$33=0,$F34=0),0,Nebenkosten!$B$33*IF(Nebenkosten!$C$33="Fläche",$I34,IF(Nebenkosten!$C$33="Anteil",$J34,$K34))*IF(Nebenkosten!$D$33="Heizung",$H34,$G34)/Nebenkosten!$E$33)</f>
        <v/>
      </c>
      <c r="AY34" s="11">
        <f>IF(OR(Nebenkosten!$B$34="",Nebenkosten!$E$34=0,$F34=0),0,Nebenkosten!$B$34*IF(Nebenkosten!$C$34="Fläche",$I34,IF(Nebenkosten!$C$34="Anteil",$J34,$K34))*IF(Nebenkosten!$D$34="Heizung",$H34,$G34)/Nebenkosten!$E$34)</f>
        <v/>
      </c>
      <c r="AZ34" s="11">
        <f>ROUND(SUM(AA34:AY34)*20,0)/20</f>
        <v/>
      </c>
      <c r="BA34" s="11">
        <f>IF(F34=0,0,N34)</f>
        <v/>
      </c>
      <c r="BB34" s="11">
        <f>AZ34-BA34</f>
        <v/>
      </c>
    </row>
    <row r="35">
      <c r="A35" s="10">
        <f>'Mein Haus'!A75</f>
        <v/>
      </c>
      <c r="B35" s="23">
        <f>IF('Mein Haus'!C75="","",'Mein Haus'!C75)</f>
        <v/>
      </c>
      <c r="C35" s="23">
        <f>IF('Mein Haus'!B75="","",'Mein Haus'!B75)</f>
        <v/>
      </c>
      <c r="D35" s="21">
        <f>IF(AND('Mein Haus'!C75&lt;&gt;"",'Mein Haus'!B75&lt;&gt;"",Nebenkosten!$B$7&lt;&gt;""),MAX(IF('Mein Haus'!D75="",Nebenkosten!$B$7,'Mein Haus'!D75),Nebenkosten!$B$7),"")</f>
        <v/>
      </c>
      <c r="E35" s="21">
        <f>IF(AND('Mein Haus'!C75&lt;&gt;"",'Mein Haus'!B75&lt;&gt;"",Nebenkosten!$B$7&lt;&gt;""),MIN(IF('Mein Haus'!F75="",Nebenkosten!$D$7,'Mein Haus'!F75),Nebenkosten!$D$7),"")</f>
        <v/>
      </c>
      <c r="F35" s="10">
        <f>IF(D35="",0,MAX(0,E35-D35+1))</f>
        <v/>
      </c>
      <c r="G35" s="49">
        <f>IF(F35=0,0,F35/Nebenkosten!$F$7)</f>
        <v/>
      </c>
      <c r="H35" s="49">
        <f>IF(F35=0,0,SUMPRODUCT(O35:Z35,$O$3:$Z$3)/Einstellungen!$F$17)</f>
        <v/>
      </c>
      <c r="I35" s="19">
        <f>IF(F35=0,0,IFERROR(INDEX('Mein Haus'!$D$11:$D$40,MATCH(C35,'Mein Haus'!$A$11:$A$40,0)),0))</f>
        <v/>
      </c>
      <c r="J35" s="19">
        <f>IF(F35=0,0,IFERROR(INDEX('Mein Haus'!$E$11:$E$40,MATCH(C35,'Mein Haus'!$A$11:$A$40,0)),0))</f>
        <v/>
      </c>
      <c r="K35" s="19">
        <f>IF(F35=0,0,IFERROR(INDEX('Mein Haus'!$F$11:$F$40,MATCH(C35,'Mein Haus'!$A$11:$A$40,0)),0))</f>
        <v/>
      </c>
      <c r="L35" s="11">
        <f>IF(F35=0,0,N('Mein Haus'!H75)*SUM(O35:Z35))</f>
        <v/>
      </c>
      <c r="M35" s="22" t="n"/>
      <c r="N35" s="11">
        <f>IF(M35&lt;&gt;"",M35,L35)</f>
        <v/>
      </c>
      <c r="O35" s="19">
        <f>IF(F35=0,0,MAX(0,MIN(E35,EOMONTH(EDATE(Nebenkosten!$B$7,0),0))-MAX(D35,EDATE(Nebenkosten!$B$7,0))+1)/DAY(EOMONTH(EDATE(Nebenkosten!$B$7,0),0)))</f>
        <v/>
      </c>
      <c r="P35" s="19">
        <f>IF(F35=0,0,MAX(0,MIN(E35,EOMONTH(EDATE(Nebenkosten!$B$7,1),0))-MAX(D35,EDATE(Nebenkosten!$B$7,1))+1)/DAY(EOMONTH(EDATE(Nebenkosten!$B$7,1),0)))</f>
        <v/>
      </c>
      <c r="Q35" s="19">
        <f>IF(F35=0,0,MAX(0,MIN(E35,EOMONTH(EDATE(Nebenkosten!$B$7,2),0))-MAX(D35,EDATE(Nebenkosten!$B$7,2))+1)/DAY(EOMONTH(EDATE(Nebenkosten!$B$7,2),0)))</f>
        <v/>
      </c>
      <c r="R35" s="19">
        <f>IF(F35=0,0,MAX(0,MIN(E35,EOMONTH(EDATE(Nebenkosten!$B$7,3),0))-MAX(D35,EDATE(Nebenkosten!$B$7,3))+1)/DAY(EOMONTH(EDATE(Nebenkosten!$B$7,3),0)))</f>
        <v/>
      </c>
      <c r="S35" s="19">
        <f>IF(F35=0,0,MAX(0,MIN(E35,EOMONTH(EDATE(Nebenkosten!$B$7,4),0))-MAX(D35,EDATE(Nebenkosten!$B$7,4))+1)/DAY(EOMONTH(EDATE(Nebenkosten!$B$7,4),0)))</f>
        <v/>
      </c>
      <c r="T35" s="19">
        <f>IF(F35=0,0,MAX(0,MIN(E35,EOMONTH(EDATE(Nebenkosten!$B$7,5),0))-MAX(D35,EDATE(Nebenkosten!$B$7,5))+1)/DAY(EOMONTH(EDATE(Nebenkosten!$B$7,5),0)))</f>
        <v/>
      </c>
      <c r="U35" s="19">
        <f>IF(F35=0,0,MAX(0,MIN(E35,EOMONTH(EDATE(Nebenkosten!$B$7,6),0))-MAX(D35,EDATE(Nebenkosten!$B$7,6))+1)/DAY(EOMONTH(EDATE(Nebenkosten!$B$7,6),0)))</f>
        <v/>
      </c>
      <c r="V35" s="19">
        <f>IF(F35=0,0,MAX(0,MIN(E35,EOMONTH(EDATE(Nebenkosten!$B$7,7),0))-MAX(D35,EDATE(Nebenkosten!$B$7,7))+1)/DAY(EOMONTH(EDATE(Nebenkosten!$B$7,7),0)))</f>
        <v/>
      </c>
      <c r="W35" s="19">
        <f>IF(F35=0,0,MAX(0,MIN(E35,EOMONTH(EDATE(Nebenkosten!$B$7,8),0))-MAX(D35,EDATE(Nebenkosten!$B$7,8))+1)/DAY(EOMONTH(EDATE(Nebenkosten!$B$7,8),0)))</f>
        <v/>
      </c>
      <c r="X35" s="19">
        <f>IF(F35=0,0,MAX(0,MIN(E35,EOMONTH(EDATE(Nebenkosten!$B$7,9),0))-MAX(D35,EDATE(Nebenkosten!$B$7,9))+1)/DAY(EOMONTH(EDATE(Nebenkosten!$B$7,9),0)))</f>
        <v/>
      </c>
      <c r="Y35" s="19">
        <f>IF(F35=0,0,MAX(0,MIN(E35,EOMONTH(EDATE(Nebenkosten!$B$7,10),0))-MAX(D35,EDATE(Nebenkosten!$B$7,10))+1)/DAY(EOMONTH(EDATE(Nebenkosten!$B$7,10),0)))</f>
        <v/>
      </c>
      <c r="Z35" s="19">
        <f>IF(F35=0,0,MAX(0,MIN(E35,EOMONTH(EDATE(Nebenkosten!$B$7,11),0))-MAX(D35,EDATE(Nebenkosten!$B$7,11))+1)/DAY(EOMONTH(EDATE(Nebenkosten!$B$7,11),0)))</f>
        <v/>
      </c>
      <c r="AA35" s="11">
        <f>IF(OR(Nebenkosten!$B$10="",Nebenkosten!$E$10=0,$F35=0),0,Nebenkosten!$B$10*IF(Nebenkosten!$C$10="Fläche",$I35,IF(Nebenkosten!$C$10="Anteil",$J35,$K35))*IF(Nebenkosten!$D$10="Heizung",$H35,$G35)/Nebenkosten!$E$10)</f>
        <v/>
      </c>
      <c r="AB35" s="11">
        <f>IF(OR(Nebenkosten!$B$11="",Nebenkosten!$E$11=0,$F35=0),0,Nebenkosten!$B$11*IF(Nebenkosten!$C$11="Fläche",$I35,IF(Nebenkosten!$C$11="Anteil",$J35,$K35))*IF(Nebenkosten!$D$11="Heizung",$H35,$G35)/Nebenkosten!$E$11)</f>
        <v/>
      </c>
      <c r="AC35" s="11">
        <f>IF(OR(Nebenkosten!$B$12="",Nebenkosten!$E$12=0,$F35=0),0,Nebenkosten!$B$12*IF(Nebenkosten!$C$12="Fläche",$I35,IF(Nebenkosten!$C$12="Anteil",$J35,$K35))*IF(Nebenkosten!$D$12="Heizung",$H35,$G35)/Nebenkosten!$E$12)</f>
        <v/>
      </c>
      <c r="AD35" s="11">
        <f>IF(OR(Nebenkosten!$B$13="",Nebenkosten!$E$13=0,$F35=0),0,Nebenkosten!$B$13*IF(Nebenkosten!$C$13="Fläche",$I35,IF(Nebenkosten!$C$13="Anteil",$J35,$K35))*IF(Nebenkosten!$D$13="Heizung",$H35,$G35)/Nebenkosten!$E$13)</f>
        <v/>
      </c>
      <c r="AE35" s="11">
        <f>IF(OR(Nebenkosten!$B$14="",Nebenkosten!$E$14=0,$F35=0),0,Nebenkosten!$B$14*IF(Nebenkosten!$C$14="Fläche",$I35,IF(Nebenkosten!$C$14="Anteil",$J35,$K35))*IF(Nebenkosten!$D$14="Heizung",$H35,$G35)/Nebenkosten!$E$14)</f>
        <v/>
      </c>
      <c r="AF35" s="11">
        <f>IF(OR(Nebenkosten!$B$15="",Nebenkosten!$E$15=0,$F35=0),0,Nebenkosten!$B$15*IF(Nebenkosten!$C$15="Fläche",$I35,IF(Nebenkosten!$C$15="Anteil",$J35,$K35))*IF(Nebenkosten!$D$15="Heizung",$H35,$G35)/Nebenkosten!$E$15)</f>
        <v/>
      </c>
      <c r="AG35" s="11">
        <f>IF(OR(Nebenkosten!$B$16="",Nebenkosten!$E$16=0,$F35=0),0,Nebenkosten!$B$16*IF(Nebenkosten!$C$16="Fläche",$I35,IF(Nebenkosten!$C$16="Anteil",$J35,$K35))*IF(Nebenkosten!$D$16="Heizung",$H35,$G35)/Nebenkosten!$E$16)</f>
        <v/>
      </c>
      <c r="AH35" s="11">
        <f>IF(OR(Nebenkosten!$B$17="",Nebenkosten!$E$17=0,$F35=0),0,Nebenkosten!$B$17*IF(Nebenkosten!$C$17="Fläche",$I35,IF(Nebenkosten!$C$17="Anteil",$J35,$K35))*IF(Nebenkosten!$D$17="Heizung",$H35,$G35)/Nebenkosten!$E$17)</f>
        <v/>
      </c>
      <c r="AI35" s="11">
        <f>IF(OR(Nebenkosten!$B$18="",Nebenkosten!$E$18=0,$F35=0),0,Nebenkosten!$B$18*IF(Nebenkosten!$C$18="Fläche",$I35,IF(Nebenkosten!$C$18="Anteil",$J35,$K35))*IF(Nebenkosten!$D$18="Heizung",$H35,$G35)/Nebenkosten!$E$18)</f>
        <v/>
      </c>
      <c r="AJ35" s="11">
        <f>IF(OR(Nebenkosten!$B$19="",Nebenkosten!$E$19=0,$F35=0),0,Nebenkosten!$B$19*IF(Nebenkosten!$C$19="Fläche",$I35,IF(Nebenkosten!$C$19="Anteil",$J35,$K35))*IF(Nebenkosten!$D$19="Heizung",$H35,$G35)/Nebenkosten!$E$19)</f>
        <v/>
      </c>
      <c r="AK35" s="11">
        <f>IF(OR(Nebenkosten!$B$20="",Nebenkosten!$E$20=0,$F35=0),0,Nebenkosten!$B$20*IF(Nebenkosten!$C$20="Fläche",$I35,IF(Nebenkosten!$C$20="Anteil",$J35,$K35))*IF(Nebenkosten!$D$20="Heizung",$H35,$G35)/Nebenkosten!$E$20)</f>
        <v/>
      </c>
      <c r="AL35" s="11">
        <f>IF(OR(Nebenkosten!$B$21="",Nebenkosten!$E$21=0,$F35=0),0,Nebenkosten!$B$21*IF(Nebenkosten!$C$21="Fläche",$I35,IF(Nebenkosten!$C$21="Anteil",$J35,$K35))*IF(Nebenkosten!$D$21="Heizung",$H35,$G35)/Nebenkosten!$E$21)</f>
        <v/>
      </c>
      <c r="AM35" s="11">
        <f>IF(OR(Nebenkosten!$B$22="",Nebenkosten!$E$22=0,$F35=0),0,Nebenkosten!$B$22*IF(Nebenkosten!$C$22="Fläche",$I35,IF(Nebenkosten!$C$22="Anteil",$J35,$K35))*IF(Nebenkosten!$D$22="Heizung",$H35,$G35)/Nebenkosten!$E$22)</f>
        <v/>
      </c>
      <c r="AN35" s="11">
        <f>IF(OR(Nebenkosten!$B$23="",Nebenkosten!$E$23=0,$F35=0),0,Nebenkosten!$B$23*IF(Nebenkosten!$C$23="Fläche",$I35,IF(Nebenkosten!$C$23="Anteil",$J35,$K35))*IF(Nebenkosten!$D$23="Heizung",$H35,$G35)/Nebenkosten!$E$23)</f>
        <v/>
      </c>
      <c r="AO35" s="11">
        <f>IF(OR(Nebenkosten!$B$24="",Nebenkosten!$E$24=0,$F35=0),0,Nebenkosten!$B$24*IF(Nebenkosten!$C$24="Fläche",$I35,IF(Nebenkosten!$C$24="Anteil",$J35,$K35))*IF(Nebenkosten!$D$24="Heizung",$H35,$G35)/Nebenkosten!$E$24)</f>
        <v/>
      </c>
      <c r="AP35" s="11">
        <f>IF(OR(Nebenkosten!$B$25="",Nebenkosten!$E$25=0,$F35=0),0,Nebenkosten!$B$25*IF(Nebenkosten!$C$25="Fläche",$I35,IF(Nebenkosten!$C$25="Anteil",$J35,$K35))*IF(Nebenkosten!$D$25="Heizung",$H35,$G35)/Nebenkosten!$E$25)</f>
        <v/>
      </c>
      <c r="AQ35" s="11">
        <f>IF(OR(Nebenkosten!$B$26="",Nebenkosten!$E$26=0,$F35=0),0,Nebenkosten!$B$26*IF(Nebenkosten!$C$26="Fläche",$I35,IF(Nebenkosten!$C$26="Anteil",$J35,$K35))*IF(Nebenkosten!$D$26="Heizung",$H35,$G35)/Nebenkosten!$E$26)</f>
        <v/>
      </c>
      <c r="AR35" s="11">
        <f>IF(OR(Nebenkosten!$B$27="",Nebenkosten!$E$27=0,$F35=0),0,Nebenkosten!$B$27*IF(Nebenkosten!$C$27="Fläche",$I35,IF(Nebenkosten!$C$27="Anteil",$J35,$K35))*IF(Nebenkosten!$D$27="Heizung",$H35,$G35)/Nebenkosten!$E$27)</f>
        <v/>
      </c>
      <c r="AS35" s="11">
        <f>IF(OR(Nebenkosten!$B$28="",Nebenkosten!$E$28=0,$F35=0),0,Nebenkosten!$B$28*IF(Nebenkosten!$C$28="Fläche",$I35,IF(Nebenkosten!$C$28="Anteil",$J35,$K35))*IF(Nebenkosten!$D$28="Heizung",$H35,$G35)/Nebenkosten!$E$28)</f>
        <v/>
      </c>
      <c r="AT35" s="11">
        <f>IF(OR(Nebenkosten!$B$29="",Nebenkosten!$E$29=0,$F35=0),0,Nebenkosten!$B$29*IF(Nebenkosten!$C$29="Fläche",$I35,IF(Nebenkosten!$C$29="Anteil",$J35,$K35))*IF(Nebenkosten!$D$29="Heizung",$H35,$G35)/Nebenkosten!$E$29)</f>
        <v/>
      </c>
      <c r="AU35" s="11">
        <f>IF(OR(Nebenkosten!$B$30="",Nebenkosten!$E$30=0,$F35=0),0,Nebenkosten!$B$30*IF(Nebenkosten!$C$30="Fläche",$I35,IF(Nebenkosten!$C$30="Anteil",$J35,$K35))*IF(Nebenkosten!$D$30="Heizung",$H35,$G35)/Nebenkosten!$E$30)</f>
        <v/>
      </c>
      <c r="AV35" s="11">
        <f>IF(OR(Nebenkosten!$B$31="",Nebenkosten!$E$31=0,$F35=0),0,Nebenkosten!$B$31*IF(Nebenkosten!$C$31="Fläche",$I35,IF(Nebenkosten!$C$31="Anteil",$J35,$K35))*IF(Nebenkosten!$D$31="Heizung",$H35,$G35)/Nebenkosten!$E$31)</f>
        <v/>
      </c>
      <c r="AW35" s="11">
        <f>IF(OR(Nebenkosten!$B$32="",Nebenkosten!$E$32=0,$F35=0),0,Nebenkosten!$B$32*IF(Nebenkosten!$C$32="Fläche",$I35,IF(Nebenkosten!$C$32="Anteil",$J35,$K35))*IF(Nebenkosten!$D$32="Heizung",$H35,$G35)/Nebenkosten!$E$32)</f>
        <v/>
      </c>
      <c r="AX35" s="11">
        <f>IF(OR(Nebenkosten!$B$33="",Nebenkosten!$E$33=0,$F35=0),0,Nebenkosten!$B$33*IF(Nebenkosten!$C$33="Fläche",$I35,IF(Nebenkosten!$C$33="Anteil",$J35,$K35))*IF(Nebenkosten!$D$33="Heizung",$H35,$G35)/Nebenkosten!$E$33)</f>
        <v/>
      </c>
      <c r="AY35" s="11">
        <f>IF(OR(Nebenkosten!$B$34="",Nebenkosten!$E$34=0,$F35=0),0,Nebenkosten!$B$34*IF(Nebenkosten!$C$34="Fläche",$I35,IF(Nebenkosten!$C$34="Anteil",$J35,$K35))*IF(Nebenkosten!$D$34="Heizung",$H35,$G35)/Nebenkosten!$E$34)</f>
        <v/>
      </c>
      <c r="AZ35" s="11">
        <f>ROUND(SUM(AA35:AY35)*20,0)/20</f>
        <v/>
      </c>
      <c r="BA35" s="11">
        <f>IF(F35=0,0,N35)</f>
        <v/>
      </c>
      <c r="BB35" s="11">
        <f>AZ35-BA35</f>
        <v/>
      </c>
    </row>
    <row r="36">
      <c r="A36" s="10">
        <f>'Mein Haus'!A76</f>
        <v/>
      </c>
      <c r="B36" s="23">
        <f>IF('Mein Haus'!C76="","",'Mein Haus'!C76)</f>
        <v/>
      </c>
      <c r="C36" s="23">
        <f>IF('Mein Haus'!B76="","",'Mein Haus'!B76)</f>
        <v/>
      </c>
      <c r="D36" s="21">
        <f>IF(AND('Mein Haus'!C76&lt;&gt;"",'Mein Haus'!B76&lt;&gt;"",Nebenkosten!$B$7&lt;&gt;""),MAX(IF('Mein Haus'!D76="",Nebenkosten!$B$7,'Mein Haus'!D76),Nebenkosten!$B$7),"")</f>
        <v/>
      </c>
      <c r="E36" s="21">
        <f>IF(AND('Mein Haus'!C76&lt;&gt;"",'Mein Haus'!B76&lt;&gt;"",Nebenkosten!$B$7&lt;&gt;""),MIN(IF('Mein Haus'!F76="",Nebenkosten!$D$7,'Mein Haus'!F76),Nebenkosten!$D$7),"")</f>
        <v/>
      </c>
      <c r="F36" s="10">
        <f>IF(D36="",0,MAX(0,E36-D36+1))</f>
        <v/>
      </c>
      <c r="G36" s="49">
        <f>IF(F36=0,0,F36/Nebenkosten!$F$7)</f>
        <v/>
      </c>
      <c r="H36" s="49">
        <f>IF(F36=0,0,SUMPRODUCT(O36:Z36,$O$3:$Z$3)/Einstellungen!$F$17)</f>
        <v/>
      </c>
      <c r="I36" s="19">
        <f>IF(F36=0,0,IFERROR(INDEX('Mein Haus'!$D$11:$D$40,MATCH(C36,'Mein Haus'!$A$11:$A$40,0)),0))</f>
        <v/>
      </c>
      <c r="J36" s="19">
        <f>IF(F36=0,0,IFERROR(INDEX('Mein Haus'!$E$11:$E$40,MATCH(C36,'Mein Haus'!$A$11:$A$40,0)),0))</f>
        <v/>
      </c>
      <c r="K36" s="19">
        <f>IF(F36=0,0,IFERROR(INDEX('Mein Haus'!$F$11:$F$40,MATCH(C36,'Mein Haus'!$A$11:$A$40,0)),0))</f>
        <v/>
      </c>
      <c r="L36" s="11">
        <f>IF(F36=0,0,N('Mein Haus'!H76)*SUM(O36:Z36))</f>
        <v/>
      </c>
      <c r="M36" s="22" t="n"/>
      <c r="N36" s="11">
        <f>IF(M36&lt;&gt;"",M36,L36)</f>
        <v/>
      </c>
      <c r="O36" s="19">
        <f>IF(F36=0,0,MAX(0,MIN(E36,EOMONTH(EDATE(Nebenkosten!$B$7,0),0))-MAX(D36,EDATE(Nebenkosten!$B$7,0))+1)/DAY(EOMONTH(EDATE(Nebenkosten!$B$7,0),0)))</f>
        <v/>
      </c>
      <c r="P36" s="19">
        <f>IF(F36=0,0,MAX(0,MIN(E36,EOMONTH(EDATE(Nebenkosten!$B$7,1),0))-MAX(D36,EDATE(Nebenkosten!$B$7,1))+1)/DAY(EOMONTH(EDATE(Nebenkosten!$B$7,1),0)))</f>
        <v/>
      </c>
      <c r="Q36" s="19">
        <f>IF(F36=0,0,MAX(0,MIN(E36,EOMONTH(EDATE(Nebenkosten!$B$7,2),0))-MAX(D36,EDATE(Nebenkosten!$B$7,2))+1)/DAY(EOMONTH(EDATE(Nebenkosten!$B$7,2),0)))</f>
        <v/>
      </c>
      <c r="R36" s="19">
        <f>IF(F36=0,0,MAX(0,MIN(E36,EOMONTH(EDATE(Nebenkosten!$B$7,3),0))-MAX(D36,EDATE(Nebenkosten!$B$7,3))+1)/DAY(EOMONTH(EDATE(Nebenkosten!$B$7,3),0)))</f>
        <v/>
      </c>
      <c r="S36" s="19">
        <f>IF(F36=0,0,MAX(0,MIN(E36,EOMONTH(EDATE(Nebenkosten!$B$7,4),0))-MAX(D36,EDATE(Nebenkosten!$B$7,4))+1)/DAY(EOMONTH(EDATE(Nebenkosten!$B$7,4),0)))</f>
        <v/>
      </c>
      <c r="T36" s="19">
        <f>IF(F36=0,0,MAX(0,MIN(E36,EOMONTH(EDATE(Nebenkosten!$B$7,5),0))-MAX(D36,EDATE(Nebenkosten!$B$7,5))+1)/DAY(EOMONTH(EDATE(Nebenkosten!$B$7,5),0)))</f>
        <v/>
      </c>
      <c r="U36" s="19">
        <f>IF(F36=0,0,MAX(0,MIN(E36,EOMONTH(EDATE(Nebenkosten!$B$7,6),0))-MAX(D36,EDATE(Nebenkosten!$B$7,6))+1)/DAY(EOMONTH(EDATE(Nebenkosten!$B$7,6),0)))</f>
        <v/>
      </c>
      <c r="V36" s="19">
        <f>IF(F36=0,0,MAX(0,MIN(E36,EOMONTH(EDATE(Nebenkosten!$B$7,7),0))-MAX(D36,EDATE(Nebenkosten!$B$7,7))+1)/DAY(EOMONTH(EDATE(Nebenkosten!$B$7,7),0)))</f>
        <v/>
      </c>
      <c r="W36" s="19">
        <f>IF(F36=0,0,MAX(0,MIN(E36,EOMONTH(EDATE(Nebenkosten!$B$7,8),0))-MAX(D36,EDATE(Nebenkosten!$B$7,8))+1)/DAY(EOMONTH(EDATE(Nebenkosten!$B$7,8),0)))</f>
        <v/>
      </c>
      <c r="X36" s="19">
        <f>IF(F36=0,0,MAX(0,MIN(E36,EOMONTH(EDATE(Nebenkosten!$B$7,9),0))-MAX(D36,EDATE(Nebenkosten!$B$7,9))+1)/DAY(EOMONTH(EDATE(Nebenkosten!$B$7,9),0)))</f>
        <v/>
      </c>
      <c r="Y36" s="19">
        <f>IF(F36=0,0,MAX(0,MIN(E36,EOMONTH(EDATE(Nebenkosten!$B$7,10),0))-MAX(D36,EDATE(Nebenkosten!$B$7,10))+1)/DAY(EOMONTH(EDATE(Nebenkosten!$B$7,10),0)))</f>
        <v/>
      </c>
      <c r="Z36" s="19">
        <f>IF(F36=0,0,MAX(0,MIN(E36,EOMONTH(EDATE(Nebenkosten!$B$7,11),0))-MAX(D36,EDATE(Nebenkosten!$B$7,11))+1)/DAY(EOMONTH(EDATE(Nebenkosten!$B$7,11),0)))</f>
        <v/>
      </c>
      <c r="AA36" s="11">
        <f>IF(OR(Nebenkosten!$B$10="",Nebenkosten!$E$10=0,$F36=0),0,Nebenkosten!$B$10*IF(Nebenkosten!$C$10="Fläche",$I36,IF(Nebenkosten!$C$10="Anteil",$J36,$K36))*IF(Nebenkosten!$D$10="Heizung",$H36,$G36)/Nebenkosten!$E$10)</f>
        <v/>
      </c>
      <c r="AB36" s="11">
        <f>IF(OR(Nebenkosten!$B$11="",Nebenkosten!$E$11=0,$F36=0),0,Nebenkosten!$B$11*IF(Nebenkosten!$C$11="Fläche",$I36,IF(Nebenkosten!$C$11="Anteil",$J36,$K36))*IF(Nebenkosten!$D$11="Heizung",$H36,$G36)/Nebenkosten!$E$11)</f>
        <v/>
      </c>
      <c r="AC36" s="11">
        <f>IF(OR(Nebenkosten!$B$12="",Nebenkosten!$E$12=0,$F36=0),0,Nebenkosten!$B$12*IF(Nebenkosten!$C$12="Fläche",$I36,IF(Nebenkosten!$C$12="Anteil",$J36,$K36))*IF(Nebenkosten!$D$12="Heizung",$H36,$G36)/Nebenkosten!$E$12)</f>
        <v/>
      </c>
      <c r="AD36" s="11">
        <f>IF(OR(Nebenkosten!$B$13="",Nebenkosten!$E$13=0,$F36=0),0,Nebenkosten!$B$13*IF(Nebenkosten!$C$13="Fläche",$I36,IF(Nebenkosten!$C$13="Anteil",$J36,$K36))*IF(Nebenkosten!$D$13="Heizung",$H36,$G36)/Nebenkosten!$E$13)</f>
        <v/>
      </c>
      <c r="AE36" s="11">
        <f>IF(OR(Nebenkosten!$B$14="",Nebenkosten!$E$14=0,$F36=0),0,Nebenkosten!$B$14*IF(Nebenkosten!$C$14="Fläche",$I36,IF(Nebenkosten!$C$14="Anteil",$J36,$K36))*IF(Nebenkosten!$D$14="Heizung",$H36,$G36)/Nebenkosten!$E$14)</f>
        <v/>
      </c>
      <c r="AF36" s="11">
        <f>IF(OR(Nebenkosten!$B$15="",Nebenkosten!$E$15=0,$F36=0),0,Nebenkosten!$B$15*IF(Nebenkosten!$C$15="Fläche",$I36,IF(Nebenkosten!$C$15="Anteil",$J36,$K36))*IF(Nebenkosten!$D$15="Heizung",$H36,$G36)/Nebenkosten!$E$15)</f>
        <v/>
      </c>
      <c r="AG36" s="11">
        <f>IF(OR(Nebenkosten!$B$16="",Nebenkosten!$E$16=0,$F36=0),0,Nebenkosten!$B$16*IF(Nebenkosten!$C$16="Fläche",$I36,IF(Nebenkosten!$C$16="Anteil",$J36,$K36))*IF(Nebenkosten!$D$16="Heizung",$H36,$G36)/Nebenkosten!$E$16)</f>
        <v/>
      </c>
      <c r="AH36" s="11">
        <f>IF(OR(Nebenkosten!$B$17="",Nebenkosten!$E$17=0,$F36=0),0,Nebenkosten!$B$17*IF(Nebenkosten!$C$17="Fläche",$I36,IF(Nebenkosten!$C$17="Anteil",$J36,$K36))*IF(Nebenkosten!$D$17="Heizung",$H36,$G36)/Nebenkosten!$E$17)</f>
        <v/>
      </c>
      <c r="AI36" s="11">
        <f>IF(OR(Nebenkosten!$B$18="",Nebenkosten!$E$18=0,$F36=0),0,Nebenkosten!$B$18*IF(Nebenkosten!$C$18="Fläche",$I36,IF(Nebenkosten!$C$18="Anteil",$J36,$K36))*IF(Nebenkosten!$D$18="Heizung",$H36,$G36)/Nebenkosten!$E$18)</f>
        <v/>
      </c>
      <c r="AJ36" s="11">
        <f>IF(OR(Nebenkosten!$B$19="",Nebenkosten!$E$19=0,$F36=0),0,Nebenkosten!$B$19*IF(Nebenkosten!$C$19="Fläche",$I36,IF(Nebenkosten!$C$19="Anteil",$J36,$K36))*IF(Nebenkosten!$D$19="Heizung",$H36,$G36)/Nebenkosten!$E$19)</f>
        <v/>
      </c>
      <c r="AK36" s="11">
        <f>IF(OR(Nebenkosten!$B$20="",Nebenkosten!$E$20=0,$F36=0),0,Nebenkosten!$B$20*IF(Nebenkosten!$C$20="Fläche",$I36,IF(Nebenkosten!$C$20="Anteil",$J36,$K36))*IF(Nebenkosten!$D$20="Heizung",$H36,$G36)/Nebenkosten!$E$20)</f>
        <v/>
      </c>
      <c r="AL36" s="11">
        <f>IF(OR(Nebenkosten!$B$21="",Nebenkosten!$E$21=0,$F36=0),0,Nebenkosten!$B$21*IF(Nebenkosten!$C$21="Fläche",$I36,IF(Nebenkosten!$C$21="Anteil",$J36,$K36))*IF(Nebenkosten!$D$21="Heizung",$H36,$G36)/Nebenkosten!$E$21)</f>
        <v/>
      </c>
      <c r="AM36" s="11">
        <f>IF(OR(Nebenkosten!$B$22="",Nebenkosten!$E$22=0,$F36=0),0,Nebenkosten!$B$22*IF(Nebenkosten!$C$22="Fläche",$I36,IF(Nebenkosten!$C$22="Anteil",$J36,$K36))*IF(Nebenkosten!$D$22="Heizung",$H36,$G36)/Nebenkosten!$E$22)</f>
        <v/>
      </c>
      <c r="AN36" s="11">
        <f>IF(OR(Nebenkosten!$B$23="",Nebenkosten!$E$23=0,$F36=0),0,Nebenkosten!$B$23*IF(Nebenkosten!$C$23="Fläche",$I36,IF(Nebenkosten!$C$23="Anteil",$J36,$K36))*IF(Nebenkosten!$D$23="Heizung",$H36,$G36)/Nebenkosten!$E$23)</f>
        <v/>
      </c>
      <c r="AO36" s="11">
        <f>IF(OR(Nebenkosten!$B$24="",Nebenkosten!$E$24=0,$F36=0),0,Nebenkosten!$B$24*IF(Nebenkosten!$C$24="Fläche",$I36,IF(Nebenkosten!$C$24="Anteil",$J36,$K36))*IF(Nebenkosten!$D$24="Heizung",$H36,$G36)/Nebenkosten!$E$24)</f>
        <v/>
      </c>
      <c r="AP36" s="11">
        <f>IF(OR(Nebenkosten!$B$25="",Nebenkosten!$E$25=0,$F36=0),0,Nebenkosten!$B$25*IF(Nebenkosten!$C$25="Fläche",$I36,IF(Nebenkosten!$C$25="Anteil",$J36,$K36))*IF(Nebenkosten!$D$25="Heizung",$H36,$G36)/Nebenkosten!$E$25)</f>
        <v/>
      </c>
      <c r="AQ36" s="11">
        <f>IF(OR(Nebenkosten!$B$26="",Nebenkosten!$E$26=0,$F36=0),0,Nebenkosten!$B$26*IF(Nebenkosten!$C$26="Fläche",$I36,IF(Nebenkosten!$C$26="Anteil",$J36,$K36))*IF(Nebenkosten!$D$26="Heizung",$H36,$G36)/Nebenkosten!$E$26)</f>
        <v/>
      </c>
      <c r="AR36" s="11">
        <f>IF(OR(Nebenkosten!$B$27="",Nebenkosten!$E$27=0,$F36=0),0,Nebenkosten!$B$27*IF(Nebenkosten!$C$27="Fläche",$I36,IF(Nebenkosten!$C$27="Anteil",$J36,$K36))*IF(Nebenkosten!$D$27="Heizung",$H36,$G36)/Nebenkosten!$E$27)</f>
        <v/>
      </c>
      <c r="AS36" s="11">
        <f>IF(OR(Nebenkosten!$B$28="",Nebenkosten!$E$28=0,$F36=0),0,Nebenkosten!$B$28*IF(Nebenkosten!$C$28="Fläche",$I36,IF(Nebenkosten!$C$28="Anteil",$J36,$K36))*IF(Nebenkosten!$D$28="Heizung",$H36,$G36)/Nebenkosten!$E$28)</f>
        <v/>
      </c>
      <c r="AT36" s="11">
        <f>IF(OR(Nebenkosten!$B$29="",Nebenkosten!$E$29=0,$F36=0),0,Nebenkosten!$B$29*IF(Nebenkosten!$C$29="Fläche",$I36,IF(Nebenkosten!$C$29="Anteil",$J36,$K36))*IF(Nebenkosten!$D$29="Heizung",$H36,$G36)/Nebenkosten!$E$29)</f>
        <v/>
      </c>
      <c r="AU36" s="11">
        <f>IF(OR(Nebenkosten!$B$30="",Nebenkosten!$E$30=0,$F36=0),0,Nebenkosten!$B$30*IF(Nebenkosten!$C$30="Fläche",$I36,IF(Nebenkosten!$C$30="Anteil",$J36,$K36))*IF(Nebenkosten!$D$30="Heizung",$H36,$G36)/Nebenkosten!$E$30)</f>
        <v/>
      </c>
      <c r="AV36" s="11">
        <f>IF(OR(Nebenkosten!$B$31="",Nebenkosten!$E$31=0,$F36=0),0,Nebenkosten!$B$31*IF(Nebenkosten!$C$31="Fläche",$I36,IF(Nebenkosten!$C$31="Anteil",$J36,$K36))*IF(Nebenkosten!$D$31="Heizung",$H36,$G36)/Nebenkosten!$E$31)</f>
        <v/>
      </c>
      <c r="AW36" s="11">
        <f>IF(OR(Nebenkosten!$B$32="",Nebenkosten!$E$32=0,$F36=0),0,Nebenkosten!$B$32*IF(Nebenkosten!$C$32="Fläche",$I36,IF(Nebenkosten!$C$32="Anteil",$J36,$K36))*IF(Nebenkosten!$D$32="Heizung",$H36,$G36)/Nebenkosten!$E$32)</f>
        <v/>
      </c>
      <c r="AX36" s="11">
        <f>IF(OR(Nebenkosten!$B$33="",Nebenkosten!$E$33=0,$F36=0),0,Nebenkosten!$B$33*IF(Nebenkosten!$C$33="Fläche",$I36,IF(Nebenkosten!$C$33="Anteil",$J36,$K36))*IF(Nebenkosten!$D$33="Heizung",$H36,$G36)/Nebenkosten!$E$33)</f>
        <v/>
      </c>
      <c r="AY36" s="11">
        <f>IF(OR(Nebenkosten!$B$34="",Nebenkosten!$E$34=0,$F36=0),0,Nebenkosten!$B$34*IF(Nebenkosten!$C$34="Fläche",$I36,IF(Nebenkosten!$C$34="Anteil",$J36,$K36))*IF(Nebenkosten!$D$34="Heizung",$H36,$G36)/Nebenkosten!$E$34)</f>
        <v/>
      </c>
      <c r="AZ36" s="11">
        <f>ROUND(SUM(AA36:AY36)*20,0)/20</f>
        <v/>
      </c>
      <c r="BA36" s="11">
        <f>IF(F36=0,0,N36)</f>
        <v/>
      </c>
      <c r="BB36" s="11">
        <f>AZ36-BA36</f>
        <v/>
      </c>
    </row>
    <row r="37">
      <c r="A37" s="10">
        <f>'Mein Haus'!A77</f>
        <v/>
      </c>
      <c r="B37" s="23">
        <f>IF('Mein Haus'!C77="","",'Mein Haus'!C77)</f>
        <v/>
      </c>
      <c r="C37" s="23">
        <f>IF('Mein Haus'!B77="","",'Mein Haus'!B77)</f>
        <v/>
      </c>
      <c r="D37" s="21">
        <f>IF(AND('Mein Haus'!C77&lt;&gt;"",'Mein Haus'!B77&lt;&gt;"",Nebenkosten!$B$7&lt;&gt;""),MAX(IF('Mein Haus'!D77="",Nebenkosten!$B$7,'Mein Haus'!D77),Nebenkosten!$B$7),"")</f>
        <v/>
      </c>
      <c r="E37" s="21">
        <f>IF(AND('Mein Haus'!C77&lt;&gt;"",'Mein Haus'!B77&lt;&gt;"",Nebenkosten!$B$7&lt;&gt;""),MIN(IF('Mein Haus'!F77="",Nebenkosten!$D$7,'Mein Haus'!F77),Nebenkosten!$D$7),"")</f>
        <v/>
      </c>
      <c r="F37" s="10">
        <f>IF(D37="",0,MAX(0,E37-D37+1))</f>
        <v/>
      </c>
      <c r="G37" s="49">
        <f>IF(F37=0,0,F37/Nebenkosten!$F$7)</f>
        <v/>
      </c>
      <c r="H37" s="49">
        <f>IF(F37=0,0,SUMPRODUCT(O37:Z37,$O$3:$Z$3)/Einstellungen!$F$17)</f>
        <v/>
      </c>
      <c r="I37" s="19">
        <f>IF(F37=0,0,IFERROR(INDEX('Mein Haus'!$D$11:$D$40,MATCH(C37,'Mein Haus'!$A$11:$A$40,0)),0))</f>
        <v/>
      </c>
      <c r="J37" s="19">
        <f>IF(F37=0,0,IFERROR(INDEX('Mein Haus'!$E$11:$E$40,MATCH(C37,'Mein Haus'!$A$11:$A$40,0)),0))</f>
        <v/>
      </c>
      <c r="K37" s="19">
        <f>IF(F37=0,0,IFERROR(INDEX('Mein Haus'!$F$11:$F$40,MATCH(C37,'Mein Haus'!$A$11:$A$40,0)),0))</f>
        <v/>
      </c>
      <c r="L37" s="11">
        <f>IF(F37=0,0,N('Mein Haus'!H77)*SUM(O37:Z37))</f>
        <v/>
      </c>
      <c r="M37" s="22" t="n"/>
      <c r="N37" s="11">
        <f>IF(M37&lt;&gt;"",M37,L37)</f>
        <v/>
      </c>
      <c r="O37" s="19">
        <f>IF(F37=0,0,MAX(0,MIN(E37,EOMONTH(EDATE(Nebenkosten!$B$7,0),0))-MAX(D37,EDATE(Nebenkosten!$B$7,0))+1)/DAY(EOMONTH(EDATE(Nebenkosten!$B$7,0),0)))</f>
        <v/>
      </c>
      <c r="P37" s="19">
        <f>IF(F37=0,0,MAX(0,MIN(E37,EOMONTH(EDATE(Nebenkosten!$B$7,1),0))-MAX(D37,EDATE(Nebenkosten!$B$7,1))+1)/DAY(EOMONTH(EDATE(Nebenkosten!$B$7,1),0)))</f>
        <v/>
      </c>
      <c r="Q37" s="19">
        <f>IF(F37=0,0,MAX(0,MIN(E37,EOMONTH(EDATE(Nebenkosten!$B$7,2),0))-MAX(D37,EDATE(Nebenkosten!$B$7,2))+1)/DAY(EOMONTH(EDATE(Nebenkosten!$B$7,2),0)))</f>
        <v/>
      </c>
      <c r="R37" s="19">
        <f>IF(F37=0,0,MAX(0,MIN(E37,EOMONTH(EDATE(Nebenkosten!$B$7,3),0))-MAX(D37,EDATE(Nebenkosten!$B$7,3))+1)/DAY(EOMONTH(EDATE(Nebenkosten!$B$7,3),0)))</f>
        <v/>
      </c>
      <c r="S37" s="19">
        <f>IF(F37=0,0,MAX(0,MIN(E37,EOMONTH(EDATE(Nebenkosten!$B$7,4),0))-MAX(D37,EDATE(Nebenkosten!$B$7,4))+1)/DAY(EOMONTH(EDATE(Nebenkosten!$B$7,4),0)))</f>
        <v/>
      </c>
      <c r="T37" s="19">
        <f>IF(F37=0,0,MAX(0,MIN(E37,EOMONTH(EDATE(Nebenkosten!$B$7,5),0))-MAX(D37,EDATE(Nebenkosten!$B$7,5))+1)/DAY(EOMONTH(EDATE(Nebenkosten!$B$7,5),0)))</f>
        <v/>
      </c>
      <c r="U37" s="19">
        <f>IF(F37=0,0,MAX(0,MIN(E37,EOMONTH(EDATE(Nebenkosten!$B$7,6),0))-MAX(D37,EDATE(Nebenkosten!$B$7,6))+1)/DAY(EOMONTH(EDATE(Nebenkosten!$B$7,6),0)))</f>
        <v/>
      </c>
      <c r="V37" s="19">
        <f>IF(F37=0,0,MAX(0,MIN(E37,EOMONTH(EDATE(Nebenkosten!$B$7,7),0))-MAX(D37,EDATE(Nebenkosten!$B$7,7))+1)/DAY(EOMONTH(EDATE(Nebenkosten!$B$7,7),0)))</f>
        <v/>
      </c>
      <c r="W37" s="19">
        <f>IF(F37=0,0,MAX(0,MIN(E37,EOMONTH(EDATE(Nebenkosten!$B$7,8),0))-MAX(D37,EDATE(Nebenkosten!$B$7,8))+1)/DAY(EOMONTH(EDATE(Nebenkosten!$B$7,8),0)))</f>
        <v/>
      </c>
      <c r="X37" s="19">
        <f>IF(F37=0,0,MAX(0,MIN(E37,EOMONTH(EDATE(Nebenkosten!$B$7,9),0))-MAX(D37,EDATE(Nebenkosten!$B$7,9))+1)/DAY(EOMONTH(EDATE(Nebenkosten!$B$7,9),0)))</f>
        <v/>
      </c>
      <c r="Y37" s="19">
        <f>IF(F37=0,0,MAX(0,MIN(E37,EOMONTH(EDATE(Nebenkosten!$B$7,10),0))-MAX(D37,EDATE(Nebenkosten!$B$7,10))+1)/DAY(EOMONTH(EDATE(Nebenkosten!$B$7,10),0)))</f>
        <v/>
      </c>
      <c r="Z37" s="19">
        <f>IF(F37=0,0,MAX(0,MIN(E37,EOMONTH(EDATE(Nebenkosten!$B$7,11),0))-MAX(D37,EDATE(Nebenkosten!$B$7,11))+1)/DAY(EOMONTH(EDATE(Nebenkosten!$B$7,11),0)))</f>
        <v/>
      </c>
      <c r="AA37" s="11">
        <f>IF(OR(Nebenkosten!$B$10="",Nebenkosten!$E$10=0,$F37=0),0,Nebenkosten!$B$10*IF(Nebenkosten!$C$10="Fläche",$I37,IF(Nebenkosten!$C$10="Anteil",$J37,$K37))*IF(Nebenkosten!$D$10="Heizung",$H37,$G37)/Nebenkosten!$E$10)</f>
        <v/>
      </c>
      <c r="AB37" s="11">
        <f>IF(OR(Nebenkosten!$B$11="",Nebenkosten!$E$11=0,$F37=0),0,Nebenkosten!$B$11*IF(Nebenkosten!$C$11="Fläche",$I37,IF(Nebenkosten!$C$11="Anteil",$J37,$K37))*IF(Nebenkosten!$D$11="Heizung",$H37,$G37)/Nebenkosten!$E$11)</f>
        <v/>
      </c>
      <c r="AC37" s="11">
        <f>IF(OR(Nebenkosten!$B$12="",Nebenkosten!$E$12=0,$F37=0),0,Nebenkosten!$B$12*IF(Nebenkosten!$C$12="Fläche",$I37,IF(Nebenkosten!$C$12="Anteil",$J37,$K37))*IF(Nebenkosten!$D$12="Heizung",$H37,$G37)/Nebenkosten!$E$12)</f>
        <v/>
      </c>
      <c r="AD37" s="11">
        <f>IF(OR(Nebenkosten!$B$13="",Nebenkosten!$E$13=0,$F37=0),0,Nebenkosten!$B$13*IF(Nebenkosten!$C$13="Fläche",$I37,IF(Nebenkosten!$C$13="Anteil",$J37,$K37))*IF(Nebenkosten!$D$13="Heizung",$H37,$G37)/Nebenkosten!$E$13)</f>
        <v/>
      </c>
      <c r="AE37" s="11">
        <f>IF(OR(Nebenkosten!$B$14="",Nebenkosten!$E$14=0,$F37=0),0,Nebenkosten!$B$14*IF(Nebenkosten!$C$14="Fläche",$I37,IF(Nebenkosten!$C$14="Anteil",$J37,$K37))*IF(Nebenkosten!$D$14="Heizung",$H37,$G37)/Nebenkosten!$E$14)</f>
        <v/>
      </c>
      <c r="AF37" s="11">
        <f>IF(OR(Nebenkosten!$B$15="",Nebenkosten!$E$15=0,$F37=0),0,Nebenkosten!$B$15*IF(Nebenkosten!$C$15="Fläche",$I37,IF(Nebenkosten!$C$15="Anteil",$J37,$K37))*IF(Nebenkosten!$D$15="Heizung",$H37,$G37)/Nebenkosten!$E$15)</f>
        <v/>
      </c>
      <c r="AG37" s="11">
        <f>IF(OR(Nebenkosten!$B$16="",Nebenkosten!$E$16=0,$F37=0),0,Nebenkosten!$B$16*IF(Nebenkosten!$C$16="Fläche",$I37,IF(Nebenkosten!$C$16="Anteil",$J37,$K37))*IF(Nebenkosten!$D$16="Heizung",$H37,$G37)/Nebenkosten!$E$16)</f>
        <v/>
      </c>
      <c r="AH37" s="11">
        <f>IF(OR(Nebenkosten!$B$17="",Nebenkosten!$E$17=0,$F37=0),0,Nebenkosten!$B$17*IF(Nebenkosten!$C$17="Fläche",$I37,IF(Nebenkosten!$C$17="Anteil",$J37,$K37))*IF(Nebenkosten!$D$17="Heizung",$H37,$G37)/Nebenkosten!$E$17)</f>
        <v/>
      </c>
      <c r="AI37" s="11">
        <f>IF(OR(Nebenkosten!$B$18="",Nebenkosten!$E$18=0,$F37=0),0,Nebenkosten!$B$18*IF(Nebenkosten!$C$18="Fläche",$I37,IF(Nebenkosten!$C$18="Anteil",$J37,$K37))*IF(Nebenkosten!$D$18="Heizung",$H37,$G37)/Nebenkosten!$E$18)</f>
        <v/>
      </c>
      <c r="AJ37" s="11">
        <f>IF(OR(Nebenkosten!$B$19="",Nebenkosten!$E$19=0,$F37=0),0,Nebenkosten!$B$19*IF(Nebenkosten!$C$19="Fläche",$I37,IF(Nebenkosten!$C$19="Anteil",$J37,$K37))*IF(Nebenkosten!$D$19="Heizung",$H37,$G37)/Nebenkosten!$E$19)</f>
        <v/>
      </c>
      <c r="AK37" s="11">
        <f>IF(OR(Nebenkosten!$B$20="",Nebenkosten!$E$20=0,$F37=0),0,Nebenkosten!$B$20*IF(Nebenkosten!$C$20="Fläche",$I37,IF(Nebenkosten!$C$20="Anteil",$J37,$K37))*IF(Nebenkosten!$D$20="Heizung",$H37,$G37)/Nebenkosten!$E$20)</f>
        <v/>
      </c>
      <c r="AL37" s="11">
        <f>IF(OR(Nebenkosten!$B$21="",Nebenkosten!$E$21=0,$F37=0),0,Nebenkosten!$B$21*IF(Nebenkosten!$C$21="Fläche",$I37,IF(Nebenkosten!$C$21="Anteil",$J37,$K37))*IF(Nebenkosten!$D$21="Heizung",$H37,$G37)/Nebenkosten!$E$21)</f>
        <v/>
      </c>
      <c r="AM37" s="11">
        <f>IF(OR(Nebenkosten!$B$22="",Nebenkosten!$E$22=0,$F37=0),0,Nebenkosten!$B$22*IF(Nebenkosten!$C$22="Fläche",$I37,IF(Nebenkosten!$C$22="Anteil",$J37,$K37))*IF(Nebenkosten!$D$22="Heizung",$H37,$G37)/Nebenkosten!$E$22)</f>
        <v/>
      </c>
      <c r="AN37" s="11">
        <f>IF(OR(Nebenkosten!$B$23="",Nebenkosten!$E$23=0,$F37=0),0,Nebenkosten!$B$23*IF(Nebenkosten!$C$23="Fläche",$I37,IF(Nebenkosten!$C$23="Anteil",$J37,$K37))*IF(Nebenkosten!$D$23="Heizung",$H37,$G37)/Nebenkosten!$E$23)</f>
        <v/>
      </c>
      <c r="AO37" s="11">
        <f>IF(OR(Nebenkosten!$B$24="",Nebenkosten!$E$24=0,$F37=0),0,Nebenkosten!$B$24*IF(Nebenkosten!$C$24="Fläche",$I37,IF(Nebenkosten!$C$24="Anteil",$J37,$K37))*IF(Nebenkosten!$D$24="Heizung",$H37,$G37)/Nebenkosten!$E$24)</f>
        <v/>
      </c>
      <c r="AP37" s="11">
        <f>IF(OR(Nebenkosten!$B$25="",Nebenkosten!$E$25=0,$F37=0),0,Nebenkosten!$B$25*IF(Nebenkosten!$C$25="Fläche",$I37,IF(Nebenkosten!$C$25="Anteil",$J37,$K37))*IF(Nebenkosten!$D$25="Heizung",$H37,$G37)/Nebenkosten!$E$25)</f>
        <v/>
      </c>
      <c r="AQ37" s="11">
        <f>IF(OR(Nebenkosten!$B$26="",Nebenkosten!$E$26=0,$F37=0),0,Nebenkosten!$B$26*IF(Nebenkosten!$C$26="Fläche",$I37,IF(Nebenkosten!$C$26="Anteil",$J37,$K37))*IF(Nebenkosten!$D$26="Heizung",$H37,$G37)/Nebenkosten!$E$26)</f>
        <v/>
      </c>
      <c r="AR37" s="11">
        <f>IF(OR(Nebenkosten!$B$27="",Nebenkosten!$E$27=0,$F37=0),0,Nebenkosten!$B$27*IF(Nebenkosten!$C$27="Fläche",$I37,IF(Nebenkosten!$C$27="Anteil",$J37,$K37))*IF(Nebenkosten!$D$27="Heizung",$H37,$G37)/Nebenkosten!$E$27)</f>
        <v/>
      </c>
      <c r="AS37" s="11">
        <f>IF(OR(Nebenkosten!$B$28="",Nebenkosten!$E$28=0,$F37=0),0,Nebenkosten!$B$28*IF(Nebenkosten!$C$28="Fläche",$I37,IF(Nebenkosten!$C$28="Anteil",$J37,$K37))*IF(Nebenkosten!$D$28="Heizung",$H37,$G37)/Nebenkosten!$E$28)</f>
        <v/>
      </c>
      <c r="AT37" s="11">
        <f>IF(OR(Nebenkosten!$B$29="",Nebenkosten!$E$29=0,$F37=0),0,Nebenkosten!$B$29*IF(Nebenkosten!$C$29="Fläche",$I37,IF(Nebenkosten!$C$29="Anteil",$J37,$K37))*IF(Nebenkosten!$D$29="Heizung",$H37,$G37)/Nebenkosten!$E$29)</f>
        <v/>
      </c>
      <c r="AU37" s="11">
        <f>IF(OR(Nebenkosten!$B$30="",Nebenkosten!$E$30=0,$F37=0),0,Nebenkosten!$B$30*IF(Nebenkosten!$C$30="Fläche",$I37,IF(Nebenkosten!$C$30="Anteil",$J37,$K37))*IF(Nebenkosten!$D$30="Heizung",$H37,$G37)/Nebenkosten!$E$30)</f>
        <v/>
      </c>
      <c r="AV37" s="11">
        <f>IF(OR(Nebenkosten!$B$31="",Nebenkosten!$E$31=0,$F37=0),0,Nebenkosten!$B$31*IF(Nebenkosten!$C$31="Fläche",$I37,IF(Nebenkosten!$C$31="Anteil",$J37,$K37))*IF(Nebenkosten!$D$31="Heizung",$H37,$G37)/Nebenkosten!$E$31)</f>
        <v/>
      </c>
      <c r="AW37" s="11">
        <f>IF(OR(Nebenkosten!$B$32="",Nebenkosten!$E$32=0,$F37=0),0,Nebenkosten!$B$32*IF(Nebenkosten!$C$32="Fläche",$I37,IF(Nebenkosten!$C$32="Anteil",$J37,$K37))*IF(Nebenkosten!$D$32="Heizung",$H37,$G37)/Nebenkosten!$E$32)</f>
        <v/>
      </c>
      <c r="AX37" s="11">
        <f>IF(OR(Nebenkosten!$B$33="",Nebenkosten!$E$33=0,$F37=0),0,Nebenkosten!$B$33*IF(Nebenkosten!$C$33="Fläche",$I37,IF(Nebenkosten!$C$33="Anteil",$J37,$K37))*IF(Nebenkosten!$D$33="Heizung",$H37,$G37)/Nebenkosten!$E$33)</f>
        <v/>
      </c>
      <c r="AY37" s="11">
        <f>IF(OR(Nebenkosten!$B$34="",Nebenkosten!$E$34=0,$F37=0),0,Nebenkosten!$B$34*IF(Nebenkosten!$C$34="Fläche",$I37,IF(Nebenkosten!$C$34="Anteil",$J37,$K37))*IF(Nebenkosten!$D$34="Heizung",$H37,$G37)/Nebenkosten!$E$34)</f>
        <v/>
      </c>
      <c r="AZ37" s="11">
        <f>ROUND(SUM(AA37:AY37)*20,0)/20</f>
        <v/>
      </c>
      <c r="BA37" s="11">
        <f>IF(F37=0,0,N37)</f>
        <v/>
      </c>
      <c r="BB37" s="11">
        <f>AZ37-BA37</f>
        <v/>
      </c>
    </row>
    <row r="38">
      <c r="A38" s="10">
        <f>'Mein Haus'!A78</f>
        <v/>
      </c>
      <c r="B38" s="23">
        <f>IF('Mein Haus'!C78="","",'Mein Haus'!C78)</f>
        <v/>
      </c>
      <c r="C38" s="23">
        <f>IF('Mein Haus'!B78="","",'Mein Haus'!B78)</f>
        <v/>
      </c>
      <c r="D38" s="21">
        <f>IF(AND('Mein Haus'!C78&lt;&gt;"",'Mein Haus'!B78&lt;&gt;"",Nebenkosten!$B$7&lt;&gt;""),MAX(IF('Mein Haus'!D78="",Nebenkosten!$B$7,'Mein Haus'!D78),Nebenkosten!$B$7),"")</f>
        <v/>
      </c>
      <c r="E38" s="21">
        <f>IF(AND('Mein Haus'!C78&lt;&gt;"",'Mein Haus'!B78&lt;&gt;"",Nebenkosten!$B$7&lt;&gt;""),MIN(IF('Mein Haus'!F78="",Nebenkosten!$D$7,'Mein Haus'!F78),Nebenkosten!$D$7),"")</f>
        <v/>
      </c>
      <c r="F38" s="10">
        <f>IF(D38="",0,MAX(0,E38-D38+1))</f>
        <v/>
      </c>
      <c r="G38" s="49">
        <f>IF(F38=0,0,F38/Nebenkosten!$F$7)</f>
        <v/>
      </c>
      <c r="H38" s="49">
        <f>IF(F38=0,0,SUMPRODUCT(O38:Z38,$O$3:$Z$3)/Einstellungen!$F$17)</f>
        <v/>
      </c>
      <c r="I38" s="19">
        <f>IF(F38=0,0,IFERROR(INDEX('Mein Haus'!$D$11:$D$40,MATCH(C38,'Mein Haus'!$A$11:$A$40,0)),0))</f>
        <v/>
      </c>
      <c r="J38" s="19">
        <f>IF(F38=0,0,IFERROR(INDEX('Mein Haus'!$E$11:$E$40,MATCH(C38,'Mein Haus'!$A$11:$A$40,0)),0))</f>
        <v/>
      </c>
      <c r="K38" s="19">
        <f>IF(F38=0,0,IFERROR(INDEX('Mein Haus'!$F$11:$F$40,MATCH(C38,'Mein Haus'!$A$11:$A$40,0)),0))</f>
        <v/>
      </c>
      <c r="L38" s="11">
        <f>IF(F38=0,0,N('Mein Haus'!H78)*SUM(O38:Z38))</f>
        <v/>
      </c>
      <c r="M38" s="22" t="n"/>
      <c r="N38" s="11">
        <f>IF(M38&lt;&gt;"",M38,L38)</f>
        <v/>
      </c>
      <c r="O38" s="19">
        <f>IF(F38=0,0,MAX(0,MIN(E38,EOMONTH(EDATE(Nebenkosten!$B$7,0),0))-MAX(D38,EDATE(Nebenkosten!$B$7,0))+1)/DAY(EOMONTH(EDATE(Nebenkosten!$B$7,0),0)))</f>
        <v/>
      </c>
      <c r="P38" s="19">
        <f>IF(F38=0,0,MAX(0,MIN(E38,EOMONTH(EDATE(Nebenkosten!$B$7,1),0))-MAX(D38,EDATE(Nebenkosten!$B$7,1))+1)/DAY(EOMONTH(EDATE(Nebenkosten!$B$7,1),0)))</f>
        <v/>
      </c>
      <c r="Q38" s="19">
        <f>IF(F38=0,0,MAX(0,MIN(E38,EOMONTH(EDATE(Nebenkosten!$B$7,2),0))-MAX(D38,EDATE(Nebenkosten!$B$7,2))+1)/DAY(EOMONTH(EDATE(Nebenkosten!$B$7,2),0)))</f>
        <v/>
      </c>
      <c r="R38" s="19">
        <f>IF(F38=0,0,MAX(0,MIN(E38,EOMONTH(EDATE(Nebenkosten!$B$7,3),0))-MAX(D38,EDATE(Nebenkosten!$B$7,3))+1)/DAY(EOMONTH(EDATE(Nebenkosten!$B$7,3),0)))</f>
        <v/>
      </c>
      <c r="S38" s="19">
        <f>IF(F38=0,0,MAX(0,MIN(E38,EOMONTH(EDATE(Nebenkosten!$B$7,4),0))-MAX(D38,EDATE(Nebenkosten!$B$7,4))+1)/DAY(EOMONTH(EDATE(Nebenkosten!$B$7,4),0)))</f>
        <v/>
      </c>
      <c r="T38" s="19">
        <f>IF(F38=0,0,MAX(0,MIN(E38,EOMONTH(EDATE(Nebenkosten!$B$7,5),0))-MAX(D38,EDATE(Nebenkosten!$B$7,5))+1)/DAY(EOMONTH(EDATE(Nebenkosten!$B$7,5),0)))</f>
        <v/>
      </c>
      <c r="U38" s="19">
        <f>IF(F38=0,0,MAX(0,MIN(E38,EOMONTH(EDATE(Nebenkosten!$B$7,6),0))-MAX(D38,EDATE(Nebenkosten!$B$7,6))+1)/DAY(EOMONTH(EDATE(Nebenkosten!$B$7,6),0)))</f>
        <v/>
      </c>
      <c r="V38" s="19">
        <f>IF(F38=0,0,MAX(0,MIN(E38,EOMONTH(EDATE(Nebenkosten!$B$7,7),0))-MAX(D38,EDATE(Nebenkosten!$B$7,7))+1)/DAY(EOMONTH(EDATE(Nebenkosten!$B$7,7),0)))</f>
        <v/>
      </c>
      <c r="W38" s="19">
        <f>IF(F38=0,0,MAX(0,MIN(E38,EOMONTH(EDATE(Nebenkosten!$B$7,8),0))-MAX(D38,EDATE(Nebenkosten!$B$7,8))+1)/DAY(EOMONTH(EDATE(Nebenkosten!$B$7,8),0)))</f>
        <v/>
      </c>
      <c r="X38" s="19">
        <f>IF(F38=0,0,MAX(0,MIN(E38,EOMONTH(EDATE(Nebenkosten!$B$7,9),0))-MAX(D38,EDATE(Nebenkosten!$B$7,9))+1)/DAY(EOMONTH(EDATE(Nebenkosten!$B$7,9),0)))</f>
        <v/>
      </c>
      <c r="Y38" s="19">
        <f>IF(F38=0,0,MAX(0,MIN(E38,EOMONTH(EDATE(Nebenkosten!$B$7,10),0))-MAX(D38,EDATE(Nebenkosten!$B$7,10))+1)/DAY(EOMONTH(EDATE(Nebenkosten!$B$7,10),0)))</f>
        <v/>
      </c>
      <c r="Z38" s="19">
        <f>IF(F38=0,0,MAX(0,MIN(E38,EOMONTH(EDATE(Nebenkosten!$B$7,11),0))-MAX(D38,EDATE(Nebenkosten!$B$7,11))+1)/DAY(EOMONTH(EDATE(Nebenkosten!$B$7,11),0)))</f>
        <v/>
      </c>
      <c r="AA38" s="11">
        <f>IF(OR(Nebenkosten!$B$10="",Nebenkosten!$E$10=0,$F38=0),0,Nebenkosten!$B$10*IF(Nebenkosten!$C$10="Fläche",$I38,IF(Nebenkosten!$C$10="Anteil",$J38,$K38))*IF(Nebenkosten!$D$10="Heizung",$H38,$G38)/Nebenkosten!$E$10)</f>
        <v/>
      </c>
      <c r="AB38" s="11">
        <f>IF(OR(Nebenkosten!$B$11="",Nebenkosten!$E$11=0,$F38=0),0,Nebenkosten!$B$11*IF(Nebenkosten!$C$11="Fläche",$I38,IF(Nebenkosten!$C$11="Anteil",$J38,$K38))*IF(Nebenkosten!$D$11="Heizung",$H38,$G38)/Nebenkosten!$E$11)</f>
        <v/>
      </c>
      <c r="AC38" s="11">
        <f>IF(OR(Nebenkosten!$B$12="",Nebenkosten!$E$12=0,$F38=0),0,Nebenkosten!$B$12*IF(Nebenkosten!$C$12="Fläche",$I38,IF(Nebenkosten!$C$12="Anteil",$J38,$K38))*IF(Nebenkosten!$D$12="Heizung",$H38,$G38)/Nebenkosten!$E$12)</f>
        <v/>
      </c>
      <c r="AD38" s="11">
        <f>IF(OR(Nebenkosten!$B$13="",Nebenkosten!$E$13=0,$F38=0),0,Nebenkosten!$B$13*IF(Nebenkosten!$C$13="Fläche",$I38,IF(Nebenkosten!$C$13="Anteil",$J38,$K38))*IF(Nebenkosten!$D$13="Heizung",$H38,$G38)/Nebenkosten!$E$13)</f>
        <v/>
      </c>
      <c r="AE38" s="11">
        <f>IF(OR(Nebenkosten!$B$14="",Nebenkosten!$E$14=0,$F38=0),0,Nebenkosten!$B$14*IF(Nebenkosten!$C$14="Fläche",$I38,IF(Nebenkosten!$C$14="Anteil",$J38,$K38))*IF(Nebenkosten!$D$14="Heizung",$H38,$G38)/Nebenkosten!$E$14)</f>
        <v/>
      </c>
      <c r="AF38" s="11">
        <f>IF(OR(Nebenkosten!$B$15="",Nebenkosten!$E$15=0,$F38=0),0,Nebenkosten!$B$15*IF(Nebenkosten!$C$15="Fläche",$I38,IF(Nebenkosten!$C$15="Anteil",$J38,$K38))*IF(Nebenkosten!$D$15="Heizung",$H38,$G38)/Nebenkosten!$E$15)</f>
        <v/>
      </c>
      <c r="AG38" s="11">
        <f>IF(OR(Nebenkosten!$B$16="",Nebenkosten!$E$16=0,$F38=0),0,Nebenkosten!$B$16*IF(Nebenkosten!$C$16="Fläche",$I38,IF(Nebenkosten!$C$16="Anteil",$J38,$K38))*IF(Nebenkosten!$D$16="Heizung",$H38,$G38)/Nebenkosten!$E$16)</f>
        <v/>
      </c>
      <c r="AH38" s="11">
        <f>IF(OR(Nebenkosten!$B$17="",Nebenkosten!$E$17=0,$F38=0),0,Nebenkosten!$B$17*IF(Nebenkosten!$C$17="Fläche",$I38,IF(Nebenkosten!$C$17="Anteil",$J38,$K38))*IF(Nebenkosten!$D$17="Heizung",$H38,$G38)/Nebenkosten!$E$17)</f>
        <v/>
      </c>
      <c r="AI38" s="11">
        <f>IF(OR(Nebenkosten!$B$18="",Nebenkosten!$E$18=0,$F38=0),0,Nebenkosten!$B$18*IF(Nebenkosten!$C$18="Fläche",$I38,IF(Nebenkosten!$C$18="Anteil",$J38,$K38))*IF(Nebenkosten!$D$18="Heizung",$H38,$G38)/Nebenkosten!$E$18)</f>
        <v/>
      </c>
      <c r="AJ38" s="11">
        <f>IF(OR(Nebenkosten!$B$19="",Nebenkosten!$E$19=0,$F38=0),0,Nebenkosten!$B$19*IF(Nebenkosten!$C$19="Fläche",$I38,IF(Nebenkosten!$C$19="Anteil",$J38,$K38))*IF(Nebenkosten!$D$19="Heizung",$H38,$G38)/Nebenkosten!$E$19)</f>
        <v/>
      </c>
      <c r="AK38" s="11">
        <f>IF(OR(Nebenkosten!$B$20="",Nebenkosten!$E$20=0,$F38=0),0,Nebenkosten!$B$20*IF(Nebenkosten!$C$20="Fläche",$I38,IF(Nebenkosten!$C$20="Anteil",$J38,$K38))*IF(Nebenkosten!$D$20="Heizung",$H38,$G38)/Nebenkosten!$E$20)</f>
        <v/>
      </c>
      <c r="AL38" s="11">
        <f>IF(OR(Nebenkosten!$B$21="",Nebenkosten!$E$21=0,$F38=0),0,Nebenkosten!$B$21*IF(Nebenkosten!$C$21="Fläche",$I38,IF(Nebenkosten!$C$21="Anteil",$J38,$K38))*IF(Nebenkosten!$D$21="Heizung",$H38,$G38)/Nebenkosten!$E$21)</f>
        <v/>
      </c>
      <c r="AM38" s="11">
        <f>IF(OR(Nebenkosten!$B$22="",Nebenkosten!$E$22=0,$F38=0),0,Nebenkosten!$B$22*IF(Nebenkosten!$C$22="Fläche",$I38,IF(Nebenkosten!$C$22="Anteil",$J38,$K38))*IF(Nebenkosten!$D$22="Heizung",$H38,$G38)/Nebenkosten!$E$22)</f>
        <v/>
      </c>
      <c r="AN38" s="11">
        <f>IF(OR(Nebenkosten!$B$23="",Nebenkosten!$E$23=0,$F38=0),0,Nebenkosten!$B$23*IF(Nebenkosten!$C$23="Fläche",$I38,IF(Nebenkosten!$C$23="Anteil",$J38,$K38))*IF(Nebenkosten!$D$23="Heizung",$H38,$G38)/Nebenkosten!$E$23)</f>
        <v/>
      </c>
      <c r="AO38" s="11">
        <f>IF(OR(Nebenkosten!$B$24="",Nebenkosten!$E$24=0,$F38=0),0,Nebenkosten!$B$24*IF(Nebenkosten!$C$24="Fläche",$I38,IF(Nebenkosten!$C$24="Anteil",$J38,$K38))*IF(Nebenkosten!$D$24="Heizung",$H38,$G38)/Nebenkosten!$E$24)</f>
        <v/>
      </c>
      <c r="AP38" s="11">
        <f>IF(OR(Nebenkosten!$B$25="",Nebenkosten!$E$25=0,$F38=0),0,Nebenkosten!$B$25*IF(Nebenkosten!$C$25="Fläche",$I38,IF(Nebenkosten!$C$25="Anteil",$J38,$K38))*IF(Nebenkosten!$D$25="Heizung",$H38,$G38)/Nebenkosten!$E$25)</f>
        <v/>
      </c>
      <c r="AQ38" s="11">
        <f>IF(OR(Nebenkosten!$B$26="",Nebenkosten!$E$26=0,$F38=0),0,Nebenkosten!$B$26*IF(Nebenkosten!$C$26="Fläche",$I38,IF(Nebenkosten!$C$26="Anteil",$J38,$K38))*IF(Nebenkosten!$D$26="Heizung",$H38,$G38)/Nebenkosten!$E$26)</f>
        <v/>
      </c>
      <c r="AR38" s="11">
        <f>IF(OR(Nebenkosten!$B$27="",Nebenkosten!$E$27=0,$F38=0),0,Nebenkosten!$B$27*IF(Nebenkosten!$C$27="Fläche",$I38,IF(Nebenkosten!$C$27="Anteil",$J38,$K38))*IF(Nebenkosten!$D$27="Heizung",$H38,$G38)/Nebenkosten!$E$27)</f>
        <v/>
      </c>
      <c r="AS38" s="11">
        <f>IF(OR(Nebenkosten!$B$28="",Nebenkosten!$E$28=0,$F38=0),0,Nebenkosten!$B$28*IF(Nebenkosten!$C$28="Fläche",$I38,IF(Nebenkosten!$C$28="Anteil",$J38,$K38))*IF(Nebenkosten!$D$28="Heizung",$H38,$G38)/Nebenkosten!$E$28)</f>
        <v/>
      </c>
      <c r="AT38" s="11">
        <f>IF(OR(Nebenkosten!$B$29="",Nebenkosten!$E$29=0,$F38=0),0,Nebenkosten!$B$29*IF(Nebenkosten!$C$29="Fläche",$I38,IF(Nebenkosten!$C$29="Anteil",$J38,$K38))*IF(Nebenkosten!$D$29="Heizung",$H38,$G38)/Nebenkosten!$E$29)</f>
        <v/>
      </c>
      <c r="AU38" s="11">
        <f>IF(OR(Nebenkosten!$B$30="",Nebenkosten!$E$30=0,$F38=0),0,Nebenkosten!$B$30*IF(Nebenkosten!$C$30="Fläche",$I38,IF(Nebenkosten!$C$30="Anteil",$J38,$K38))*IF(Nebenkosten!$D$30="Heizung",$H38,$G38)/Nebenkosten!$E$30)</f>
        <v/>
      </c>
      <c r="AV38" s="11">
        <f>IF(OR(Nebenkosten!$B$31="",Nebenkosten!$E$31=0,$F38=0),0,Nebenkosten!$B$31*IF(Nebenkosten!$C$31="Fläche",$I38,IF(Nebenkosten!$C$31="Anteil",$J38,$K38))*IF(Nebenkosten!$D$31="Heizung",$H38,$G38)/Nebenkosten!$E$31)</f>
        <v/>
      </c>
      <c r="AW38" s="11">
        <f>IF(OR(Nebenkosten!$B$32="",Nebenkosten!$E$32=0,$F38=0),0,Nebenkosten!$B$32*IF(Nebenkosten!$C$32="Fläche",$I38,IF(Nebenkosten!$C$32="Anteil",$J38,$K38))*IF(Nebenkosten!$D$32="Heizung",$H38,$G38)/Nebenkosten!$E$32)</f>
        <v/>
      </c>
      <c r="AX38" s="11">
        <f>IF(OR(Nebenkosten!$B$33="",Nebenkosten!$E$33=0,$F38=0),0,Nebenkosten!$B$33*IF(Nebenkosten!$C$33="Fläche",$I38,IF(Nebenkosten!$C$33="Anteil",$J38,$K38))*IF(Nebenkosten!$D$33="Heizung",$H38,$G38)/Nebenkosten!$E$33)</f>
        <v/>
      </c>
      <c r="AY38" s="11">
        <f>IF(OR(Nebenkosten!$B$34="",Nebenkosten!$E$34=0,$F38=0),0,Nebenkosten!$B$34*IF(Nebenkosten!$C$34="Fläche",$I38,IF(Nebenkosten!$C$34="Anteil",$J38,$K38))*IF(Nebenkosten!$D$34="Heizung",$H38,$G38)/Nebenkosten!$E$34)</f>
        <v/>
      </c>
      <c r="AZ38" s="11">
        <f>ROUND(SUM(AA38:AY38)*20,0)/20</f>
        <v/>
      </c>
      <c r="BA38" s="11">
        <f>IF(F38=0,0,N38)</f>
        <v/>
      </c>
      <c r="BB38" s="11">
        <f>AZ38-BA38</f>
        <v/>
      </c>
    </row>
    <row r="39">
      <c r="A39" s="10">
        <f>'Mein Haus'!A79</f>
        <v/>
      </c>
      <c r="B39" s="23">
        <f>IF('Mein Haus'!C79="","",'Mein Haus'!C79)</f>
        <v/>
      </c>
      <c r="C39" s="23">
        <f>IF('Mein Haus'!B79="","",'Mein Haus'!B79)</f>
        <v/>
      </c>
      <c r="D39" s="21">
        <f>IF(AND('Mein Haus'!C79&lt;&gt;"",'Mein Haus'!B79&lt;&gt;"",Nebenkosten!$B$7&lt;&gt;""),MAX(IF('Mein Haus'!D79="",Nebenkosten!$B$7,'Mein Haus'!D79),Nebenkosten!$B$7),"")</f>
        <v/>
      </c>
      <c r="E39" s="21">
        <f>IF(AND('Mein Haus'!C79&lt;&gt;"",'Mein Haus'!B79&lt;&gt;"",Nebenkosten!$B$7&lt;&gt;""),MIN(IF('Mein Haus'!F79="",Nebenkosten!$D$7,'Mein Haus'!F79),Nebenkosten!$D$7),"")</f>
        <v/>
      </c>
      <c r="F39" s="10">
        <f>IF(D39="",0,MAX(0,E39-D39+1))</f>
        <v/>
      </c>
      <c r="G39" s="49">
        <f>IF(F39=0,0,F39/Nebenkosten!$F$7)</f>
        <v/>
      </c>
      <c r="H39" s="49">
        <f>IF(F39=0,0,SUMPRODUCT(O39:Z39,$O$3:$Z$3)/Einstellungen!$F$17)</f>
        <v/>
      </c>
      <c r="I39" s="19">
        <f>IF(F39=0,0,IFERROR(INDEX('Mein Haus'!$D$11:$D$40,MATCH(C39,'Mein Haus'!$A$11:$A$40,0)),0))</f>
        <v/>
      </c>
      <c r="J39" s="19">
        <f>IF(F39=0,0,IFERROR(INDEX('Mein Haus'!$E$11:$E$40,MATCH(C39,'Mein Haus'!$A$11:$A$40,0)),0))</f>
        <v/>
      </c>
      <c r="K39" s="19">
        <f>IF(F39=0,0,IFERROR(INDEX('Mein Haus'!$F$11:$F$40,MATCH(C39,'Mein Haus'!$A$11:$A$40,0)),0))</f>
        <v/>
      </c>
      <c r="L39" s="11">
        <f>IF(F39=0,0,N('Mein Haus'!H79)*SUM(O39:Z39))</f>
        <v/>
      </c>
      <c r="M39" s="22" t="n"/>
      <c r="N39" s="11">
        <f>IF(M39&lt;&gt;"",M39,L39)</f>
        <v/>
      </c>
      <c r="O39" s="19">
        <f>IF(F39=0,0,MAX(0,MIN(E39,EOMONTH(EDATE(Nebenkosten!$B$7,0),0))-MAX(D39,EDATE(Nebenkosten!$B$7,0))+1)/DAY(EOMONTH(EDATE(Nebenkosten!$B$7,0),0)))</f>
        <v/>
      </c>
      <c r="P39" s="19">
        <f>IF(F39=0,0,MAX(0,MIN(E39,EOMONTH(EDATE(Nebenkosten!$B$7,1),0))-MAX(D39,EDATE(Nebenkosten!$B$7,1))+1)/DAY(EOMONTH(EDATE(Nebenkosten!$B$7,1),0)))</f>
        <v/>
      </c>
      <c r="Q39" s="19">
        <f>IF(F39=0,0,MAX(0,MIN(E39,EOMONTH(EDATE(Nebenkosten!$B$7,2),0))-MAX(D39,EDATE(Nebenkosten!$B$7,2))+1)/DAY(EOMONTH(EDATE(Nebenkosten!$B$7,2),0)))</f>
        <v/>
      </c>
      <c r="R39" s="19">
        <f>IF(F39=0,0,MAX(0,MIN(E39,EOMONTH(EDATE(Nebenkosten!$B$7,3),0))-MAX(D39,EDATE(Nebenkosten!$B$7,3))+1)/DAY(EOMONTH(EDATE(Nebenkosten!$B$7,3),0)))</f>
        <v/>
      </c>
      <c r="S39" s="19">
        <f>IF(F39=0,0,MAX(0,MIN(E39,EOMONTH(EDATE(Nebenkosten!$B$7,4),0))-MAX(D39,EDATE(Nebenkosten!$B$7,4))+1)/DAY(EOMONTH(EDATE(Nebenkosten!$B$7,4),0)))</f>
        <v/>
      </c>
      <c r="T39" s="19">
        <f>IF(F39=0,0,MAX(0,MIN(E39,EOMONTH(EDATE(Nebenkosten!$B$7,5),0))-MAX(D39,EDATE(Nebenkosten!$B$7,5))+1)/DAY(EOMONTH(EDATE(Nebenkosten!$B$7,5),0)))</f>
        <v/>
      </c>
      <c r="U39" s="19">
        <f>IF(F39=0,0,MAX(0,MIN(E39,EOMONTH(EDATE(Nebenkosten!$B$7,6),0))-MAX(D39,EDATE(Nebenkosten!$B$7,6))+1)/DAY(EOMONTH(EDATE(Nebenkosten!$B$7,6),0)))</f>
        <v/>
      </c>
      <c r="V39" s="19">
        <f>IF(F39=0,0,MAX(0,MIN(E39,EOMONTH(EDATE(Nebenkosten!$B$7,7),0))-MAX(D39,EDATE(Nebenkosten!$B$7,7))+1)/DAY(EOMONTH(EDATE(Nebenkosten!$B$7,7),0)))</f>
        <v/>
      </c>
      <c r="W39" s="19">
        <f>IF(F39=0,0,MAX(0,MIN(E39,EOMONTH(EDATE(Nebenkosten!$B$7,8),0))-MAX(D39,EDATE(Nebenkosten!$B$7,8))+1)/DAY(EOMONTH(EDATE(Nebenkosten!$B$7,8),0)))</f>
        <v/>
      </c>
      <c r="X39" s="19">
        <f>IF(F39=0,0,MAX(0,MIN(E39,EOMONTH(EDATE(Nebenkosten!$B$7,9),0))-MAX(D39,EDATE(Nebenkosten!$B$7,9))+1)/DAY(EOMONTH(EDATE(Nebenkosten!$B$7,9),0)))</f>
        <v/>
      </c>
      <c r="Y39" s="19">
        <f>IF(F39=0,0,MAX(0,MIN(E39,EOMONTH(EDATE(Nebenkosten!$B$7,10),0))-MAX(D39,EDATE(Nebenkosten!$B$7,10))+1)/DAY(EOMONTH(EDATE(Nebenkosten!$B$7,10),0)))</f>
        <v/>
      </c>
      <c r="Z39" s="19">
        <f>IF(F39=0,0,MAX(0,MIN(E39,EOMONTH(EDATE(Nebenkosten!$B$7,11),0))-MAX(D39,EDATE(Nebenkosten!$B$7,11))+1)/DAY(EOMONTH(EDATE(Nebenkosten!$B$7,11),0)))</f>
        <v/>
      </c>
      <c r="AA39" s="11">
        <f>IF(OR(Nebenkosten!$B$10="",Nebenkosten!$E$10=0,$F39=0),0,Nebenkosten!$B$10*IF(Nebenkosten!$C$10="Fläche",$I39,IF(Nebenkosten!$C$10="Anteil",$J39,$K39))*IF(Nebenkosten!$D$10="Heizung",$H39,$G39)/Nebenkosten!$E$10)</f>
        <v/>
      </c>
      <c r="AB39" s="11">
        <f>IF(OR(Nebenkosten!$B$11="",Nebenkosten!$E$11=0,$F39=0),0,Nebenkosten!$B$11*IF(Nebenkosten!$C$11="Fläche",$I39,IF(Nebenkosten!$C$11="Anteil",$J39,$K39))*IF(Nebenkosten!$D$11="Heizung",$H39,$G39)/Nebenkosten!$E$11)</f>
        <v/>
      </c>
      <c r="AC39" s="11">
        <f>IF(OR(Nebenkosten!$B$12="",Nebenkosten!$E$12=0,$F39=0),0,Nebenkosten!$B$12*IF(Nebenkosten!$C$12="Fläche",$I39,IF(Nebenkosten!$C$12="Anteil",$J39,$K39))*IF(Nebenkosten!$D$12="Heizung",$H39,$G39)/Nebenkosten!$E$12)</f>
        <v/>
      </c>
      <c r="AD39" s="11">
        <f>IF(OR(Nebenkosten!$B$13="",Nebenkosten!$E$13=0,$F39=0),0,Nebenkosten!$B$13*IF(Nebenkosten!$C$13="Fläche",$I39,IF(Nebenkosten!$C$13="Anteil",$J39,$K39))*IF(Nebenkosten!$D$13="Heizung",$H39,$G39)/Nebenkosten!$E$13)</f>
        <v/>
      </c>
      <c r="AE39" s="11">
        <f>IF(OR(Nebenkosten!$B$14="",Nebenkosten!$E$14=0,$F39=0),0,Nebenkosten!$B$14*IF(Nebenkosten!$C$14="Fläche",$I39,IF(Nebenkosten!$C$14="Anteil",$J39,$K39))*IF(Nebenkosten!$D$14="Heizung",$H39,$G39)/Nebenkosten!$E$14)</f>
        <v/>
      </c>
      <c r="AF39" s="11">
        <f>IF(OR(Nebenkosten!$B$15="",Nebenkosten!$E$15=0,$F39=0),0,Nebenkosten!$B$15*IF(Nebenkosten!$C$15="Fläche",$I39,IF(Nebenkosten!$C$15="Anteil",$J39,$K39))*IF(Nebenkosten!$D$15="Heizung",$H39,$G39)/Nebenkosten!$E$15)</f>
        <v/>
      </c>
      <c r="AG39" s="11">
        <f>IF(OR(Nebenkosten!$B$16="",Nebenkosten!$E$16=0,$F39=0),0,Nebenkosten!$B$16*IF(Nebenkosten!$C$16="Fläche",$I39,IF(Nebenkosten!$C$16="Anteil",$J39,$K39))*IF(Nebenkosten!$D$16="Heizung",$H39,$G39)/Nebenkosten!$E$16)</f>
        <v/>
      </c>
      <c r="AH39" s="11">
        <f>IF(OR(Nebenkosten!$B$17="",Nebenkosten!$E$17=0,$F39=0),0,Nebenkosten!$B$17*IF(Nebenkosten!$C$17="Fläche",$I39,IF(Nebenkosten!$C$17="Anteil",$J39,$K39))*IF(Nebenkosten!$D$17="Heizung",$H39,$G39)/Nebenkosten!$E$17)</f>
        <v/>
      </c>
      <c r="AI39" s="11">
        <f>IF(OR(Nebenkosten!$B$18="",Nebenkosten!$E$18=0,$F39=0),0,Nebenkosten!$B$18*IF(Nebenkosten!$C$18="Fläche",$I39,IF(Nebenkosten!$C$18="Anteil",$J39,$K39))*IF(Nebenkosten!$D$18="Heizung",$H39,$G39)/Nebenkosten!$E$18)</f>
        <v/>
      </c>
      <c r="AJ39" s="11">
        <f>IF(OR(Nebenkosten!$B$19="",Nebenkosten!$E$19=0,$F39=0),0,Nebenkosten!$B$19*IF(Nebenkosten!$C$19="Fläche",$I39,IF(Nebenkosten!$C$19="Anteil",$J39,$K39))*IF(Nebenkosten!$D$19="Heizung",$H39,$G39)/Nebenkosten!$E$19)</f>
        <v/>
      </c>
      <c r="AK39" s="11">
        <f>IF(OR(Nebenkosten!$B$20="",Nebenkosten!$E$20=0,$F39=0),0,Nebenkosten!$B$20*IF(Nebenkosten!$C$20="Fläche",$I39,IF(Nebenkosten!$C$20="Anteil",$J39,$K39))*IF(Nebenkosten!$D$20="Heizung",$H39,$G39)/Nebenkosten!$E$20)</f>
        <v/>
      </c>
      <c r="AL39" s="11">
        <f>IF(OR(Nebenkosten!$B$21="",Nebenkosten!$E$21=0,$F39=0),0,Nebenkosten!$B$21*IF(Nebenkosten!$C$21="Fläche",$I39,IF(Nebenkosten!$C$21="Anteil",$J39,$K39))*IF(Nebenkosten!$D$21="Heizung",$H39,$G39)/Nebenkosten!$E$21)</f>
        <v/>
      </c>
      <c r="AM39" s="11">
        <f>IF(OR(Nebenkosten!$B$22="",Nebenkosten!$E$22=0,$F39=0),0,Nebenkosten!$B$22*IF(Nebenkosten!$C$22="Fläche",$I39,IF(Nebenkosten!$C$22="Anteil",$J39,$K39))*IF(Nebenkosten!$D$22="Heizung",$H39,$G39)/Nebenkosten!$E$22)</f>
        <v/>
      </c>
      <c r="AN39" s="11">
        <f>IF(OR(Nebenkosten!$B$23="",Nebenkosten!$E$23=0,$F39=0),0,Nebenkosten!$B$23*IF(Nebenkosten!$C$23="Fläche",$I39,IF(Nebenkosten!$C$23="Anteil",$J39,$K39))*IF(Nebenkosten!$D$23="Heizung",$H39,$G39)/Nebenkosten!$E$23)</f>
        <v/>
      </c>
      <c r="AO39" s="11">
        <f>IF(OR(Nebenkosten!$B$24="",Nebenkosten!$E$24=0,$F39=0),0,Nebenkosten!$B$24*IF(Nebenkosten!$C$24="Fläche",$I39,IF(Nebenkosten!$C$24="Anteil",$J39,$K39))*IF(Nebenkosten!$D$24="Heizung",$H39,$G39)/Nebenkosten!$E$24)</f>
        <v/>
      </c>
      <c r="AP39" s="11">
        <f>IF(OR(Nebenkosten!$B$25="",Nebenkosten!$E$25=0,$F39=0),0,Nebenkosten!$B$25*IF(Nebenkosten!$C$25="Fläche",$I39,IF(Nebenkosten!$C$25="Anteil",$J39,$K39))*IF(Nebenkosten!$D$25="Heizung",$H39,$G39)/Nebenkosten!$E$25)</f>
        <v/>
      </c>
      <c r="AQ39" s="11">
        <f>IF(OR(Nebenkosten!$B$26="",Nebenkosten!$E$26=0,$F39=0),0,Nebenkosten!$B$26*IF(Nebenkosten!$C$26="Fläche",$I39,IF(Nebenkosten!$C$26="Anteil",$J39,$K39))*IF(Nebenkosten!$D$26="Heizung",$H39,$G39)/Nebenkosten!$E$26)</f>
        <v/>
      </c>
      <c r="AR39" s="11">
        <f>IF(OR(Nebenkosten!$B$27="",Nebenkosten!$E$27=0,$F39=0),0,Nebenkosten!$B$27*IF(Nebenkosten!$C$27="Fläche",$I39,IF(Nebenkosten!$C$27="Anteil",$J39,$K39))*IF(Nebenkosten!$D$27="Heizung",$H39,$G39)/Nebenkosten!$E$27)</f>
        <v/>
      </c>
      <c r="AS39" s="11">
        <f>IF(OR(Nebenkosten!$B$28="",Nebenkosten!$E$28=0,$F39=0),0,Nebenkosten!$B$28*IF(Nebenkosten!$C$28="Fläche",$I39,IF(Nebenkosten!$C$28="Anteil",$J39,$K39))*IF(Nebenkosten!$D$28="Heizung",$H39,$G39)/Nebenkosten!$E$28)</f>
        <v/>
      </c>
      <c r="AT39" s="11">
        <f>IF(OR(Nebenkosten!$B$29="",Nebenkosten!$E$29=0,$F39=0),0,Nebenkosten!$B$29*IF(Nebenkosten!$C$29="Fläche",$I39,IF(Nebenkosten!$C$29="Anteil",$J39,$K39))*IF(Nebenkosten!$D$29="Heizung",$H39,$G39)/Nebenkosten!$E$29)</f>
        <v/>
      </c>
      <c r="AU39" s="11">
        <f>IF(OR(Nebenkosten!$B$30="",Nebenkosten!$E$30=0,$F39=0),0,Nebenkosten!$B$30*IF(Nebenkosten!$C$30="Fläche",$I39,IF(Nebenkosten!$C$30="Anteil",$J39,$K39))*IF(Nebenkosten!$D$30="Heizung",$H39,$G39)/Nebenkosten!$E$30)</f>
        <v/>
      </c>
      <c r="AV39" s="11">
        <f>IF(OR(Nebenkosten!$B$31="",Nebenkosten!$E$31=0,$F39=0),0,Nebenkosten!$B$31*IF(Nebenkosten!$C$31="Fläche",$I39,IF(Nebenkosten!$C$31="Anteil",$J39,$K39))*IF(Nebenkosten!$D$31="Heizung",$H39,$G39)/Nebenkosten!$E$31)</f>
        <v/>
      </c>
      <c r="AW39" s="11">
        <f>IF(OR(Nebenkosten!$B$32="",Nebenkosten!$E$32=0,$F39=0),0,Nebenkosten!$B$32*IF(Nebenkosten!$C$32="Fläche",$I39,IF(Nebenkosten!$C$32="Anteil",$J39,$K39))*IF(Nebenkosten!$D$32="Heizung",$H39,$G39)/Nebenkosten!$E$32)</f>
        <v/>
      </c>
      <c r="AX39" s="11">
        <f>IF(OR(Nebenkosten!$B$33="",Nebenkosten!$E$33=0,$F39=0),0,Nebenkosten!$B$33*IF(Nebenkosten!$C$33="Fläche",$I39,IF(Nebenkosten!$C$33="Anteil",$J39,$K39))*IF(Nebenkosten!$D$33="Heizung",$H39,$G39)/Nebenkosten!$E$33)</f>
        <v/>
      </c>
      <c r="AY39" s="11">
        <f>IF(OR(Nebenkosten!$B$34="",Nebenkosten!$E$34=0,$F39=0),0,Nebenkosten!$B$34*IF(Nebenkosten!$C$34="Fläche",$I39,IF(Nebenkosten!$C$34="Anteil",$J39,$K39))*IF(Nebenkosten!$D$34="Heizung",$H39,$G39)/Nebenkosten!$E$34)</f>
        <v/>
      </c>
      <c r="AZ39" s="11">
        <f>ROUND(SUM(AA39:AY39)*20,0)/20</f>
        <v/>
      </c>
      <c r="BA39" s="11">
        <f>IF(F39=0,0,N39)</f>
        <v/>
      </c>
      <c r="BB39" s="11">
        <f>AZ39-BA39</f>
        <v/>
      </c>
    </row>
    <row r="40">
      <c r="A40" s="10">
        <f>'Mein Haus'!A80</f>
        <v/>
      </c>
      <c r="B40" s="23">
        <f>IF('Mein Haus'!C80="","",'Mein Haus'!C80)</f>
        <v/>
      </c>
      <c r="C40" s="23">
        <f>IF('Mein Haus'!B80="","",'Mein Haus'!B80)</f>
        <v/>
      </c>
      <c r="D40" s="21">
        <f>IF(AND('Mein Haus'!C80&lt;&gt;"",'Mein Haus'!B80&lt;&gt;"",Nebenkosten!$B$7&lt;&gt;""),MAX(IF('Mein Haus'!D80="",Nebenkosten!$B$7,'Mein Haus'!D80),Nebenkosten!$B$7),"")</f>
        <v/>
      </c>
      <c r="E40" s="21">
        <f>IF(AND('Mein Haus'!C80&lt;&gt;"",'Mein Haus'!B80&lt;&gt;"",Nebenkosten!$B$7&lt;&gt;""),MIN(IF('Mein Haus'!F80="",Nebenkosten!$D$7,'Mein Haus'!F80),Nebenkosten!$D$7),"")</f>
        <v/>
      </c>
      <c r="F40" s="10">
        <f>IF(D40="",0,MAX(0,E40-D40+1))</f>
        <v/>
      </c>
      <c r="G40" s="49">
        <f>IF(F40=0,0,F40/Nebenkosten!$F$7)</f>
        <v/>
      </c>
      <c r="H40" s="49">
        <f>IF(F40=0,0,SUMPRODUCT(O40:Z40,$O$3:$Z$3)/Einstellungen!$F$17)</f>
        <v/>
      </c>
      <c r="I40" s="19">
        <f>IF(F40=0,0,IFERROR(INDEX('Mein Haus'!$D$11:$D$40,MATCH(C40,'Mein Haus'!$A$11:$A$40,0)),0))</f>
        <v/>
      </c>
      <c r="J40" s="19">
        <f>IF(F40=0,0,IFERROR(INDEX('Mein Haus'!$E$11:$E$40,MATCH(C40,'Mein Haus'!$A$11:$A$40,0)),0))</f>
        <v/>
      </c>
      <c r="K40" s="19">
        <f>IF(F40=0,0,IFERROR(INDEX('Mein Haus'!$F$11:$F$40,MATCH(C40,'Mein Haus'!$A$11:$A$40,0)),0))</f>
        <v/>
      </c>
      <c r="L40" s="11">
        <f>IF(F40=0,0,N('Mein Haus'!H80)*SUM(O40:Z40))</f>
        <v/>
      </c>
      <c r="M40" s="22" t="n"/>
      <c r="N40" s="11">
        <f>IF(M40&lt;&gt;"",M40,L40)</f>
        <v/>
      </c>
      <c r="O40" s="19">
        <f>IF(F40=0,0,MAX(0,MIN(E40,EOMONTH(EDATE(Nebenkosten!$B$7,0),0))-MAX(D40,EDATE(Nebenkosten!$B$7,0))+1)/DAY(EOMONTH(EDATE(Nebenkosten!$B$7,0),0)))</f>
        <v/>
      </c>
      <c r="P40" s="19">
        <f>IF(F40=0,0,MAX(0,MIN(E40,EOMONTH(EDATE(Nebenkosten!$B$7,1),0))-MAX(D40,EDATE(Nebenkosten!$B$7,1))+1)/DAY(EOMONTH(EDATE(Nebenkosten!$B$7,1),0)))</f>
        <v/>
      </c>
      <c r="Q40" s="19">
        <f>IF(F40=0,0,MAX(0,MIN(E40,EOMONTH(EDATE(Nebenkosten!$B$7,2),0))-MAX(D40,EDATE(Nebenkosten!$B$7,2))+1)/DAY(EOMONTH(EDATE(Nebenkosten!$B$7,2),0)))</f>
        <v/>
      </c>
      <c r="R40" s="19">
        <f>IF(F40=0,0,MAX(0,MIN(E40,EOMONTH(EDATE(Nebenkosten!$B$7,3),0))-MAX(D40,EDATE(Nebenkosten!$B$7,3))+1)/DAY(EOMONTH(EDATE(Nebenkosten!$B$7,3),0)))</f>
        <v/>
      </c>
      <c r="S40" s="19">
        <f>IF(F40=0,0,MAX(0,MIN(E40,EOMONTH(EDATE(Nebenkosten!$B$7,4),0))-MAX(D40,EDATE(Nebenkosten!$B$7,4))+1)/DAY(EOMONTH(EDATE(Nebenkosten!$B$7,4),0)))</f>
        <v/>
      </c>
      <c r="T40" s="19">
        <f>IF(F40=0,0,MAX(0,MIN(E40,EOMONTH(EDATE(Nebenkosten!$B$7,5),0))-MAX(D40,EDATE(Nebenkosten!$B$7,5))+1)/DAY(EOMONTH(EDATE(Nebenkosten!$B$7,5),0)))</f>
        <v/>
      </c>
      <c r="U40" s="19">
        <f>IF(F40=0,0,MAX(0,MIN(E40,EOMONTH(EDATE(Nebenkosten!$B$7,6),0))-MAX(D40,EDATE(Nebenkosten!$B$7,6))+1)/DAY(EOMONTH(EDATE(Nebenkosten!$B$7,6),0)))</f>
        <v/>
      </c>
      <c r="V40" s="19">
        <f>IF(F40=0,0,MAX(0,MIN(E40,EOMONTH(EDATE(Nebenkosten!$B$7,7),0))-MAX(D40,EDATE(Nebenkosten!$B$7,7))+1)/DAY(EOMONTH(EDATE(Nebenkosten!$B$7,7),0)))</f>
        <v/>
      </c>
      <c r="W40" s="19">
        <f>IF(F40=0,0,MAX(0,MIN(E40,EOMONTH(EDATE(Nebenkosten!$B$7,8),0))-MAX(D40,EDATE(Nebenkosten!$B$7,8))+1)/DAY(EOMONTH(EDATE(Nebenkosten!$B$7,8),0)))</f>
        <v/>
      </c>
      <c r="X40" s="19">
        <f>IF(F40=0,0,MAX(0,MIN(E40,EOMONTH(EDATE(Nebenkosten!$B$7,9),0))-MAX(D40,EDATE(Nebenkosten!$B$7,9))+1)/DAY(EOMONTH(EDATE(Nebenkosten!$B$7,9),0)))</f>
        <v/>
      </c>
      <c r="Y40" s="19">
        <f>IF(F40=0,0,MAX(0,MIN(E40,EOMONTH(EDATE(Nebenkosten!$B$7,10),0))-MAX(D40,EDATE(Nebenkosten!$B$7,10))+1)/DAY(EOMONTH(EDATE(Nebenkosten!$B$7,10),0)))</f>
        <v/>
      </c>
      <c r="Z40" s="19">
        <f>IF(F40=0,0,MAX(0,MIN(E40,EOMONTH(EDATE(Nebenkosten!$B$7,11),0))-MAX(D40,EDATE(Nebenkosten!$B$7,11))+1)/DAY(EOMONTH(EDATE(Nebenkosten!$B$7,11),0)))</f>
        <v/>
      </c>
      <c r="AA40" s="11">
        <f>IF(OR(Nebenkosten!$B$10="",Nebenkosten!$E$10=0,$F40=0),0,Nebenkosten!$B$10*IF(Nebenkosten!$C$10="Fläche",$I40,IF(Nebenkosten!$C$10="Anteil",$J40,$K40))*IF(Nebenkosten!$D$10="Heizung",$H40,$G40)/Nebenkosten!$E$10)</f>
        <v/>
      </c>
      <c r="AB40" s="11">
        <f>IF(OR(Nebenkosten!$B$11="",Nebenkosten!$E$11=0,$F40=0),0,Nebenkosten!$B$11*IF(Nebenkosten!$C$11="Fläche",$I40,IF(Nebenkosten!$C$11="Anteil",$J40,$K40))*IF(Nebenkosten!$D$11="Heizung",$H40,$G40)/Nebenkosten!$E$11)</f>
        <v/>
      </c>
      <c r="AC40" s="11">
        <f>IF(OR(Nebenkosten!$B$12="",Nebenkosten!$E$12=0,$F40=0),0,Nebenkosten!$B$12*IF(Nebenkosten!$C$12="Fläche",$I40,IF(Nebenkosten!$C$12="Anteil",$J40,$K40))*IF(Nebenkosten!$D$12="Heizung",$H40,$G40)/Nebenkosten!$E$12)</f>
        <v/>
      </c>
      <c r="AD40" s="11">
        <f>IF(OR(Nebenkosten!$B$13="",Nebenkosten!$E$13=0,$F40=0),0,Nebenkosten!$B$13*IF(Nebenkosten!$C$13="Fläche",$I40,IF(Nebenkosten!$C$13="Anteil",$J40,$K40))*IF(Nebenkosten!$D$13="Heizung",$H40,$G40)/Nebenkosten!$E$13)</f>
        <v/>
      </c>
      <c r="AE40" s="11">
        <f>IF(OR(Nebenkosten!$B$14="",Nebenkosten!$E$14=0,$F40=0),0,Nebenkosten!$B$14*IF(Nebenkosten!$C$14="Fläche",$I40,IF(Nebenkosten!$C$14="Anteil",$J40,$K40))*IF(Nebenkosten!$D$14="Heizung",$H40,$G40)/Nebenkosten!$E$14)</f>
        <v/>
      </c>
      <c r="AF40" s="11">
        <f>IF(OR(Nebenkosten!$B$15="",Nebenkosten!$E$15=0,$F40=0),0,Nebenkosten!$B$15*IF(Nebenkosten!$C$15="Fläche",$I40,IF(Nebenkosten!$C$15="Anteil",$J40,$K40))*IF(Nebenkosten!$D$15="Heizung",$H40,$G40)/Nebenkosten!$E$15)</f>
        <v/>
      </c>
      <c r="AG40" s="11">
        <f>IF(OR(Nebenkosten!$B$16="",Nebenkosten!$E$16=0,$F40=0),0,Nebenkosten!$B$16*IF(Nebenkosten!$C$16="Fläche",$I40,IF(Nebenkosten!$C$16="Anteil",$J40,$K40))*IF(Nebenkosten!$D$16="Heizung",$H40,$G40)/Nebenkosten!$E$16)</f>
        <v/>
      </c>
      <c r="AH40" s="11">
        <f>IF(OR(Nebenkosten!$B$17="",Nebenkosten!$E$17=0,$F40=0),0,Nebenkosten!$B$17*IF(Nebenkosten!$C$17="Fläche",$I40,IF(Nebenkosten!$C$17="Anteil",$J40,$K40))*IF(Nebenkosten!$D$17="Heizung",$H40,$G40)/Nebenkosten!$E$17)</f>
        <v/>
      </c>
      <c r="AI40" s="11">
        <f>IF(OR(Nebenkosten!$B$18="",Nebenkosten!$E$18=0,$F40=0),0,Nebenkosten!$B$18*IF(Nebenkosten!$C$18="Fläche",$I40,IF(Nebenkosten!$C$18="Anteil",$J40,$K40))*IF(Nebenkosten!$D$18="Heizung",$H40,$G40)/Nebenkosten!$E$18)</f>
        <v/>
      </c>
      <c r="AJ40" s="11">
        <f>IF(OR(Nebenkosten!$B$19="",Nebenkosten!$E$19=0,$F40=0),0,Nebenkosten!$B$19*IF(Nebenkosten!$C$19="Fläche",$I40,IF(Nebenkosten!$C$19="Anteil",$J40,$K40))*IF(Nebenkosten!$D$19="Heizung",$H40,$G40)/Nebenkosten!$E$19)</f>
        <v/>
      </c>
      <c r="AK40" s="11">
        <f>IF(OR(Nebenkosten!$B$20="",Nebenkosten!$E$20=0,$F40=0),0,Nebenkosten!$B$20*IF(Nebenkosten!$C$20="Fläche",$I40,IF(Nebenkosten!$C$20="Anteil",$J40,$K40))*IF(Nebenkosten!$D$20="Heizung",$H40,$G40)/Nebenkosten!$E$20)</f>
        <v/>
      </c>
      <c r="AL40" s="11">
        <f>IF(OR(Nebenkosten!$B$21="",Nebenkosten!$E$21=0,$F40=0),0,Nebenkosten!$B$21*IF(Nebenkosten!$C$21="Fläche",$I40,IF(Nebenkosten!$C$21="Anteil",$J40,$K40))*IF(Nebenkosten!$D$21="Heizung",$H40,$G40)/Nebenkosten!$E$21)</f>
        <v/>
      </c>
      <c r="AM40" s="11">
        <f>IF(OR(Nebenkosten!$B$22="",Nebenkosten!$E$22=0,$F40=0),0,Nebenkosten!$B$22*IF(Nebenkosten!$C$22="Fläche",$I40,IF(Nebenkosten!$C$22="Anteil",$J40,$K40))*IF(Nebenkosten!$D$22="Heizung",$H40,$G40)/Nebenkosten!$E$22)</f>
        <v/>
      </c>
      <c r="AN40" s="11">
        <f>IF(OR(Nebenkosten!$B$23="",Nebenkosten!$E$23=0,$F40=0),0,Nebenkosten!$B$23*IF(Nebenkosten!$C$23="Fläche",$I40,IF(Nebenkosten!$C$23="Anteil",$J40,$K40))*IF(Nebenkosten!$D$23="Heizung",$H40,$G40)/Nebenkosten!$E$23)</f>
        <v/>
      </c>
      <c r="AO40" s="11">
        <f>IF(OR(Nebenkosten!$B$24="",Nebenkosten!$E$24=0,$F40=0),0,Nebenkosten!$B$24*IF(Nebenkosten!$C$24="Fläche",$I40,IF(Nebenkosten!$C$24="Anteil",$J40,$K40))*IF(Nebenkosten!$D$24="Heizung",$H40,$G40)/Nebenkosten!$E$24)</f>
        <v/>
      </c>
      <c r="AP40" s="11">
        <f>IF(OR(Nebenkosten!$B$25="",Nebenkosten!$E$25=0,$F40=0),0,Nebenkosten!$B$25*IF(Nebenkosten!$C$25="Fläche",$I40,IF(Nebenkosten!$C$25="Anteil",$J40,$K40))*IF(Nebenkosten!$D$25="Heizung",$H40,$G40)/Nebenkosten!$E$25)</f>
        <v/>
      </c>
      <c r="AQ40" s="11">
        <f>IF(OR(Nebenkosten!$B$26="",Nebenkosten!$E$26=0,$F40=0),0,Nebenkosten!$B$26*IF(Nebenkosten!$C$26="Fläche",$I40,IF(Nebenkosten!$C$26="Anteil",$J40,$K40))*IF(Nebenkosten!$D$26="Heizung",$H40,$G40)/Nebenkosten!$E$26)</f>
        <v/>
      </c>
      <c r="AR40" s="11">
        <f>IF(OR(Nebenkosten!$B$27="",Nebenkosten!$E$27=0,$F40=0),0,Nebenkosten!$B$27*IF(Nebenkosten!$C$27="Fläche",$I40,IF(Nebenkosten!$C$27="Anteil",$J40,$K40))*IF(Nebenkosten!$D$27="Heizung",$H40,$G40)/Nebenkosten!$E$27)</f>
        <v/>
      </c>
      <c r="AS40" s="11">
        <f>IF(OR(Nebenkosten!$B$28="",Nebenkosten!$E$28=0,$F40=0),0,Nebenkosten!$B$28*IF(Nebenkosten!$C$28="Fläche",$I40,IF(Nebenkosten!$C$28="Anteil",$J40,$K40))*IF(Nebenkosten!$D$28="Heizung",$H40,$G40)/Nebenkosten!$E$28)</f>
        <v/>
      </c>
      <c r="AT40" s="11">
        <f>IF(OR(Nebenkosten!$B$29="",Nebenkosten!$E$29=0,$F40=0),0,Nebenkosten!$B$29*IF(Nebenkosten!$C$29="Fläche",$I40,IF(Nebenkosten!$C$29="Anteil",$J40,$K40))*IF(Nebenkosten!$D$29="Heizung",$H40,$G40)/Nebenkosten!$E$29)</f>
        <v/>
      </c>
      <c r="AU40" s="11">
        <f>IF(OR(Nebenkosten!$B$30="",Nebenkosten!$E$30=0,$F40=0),0,Nebenkosten!$B$30*IF(Nebenkosten!$C$30="Fläche",$I40,IF(Nebenkosten!$C$30="Anteil",$J40,$K40))*IF(Nebenkosten!$D$30="Heizung",$H40,$G40)/Nebenkosten!$E$30)</f>
        <v/>
      </c>
      <c r="AV40" s="11">
        <f>IF(OR(Nebenkosten!$B$31="",Nebenkosten!$E$31=0,$F40=0),0,Nebenkosten!$B$31*IF(Nebenkosten!$C$31="Fläche",$I40,IF(Nebenkosten!$C$31="Anteil",$J40,$K40))*IF(Nebenkosten!$D$31="Heizung",$H40,$G40)/Nebenkosten!$E$31)</f>
        <v/>
      </c>
      <c r="AW40" s="11">
        <f>IF(OR(Nebenkosten!$B$32="",Nebenkosten!$E$32=0,$F40=0),0,Nebenkosten!$B$32*IF(Nebenkosten!$C$32="Fläche",$I40,IF(Nebenkosten!$C$32="Anteil",$J40,$K40))*IF(Nebenkosten!$D$32="Heizung",$H40,$G40)/Nebenkosten!$E$32)</f>
        <v/>
      </c>
      <c r="AX40" s="11">
        <f>IF(OR(Nebenkosten!$B$33="",Nebenkosten!$E$33=0,$F40=0),0,Nebenkosten!$B$33*IF(Nebenkosten!$C$33="Fläche",$I40,IF(Nebenkosten!$C$33="Anteil",$J40,$K40))*IF(Nebenkosten!$D$33="Heizung",$H40,$G40)/Nebenkosten!$E$33)</f>
        <v/>
      </c>
      <c r="AY40" s="11">
        <f>IF(OR(Nebenkosten!$B$34="",Nebenkosten!$E$34=0,$F40=0),0,Nebenkosten!$B$34*IF(Nebenkosten!$C$34="Fläche",$I40,IF(Nebenkosten!$C$34="Anteil",$J40,$K40))*IF(Nebenkosten!$D$34="Heizung",$H40,$G40)/Nebenkosten!$E$34)</f>
        <v/>
      </c>
      <c r="AZ40" s="11">
        <f>ROUND(SUM(AA40:AY40)*20,0)/20</f>
        <v/>
      </c>
      <c r="BA40" s="11">
        <f>IF(F40=0,0,N40)</f>
        <v/>
      </c>
      <c r="BB40" s="11">
        <f>AZ40-BA40</f>
        <v/>
      </c>
    </row>
    <row r="41">
      <c r="A41" s="10">
        <f>'Mein Haus'!A81</f>
        <v/>
      </c>
      <c r="B41" s="23">
        <f>IF('Mein Haus'!C81="","",'Mein Haus'!C81)</f>
        <v/>
      </c>
      <c r="C41" s="23">
        <f>IF('Mein Haus'!B81="","",'Mein Haus'!B81)</f>
        <v/>
      </c>
      <c r="D41" s="21">
        <f>IF(AND('Mein Haus'!C81&lt;&gt;"",'Mein Haus'!B81&lt;&gt;"",Nebenkosten!$B$7&lt;&gt;""),MAX(IF('Mein Haus'!D81="",Nebenkosten!$B$7,'Mein Haus'!D81),Nebenkosten!$B$7),"")</f>
        <v/>
      </c>
      <c r="E41" s="21">
        <f>IF(AND('Mein Haus'!C81&lt;&gt;"",'Mein Haus'!B81&lt;&gt;"",Nebenkosten!$B$7&lt;&gt;""),MIN(IF('Mein Haus'!F81="",Nebenkosten!$D$7,'Mein Haus'!F81),Nebenkosten!$D$7),"")</f>
        <v/>
      </c>
      <c r="F41" s="10">
        <f>IF(D41="",0,MAX(0,E41-D41+1))</f>
        <v/>
      </c>
      <c r="G41" s="49">
        <f>IF(F41=0,0,F41/Nebenkosten!$F$7)</f>
        <v/>
      </c>
      <c r="H41" s="49">
        <f>IF(F41=0,0,SUMPRODUCT(O41:Z41,$O$3:$Z$3)/Einstellungen!$F$17)</f>
        <v/>
      </c>
      <c r="I41" s="19">
        <f>IF(F41=0,0,IFERROR(INDEX('Mein Haus'!$D$11:$D$40,MATCH(C41,'Mein Haus'!$A$11:$A$40,0)),0))</f>
        <v/>
      </c>
      <c r="J41" s="19">
        <f>IF(F41=0,0,IFERROR(INDEX('Mein Haus'!$E$11:$E$40,MATCH(C41,'Mein Haus'!$A$11:$A$40,0)),0))</f>
        <v/>
      </c>
      <c r="K41" s="19">
        <f>IF(F41=0,0,IFERROR(INDEX('Mein Haus'!$F$11:$F$40,MATCH(C41,'Mein Haus'!$A$11:$A$40,0)),0))</f>
        <v/>
      </c>
      <c r="L41" s="11">
        <f>IF(F41=0,0,N('Mein Haus'!H81)*SUM(O41:Z41))</f>
        <v/>
      </c>
      <c r="M41" s="22" t="n"/>
      <c r="N41" s="11">
        <f>IF(M41&lt;&gt;"",M41,L41)</f>
        <v/>
      </c>
      <c r="O41" s="19">
        <f>IF(F41=0,0,MAX(0,MIN(E41,EOMONTH(EDATE(Nebenkosten!$B$7,0),0))-MAX(D41,EDATE(Nebenkosten!$B$7,0))+1)/DAY(EOMONTH(EDATE(Nebenkosten!$B$7,0),0)))</f>
        <v/>
      </c>
      <c r="P41" s="19">
        <f>IF(F41=0,0,MAX(0,MIN(E41,EOMONTH(EDATE(Nebenkosten!$B$7,1),0))-MAX(D41,EDATE(Nebenkosten!$B$7,1))+1)/DAY(EOMONTH(EDATE(Nebenkosten!$B$7,1),0)))</f>
        <v/>
      </c>
      <c r="Q41" s="19">
        <f>IF(F41=0,0,MAX(0,MIN(E41,EOMONTH(EDATE(Nebenkosten!$B$7,2),0))-MAX(D41,EDATE(Nebenkosten!$B$7,2))+1)/DAY(EOMONTH(EDATE(Nebenkosten!$B$7,2),0)))</f>
        <v/>
      </c>
      <c r="R41" s="19">
        <f>IF(F41=0,0,MAX(0,MIN(E41,EOMONTH(EDATE(Nebenkosten!$B$7,3),0))-MAX(D41,EDATE(Nebenkosten!$B$7,3))+1)/DAY(EOMONTH(EDATE(Nebenkosten!$B$7,3),0)))</f>
        <v/>
      </c>
      <c r="S41" s="19">
        <f>IF(F41=0,0,MAX(0,MIN(E41,EOMONTH(EDATE(Nebenkosten!$B$7,4),0))-MAX(D41,EDATE(Nebenkosten!$B$7,4))+1)/DAY(EOMONTH(EDATE(Nebenkosten!$B$7,4),0)))</f>
        <v/>
      </c>
      <c r="T41" s="19">
        <f>IF(F41=0,0,MAX(0,MIN(E41,EOMONTH(EDATE(Nebenkosten!$B$7,5),0))-MAX(D41,EDATE(Nebenkosten!$B$7,5))+1)/DAY(EOMONTH(EDATE(Nebenkosten!$B$7,5),0)))</f>
        <v/>
      </c>
      <c r="U41" s="19">
        <f>IF(F41=0,0,MAX(0,MIN(E41,EOMONTH(EDATE(Nebenkosten!$B$7,6),0))-MAX(D41,EDATE(Nebenkosten!$B$7,6))+1)/DAY(EOMONTH(EDATE(Nebenkosten!$B$7,6),0)))</f>
        <v/>
      </c>
      <c r="V41" s="19">
        <f>IF(F41=0,0,MAX(0,MIN(E41,EOMONTH(EDATE(Nebenkosten!$B$7,7),0))-MAX(D41,EDATE(Nebenkosten!$B$7,7))+1)/DAY(EOMONTH(EDATE(Nebenkosten!$B$7,7),0)))</f>
        <v/>
      </c>
      <c r="W41" s="19">
        <f>IF(F41=0,0,MAX(0,MIN(E41,EOMONTH(EDATE(Nebenkosten!$B$7,8),0))-MAX(D41,EDATE(Nebenkosten!$B$7,8))+1)/DAY(EOMONTH(EDATE(Nebenkosten!$B$7,8),0)))</f>
        <v/>
      </c>
      <c r="X41" s="19">
        <f>IF(F41=0,0,MAX(0,MIN(E41,EOMONTH(EDATE(Nebenkosten!$B$7,9),0))-MAX(D41,EDATE(Nebenkosten!$B$7,9))+1)/DAY(EOMONTH(EDATE(Nebenkosten!$B$7,9),0)))</f>
        <v/>
      </c>
      <c r="Y41" s="19">
        <f>IF(F41=0,0,MAX(0,MIN(E41,EOMONTH(EDATE(Nebenkosten!$B$7,10),0))-MAX(D41,EDATE(Nebenkosten!$B$7,10))+1)/DAY(EOMONTH(EDATE(Nebenkosten!$B$7,10),0)))</f>
        <v/>
      </c>
      <c r="Z41" s="19">
        <f>IF(F41=0,0,MAX(0,MIN(E41,EOMONTH(EDATE(Nebenkosten!$B$7,11),0))-MAX(D41,EDATE(Nebenkosten!$B$7,11))+1)/DAY(EOMONTH(EDATE(Nebenkosten!$B$7,11),0)))</f>
        <v/>
      </c>
      <c r="AA41" s="11">
        <f>IF(OR(Nebenkosten!$B$10="",Nebenkosten!$E$10=0,$F41=0),0,Nebenkosten!$B$10*IF(Nebenkosten!$C$10="Fläche",$I41,IF(Nebenkosten!$C$10="Anteil",$J41,$K41))*IF(Nebenkosten!$D$10="Heizung",$H41,$G41)/Nebenkosten!$E$10)</f>
        <v/>
      </c>
      <c r="AB41" s="11">
        <f>IF(OR(Nebenkosten!$B$11="",Nebenkosten!$E$11=0,$F41=0),0,Nebenkosten!$B$11*IF(Nebenkosten!$C$11="Fläche",$I41,IF(Nebenkosten!$C$11="Anteil",$J41,$K41))*IF(Nebenkosten!$D$11="Heizung",$H41,$G41)/Nebenkosten!$E$11)</f>
        <v/>
      </c>
      <c r="AC41" s="11">
        <f>IF(OR(Nebenkosten!$B$12="",Nebenkosten!$E$12=0,$F41=0),0,Nebenkosten!$B$12*IF(Nebenkosten!$C$12="Fläche",$I41,IF(Nebenkosten!$C$12="Anteil",$J41,$K41))*IF(Nebenkosten!$D$12="Heizung",$H41,$G41)/Nebenkosten!$E$12)</f>
        <v/>
      </c>
      <c r="AD41" s="11">
        <f>IF(OR(Nebenkosten!$B$13="",Nebenkosten!$E$13=0,$F41=0),0,Nebenkosten!$B$13*IF(Nebenkosten!$C$13="Fläche",$I41,IF(Nebenkosten!$C$13="Anteil",$J41,$K41))*IF(Nebenkosten!$D$13="Heizung",$H41,$G41)/Nebenkosten!$E$13)</f>
        <v/>
      </c>
      <c r="AE41" s="11">
        <f>IF(OR(Nebenkosten!$B$14="",Nebenkosten!$E$14=0,$F41=0),0,Nebenkosten!$B$14*IF(Nebenkosten!$C$14="Fläche",$I41,IF(Nebenkosten!$C$14="Anteil",$J41,$K41))*IF(Nebenkosten!$D$14="Heizung",$H41,$G41)/Nebenkosten!$E$14)</f>
        <v/>
      </c>
      <c r="AF41" s="11">
        <f>IF(OR(Nebenkosten!$B$15="",Nebenkosten!$E$15=0,$F41=0),0,Nebenkosten!$B$15*IF(Nebenkosten!$C$15="Fläche",$I41,IF(Nebenkosten!$C$15="Anteil",$J41,$K41))*IF(Nebenkosten!$D$15="Heizung",$H41,$G41)/Nebenkosten!$E$15)</f>
        <v/>
      </c>
      <c r="AG41" s="11">
        <f>IF(OR(Nebenkosten!$B$16="",Nebenkosten!$E$16=0,$F41=0),0,Nebenkosten!$B$16*IF(Nebenkosten!$C$16="Fläche",$I41,IF(Nebenkosten!$C$16="Anteil",$J41,$K41))*IF(Nebenkosten!$D$16="Heizung",$H41,$G41)/Nebenkosten!$E$16)</f>
        <v/>
      </c>
      <c r="AH41" s="11">
        <f>IF(OR(Nebenkosten!$B$17="",Nebenkosten!$E$17=0,$F41=0),0,Nebenkosten!$B$17*IF(Nebenkosten!$C$17="Fläche",$I41,IF(Nebenkosten!$C$17="Anteil",$J41,$K41))*IF(Nebenkosten!$D$17="Heizung",$H41,$G41)/Nebenkosten!$E$17)</f>
        <v/>
      </c>
      <c r="AI41" s="11">
        <f>IF(OR(Nebenkosten!$B$18="",Nebenkosten!$E$18=0,$F41=0),0,Nebenkosten!$B$18*IF(Nebenkosten!$C$18="Fläche",$I41,IF(Nebenkosten!$C$18="Anteil",$J41,$K41))*IF(Nebenkosten!$D$18="Heizung",$H41,$G41)/Nebenkosten!$E$18)</f>
        <v/>
      </c>
      <c r="AJ41" s="11">
        <f>IF(OR(Nebenkosten!$B$19="",Nebenkosten!$E$19=0,$F41=0),0,Nebenkosten!$B$19*IF(Nebenkosten!$C$19="Fläche",$I41,IF(Nebenkosten!$C$19="Anteil",$J41,$K41))*IF(Nebenkosten!$D$19="Heizung",$H41,$G41)/Nebenkosten!$E$19)</f>
        <v/>
      </c>
      <c r="AK41" s="11">
        <f>IF(OR(Nebenkosten!$B$20="",Nebenkosten!$E$20=0,$F41=0),0,Nebenkosten!$B$20*IF(Nebenkosten!$C$20="Fläche",$I41,IF(Nebenkosten!$C$20="Anteil",$J41,$K41))*IF(Nebenkosten!$D$20="Heizung",$H41,$G41)/Nebenkosten!$E$20)</f>
        <v/>
      </c>
      <c r="AL41" s="11">
        <f>IF(OR(Nebenkosten!$B$21="",Nebenkosten!$E$21=0,$F41=0),0,Nebenkosten!$B$21*IF(Nebenkosten!$C$21="Fläche",$I41,IF(Nebenkosten!$C$21="Anteil",$J41,$K41))*IF(Nebenkosten!$D$21="Heizung",$H41,$G41)/Nebenkosten!$E$21)</f>
        <v/>
      </c>
      <c r="AM41" s="11">
        <f>IF(OR(Nebenkosten!$B$22="",Nebenkosten!$E$22=0,$F41=0),0,Nebenkosten!$B$22*IF(Nebenkosten!$C$22="Fläche",$I41,IF(Nebenkosten!$C$22="Anteil",$J41,$K41))*IF(Nebenkosten!$D$22="Heizung",$H41,$G41)/Nebenkosten!$E$22)</f>
        <v/>
      </c>
      <c r="AN41" s="11">
        <f>IF(OR(Nebenkosten!$B$23="",Nebenkosten!$E$23=0,$F41=0),0,Nebenkosten!$B$23*IF(Nebenkosten!$C$23="Fläche",$I41,IF(Nebenkosten!$C$23="Anteil",$J41,$K41))*IF(Nebenkosten!$D$23="Heizung",$H41,$G41)/Nebenkosten!$E$23)</f>
        <v/>
      </c>
      <c r="AO41" s="11">
        <f>IF(OR(Nebenkosten!$B$24="",Nebenkosten!$E$24=0,$F41=0),0,Nebenkosten!$B$24*IF(Nebenkosten!$C$24="Fläche",$I41,IF(Nebenkosten!$C$24="Anteil",$J41,$K41))*IF(Nebenkosten!$D$24="Heizung",$H41,$G41)/Nebenkosten!$E$24)</f>
        <v/>
      </c>
      <c r="AP41" s="11">
        <f>IF(OR(Nebenkosten!$B$25="",Nebenkosten!$E$25=0,$F41=0),0,Nebenkosten!$B$25*IF(Nebenkosten!$C$25="Fläche",$I41,IF(Nebenkosten!$C$25="Anteil",$J41,$K41))*IF(Nebenkosten!$D$25="Heizung",$H41,$G41)/Nebenkosten!$E$25)</f>
        <v/>
      </c>
      <c r="AQ41" s="11">
        <f>IF(OR(Nebenkosten!$B$26="",Nebenkosten!$E$26=0,$F41=0),0,Nebenkosten!$B$26*IF(Nebenkosten!$C$26="Fläche",$I41,IF(Nebenkosten!$C$26="Anteil",$J41,$K41))*IF(Nebenkosten!$D$26="Heizung",$H41,$G41)/Nebenkosten!$E$26)</f>
        <v/>
      </c>
      <c r="AR41" s="11">
        <f>IF(OR(Nebenkosten!$B$27="",Nebenkosten!$E$27=0,$F41=0),0,Nebenkosten!$B$27*IF(Nebenkosten!$C$27="Fläche",$I41,IF(Nebenkosten!$C$27="Anteil",$J41,$K41))*IF(Nebenkosten!$D$27="Heizung",$H41,$G41)/Nebenkosten!$E$27)</f>
        <v/>
      </c>
      <c r="AS41" s="11">
        <f>IF(OR(Nebenkosten!$B$28="",Nebenkosten!$E$28=0,$F41=0),0,Nebenkosten!$B$28*IF(Nebenkosten!$C$28="Fläche",$I41,IF(Nebenkosten!$C$28="Anteil",$J41,$K41))*IF(Nebenkosten!$D$28="Heizung",$H41,$G41)/Nebenkosten!$E$28)</f>
        <v/>
      </c>
      <c r="AT41" s="11">
        <f>IF(OR(Nebenkosten!$B$29="",Nebenkosten!$E$29=0,$F41=0),0,Nebenkosten!$B$29*IF(Nebenkosten!$C$29="Fläche",$I41,IF(Nebenkosten!$C$29="Anteil",$J41,$K41))*IF(Nebenkosten!$D$29="Heizung",$H41,$G41)/Nebenkosten!$E$29)</f>
        <v/>
      </c>
      <c r="AU41" s="11">
        <f>IF(OR(Nebenkosten!$B$30="",Nebenkosten!$E$30=0,$F41=0),0,Nebenkosten!$B$30*IF(Nebenkosten!$C$30="Fläche",$I41,IF(Nebenkosten!$C$30="Anteil",$J41,$K41))*IF(Nebenkosten!$D$30="Heizung",$H41,$G41)/Nebenkosten!$E$30)</f>
        <v/>
      </c>
      <c r="AV41" s="11">
        <f>IF(OR(Nebenkosten!$B$31="",Nebenkosten!$E$31=0,$F41=0),0,Nebenkosten!$B$31*IF(Nebenkosten!$C$31="Fläche",$I41,IF(Nebenkosten!$C$31="Anteil",$J41,$K41))*IF(Nebenkosten!$D$31="Heizung",$H41,$G41)/Nebenkosten!$E$31)</f>
        <v/>
      </c>
      <c r="AW41" s="11">
        <f>IF(OR(Nebenkosten!$B$32="",Nebenkosten!$E$32=0,$F41=0),0,Nebenkosten!$B$32*IF(Nebenkosten!$C$32="Fläche",$I41,IF(Nebenkosten!$C$32="Anteil",$J41,$K41))*IF(Nebenkosten!$D$32="Heizung",$H41,$G41)/Nebenkosten!$E$32)</f>
        <v/>
      </c>
      <c r="AX41" s="11">
        <f>IF(OR(Nebenkosten!$B$33="",Nebenkosten!$E$33=0,$F41=0),0,Nebenkosten!$B$33*IF(Nebenkosten!$C$33="Fläche",$I41,IF(Nebenkosten!$C$33="Anteil",$J41,$K41))*IF(Nebenkosten!$D$33="Heizung",$H41,$G41)/Nebenkosten!$E$33)</f>
        <v/>
      </c>
      <c r="AY41" s="11">
        <f>IF(OR(Nebenkosten!$B$34="",Nebenkosten!$E$34=0,$F41=0),0,Nebenkosten!$B$34*IF(Nebenkosten!$C$34="Fläche",$I41,IF(Nebenkosten!$C$34="Anteil",$J41,$K41))*IF(Nebenkosten!$D$34="Heizung",$H41,$G41)/Nebenkosten!$E$34)</f>
        <v/>
      </c>
      <c r="AZ41" s="11">
        <f>ROUND(SUM(AA41:AY41)*20,0)/20</f>
        <v/>
      </c>
      <c r="BA41" s="11">
        <f>IF(F41=0,0,N41)</f>
        <v/>
      </c>
      <c r="BB41" s="11">
        <f>AZ41-BA41</f>
        <v/>
      </c>
    </row>
    <row r="42">
      <c r="A42" s="10">
        <f>'Mein Haus'!A82</f>
        <v/>
      </c>
      <c r="B42" s="23">
        <f>IF('Mein Haus'!C82="","",'Mein Haus'!C82)</f>
        <v/>
      </c>
      <c r="C42" s="23">
        <f>IF('Mein Haus'!B82="","",'Mein Haus'!B82)</f>
        <v/>
      </c>
      <c r="D42" s="21">
        <f>IF(AND('Mein Haus'!C82&lt;&gt;"",'Mein Haus'!B82&lt;&gt;"",Nebenkosten!$B$7&lt;&gt;""),MAX(IF('Mein Haus'!D82="",Nebenkosten!$B$7,'Mein Haus'!D82),Nebenkosten!$B$7),"")</f>
        <v/>
      </c>
      <c r="E42" s="21">
        <f>IF(AND('Mein Haus'!C82&lt;&gt;"",'Mein Haus'!B82&lt;&gt;"",Nebenkosten!$B$7&lt;&gt;""),MIN(IF('Mein Haus'!F82="",Nebenkosten!$D$7,'Mein Haus'!F82),Nebenkosten!$D$7),"")</f>
        <v/>
      </c>
      <c r="F42" s="10">
        <f>IF(D42="",0,MAX(0,E42-D42+1))</f>
        <v/>
      </c>
      <c r="G42" s="49">
        <f>IF(F42=0,0,F42/Nebenkosten!$F$7)</f>
        <v/>
      </c>
      <c r="H42" s="49">
        <f>IF(F42=0,0,SUMPRODUCT(O42:Z42,$O$3:$Z$3)/Einstellungen!$F$17)</f>
        <v/>
      </c>
      <c r="I42" s="19">
        <f>IF(F42=0,0,IFERROR(INDEX('Mein Haus'!$D$11:$D$40,MATCH(C42,'Mein Haus'!$A$11:$A$40,0)),0))</f>
        <v/>
      </c>
      <c r="J42" s="19">
        <f>IF(F42=0,0,IFERROR(INDEX('Mein Haus'!$E$11:$E$40,MATCH(C42,'Mein Haus'!$A$11:$A$40,0)),0))</f>
        <v/>
      </c>
      <c r="K42" s="19">
        <f>IF(F42=0,0,IFERROR(INDEX('Mein Haus'!$F$11:$F$40,MATCH(C42,'Mein Haus'!$A$11:$A$40,0)),0))</f>
        <v/>
      </c>
      <c r="L42" s="11">
        <f>IF(F42=0,0,N('Mein Haus'!H82)*SUM(O42:Z42))</f>
        <v/>
      </c>
      <c r="M42" s="22" t="n"/>
      <c r="N42" s="11">
        <f>IF(M42&lt;&gt;"",M42,L42)</f>
        <v/>
      </c>
      <c r="O42" s="19">
        <f>IF(F42=0,0,MAX(0,MIN(E42,EOMONTH(EDATE(Nebenkosten!$B$7,0),0))-MAX(D42,EDATE(Nebenkosten!$B$7,0))+1)/DAY(EOMONTH(EDATE(Nebenkosten!$B$7,0),0)))</f>
        <v/>
      </c>
      <c r="P42" s="19">
        <f>IF(F42=0,0,MAX(0,MIN(E42,EOMONTH(EDATE(Nebenkosten!$B$7,1),0))-MAX(D42,EDATE(Nebenkosten!$B$7,1))+1)/DAY(EOMONTH(EDATE(Nebenkosten!$B$7,1),0)))</f>
        <v/>
      </c>
      <c r="Q42" s="19">
        <f>IF(F42=0,0,MAX(0,MIN(E42,EOMONTH(EDATE(Nebenkosten!$B$7,2),0))-MAX(D42,EDATE(Nebenkosten!$B$7,2))+1)/DAY(EOMONTH(EDATE(Nebenkosten!$B$7,2),0)))</f>
        <v/>
      </c>
      <c r="R42" s="19">
        <f>IF(F42=0,0,MAX(0,MIN(E42,EOMONTH(EDATE(Nebenkosten!$B$7,3),0))-MAX(D42,EDATE(Nebenkosten!$B$7,3))+1)/DAY(EOMONTH(EDATE(Nebenkosten!$B$7,3),0)))</f>
        <v/>
      </c>
      <c r="S42" s="19">
        <f>IF(F42=0,0,MAX(0,MIN(E42,EOMONTH(EDATE(Nebenkosten!$B$7,4),0))-MAX(D42,EDATE(Nebenkosten!$B$7,4))+1)/DAY(EOMONTH(EDATE(Nebenkosten!$B$7,4),0)))</f>
        <v/>
      </c>
      <c r="T42" s="19">
        <f>IF(F42=0,0,MAX(0,MIN(E42,EOMONTH(EDATE(Nebenkosten!$B$7,5),0))-MAX(D42,EDATE(Nebenkosten!$B$7,5))+1)/DAY(EOMONTH(EDATE(Nebenkosten!$B$7,5),0)))</f>
        <v/>
      </c>
      <c r="U42" s="19">
        <f>IF(F42=0,0,MAX(0,MIN(E42,EOMONTH(EDATE(Nebenkosten!$B$7,6),0))-MAX(D42,EDATE(Nebenkosten!$B$7,6))+1)/DAY(EOMONTH(EDATE(Nebenkosten!$B$7,6),0)))</f>
        <v/>
      </c>
      <c r="V42" s="19">
        <f>IF(F42=0,0,MAX(0,MIN(E42,EOMONTH(EDATE(Nebenkosten!$B$7,7),0))-MAX(D42,EDATE(Nebenkosten!$B$7,7))+1)/DAY(EOMONTH(EDATE(Nebenkosten!$B$7,7),0)))</f>
        <v/>
      </c>
      <c r="W42" s="19">
        <f>IF(F42=0,0,MAX(0,MIN(E42,EOMONTH(EDATE(Nebenkosten!$B$7,8),0))-MAX(D42,EDATE(Nebenkosten!$B$7,8))+1)/DAY(EOMONTH(EDATE(Nebenkosten!$B$7,8),0)))</f>
        <v/>
      </c>
      <c r="X42" s="19">
        <f>IF(F42=0,0,MAX(0,MIN(E42,EOMONTH(EDATE(Nebenkosten!$B$7,9),0))-MAX(D42,EDATE(Nebenkosten!$B$7,9))+1)/DAY(EOMONTH(EDATE(Nebenkosten!$B$7,9),0)))</f>
        <v/>
      </c>
      <c r="Y42" s="19">
        <f>IF(F42=0,0,MAX(0,MIN(E42,EOMONTH(EDATE(Nebenkosten!$B$7,10),0))-MAX(D42,EDATE(Nebenkosten!$B$7,10))+1)/DAY(EOMONTH(EDATE(Nebenkosten!$B$7,10),0)))</f>
        <v/>
      </c>
      <c r="Z42" s="19">
        <f>IF(F42=0,0,MAX(0,MIN(E42,EOMONTH(EDATE(Nebenkosten!$B$7,11),0))-MAX(D42,EDATE(Nebenkosten!$B$7,11))+1)/DAY(EOMONTH(EDATE(Nebenkosten!$B$7,11),0)))</f>
        <v/>
      </c>
      <c r="AA42" s="11">
        <f>IF(OR(Nebenkosten!$B$10="",Nebenkosten!$E$10=0,$F42=0),0,Nebenkosten!$B$10*IF(Nebenkosten!$C$10="Fläche",$I42,IF(Nebenkosten!$C$10="Anteil",$J42,$K42))*IF(Nebenkosten!$D$10="Heizung",$H42,$G42)/Nebenkosten!$E$10)</f>
        <v/>
      </c>
      <c r="AB42" s="11">
        <f>IF(OR(Nebenkosten!$B$11="",Nebenkosten!$E$11=0,$F42=0),0,Nebenkosten!$B$11*IF(Nebenkosten!$C$11="Fläche",$I42,IF(Nebenkosten!$C$11="Anteil",$J42,$K42))*IF(Nebenkosten!$D$11="Heizung",$H42,$G42)/Nebenkosten!$E$11)</f>
        <v/>
      </c>
      <c r="AC42" s="11">
        <f>IF(OR(Nebenkosten!$B$12="",Nebenkosten!$E$12=0,$F42=0),0,Nebenkosten!$B$12*IF(Nebenkosten!$C$12="Fläche",$I42,IF(Nebenkosten!$C$12="Anteil",$J42,$K42))*IF(Nebenkosten!$D$12="Heizung",$H42,$G42)/Nebenkosten!$E$12)</f>
        <v/>
      </c>
      <c r="AD42" s="11">
        <f>IF(OR(Nebenkosten!$B$13="",Nebenkosten!$E$13=0,$F42=0),0,Nebenkosten!$B$13*IF(Nebenkosten!$C$13="Fläche",$I42,IF(Nebenkosten!$C$13="Anteil",$J42,$K42))*IF(Nebenkosten!$D$13="Heizung",$H42,$G42)/Nebenkosten!$E$13)</f>
        <v/>
      </c>
      <c r="AE42" s="11">
        <f>IF(OR(Nebenkosten!$B$14="",Nebenkosten!$E$14=0,$F42=0),0,Nebenkosten!$B$14*IF(Nebenkosten!$C$14="Fläche",$I42,IF(Nebenkosten!$C$14="Anteil",$J42,$K42))*IF(Nebenkosten!$D$14="Heizung",$H42,$G42)/Nebenkosten!$E$14)</f>
        <v/>
      </c>
      <c r="AF42" s="11">
        <f>IF(OR(Nebenkosten!$B$15="",Nebenkosten!$E$15=0,$F42=0),0,Nebenkosten!$B$15*IF(Nebenkosten!$C$15="Fläche",$I42,IF(Nebenkosten!$C$15="Anteil",$J42,$K42))*IF(Nebenkosten!$D$15="Heizung",$H42,$G42)/Nebenkosten!$E$15)</f>
        <v/>
      </c>
      <c r="AG42" s="11">
        <f>IF(OR(Nebenkosten!$B$16="",Nebenkosten!$E$16=0,$F42=0),0,Nebenkosten!$B$16*IF(Nebenkosten!$C$16="Fläche",$I42,IF(Nebenkosten!$C$16="Anteil",$J42,$K42))*IF(Nebenkosten!$D$16="Heizung",$H42,$G42)/Nebenkosten!$E$16)</f>
        <v/>
      </c>
      <c r="AH42" s="11">
        <f>IF(OR(Nebenkosten!$B$17="",Nebenkosten!$E$17=0,$F42=0),0,Nebenkosten!$B$17*IF(Nebenkosten!$C$17="Fläche",$I42,IF(Nebenkosten!$C$17="Anteil",$J42,$K42))*IF(Nebenkosten!$D$17="Heizung",$H42,$G42)/Nebenkosten!$E$17)</f>
        <v/>
      </c>
      <c r="AI42" s="11">
        <f>IF(OR(Nebenkosten!$B$18="",Nebenkosten!$E$18=0,$F42=0),0,Nebenkosten!$B$18*IF(Nebenkosten!$C$18="Fläche",$I42,IF(Nebenkosten!$C$18="Anteil",$J42,$K42))*IF(Nebenkosten!$D$18="Heizung",$H42,$G42)/Nebenkosten!$E$18)</f>
        <v/>
      </c>
      <c r="AJ42" s="11">
        <f>IF(OR(Nebenkosten!$B$19="",Nebenkosten!$E$19=0,$F42=0),0,Nebenkosten!$B$19*IF(Nebenkosten!$C$19="Fläche",$I42,IF(Nebenkosten!$C$19="Anteil",$J42,$K42))*IF(Nebenkosten!$D$19="Heizung",$H42,$G42)/Nebenkosten!$E$19)</f>
        <v/>
      </c>
      <c r="AK42" s="11">
        <f>IF(OR(Nebenkosten!$B$20="",Nebenkosten!$E$20=0,$F42=0),0,Nebenkosten!$B$20*IF(Nebenkosten!$C$20="Fläche",$I42,IF(Nebenkosten!$C$20="Anteil",$J42,$K42))*IF(Nebenkosten!$D$20="Heizung",$H42,$G42)/Nebenkosten!$E$20)</f>
        <v/>
      </c>
      <c r="AL42" s="11">
        <f>IF(OR(Nebenkosten!$B$21="",Nebenkosten!$E$21=0,$F42=0),0,Nebenkosten!$B$21*IF(Nebenkosten!$C$21="Fläche",$I42,IF(Nebenkosten!$C$21="Anteil",$J42,$K42))*IF(Nebenkosten!$D$21="Heizung",$H42,$G42)/Nebenkosten!$E$21)</f>
        <v/>
      </c>
      <c r="AM42" s="11">
        <f>IF(OR(Nebenkosten!$B$22="",Nebenkosten!$E$22=0,$F42=0),0,Nebenkosten!$B$22*IF(Nebenkosten!$C$22="Fläche",$I42,IF(Nebenkosten!$C$22="Anteil",$J42,$K42))*IF(Nebenkosten!$D$22="Heizung",$H42,$G42)/Nebenkosten!$E$22)</f>
        <v/>
      </c>
      <c r="AN42" s="11">
        <f>IF(OR(Nebenkosten!$B$23="",Nebenkosten!$E$23=0,$F42=0),0,Nebenkosten!$B$23*IF(Nebenkosten!$C$23="Fläche",$I42,IF(Nebenkosten!$C$23="Anteil",$J42,$K42))*IF(Nebenkosten!$D$23="Heizung",$H42,$G42)/Nebenkosten!$E$23)</f>
        <v/>
      </c>
      <c r="AO42" s="11">
        <f>IF(OR(Nebenkosten!$B$24="",Nebenkosten!$E$24=0,$F42=0),0,Nebenkosten!$B$24*IF(Nebenkosten!$C$24="Fläche",$I42,IF(Nebenkosten!$C$24="Anteil",$J42,$K42))*IF(Nebenkosten!$D$24="Heizung",$H42,$G42)/Nebenkosten!$E$24)</f>
        <v/>
      </c>
      <c r="AP42" s="11">
        <f>IF(OR(Nebenkosten!$B$25="",Nebenkosten!$E$25=0,$F42=0),0,Nebenkosten!$B$25*IF(Nebenkosten!$C$25="Fläche",$I42,IF(Nebenkosten!$C$25="Anteil",$J42,$K42))*IF(Nebenkosten!$D$25="Heizung",$H42,$G42)/Nebenkosten!$E$25)</f>
        <v/>
      </c>
      <c r="AQ42" s="11">
        <f>IF(OR(Nebenkosten!$B$26="",Nebenkosten!$E$26=0,$F42=0),0,Nebenkosten!$B$26*IF(Nebenkosten!$C$26="Fläche",$I42,IF(Nebenkosten!$C$26="Anteil",$J42,$K42))*IF(Nebenkosten!$D$26="Heizung",$H42,$G42)/Nebenkosten!$E$26)</f>
        <v/>
      </c>
      <c r="AR42" s="11">
        <f>IF(OR(Nebenkosten!$B$27="",Nebenkosten!$E$27=0,$F42=0),0,Nebenkosten!$B$27*IF(Nebenkosten!$C$27="Fläche",$I42,IF(Nebenkosten!$C$27="Anteil",$J42,$K42))*IF(Nebenkosten!$D$27="Heizung",$H42,$G42)/Nebenkosten!$E$27)</f>
        <v/>
      </c>
      <c r="AS42" s="11">
        <f>IF(OR(Nebenkosten!$B$28="",Nebenkosten!$E$28=0,$F42=0),0,Nebenkosten!$B$28*IF(Nebenkosten!$C$28="Fläche",$I42,IF(Nebenkosten!$C$28="Anteil",$J42,$K42))*IF(Nebenkosten!$D$28="Heizung",$H42,$G42)/Nebenkosten!$E$28)</f>
        <v/>
      </c>
      <c r="AT42" s="11">
        <f>IF(OR(Nebenkosten!$B$29="",Nebenkosten!$E$29=0,$F42=0),0,Nebenkosten!$B$29*IF(Nebenkosten!$C$29="Fläche",$I42,IF(Nebenkosten!$C$29="Anteil",$J42,$K42))*IF(Nebenkosten!$D$29="Heizung",$H42,$G42)/Nebenkosten!$E$29)</f>
        <v/>
      </c>
      <c r="AU42" s="11">
        <f>IF(OR(Nebenkosten!$B$30="",Nebenkosten!$E$30=0,$F42=0),0,Nebenkosten!$B$30*IF(Nebenkosten!$C$30="Fläche",$I42,IF(Nebenkosten!$C$30="Anteil",$J42,$K42))*IF(Nebenkosten!$D$30="Heizung",$H42,$G42)/Nebenkosten!$E$30)</f>
        <v/>
      </c>
      <c r="AV42" s="11">
        <f>IF(OR(Nebenkosten!$B$31="",Nebenkosten!$E$31=0,$F42=0),0,Nebenkosten!$B$31*IF(Nebenkosten!$C$31="Fläche",$I42,IF(Nebenkosten!$C$31="Anteil",$J42,$K42))*IF(Nebenkosten!$D$31="Heizung",$H42,$G42)/Nebenkosten!$E$31)</f>
        <v/>
      </c>
      <c r="AW42" s="11">
        <f>IF(OR(Nebenkosten!$B$32="",Nebenkosten!$E$32=0,$F42=0),0,Nebenkosten!$B$32*IF(Nebenkosten!$C$32="Fläche",$I42,IF(Nebenkosten!$C$32="Anteil",$J42,$K42))*IF(Nebenkosten!$D$32="Heizung",$H42,$G42)/Nebenkosten!$E$32)</f>
        <v/>
      </c>
      <c r="AX42" s="11">
        <f>IF(OR(Nebenkosten!$B$33="",Nebenkosten!$E$33=0,$F42=0),0,Nebenkosten!$B$33*IF(Nebenkosten!$C$33="Fläche",$I42,IF(Nebenkosten!$C$33="Anteil",$J42,$K42))*IF(Nebenkosten!$D$33="Heizung",$H42,$G42)/Nebenkosten!$E$33)</f>
        <v/>
      </c>
      <c r="AY42" s="11">
        <f>IF(OR(Nebenkosten!$B$34="",Nebenkosten!$E$34=0,$F42=0),0,Nebenkosten!$B$34*IF(Nebenkosten!$C$34="Fläche",$I42,IF(Nebenkosten!$C$34="Anteil",$J42,$K42))*IF(Nebenkosten!$D$34="Heizung",$H42,$G42)/Nebenkosten!$E$34)</f>
        <v/>
      </c>
      <c r="AZ42" s="11">
        <f>ROUND(SUM(AA42:AY42)*20,0)/20</f>
        <v/>
      </c>
      <c r="BA42" s="11">
        <f>IF(F42=0,0,N42)</f>
        <v/>
      </c>
      <c r="BB42" s="11">
        <f>AZ42-BA42</f>
        <v/>
      </c>
    </row>
    <row r="43">
      <c r="A43" s="10">
        <f>'Mein Haus'!A83</f>
        <v/>
      </c>
      <c r="B43" s="23">
        <f>IF('Mein Haus'!C83="","",'Mein Haus'!C83)</f>
        <v/>
      </c>
      <c r="C43" s="23">
        <f>IF('Mein Haus'!B83="","",'Mein Haus'!B83)</f>
        <v/>
      </c>
      <c r="D43" s="21">
        <f>IF(AND('Mein Haus'!C83&lt;&gt;"",'Mein Haus'!B83&lt;&gt;"",Nebenkosten!$B$7&lt;&gt;""),MAX(IF('Mein Haus'!D83="",Nebenkosten!$B$7,'Mein Haus'!D83),Nebenkosten!$B$7),"")</f>
        <v/>
      </c>
      <c r="E43" s="21">
        <f>IF(AND('Mein Haus'!C83&lt;&gt;"",'Mein Haus'!B83&lt;&gt;"",Nebenkosten!$B$7&lt;&gt;""),MIN(IF('Mein Haus'!F83="",Nebenkosten!$D$7,'Mein Haus'!F83),Nebenkosten!$D$7),"")</f>
        <v/>
      </c>
      <c r="F43" s="10">
        <f>IF(D43="",0,MAX(0,E43-D43+1))</f>
        <v/>
      </c>
      <c r="G43" s="49">
        <f>IF(F43=0,0,F43/Nebenkosten!$F$7)</f>
        <v/>
      </c>
      <c r="H43" s="49">
        <f>IF(F43=0,0,SUMPRODUCT(O43:Z43,$O$3:$Z$3)/Einstellungen!$F$17)</f>
        <v/>
      </c>
      <c r="I43" s="19">
        <f>IF(F43=0,0,IFERROR(INDEX('Mein Haus'!$D$11:$D$40,MATCH(C43,'Mein Haus'!$A$11:$A$40,0)),0))</f>
        <v/>
      </c>
      <c r="J43" s="19">
        <f>IF(F43=0,0,IFERROR(INDEX('Mein Haus'!$E$11:$E$40,MATCH(C43,'Mein Haus'!$A$11:$A$40,0)),0))</f>
        <v/>
      </c>
      <c r="K43" s="19">
        <f>IF(F43=0,0,IFERROR(INDEX('Mein Haus'!$F$11:$F$40,MATCH(C43,'Mein Haus'!$A$11:$A$40,0)),0))</f>
        <v/>
      </c>
      <c r="L43" s="11">
        <f>IF(F43=0,0,N('Mein Haus'!H83)*SUM(O43:Z43))</f>
        <v/>
      </c>
      <c r="M43" s="22" t="n"/>
      <c r="N43" s="11">
        <f>IF(M43&lt;&gt;"",M43,L43)</f>
        <v/>
      </c>
      <c r="O43" s="19">
        <f>IF(F43=0,0,MAX(0,MIN(E43,EOMONTH(EDATE(Nebenkosten!$B$7,0),0))-MAX(D43,EDATE(Nebenkosten!$B$7,0))+1)/DAY(EOMONTH(EDATE(Nebenkosten!$B$7,0),0)))</f>
        <v/>
      </c>
      <c r="P43" s="19">
        <f>IF(F43=0,0,MAX(0,MIN(E43,EOMONTH(EDATE(Nebenkosten!$B$7,1),0))-MAX(D43,EDATE(Nebenkosten!$B$7,1))+1)/DAY(EOMONTH(EDATE(Nebenkosten!$B$7,1),0)))</f>
        <v/>
      </c>
      <c r="Q43" s="19">
        <f>IF(F43=0,0,MAX(0,MIN(E43,EOMONTH(EDATE(Nebenkosten!$B$7,2),0))-MAX(D43,EDATE(Nebenkosten!$B$7,2))+1)/DAY(EOMONTH(EDATE(Nebenkosten!$B$7,2),0)))</f>
        <v/>
      </c>
      <c r="R43" s="19">
        <f>IF(F43=0,0,MAX(0,MIN(E43,EOMONTH(EDATE(Nebenkosten!$B$7,3),0))-MAX(D43,EDATE(Nebenkosten!$B$7,3))+1)/DAY(EOMONTH(EDATE(Nebenkosten!$B$7,3),0)))</f>
        <v/>
      </c>
      <c r="S43" s="19">
        <f>IF(F43=0,0,MAX(0,MIN(E43,EOMONTH(EDATE(Nebenkosten!$B$7,4),0))-MAX(D43,EDATE(Nebenkosten!$B$7,4))+1)/DAY(EOMONTH(EDATE(Nebenkosten!$B$7,4),0)))</f>
        <v/>
      </c>
      <c r="T43" s="19">
        <f>IF(F43=0,0,MAX(0,MIN(E43,EOMONTH(EDATE(Nebenkosten!$B$7,5),0))-MAX(D43,EDATE(Nebenkosten!$B$7,5))+1)/DAY(EOMONTH(EDATE(Nebenkosten!$B$7,5),0)))</f>
        <v/>
      </c>
      <c r="U43" s="19">
        <f>IF(F43=0,0,MAX(0,MIN(E43,EOMONTH(EDATE(Nebenkosten!$B$7,6),0))-MAX(D43,EDATE(Nebenkosten!$B$7,6))+1)/DAY(EOMONTH(EDATE(Nebenkosten!$B$7,6),0)))</f>
        <v/>
      </c>
      <c r="V43" s="19">
        <f>IF(F43=0,0,MAX(0,MIN(E43,EOMONTH(EDATE(Nebenkosten!$B$7,7),0))-MAX(D43,EDATE(Nebenkosten!$B$7,7))+1)/DAY(EOMONTH(EDATE(Nebenkosten!$B$7,7),0)))</f>
        <v/>
      </c>
      <c r="W43" s="19">
        <f>IF(F43=0,0,MAX(0,MIN(E43,EOMONTH(EDATE(Nebenkosten!$B$7,8),0))-MAX(D43,EDATE(Nebenkosten!$B$7,8))+1)/DAY(EOMONTH(EDATE(Nebenkosten!$B$7,8),0)))</f>
        <v/>
      </c>
      <c r="X43" s="19">
        <f>IF(F43=0,0,MAX(0,MIN(E43,EOMONTH(EDATE(Nebenkosten!$B$7,9),0))-MAX(D43,EDATE(Nebenkosten!$B$7,9))+1)/DAY(EOMONTH(EDATE(Nebenkosten!$B$7,9),0)))</f>
        <v/>
      </c>
      <c r="Y43" s="19">
        <f>IF(F43=0,0,MAX(0,MIN(E43,EOMONTH(EDATE(Nebenkosten!$B$7,10),0))-MAX(D43,EDATE(Nebenkosten!$B$7,10))+1)/DAY(EOMONTH(EDATE(Nebenkosten!$B$7,10),0)))</f>
        <v/>
      </c>
      <c r="Z43" s="19">
        <f>IF(F43=0,0,MAX(0,MIN(E43,EOMONTH(EDATE(Nebenkosten!$B$7,11),0))-MAX(D43,EDATE(Nebenkosten!$B$7,11))+1)/DAY(EOMONTH(EDATE(Nebenkosten!$B$7,11),0)))</f>
        <v/>
      </c>
      <c r="AA43" s="11">
        <f>IF(OR(Nebenkosten!$B$10="",Nebenkosten!$E$10=0,$F43=0),0,Nebenkosten!$B$10*IF(Nebenkosten!$C$10="Fläche",$I43,IF(Nebenkosten!$C$10="Anteil",$J43,$K43))*IF(Nebenkosten!$D$10="Heizung",$H43,$G43)/Nebenkosten!$E$10)</f>
        <v/>
      </c>
      <c r="AB43" s="11">
        <f>IF(OR(Nebenkosten!$B$11="",Nebenkosten!$E$11=0,$F43=0),0,Nebenkosten!$B$11*IF(Nebenkosten!$C$11="Fläche",$I43,IF(Nebenkosten!$C$11="Anteil",$J43,$K43))*IF(Nebenkosten!$D$11="Heizung",$H43,$G43)/Nebenkosten!$E$11)</f>
        <v/>
      </c>
      <c r="AC43" s="11">
        <f>IF(OR(Nebenkosten!$B$12="",Nebenkosten!$E$12=0,$F43=0),0,Nebenkosten!$B$12*IF(Nebenkosten!$C$12="Fläche",$I43,IF(Nebenkosten!$C$12="Anteil",$J43,$K43))*IF(Nebenkosten!$D$12="Heizung",$H43,$G43)/Nebenkosten!$E$12)</f>
        <v/>
      </c>
      <c r="AD43" s="11">
        <f>IF(OR(Nebenkosten!$B$13="",Nebenkosten!$E$13=0,$F43=0),0,Nebenkosten!$B$13*IF(Nebenkosten!$C$13="Fläche",$I43,IF(Nebenkosten!$C$13="Anteil",$J43,$K43))*IF(Nebenkosten!$D$13="Heizung",$H43,$G43)/Nebenkosten!$E$13)</f>
        <v/>
      </c>
      <c r="AE43" s="11">
        <f>IF(OR(Nebenkosten!$B$14="",Nebenkosten!$E$14=0,$F43=0),0,Nebenkosten!$B$14*IF(Nebenkosten!$C$14="Fläche",$I43,IF(Nebenkosten!$C$14="Anteil",$J43,$K43))*IF(Nebenkosten!$D$14="Heizung",$H43,$G43)/Nebenkosten!$E$14)</f>
        <v/>
      </c>
      <c r="AF43" s="11">
        <f>IF(OR(Nebenkosten!$B$15="",Nebenkosten!$E$15=0,$F43=0),0,Nebenkosten!$B$15*IF(Nebenkosten!$C$15="Fläche",$I43,IF(Nebenkosten!$C$15="Anteil",$J43,$K43))*IF(Nebenkosten!$D$15="Heizung",$H43,$G43)/Nebenkosten!$E$15)</f>
        <v/>
      </c>
      <c r="AG43" s="11">
        <f>IF(OR(Nebenkosten!$B$16="",Nebenkosten!$E$16=0,$F43=0),0,Nebenkosten!$B$16*IF(Nebenkosten!$C$16="Fläche",$I43,IF(Nebenkosten!$C$16="Anteil",$J43,$K43))*IF(Nebenkosten!$D$16="Heizung",$H43,$G43)/Nebenkosten!$E$16)</f>
        <v/>
      </c>
      <c r="AH43" s="11">
        <f>IF(OR(Nebenkosten!$B$17="",Nebenkosten!$E$17=0,$F43=0),0,Nebenkosten!$B$17*IF(Nebenkosten!$C$17="Fläche",$I43,IF(Nebenkosten!$C$17="Anteil",$J43,$K43))*IF(Nebenkosten!$D$17="Heizung",$H43,$G43)/Nebenkosten!$E$17)</f>
        <v/>
      </c>
      <c r="AI43" s="11">
        <f>IF(OR(Nebenkosten!$B$18="",Nebenkosten!$E$18=0,$F43=0),0,Nebenkosten!$B$18*IF(Nebenkosten!$C$18="Fläche",$I43,IF(Nebenkosten!$C$18="Anteil",$J43,$K43))*IF(Nebenkosten!$D$18="Heizung",$H43,$G43)/Nebenkosten!$E$18)</f>
        <v/>
      </c>
      <c r="AJ43" s="11">
        <f>IF(OR(Nebenkosten!$B$19="",Nebenkosten!$E$19=0,$F43=0),0,Nebenkosten!$B$19*IF(Nebenkosten!$C$19="Fläche",$I43,IF(Nebenkosten!$C$19="Anteil",$J43,$K43))*IF(Nebenkosten!$D$19="Heizung",$H43,$G43)/Nebenkosten!$E$19)</f>
        <v/>
      </c>
      <c r="AK43" s="11">
        <f>IF(OR(Nebenkosten!$B$20="",Nebenkosten!$E$20=0,$F43=0),0,Nebenkosten!$B$20*IF(Nebenkosten!$C$20="Fläche",$I43,IF(Nebenkosten!$C$20="Anteil",$J43,$K43))*IF(Nebenkosten!$D$20="Heizung",$H43,$G43)/Nebenkosten!$E$20)</f>
        <v/>
      </c>
      <c r="AL43" s="11">
        <f>IF(OR(Nebenkosten!$B$21="",Nebenkosten!$E$21=0,$F43=0),0,Nebenkosten!$B$21*IF(Nebenkosten!$C$21="Fläche",$I43,IF(Nebenkosten!$C$21="Anteil",$J43,$K43))*IF(Nebenkosten!$D$21="Heizung",$H43,$G43)/Nebenkosten!$E$21)</f>
        <v/>
      </c>
      <c r="AM43" s="11">
        <f>IF(OR(Nebenkosten!$B$22="",Nebenkosten!$E$22=0,$F43=0),0,Nebenkosten!$B$22*IF(Nebenkosten!$C$22="Fläche",$I43,IF(Nebenkosten!$C$22="Anteil",$J43,$K43))*IF(Nebenkosten!$D$22="Heizung",$H43,$G43)/Nebenkosten!$E$22)</f>
        <v/>
      </c>
      <c r="AN43" s="11">
        <f>IF(OR(Nebenkosten!$B$23="",Nebenkosten!$E$23=0,$F43=0),0,Nebenkosten!$B$23*IF(Nebenkosten!$C$23="Fläche",$I43,IF(Nebenkosten!$C$23="Anteil",$J43,$K43))*IF(Nebenkosten!$D$23="Heizung",$H43,$G43)/Nebenkosten!$E$23)</f>
        <v/>
      </c>
      <c r="AO43" s="11">
        <f>IF(OR(Nebenkosten!$B$24="",Nebenkosten!$E$24=0,$F43=0),0,Nebenkosten!$B$24*IF(Nebenkosten!$C$24="Fläche",$I43,IF(Nebenkosten!$C$24="Anteil",$J43,$K43))*IF(Nebenkosten!$D$24="Heizung",$H43,$G43)/Nebenkosten!$E$24)</f>
        <v/>
      </c>
      <c r="AP43" s="11">
        <f>IF(OR(Nebenkosten!$B$25="",Nebenkosten!$E$25=0,$F43=0),0,Nebenkosten!$B$25*IF(Nebenkosten!$C$25="Fläche",$I43,IF(Nebenkosten!$C$25="Anteil",$J43,$K43))*IF(Nebenkosten!$D$25="Heizung",$H43,$G43)/Nebenkosten!$E$25)</f>
        <v/>
      </c>
      <c r="AQ43" s="11">
        <f>IF(OR(Nebenkosten!$B$26="",Nebenkosten!$E$26=0,$F43=0),0,Nebenkosten!$B$26*IF(Nebenkosten!$C$26="Fläche",$I43,IF(Nebenkosten!$C$26="Anteil",$J43,$K43))*IF(Nebenkosten!$D$26="Heizung",$H43,$G43)/Nebenkosten!$E$26)</f>
        <v/>
      </c>
      <c r="AR43" s="11">
        <f>IF(OR(Nebenkosten!$B$27="",Nebenkosten!$E$27=0,$F43=0),0,Nebenkosten!$B$27*IF(Nebenkosten!$C$27="Fläche",$I43,IF(Nebenkosten!$C$27="Anteil",$J43,$K43))*IF(Nebenkosten!$D$27="Heizung",$H43,$G43)/Nebenkosten!$E$27)</f>
        <v/>
      </c>
      <c r="AS43" s="11">
        <f>IF(OR(Nebenkosten!$B$28="",Nebenkosten!$E$28=0,$F43=0),0,Nebenkosten!$B$28*IF(Nebenkosten!$C$28="Fläche",$I43,IF(Nebenkosten!$C$28="Anteil",$J43,$K43))*IF(Nebenkosten!$D$28="Heizung",$H43,$G43)/Nebenkosten!$E$28)</f>
        <v/>
      </c>
      <c r="AT43" s="11">
        <f>IF(OR(Nebenkosten!$B$29="",Nebenkosten!$E$29=0,$F43=0),0,Nebenkosten!$B$29*IF(Nebenkosten!$C$29="Fläche",$I43,IF(Nebenkosten!$C$29="Anteil",$J43,$K43))*IF(Nebenkosten!$D$29="Heizung",$H43,$G43)/Nebenkosten!$E$29)</f>
        <v/>
      </c>
      <c r="AU43" s="11">
        <f>IF(OR(Nebenkosten!$B$30="",Nebenkosten!$E$30=0,$F43=0),0,Nebenkosten!$B$30*IF(Nebenkosten!$C$30="Fläche",$I43,IF(Nebenkosten!$C$30="Anteil",$J43,$K43))*IF(Nebenkosten!$D$30="Heizung",$H43,$G43)/Nebenkosten!$E$30)</f>
        <v/>
      </c>
      <c r="AV43" s="11">
        <f>IF(OR(Nebenkosten!$B$31="",Nebenkosten!$E$31=0,$F43=0),0,Nebenkosten!$B$31*IF(Nebenkosten!$C$31="Fläche",$I43,IF(Nebenkosten!$C$31="Anteil",$J43,$K43))*IF(Nebenkosten!$D$31="Heizung",$H43,$G43)/Nebenkosten!$E$31)</f>
        <v/>
      </c>
      <c r="AW43" s="11">
        <f>IF(OR(Nebenkosten!$B$32="",Nebenkosten!$E$32=0,$F43=0),0,Nebenkosten!$B$32*IF(Nebenkosten!$C$32="Fläche",$I43,IF(Nebenkosten!$C$32="Anteil",$J43,$K43))*IF(Nebenkosten!$D$32="Heizung",$H43,$G43)/Nebenkosten!$E$32)</f>
        <v/>
      </c>
      <c r="AX43" s="11">
        <f>IF(OR(Nebenkosten!$B$33="",Nebenkosten!$E$33=0,$F43=0),0,Nebenkosten!$B$33*IF(Nebenkosten!$C$33="Fläche",$I43,IF(Nebenkosten!$C$33="Anteil",$J43,$K43))*IF(Nebenkosten!$D$33="Heizung",$H43,$G43)/Nebenkosten!$E$33)</f>
        <v/>
      </c>
      <c r="AY43" s="11">
        <f>IF(OR(Nebenkosten!$B$34="",Nebenkosten!$E$34=0,$F43=0),0,Nebenkosten!$B$34*IF(Nebenkosten!$C$34="Fläche",$I43,IF(Nebenkosten!$C$34="Anteil",$J43,$K43))*IF(Nebenkosten!$D$34="Heizung",$H43,$G43)/Nebenkosten!$E$34)</f>
        <v/>
      </c>
      <c r="AZ43" s="11">
        <f>ROUND(SUM(AA43:AY43)*20,0)/20</f>
        <v/>
      </c>
      <c r="BA43" s="11">
        <f>IF(F43=0,0,N43)</f>
        <v/>
      </c>
      <c r="BB43" s="11">
        <f>AZ43-BA43</f>
        <v/>
      </c>
    </row>
    <row r="44">
      <c r="A44" s="10">
        <f>'Mein Haus'!A84</f>
        <v/>
      </c>
      <c r="B44" s="23">
        <f>IF('Mein Haus'!C84="","",'Mein Haus'!C84)</f>
        <v/>
      </c>
      <c r="C44" s="23">
        <f>IF('Mein Haus'!B84="","",'Mein Haus'!B84)</f>
        <v/>
      </c>
      <c r="D44" s="21">
        <f>IF(AND('Mein Haus'!C84&lt;&gt;"",'Mein Haus'!B84&lt;&gt;"",Nebenkosten!$B$7&lt;&gt;""),MAX(IF('Mein Haus'!D84="",Nebenkosten!$B$7,'Mein Haus'!D84),Nebenkosten!$B$7),"")</f>
        <v/>
      </c>
      <c r="E44" s="21">
        <f>IF(AND('Mein Haus'!C84&lt;&gt;"",'Mein Haus'!B84&lt;&gt;"",Nebenkosten!$B$7&lt;&gt;""),MIN(IF('Mein Haus'!F84="",Nebenkosten!$D$7,'Mein Haus'!F84),Nebenkosten!$D$7),"")</f>
        <v/>
      </c>
      <c r="F44" s="10">
        <f>IF(D44="",0,MAX(0,E44-D44+1))</f>
        <v/>
      </c>
      <c r="G44" s="49">
        <f>IF(F44=0,0,F44/Nebenkosten!$F$7)</f>
        <v/>
      </c>
      <c r="H44" s="49">
        <f>IF(F44=0,0,SUMPRODUCT(O44:Z44,$O$3:$Z$3)/Einstellungen!$F$17)</f>
        <v/>
      </c>
      <c r="I44" s="19">
        <f>IF(F44=0,0,IFERROR(INDEX('Mein Haus'!$D$11:$D$40,MATCH(C44,'Mein Haus'!$A$11:$A$40,0)),0))</f>
        <v/>
      </c>
      <c r="J44" s="19">
        <f>IF(F44=0,0,IFERROR(INDEX('Mein Haus'!$E$11:$E$40,MATCH(C44,'Mein Haus'!$A$11:$A$40,0)),0))</f>
        <v/>
      </c>
      <c r="K44" s="19">
        <f>IF(F44=0,0,IFERROR(INDEX('Mein Haus'!$F$11:$F$40,MATCH(C44,'Mein Haus'!$A$11:$A$40,0)),0))</f>
        <v/>
      </c>
      <c r="L44" s="11">
        <f>IF(F44=0,0,N('Mein Haus'!H84)*SUM(O44:Z44))</f>
        <v/>
      </c>
      <c r="M44" s="22" t="n"/>
      <c r="N44" s="11">
        <f>IF(M44&lt;&gt;"",M44,L44)</f>
        <v/>
      </c>
      <c r="O44" s="19">
        <f>IF(F44=0,0,MAX(0,MIN(E44,EOMONTH(EDATE(Nebenkosten!$B$7,0),0))-MAX(D44,EDATE(Nebenkosten!$B$7,0))+1)/DAY(EOMONTH(EDATE(Nebenkosten!$B$7,0),0)))</f>
        <v/>
      </c>
      <c r="P44" s="19">
        <f>IF(F44=0,0,MAX(0,MIN(E44,EOMONTH(EDATE(Nebenkosten!$B$7,1),0))-MAX(D44,EDATE(Nebenkosten!$B$7,1))+1)/DAY(EOMONTH(EDATE(Nebenkosten!$B$7,1),0)))</f>
        <v/>
      </c>
      <c r="Q44" s="19">
        <f>IF(F44=0,0,MAX(0,MIN(E44,EOMONTH(EDATE(Nebenkosten!$B$7,2),0))-MAX(D44,EDATE(Nebenkosten!$B$7,2))+1)/DAY(EOMONTH(EDATE(Nebenkosten!$B$7,2),0)))</f>
        <v/>
      </c>
      <c r="R44" s="19">
        <f>IF(F44=0,0,MAX(0,MIN(E44,EOMONTH(EDATE(Nebenkosten!$B$7,3),0))-MAX(D44,EDATE(Nebenkosten!$B$7,3))+1)/DAY(EOMONTH(EDATE(Nebenkosten!$B$7,3),0)))</f>
        <v/>
      </c>
      <c r="S44" s="19">
        <f>IF(F44=0,0,MAX(0,MIN(E44,EOMONTH(EDATE(Nebenkosten!$B$7,4),0))-MAX(D44,EDATE(Nebenkosten!$B$7,4))+1)/DAY(EOMONTH(EDATE(Nebenkosten!$B$7,4),0)))</f>
        <v/>
      </c>
      <c r="T44" s="19">
        <f>IF(F44=0,0,MAX(0,MIN(E44,EOMONTH(EDATE(Nebenkosten!$B$7,5),0))-MAX(D44,EDATE(Nebenkosten!$B$7,5))+1)/DAY(EOMONTH(EDATE(Nebenkosten!$B$7,5),0)))</f>
        <v/>
      </c>
      <c r="U44" s="19">
        <f>IF(F44=0,0,MAX(0,MIN(E44,EOMONTH(EDATE(Nebenkosten!$B$7,6),0))-MAX(D44,EDATE(Nebenkosten!$B$7,6))+1)/DAY(EOMONTH(EDATE(Nebenkosten!$B$7,6),0)))</f>
        <v/>
      </c>
      <c r="V44" s="19">
        <f>IF(F44=0,0,MAX(0,MIN(E44,EOMONTH(EDATE(Nebenkosten!$B$7,7),0))-MAX(D44,EDATE(Nebenkosten!$B$7,7))+1)/DAY(EOMONTH(EDATE(Nebenkosten!$B$7,7),0)))</f>
        <v/>
      </c>
      <c r="W44" s="19">
        <f>IF(F44=0,0,MAX(0,MIN(E44,EOMONTH(EDATE(Nebenkosten!$B$7,8),0))-MAX(D44,EDATE(Nebenkosten!$B$7,8))+1)/DAY(EOMONTH(EDATE(Nebenkosten!$B$7,8),0)))</f>
        <v/>
      </c>
      <c r="X44" s="19">
        <f>IF(F44=0,0,MAX(0,MIN(E44,EOMONTH(EDATE(Nebenkosten!$B$7,9),0))-MAX(D44,EDATE(Nebenkosten!$B$7,9))+1)/DAY(EOMONTH(EDATE(Nebenkosten!$B$7,9),0)))</f>
        <v/>
      </c>
      <c r="Y44" s="19">
        <f>IF(F44=0,0,MAX(0,MIN(E44,EOMONTH(EDATE(Nebenkosten!$B$7,10),0))-MAX(D44,EDATE(Nebenkosten!$B$7,10))+1)/DAY(EOMONTH(EDATE(Nebenkosten!$B$7,10),0)))</f>
        <v/>
      </c>
      <c r="Z44" s="19">
        <f>IF(F44=0,0,MAX(0,MIN(E44,EOMONTH(EDATE(Nebenkosten!$B$7,11),0))-MAX(D44,EDATE(Nebenkosten!$B$7,11))+1)/DAY(EOMONTH(EDATE(Nebenkosten!$B$7,11),0)))</f>
        <v/>
      </c>
      <c r="AA44" s="11">
        <f>IF(OR(Nebenkosten!$B$10="",Nebenkosten!$E$10=0,$F44=0),0,Nebenkosten!$B$10*IF(Nebenkosten!$C$10="Fläche",$I44,IF(Nebenkosten!$C$10="Anteil",$J44,$K44))*IF(Nebenkosten!$D$10="Heizung",$H44,$G44)/Nebenkosten!$E$10)</f>
        <v/>
      </c>
      <c r="AB44" s="11">
        <f>IF(OR(Nebenkosten!$B$11="",Nebenkosten!$E$11=0,$F44=0),0,Nebenkosten!$B$11*IF(Nebenkosten!$C$11="Fläche",$I44,IF(Nebenkosten!$C$11="Anteil",$J44,$K44))*IF(Nebenkosten!$D$11="Heizung",$H44,$G44)/Nebenkosten!$E$11)</f>
        <v/>
      </c>
      <c r="AC44" s="11">
        <f>IF(OR(Nebenkosten!$B$12="",Nebenkosten!$E$12=0,$F44=0),0,Nebenkosten!$B$12*IF(Nebenkosten!$C$12="Fläche",$I44,IF(Nebenkosten!$C$12="Anteil",$J44,$K44))*IF(Nebenkosten!$D$12="Heizung",$H44,$G44)/Nebenkosten!$E$12)</f>
        <v/>
      </c>
      <c r="AD44" s="11">
        <f>IF(OR(Nebenkosten!$B$13="",Nebenkosten!$E$13=0,$F44=0),0,Nebenkosten!$B$13*IF(Nebenkosten!$C$13="Fläche",$I44,IF(Nebenkosten!$C$13="Anteil",$J44,$K44))*IF(Nebenkosten!$D$13="Heizung",$H44,$G44)/Nebenkosten!$E$13)</f>
        <v/>
      </c>
      <c r="AE44" s="11">
        <f>IF(OR(Nebenkosten!$B$14="",Nebenkosten!$E$14=0,$F44=0),0,Nebenkosten!$B$14*IF(Nebenkosten!$C$14="Fläche",$I44,IF(Nebenkosten!$C$14="Anteil",$J44,$K44))*IF(Nebenkosten!$D$14="Heizung",$H44,$G44)/Nebenkosten!$E$14)</f>
        <v/>
      </c>
      <c r="AF44" s="11">
        <f>IF(OR(Nebenkosten!$B$15="",Nebenkosten!$E$15=0,$F44=0),0,Nebenkosten!$B$15*IF(Nebenkosten!$C$15="Fläche",$I44,IF(Nebenkosten!$C$15="Anteil",$J44,$K44))*IF(Nebenkosten!$D$15="Heizung",$H44,$G44)/Nebenkosten!$E$15)</f>
        <v/>
      </c>
      <c r="AG44" s="11">
        <f>IF(OR(Nebenkosten!$B$16="",Nebenkosten!$E$16=0,$F44=0),0,Nebenkosten!$B$16*IF(Nebenkosten!$C$16="Fläche",$I44,IF(Nebenkosten!$C$16="Anteil",$J44,$K44))*IF(Nebenkosten!$D$16="Heizung",$H44,$G44)/Nebenkosten!$E$16)</f>
        <v/>
      </c>
      <c r="AH44" s="11">
        <f>IF(OR(Nebenkosten!$B$17="",Nebenkosten!$E$17=0,$F44=0),0,Nebenkosten!$B$17*IF(Nebenkosten!$C$17="Fläche",$I44,IF(Nebenkosten!$C$17="Anteil",$J44,$K44))*IF(Nebenkosten!$D$17="Heizung",$H44,$G44)/Nebenkosten!$E$17)</f>
        <v/>
      </c>
      <c r="AI44" s="11">
        <f>IF(OR(Nebenkosten!$B$18="",Nebenkosten!$E$18=0,$F44=0),0,Nebenkosten!$B$18*IF(Nebenkosten!$C$18="Fläche",$I44,IF(Nebenkosten!$C$18="Anteil",$J44,$K44))*IF(Nebenkosten!$D$18="Heizung",$H44,$G44)/Nebenkosten!$E$18)</f>
        <v/>
      </c>
      <c r="AJ44" s="11">
        <f>IF(OR(Nebenkosten!$B$19="",Nebenkosten!$E$19=0,$F44=0),0,Nebenkosten!$B$19*IF(Nebenkosten!$C$19="Fläche",$I44,IF(Nebenkosten!$C$19="Anteil",$J44,$K44))*IF(Nebenkosten!$D$19="Heizung",$H44,$G44)/Nebenkosten!$E$19)</f>
        <v/>
      </c>
      <c r="AK44" s="11">
        <f>IF(OR(Nebenkosten!$B$20="",Nebenkosten!$E$20=0,$F44=0),0,Nebenkosten!$B$20*IF(Nebenkosten!$C$20="Fläche",$I44,IF(Nebenkosten!$C$20="Anteil",$J44,$K44))*IF(Nebenkosten!$D$20="Heizung",$H44,$G44)/Nebenkosten!$E$20)</f>
        <v/>
      </c>
      <c r="AL44" s="11">
        <f>IF(OR(Nebenkosten!$B$21="",Nebenkosten!$E$21=0,$F44=0),0,Nebenkosten!$B$21*IF(Nebenkosten!$C$21="Fläche",$I44,IF(Nebenkosten!$C$21="Anteil",$J44,$K44))*IF(Nebenkosten!$D$21="Heizung",$H44,$G44)/Nebenkosten!$E$21)</f>
        <v/>
      </c>
      <c r="AM44" s="11">
        <f>IF(OR(Nebenkosten!$B$22="",Nebenkosten!$E$22=0,$F44=0),0,Nebenkosten!$B$22*IF(Nebenkosten!$C$22="Fläche",$I44,IF(Nebenkosten!$C$22="Anteil",$J44,$K44))*IF(Nebenkosten!$D$22="Heizung",$H44,$G44)/Nebenkosten!$E$22)</f>
        <v/>
      </c>
      <c r="AN44" s="11">
        <f>IF(OR(Nebenkosten!$B$23="",Nebenkosten!$E$23=0,$F44=0),0,Nebenkosten!$B$23*IF(Nebenkosten!$C$23="Fläche",$I44,IF(Nebenkosten!$C$23="Anteil",$J44,$K44))*IF(Nebenkosten!$D$23="Heizung",$H44,$G44)/Nebenkosten!$E$23)</f>
        <v/>
      </c>
      <c r="AO44" s="11">
        <f>IF(OR(Nebenkosten!$B$24="",Nebenkosten!$E$24=0,$F44=0),0,Nebenkosten!$B$24*IF(Nebenkosten!$C$24="Fläche",$I44,IF(Nebenkosten!$C$24="Anteil",$J44,$K44))*IF(Nebenkosten!$D$24="Heizung",$H44,$G44)/Nebenkosten!$E$24)</f>
        <v/>
      </c>
      <c r="AP44" s="11">
        <f>IF(OR(Nebenkosten!$B$25="",Nebenkosten!$E$25=0,$F44=0),0,Nebenkosten!$B$25*IF(Nebenkosten!$C$25="Fläche",$I44,IF(Nebenkosten!$C$25="Anteil",$J44,$K44))*IF(Nebenkosten!$D$25="Heizung",$H44,$G44)/Nebenkosten!$E$25)</f>
        <v/>
      </c>
      <c r="AQ44" s="11">
        <f>IF(OR(Nebenkosten!$B$26="",Nebenkosten!$E$26=0,$F44=0),0,Nebenkosten!$B$26*IF(Nebenkosten!$C$26="Fläche",$I44,IF(Nebenkosten!$C$26="Anteil",$J44,$K44))*IF(Nebenkosten!$D$26="Heizung",$H44,$G44)/Nebenkosten!$E$26)</f>
        <v/>
      </c>
      <c r="AR44" s="11">
        <f>IF(OR(Nebenkosten!$B$27="",Nebenkosten!$E$27=0,$F44=0),0,Nebenkosten!$B$27*IF(Nebenkosten!$C$27="Fläche",$I44,IF(Nebenkosten!$C$27="Anteil",$J44,$K44))*IF(Nebenkosten!$D$27="Heizung",$H44,$G44)/Nebenkosten!$E$27)</f>
        <v/>
      </c>
      <c r="AS44" s="11">
        <f>IF(OR(Nebenkosten!$B$28="",Nebenkosten!$E$28=0,$F44=0),0,Nebenkosten!$B$28*IF(Nebenkosten!$C$28="Fläche",$I44,IF(Nebenkosten!$C$28="Anteil",$J44,$K44))*IF(Nebenkosten!$D$28="Heizung",$H44,$G44)/Nebenkosten!$E$28)</f>
        <v/>
      </c>
      <c r="AT44" s="11">
        <f>IF(OR(Nebenkosten!$B$29="",Nebenkosten!$E$29=0,$F44=0),0,Nebenkosten!$B$29*IF(Nebenkosten!$C$29="Fläche",$I44,IF(Nebenkosten!$C$29="Anteil",$J44,$K44))*IF(Nebenkosten!$D$29="Heizung",$H44,$G44)/Nebenkosten!$E$29)</f>
        <v/>
      </c>
      <c r="AU44" s="11">
        <f>IF(OR(Nebenkosten!$B$30="",Nebenkosten!$E$30=0,$F44=0),0,Nebenkosten!$B$30*IF(Nebenkosten!$C$30="Fläche",$I44,IF(Nebenkosten!$C$30="Anteil",$J44,$K44))*IF(Nebenkosten!$D$30="Heizung",$H44,$G44)/Nebenkosten!$E$30)</f>
        <v/>
      </c>
      <c r="AV44" s="11">
        <f>IF(OR(Nebenkosten!$B$31="",Nebenkosten!$E$31=0,$F44=0),0,Nebenkosten!$B$31*IF(Nebenkosten!$C$31="Fläche",$I44,IF(Nebenkosten!$C$31="Anteil",$J44,$K44))*IF(Nebenkosten!$D$31="Heizung",$H44,$G44)/Nebenkosten!$E$31)</f>
        <v/>
      </c>
      <c r="AW44" s="11">
        <f>IF(OR(Nebenkosten!$B$32="",Nebenkosten!$E$32=0,$F44=0),0,Nebenkosten!$B$32*IF(Nebenkosten!$C$32="Fläche",$I44,IF(Nebenkosten!$C$32="Anteil",$J44,$K44))*IF(Nebenkosten!$D$32="Heizung",$H44,$G44)/Nebenkosten!$E$32)</f>
        <v/>
      </c>
      <c r="AX44" s="11">
        <f>IF(OR(Nebenkosten!$B$33="",Nebenkosten!$E$33=0,$F44=0),0,Nebenkosten!$B$33*IF(Nebenkosten!$C$33="Fläche",$I44,IF(Nebenkosten!$C$33="Anteil",$J44,$K44))*IF(Nebenkosten!$D$33="Heizung",$H44,$G44)/Nebenkosten!$E$33)</f>
        <v/>
      </c>
      <c r="AY44" s="11">
        <f>IF(OR(Nebenkosten!$B$34="",Nebenkosten!$E$34=0,$F44=0),0,Nebenkosten!$B$34*IF(Nebenkosten!$C$34="Fläche",$I44,IF(Nebenkosten!$C$34="Anteil",$J44,$K44))*IF(Nebenkosten!$D$34="Heizung",$H44,$G44)/Nebenkosten!$E$34)</f>
        <v/>
      </c>
      <c r="AZ44" s="11">
        <f>ROUND(SUM(AA44:AY44)*20,0)/20</f>
        <v/>
      </c>
      <c r="BA44" s="11">
        <f>IF(F44=0,0,N44)</f>
        <v/>
      </c>
      <c r="BB44" s="11">
        <f>AZ44-BA44</f>
        <v/>
      </c>
    </row>
    <row r="45">
      <c r="A45" s="10">
        <f>'Mein Haus'!A85</f>
        <v/>
      </c>
      <c r="B45" s="23">
        <f>IF('Mein Haus'!C85="","",'Mein Haus'!C85)</f>
        <v/>
      </c>
      <c r="C45" s="23">
        <f>IF('Mein Haus'!B85="","",'Mein Haus'!B85)</f>
        <v/>
      </c>
      <c r="D45" s="21">
        <f>IF(AND('Mein Haus'!C85&lt;&gt;"",'Mein Haus'!B85&lt;&gt;"",Nebenkosten!$B$7&lt;&gt;""),MAX(IF('Mein Haus'!D85="",Nebenkosten!$B$7,'Mein Haus'!D85),Nebenkosten!$B$7),"")</f>
        <v/>
      </c>
      <c r="E45" s="21">
        <f>IF(AND('Mein Haus'!C85&lt;&gt;"",'Mein Haus'!B85&lt;&gt;"",Nebenkosten!$B$7&lt;&gt;""),MIN(IF('Mein Haus'!F85="",Nebenkosten!$D$7,'Mein Haus'!F85),Nebenkosten!$D$7),"")</f>
        <v/>
      </c>
      <c r="F45" s="10">
        <f>IF(D45="",0,MAX(0,E45-D45+1))</f>
        <v/>
      </c>
      <c r="G45" s="49">
        <f>IF(F45=0,0,F45/Nebenkosten!$F$7)</f>
        <v/>
      </c>
      <c r="H45" s="49">
        <f>IF(F45=0,0,SUMPRODUCT(O45:Z45,$O$3:$Z$3)/Einstellungen!$F$17)</f>
        <v/>
      </c>
      <c r="I45" s="19">
        <f>IF(F45=0,0,IFERROR(INDEX('Mein Haus'!$D$11:$D$40,MATCH(C45,'Mein Haus'!$A$11:$A$40,0)),0))</f>
        <v/>
      </c>
      <c r="J45" s="19">
        <f>IF(F45=0,0,IFERROR(INDEX('Mein Haus'!$E$11:$E$40,MATCH(C45,'Mein Haus'!$A$11:$A$40,0)),0))</f>
        <v/>
      </c>
      <c r="K45" s="19">
        <f>IF(F45=0,0,IFERROR(INDEX('Mein Haus'!$F$11:$F$40,MATCH(C45,'Mein Haus'!$A$11:$A$40,0)),0))</f>
        <v/>
      </c>
      <c r="L45" s="11">
        <f>IF(F45=0,0,N('Mein Haus'!H85)*SUM(O45:Z45))</f>
        <v/>
      </c>
      <c r="M45" s="22" t="n"/>
      <c r="N45" s="11">
        <f>IF(M45&lt;&gt;"",M45,L45)</f>
        <v/>
      </c>
      <c r="O45" s="19">
        <f>IF(F45=0,0,MAX(0,MIN(E45,EOMONTH(EDATE(Nebenkosten!$B$7,0),0))-MAX(D45,EDATE(Nebenkosten!$B$7,0))+1)/DAY(EOMONTH(EDATE(Nebenkosten!$B$7,0),0)))</f>
        <v/>
      </c>
      <c r="P45" s="19">
        <f>IF(F45=0,0,MAX(0,MIN(E45,EOMONTH(EDATE(Nebenkosten!$B$7,1),0))-MAX(D45,EDATE(Nebenkosten!$B$7,1))+1)/DAY(EOMONTH(EDATE(Nebenkosten!$B$7,1),0)))</f>
        <v/>
      </c>
      <c r="Q45" s="19">
        <f>IF(F45=0,0,MAX(0,MIN(E45,EOMONTH(EDATE(Nebenkosten!$B$7,2),0))-MAX(D45,EDATE(Nebenkosten!$B$7,2))+1)/DAY(EOMONTH(EDATE(Nebenkosten!$B$7,2),0)))</f>
        <v/>
      </c>
      <c r="R45" s="19">
        <f>IF(F45=0,0,MAX(0,MIN(E45,EOMONTH(EDATE(Nebenkosten!$B$7,3),0))-MAX(D45,EDATE(Nebenkosten!$B$7,3))+1)/DAY(EOMONTH(EDATE(Nebenkosten!$B$7,3),0)))</f>
        <v/>
      </c>
      <c r="S45" s="19">
        <f>IF(F45=0,0,MAX(0,MIN(E45,EOMONTH(EDATE(Nebenkosten!$B$7,4),0))-MAX(D45,EDATE(Nebenkosten!$B$7,4))+1)/DAY(EOMONTH(EDATE(Nebenkosten!$B$7,4),0)))</f>
        <v/>
      </c>
      <c r="T45" s="19">
        <f>IF(F45=0,0,MAX(0,MIN(E45,EOMONTH(EDATE(Nebenkosten!$B$7,5),0))-MAX(D45,EDATE(Nebenkosten!$B$7,5))+1)/DAY(EOMONTH(EDATE(Nebenkosten!$B$7,5),0)))</f>
        <v/>
      </c>
      <c r="U45" s="19">
        <f>IF(F45=0,0,MAX(0,MIN(E45,EOMONTH(EDATE(Nebenkosten!$B$7,6),0))-MAX(D45,EDATE(Nebenkosten!$B$7,6))+1)/DAY(EOMONTH(EDATE(Nebenkosten!$B$7,6),0)))</f>
        <v/>
      </c>
      <c r="V45" s="19">
        <f>IF(F45=0,0,MAX(0,MIN(E45,EOMONTH(EDATE(Nebenkosten!$B$7,7),0))-MAX(D45,EDATE(Nebenkosten!$B$7,7))+1)/DAY(EOMONTH(EDATE(Nebenkosten!$B$7,7),0)))</f>
        <v/>
      </c>
      <c r="W45" s="19">
        <f>IF(F45=0,0,MAX(0,MIN(E45,EOMONTH(EDATE(Nebenkosten!$B$7,8),0))-MAX(D45,EDATE(Nebenkosten!$B$7,8))+1)/DAY(EOMONTH(EDATE(Nebenkosten!$B$7,8),0)))</f>
        <v/>
      </c>
      <c r="X45" s="19">
        <f>IF(F45=0,0,MAX(0,MIN(E45,EOMONTH(EDATE(Nebenkosten!$B$7,9),0))-MAX(D45,EDATE(Nebenkosten!$B$7,9))+1)/DAY(EOMONTH(EDATE(Nebenkosten!$B$7,9),0)))</f>
        <v/>
      </c>
      <c r="Y45" s="19">
        <f>IF(F45=0,0,MAX(0,MIN(E45,EOMONTH(EDATE(Nebenkosten!$B$7,10),0))-MAX(D45,EDATE(Nebenkosten!$B$7,10))+1)/DAY(EOMONTH(EDATE(Nebenkosten!$B$7,10),0)))</f>
        <v/>
      </c>
      <c r="Z45" s="19">
        <f>IF(F45=0,0,MAX(0,MIN(E45,EOMONTH(EDATE(Nebenkosten!$B$7,11),0))-MAX(D45,EDATE(Nebenkosten!$B$7,11))+1)/DAY(EOMONTH(EDATE(Nebenkosten!$B$7,11),0)))</f>
        <v/>
      </c>
      <c r="AA45" s="11">
        <f>IF(OR(Nebenkosten!$B$10="",Nebenkosten!$E$10=0,$F45=0),0,Nebenkosten!$B$10*IF(Nebenkosten!$C$10="Fläche",$I45,IF(Nebenkosten!$C$10="Anteil",$J45,$K45))*IF(Nebenkosten!$D$10="Heizung",$H45,$G45)/Nebenkosten!$E$10)</f>
        <v/>
      </c>
      <c r="AB45" s="11">
        <f>IF(OR(Nebenkosten!$B$11="",Nebenkosten!$E$11=0,$F45=0),0,Nebenkosten!$B$11*IF(Nebenkosten!$C$11="Fläche",$I45,IF(Nebenkosten!$C$11="Anteil",$J45,$K45))*IF(Nebenkosten!$D$11="Heizung",$H45,$G45)/Nebenkosten!$E$11)</f>
        <v/>
      </c>
      <c r="AC45" s="11">
        <f>IF(OR(Nebenkosten!$B$12="",Nebenkosten!$E$12=0,$F45=0),0,Nebenkosten!$B$12*IF(Nebenkosten!$C$12="Fläche",$I45,IF(Nebenkosten!$C$12="Anteil",$J45,$K45))*IF(Nebenkosten!$D$12="Heizung",$H45,$G45)/Nebenkosten!$E$12)</f>
        <v/>
      </c>
      <c r="AD45" s="11">
        <f>IF(OR(Nebenkosten!$B$13="",Nebenkosten!$E$13=0,$F45=0),0,Nebenkosten!$B$13*IF(Nebenkosten!$C$13="Fläche",$I45,IF(Nebenkosten!$C$13="Anteil",$J45,$K45))*IF(Nebenkosten!$D$13="Heizung",$H45,$G45)/Nebenkosten!$E$13)</f>
        <v/>
      </c>
      <c r="AE45" s="11">
        <f>IF(OR(Nebenkosten!$B$14="",Nebenkosten!$E$14=0,$F45=0),0,Nebenkosten!$B$14*IF(Nebenkosten!$C$14="Fläche",$I45,IF(Nebenkosten!$C$14="Anteil",$J45,$K45))*IF(Nebenkosten!$D$14="Heizung",$H45,$G45)/Nebenkosten!$E$14)</f>
        <v/>
      </c>
      <c r="AF45" s="11">
        <f>IF(OR(Nebenkosten!$B$15="",Nebenkosten!$E$15=0,$F45=0),0,Nebenkosten!$B$15*IF(Nebenkosten!$C$15="Fläche",$I45,IF(Nebenkosten!$C$15="Anteil",$J45,$K45))*IF(Nebenkosten!$D$15="Heizung",$H45,$G45)/Nebenkosten!$E$15)</f>
        <v/>
      </c>
      <c r="AG45" s="11">
        <f>IF(OR(Nebenkosten!$B$16="",Nebenkosten!$E$16=0,$F45=0),0,Nebenkosten!$B$16*IF(Nebenkosten!$C$16="Fläche",$I45,IF(Nebenkosten!$C$16="Anteil",$J45,$K45))*IF(Nebenkosten!$D$16="Heizung",$H45,$G45)/Nebenkosten!$E$16)</f>
        <v/>
      </c>
      <c r="AH45" s="11">
        <f>IF(OR(Nebenkosten!$B$17="",Nebenkosten!$E$17=0,$F45=0),0,Nebenkosten!$B$17*IF(Nebenkosten!$C$17="Fläche",$I45,IF(Nebenkosten!$C$17="Anteil",$J45,$K45))*IF(Nebenkosten!$D$17="Heizung",$H45,$G45)/Nebenkosten!$E$17)</f>
        <v/>
      </c>
      <c r="AI45" s="11">
        <f>IF(OR(Nebenkosten!$B$18="",Nebenkosten!$E$18=0,$F45=0),0,Nebenkosten!$B$18*IF(Nebenkosten!$C$18="Fläche",$I45,IF(Nebenkosten!$C$18="Anteil",$J45,$K45))*IF(Nebenkosten!$D$18="Heizung",$H45,$G45)/Nebenkosten!$E$18)</f>
        <v/>
      </c>
      <c r="AJ45" s="11">
        <f>IF(OR(Nebenkosten!$B$19="",Nebenkosten!$E$19=0,$F45=0),0,Nebenkosten!$B$19*IF(Nebenkosten!$C$19="Fläche",$I45,IF(Nebenkosten!$C$19="Anteil",$J45,$K45))*IF(Nebenkosten!$D$19="Heizung",$H45,$G45)/Nebenkosten!$E$19)</f>
        <v/>
      </c>
      <c r="AK45" s="11">
        <f>IF(OR(Nebenkosten!$B$20="",Nebenkosten!$E$20=0,$F45=0),0,Nebenkosten!$B$20*IF(Nebenkosten!$C$20="Fläche",$I45,IF(Nebenkosten!$C$20="Anteil",$J45,$K45))*IF(Nebenkosten!$D$20="Heizung",$H45,$G45)/Nebenkosten!$E$20)</f>
        <v/>
      </c>
      <c r="AL45" s="11">
        <f>IF(OR(Nebenkosten!$B$21="",Nebenkosten!$E$21=0,$F45=0),0,Nebenkosten!$B$21*IF(Nebenkosten!$C$21="Fläche",$I45,IF(Nebenkosten!$C$21="Anteil",$J45,$K45))*IF(Nebenkosten!$D$21="Heizung",$H45,$G45)/Nebenkosten!$E$21)</f>
        <v/>
      </c>
      <c r="AM45" s="11">
        <f>IF(OR(Nebenkosten!$B$22="",Nebenkosten!$E$22=0,$F45=0),0,Nebenkosten!$B$22*IF(Nebenkosten!$C$22="Fläche",$I45,IF(Nebenkosten!$C$22="Anteil",$J45,$K45))*IF(Nebenkosten!$D$22="Heizung",$H45,$G45)/Nebenkosten!$E$22)</f>
        <v/>
      </c>
      <c r="AN45" s="11">
        <f>IF(OR(Nebenkosten!$B$23="",Nebenkosten!$E$23=0,$F45=0),0,Nebenkosten!$B$23*IF(Nebenkosten!$C$23="Fläche",$I45,IF(Nebenkosten!$C$23="Anteil",$J45,$K45))*IF(Nebenkosten!$D$23="Heizung",$H45,$G45)/Nebenkosten!$E$23)</f>
        <v/>
      </c>
      <c r="AO45" s="11">
        <f>IF(OR(Nebenkosten!$B$24="",Nebenkosten!$E$24=0,$F45=0),0,Nebenkosten!$B$24*IF(Nebenkosten!$C$24="Fläche",$I45,IF(Nebenkosten!$C$24="Anteil",$J45,$K45))*IF(Nebenkosten!$D$24="Heizung",$H45,$G45)/Nebenkosten!$E$24)</f>
        <v/>
      </c>
      <c r="AP45" s="11">
        <f>IF(OR(Nebenkosten!$B$25="",Nebenkosten!$E$25=0,$F45=0),0,Nebenkosten!$B$25*IF(Nebenkosten!$C$25="Fläche",$I45,IF(Nebenkosten!$C$25="Anteil",$J45,$K45))*IF(Nebenkosten!$D$25="Heizung",$H45,$G45)/Nebenkosten!$E$25)</f>
        <v/>
      </c>
      <c r="AQ45" s="11">
        <f>IF(OR(Nebenkosten!$B$26="",Nebenkosten!$E$26=0,$F45=0),0,Nebenkosten!$B$26*IF(Nebenkosten!$C$26="Fläche",$I45,IF(Nebenkosten!$C$26="Anteil",$J45,$K45))*IF(Nebenkosten!$D$26="Heizung",$H45,$G45)/Nebenkosten!$E$26)</f>
        <v/>
      </c>
      <c r="AR45" s="11">
        <f>IF(OR(Nebenkosten!$B$27="",Nebenkosten!$E$27=0,$F45=0),0,Nebenkosten!$B$27*IF(Nebenkosten!$C$27="Fläche",$I45,IF(Nebenkosten!$C$27="Anteil",$J45,$K45))*IF(Nebenkosten!$D$27="Heizung",$H45,$G45)/Nebenkosten!$E$27)</f>
        <v/>
      </c>
      <c r="AS45" s="11">
        <f>IF(OR(Nebenkosten!$B$28="",Nebenkosten!$E$28=0,$F45=0),0,Nebenkosten!$B$28*IF(Nebenkosten!$C$28="Fläche",$I45,IF(Nebenkosten!$C$28="Anteil",$J45,$K45))*IF(Nebenkosten!$D$28="Heizung",$H45,$G45)/Nebenkosten!$E$28)</f>
        <v/>
      </c>
      <c r="AT45" s="11">
        <f>IF(OR(Nebenkosten!$B$29="",Nebenkosten!$E$29=0,$F45=0),0,Nebenkosten!$B$29*IF(Nebenkosten!$C$29="Fläche",$I45,IF(Nebenkosten!$C$29="Anteil",$J45,$K45))*IF(Nebenkosten!$D$29="Heizung",$H45,$G45)/Nebenkosten!$E$29)</f>
        <v/>
      </c>
      <c r="AU45" s="11">
        <f>IF(OR(Nebenkosten!$B$30="",Nebenkosten!$E$30=0,$F45=0),0,Nebenkosten!$B$30*IF(Nebenkosten!$C$30="Fläche",$I45,IF(Nebenkosten!$C$30="Anteil",$J45,$K45))*IF(Nebenkosten!$D$30="Heizung",$H45,$G45)/Nebenkosten!$E$30)</f>
        <v/>
      </c>
      <c r="AV45" s="11">
        <f>IF(OR(Nebenkosten!$B$31="",Nebenkosten!$E$31=0,$F45=0),0,Nebenkosten!$B$31*IF(Nebenkosten!$C$31="Fläche",$I45,IF(Nebenkosten!$C$31="Anteil",$J45,$K45))*IF(Nebenkosten!$D$31="Heizung",$H45,$G45)/Nebenkosten!$E$31)</f>
        <v/>
      </c>
      <c r="AW45" s="11">
        <f>IF(OR(Nebenkosten!$B$32="",Nebenkosten!$E$32=0,$F45=0),0,Nebenkosten!$B$32*IF(Nebenkosten!$C$32="Fläche",$I45,IF(Nebenkosten!$C$32="Anteil",$J45,$K45))*IF(Nebenkosten!$D$32="Heizung",$H45,$G45)/Nebenkosten!$E$32)</f>
        <v/>
      </c>
      <c r="AX45" s="11">
        <f>IF(OR(Nebenkosten!$B$33="",Nebenkosten!$E$33=0,$F45=0),0,Nebenkosten!$B$33*IF(Nebenkosten!$C$33="Fläche",$I45,IF(Nebenkosten!$C$33="Anteil",$J45,$K45))*IF(Nebenkosten!$D$33="Heizung",$H45,$G45)/Nebenkosten!$E$33)</f>
        <v/>
      </c>
      <c r="AY45" s="11">
        <f>IF(OR(Nebenkosten!$B$34="",Nebenkosten!$E$34=0,$F45=0),0,Nebenkosten!$B$34*IF(Nebenkosten!$C$34="Fläche",$I45,IF(Nebenkosten!$C$34="Anteil",$J45,$K45))*IF(Nebenkosten!$D$34="Heizung",$H45,$G45)/Nebenkosten!$E$34)</f>
        <v/>
      </c>
      <c r="AZ45" s="11">
        <f>ROUND(SUM(AA45:AY45)*20,0)/20</f>
        <v/>
      </c>
      <c r="BA45" s="11">
        <f>IF(F45=0,0,N45)</f>
        <v/>
      </c>
      <c r="BB45" s="11">
        <f>AZ45-BA45</f>
        <v/>
      </c>
    </row>
    <row r="46">
      <c r="A46" s="10">
        <f>'Mein Haus'!A86</f>
        <v/>
      </c>
      <c r="B46" s="23">
        <f>IF('Mein Haus'!C86="","",'Mein Haus'!C86)</f>
        <v/>
      </c>
      <c r="C46" s="23">
        <f>IF('Mein Haus'!B86="","",'Mein Haus'!B86)</f>
        <v/>
      </c>
      <c r="D46" s="21">
        <f>IF(AND('Mein Haus'!C86&lt;&gt;"",'Mein Haus'!B86&lt;&gt;"",Nebenkosten!$B$7&lt;&gt;""),MAX(IF('Mein Haus'!D86="",Nebenkosten!$B$7,'Mein Haus'!D86),Nebenkosten!$B$7),"")</f>
        <v/>
      </c>
      <c r="E46" s="21">
        <f>IF(AND('Mein Haus'!C86&lt;&gt;"",'Mein Haus'!B86&lt;&gt;"",Nebenkosten!$B$7&lt;&gt;""),MIN(IF('Mein Haus'!F86="",Nebenkosten!$D$7,'Mein Haus'!F86),Nebenkosten!$D$7),"")</f>
        <v/>
      </c>
      <c r="F46" s="10">
        <f>IF(D46="",0,MAX(0,E46-D46+1))</f>
        <v/>
      </c>
      <c r="G46" s="49">
        <f>IF(F46=0,0,F46/Nebenkosten!$F$7)</f>
        <v/>
      </c>
      <c r="H46" s="49">
        <f>IF(F46=0,0,SUMPRODUCT(O46:Z46,$O$3:$Z$3)/Einstellungen!$F$17)</f>
        <v/>
      </c>
      <c r="I46" s="19">
        <f>IF(F46=0,0,IFERROR(INDEX('Mein Haus'!$D$11:$D$40,MATCH(C46,'Mein Haus'!$A$11:$A$40,0)),0))</f>
        <v/>
      </c>
      <c r="J46" s="19">
        <f>IF(F46=0,0,IFERROR(INDEX('Mein Haus'!$E$11:$E$40,MATCH(C46,'Mein Haus'!$A$11:$A$40,0)),0))</f>
        <v/>
      </c>
      <c r="K46" s="19">
        <f>IF(F46=0,0,IFERROR(INDEX('Mein Haus'!$F$11:$F$40,MATCH(C46,'Mein Haus'!$A$11:$A$40,0)),0))</f>
        <v/>
      </c>
      <c r="L46" s="11">
        <f>IF(F46=0,0,N('Mein Haus'!H86)*SUM(O46:Z46))</f>
        <v/>
      </c>
      <c r="M46" s="22" t="n"/>
      <c r="N46" s="11">
        <f>IF(M46&lt;&gt;"",M46,L46)</f>
        <v/>
      </c>
      <c r="O46" s="19">
        <f>IF(F46=0,0,MAX(0,MIN(E46,EOMONTH(EDATE(Nebenkosten!$B$7,0),0))-MAX(D46,EDATE(Nebenkosten!$B$7,0))+1)/DAY(EOMONTH(EDATE(Nebenkosten!$B$7,0),0)))</f>
        <v/>
      </c>
      <c r="P46" s="19">
        <f>IF(F46=0,0,MAX(0,MIN(E46,EOMONTH(EDATE(Nebenkosten!$B$7,1),0))-MAX(D46,EDATE(Nebenkosten!$B$7,1))+1)/DAY(EOMONTH(EDATE(Nebenkosten!$B$7,1),0)))</f>
        <v/>
      </c>
      <c r="Q46" s="19">
        <f>IF(F46=0,0,MAX(0,MIN(E46,EOMONTH(EDATE(Nebenkosten!$B$7,2),0))-MAX(D46,EDATE(Nebenkosten!$B$7,2))+1)/DAY(EOMONTH(EDATE(Nebenkosten!$B$7,2),0)))</f>
        <v/>
      </c>
      <c r="R46" s="19">
        <f>IF(F46=0,0,MAX(0,MIN(E46,EOMONTH(EDATE(Nebenkosten!$B$7,3),0))-MAX(D46,EDATE(Nebenkosten!$B$7,3))+1)/DAY(EOMONTH(EDATE(Nebenkosten!$B$7,3),0)))</f>
        <v/>
      </c>
      <c r="S46" s="19">
        <f>IF(F46=0,0,MAX(0,MIN(E46,EOMONTH(EDATE(Nebenkosten!$B$7,4),0))-MAX(D46,EDATE(Nebenkosten!$B$7,4))+1)/DAY(EOMONTH(EDATE(Nebenkosten!$B$7,4),0)))</f>
        <v/>
      </c>
      <c r="T46" s="19">
        <f>IF(F46=0,0,MAX(0,MIN(E46,EOMONTH(EDATE(Nebenkosten!$B$7,5),0))-MAX(D46,EDATE(Nebenkosten!$B$7,5))+1)/DAY(EOMONTH(EDATE(Nebenkosten!$B$7,5),0)))</f>
        <v/>
      </c>
      <c r="U46" s="19">
        <f>IF(F46=0,0,MAX(0,MIN(E46,EOMONTH(EDATE(Nebenkosten!$B$7,6),0))-MAX(D46,EDATE(Nebenkosten!$B$7,6))+1)/DAY(EOMONTH(EDATE(Nebenkosten!$B$7,6),0)))</f>
        <v/>
      </c>
      <c r="V46" s="19">
        <f>IF(F46=0,0,MAX(0,MIN(E46,EOMONTH(EDATE(Nebenkosten!$B$7,7),0))-MAX(D46,EDATE(Nebenkosten!$B$7,7))+1)/DAY(EOMONTH(EDATE(Nebenkosten!$B$7,7),0)))</f>
        <v/>
      </c>
      <c r="W46" s="19">
        <f>IF(F46=0,0,MAX(0,MIN(E46,EOMONTH(EDATE(Nebenkosten!$B$7,8),0))-MAX(D46,EDATE(Nebenkosten!$B$7,8))+1)/DAY(EOMONTH(EDATE(Nebenkosten!$B$7,8),0)))</f>
        <v/>
      </c>
      <c r="X46" s="19">
        <f>IF(F46=0,0,MAX(0,MIN(E46,EOMONTH(EDATE(Nebenkosten!$B$7,9),0))-MAX(D46,EDATE(Nebenkosten!$B$7,9))+1)/DAY(EOMONTH(EDATE(Nebenkosten!$B$7,9),0)))</f>
        <v/>
      </c>
      <c r="Y46" s="19">
        <f>IF(F46=0,0,MAX(0,MIN(E46,EOMONTH(EDATE(Nebenkosten!$B$7,10),0))-MAX(D46,EDATE(Nebenkosten!$B$7,10))+1)/DAY(EOMONTH(EDATE(Nebenkosten!$B$7,10),0)))</f>
        <v/>
      </c>
      <c r="Z46" s="19">
        <f>IF(F46=0,0,MAX(0,MIN(E46,EOMONTH(EDATE(Nebenkosten!$B$7,11),0))-MAX(D46,EDATE(Nebenkosten!$B$7,11))+1)/DAY(EOMONTH(EDATE(Nebenkosten!$B$7,11),0)))</f>
        <v/>
      </c>
      <c r="AA46" s="11">
        <f>IF(OR(Nebenkosten!$B$10="",Nebenkosten!$E$10=0,$F46=0),0,Nebenkosten!$B$10*IF(Nebenkosten!$C$10="Fläche",$I46,IF(Nebenkosten!$C$10="Anteil",$J46,$K46))*IF(Nebenkosten!$D$10="Heizung",$H46,$G46)/Nebenkosten!$E$10)</f>
        <v/>
      </c>
      <c r="AB46" s="11">
        <f>IF(OR(Nebenkosten!$B$11="",Nebenkosten!$E$11=0,$F46=0),0,Nebenkosten!$B$11*IF(Nebenkosten!$C$11="Fläche",$I46,IF(Nebenkosten!$C$11="Anteil",$J46,$K46))*IF(Nebenkosten!$D$11="Heizung",$H46,$G46)/Nebenkosten!$E$11)</f>
        <v/>
      </c>
      <c r="AC46" s="11">
        <f>IF(OR(Nebenkosten!$B$12="",Nebenkosten!$E$12=0,$F46=0),0,Nebenkosten!$B$12*IF(Nebenkosten!$C$12="Fläche",$I46,IF(Nebenkosten!$C$12="Anteil",$J46,$K46))*IF(Nebenkosten!$D$12="Heizung",$H46,$G46)/Nebenkosten!$E$12)</f>
        <v/>
      </c>
      <c r="AD46" s="11">
        <f>IF(OR(Nebenkosten!$B$13="",Nebenkosten!$E$13=0,$F46=0),0,Nebenkosten!$B$13*IF(Nebenkosten!$C$13="Fläche",$I46,IF(Nebenkosten!$C$13="Anteil",$J46,$K46))*IF(Nebenkosten!$D$13="Heizung",$H46,$G46)/Nebenkosten!$E$13)</f>
        <v/>
      </c>
      <c r="AE46" s="11">
        <f>IF(OR(Nebenkosten!$B$14="",Nebenkosten!$E$14=0,$F46=0),0,Nebenkosten!$B$14*IF(Nebenkosten!$C$14="Fläche",$I46,IF(Nebenkosten!$C$14="Anteil",$J46,$K46))*IF(Nebenkosten!$D$14="Heizung",$H46,$G46)/Nebenkosten!$E$14)</f>
        <v/>
      </c>
      <c r="AF46" s="11">
        <f>IF(OR(Nebenkosten!$B$15="",Nebenkosten!$E$15=0,$F46=0),0,Nebenkosten!$B$15*IF(Nebenkosten!$C$15="Fläche",$I46,IF(Nebenkosten!$C$15="Anteil",$J46,$K46))*IF(Nebenkosten!$D$15="Heizung",$H46,$G46)/Nebenkosten!$E$15)</f>
        <v/>
      </c>
      <c r="AG46" s="11">
        <f>IF(OR(Nebenkosten!$B$16="",Nebenkosten!$E$16=0,$F46=0),0,Nebenkosten!$B$16*IF(Nebenkosten!$C$16="Fläche",$I46,IF(Nebenkosten!$C$16="Anteil",$J46,$K46))*IF(Nebenkosten!$D$16="Heizung",$H46,$G46)/Nebenkosten!$E$16)</f>
        <v/>
      </c>
      <c r="AH46" s="11">
        <f>IF(OR(Nebenkosten!$B$17="",Nebenkosten!$E$17=0,$F46=0),0,Nebenkosten!$B$17*IF(Nebenkosten!$C$17="Fläche",$I46,IF(Nebenkosten!$C$17="Anteil",$J46,$K46))*IF(Nebenkosten!$D$17="Heizung",$H46,$G46)/Nebenkosten!$E$17)</f>
        <v/>
      </c>
      <c r="AI46" s="11">
        <f>IF(OR(Nebenkosten!$B$18="",Nebenkosten!$E$18=0,$F46=0),0,Nebenkosten!$B$18*IF(Nebenkosten!$C$18="Fläche",$I46,IF(Nebenkosten!$C$18="Anteil",$J46,$K46))*IF(Nebenkosten!$D$18="Heizung",$H46,$G46)/Nebenkosten!$E$18)</f>
        <v/>
      </c>
      <c r="AJ46" s="11">
        <f>IF(OR(Nebenkosten!$B$19="",Nebenkosten!$E$19=0,$F46=0),0,Nebenkosten!$B$19*IF(Nebenkosten!$C$19="Fläche",$I46,IF(Nebenkosten!$C$19="Anteil",$J46,$K46))*IF(Nebenkosten!$D$19="Heizung",$H46,$G46)/Nebenkosten!$E$19)</f>
        <v/>
      </c>
      <c r="AK46" s="11">
        <f>IF(OR(Nebenkosten!$B$20="",Nebenkosten!$E$20=0,$F46=0),0,Nebenkosten!$B$20*IF(Nebenkosten!$C$20="Fläche",$I46,IF(Nebenkosten!$C$20="Anteil",$J46,$K46))*IF(Nebenkosten!$D$20="Heizung",$H46,$G46)/Nebenkosten!$E$20)</f>
        <v/>
      </c>
      <c r="AL46" s="11">
        <f>IF(OR(Nebenkosten!$B$21="",Nebenkosten!$E$21=0,$F46=0),0,Nebenkosten!$B$21*IF(Nebenkosten!$C$21="Fläche",$I46,IF(Nebenkosten!$C$21="Anteil",$J46,$K46))*IF(Nebenkosten!$D$21="Heizung",$H46,$G46)/Nebenkosten!$E$21)</f>
        <v/>
      </c>
      <c r="AM46" s="11">
        <f>IF(OR(Nebenkosten!$B$22="",Nebenkosten!$E$22=0,$F46=0),0,Nebenkosten!$B$22*IF(Nebenkosten!$C$22="Fläche",$I46,IF(Nebenkosten!$C$22="Anteil",$J46,$K46))*IF(Nebenkosten!$D$22="Heizung",$H46,$G46)/Nebenkosten!$E$22)</f>
        <v/>
      </c>
      <c r="AN46" s="11">
        <f>IF(OR(Nebenkosten!$B$23="",Nebenkosten!$E$23=0,$F46=0),0,Nebenkosten!$B$23*IF(Nebenkosten!$C$23="Fläche",$I46,IF(Nebenkosten!$C$23="Anteil",$J46,$K46))*IF(Nebenkosten!$D$23="Heizung",$H46,$G46)/Nebenkosten!$E$23)</f>
        <v/>
      </c>
      <c r="AO46" s="11">
        <f>IF(OR(Nebenkosten!$B$24="",Nebenkosten!$E$24=0,$F46=0),0,Nebenkosten!$B$24*IF(Nebenkosten!$C$24="Fläche",$I46,IF(Nebenkosten!$C$24="Anteil",$J46,$K46))*IF(Nebenkosten!$D$24="Heizung",$H46,$G46)/Nebenkosten!$E$24)</f>
        <v/>
      </c>
      <c r="AP46" s="11">
        <f>IF(OR(Nebenkosten!$B$25="",Nebenkosten!$E$25=0,$F46=0),0,Nebenkosten!$B$25*IF(Nebenkosten!$C$25="Fläche",$I46,IF(Nebenkosten!$C$25="Anteil",$J46,$K46))*IF(Nebenkosten!$D$25="Heizung",$H46,$G46)/Nebenkosten!$E$25)</f>
        <v/>
      </c>
      <c r="AQ46" s="11">
        <f>IF(OR(Nebenkosten!$B$26="",Nebenkosten!$E$26=0,$F46=0),0,Nebenkosten!$B$26*IF(Nebenkosten!$C$26="Fläche",$I46,IF(Nebenkosten!$C$26="Anteil",$J46,$K46))*IF(Nebenkosten!$D$26="Heizung",$H46,$G46)/Nebenkosten!$E$26)</f>
        <v/>
      </c>
      <c r="AR46" s="11">
        <f>IF(OR(Nebenkosten!$B$27="",Nebenkosten!$E$27=0,$F46=0),0,Nebenkosten!$B$27*IF(Nebenkosten!$C$27="Fläche",$I46,IF(Nebenkosten!$C$27="Anteil",$J46,$K46))*IF(Nebenkosten!$D$27="Heizung",$H46,$G46)/Nebenkosten!$E$27)</f>
        <v/>
      </c>
      <c r="AS46" s="11">
        <f>IF(OR(Nebenkosten!$B$28="",Nebenkosten!$E$28=0,$F46=0),0,Nebenkosten!$B$28*IF(Nebenkosten!$C$28="Fläche",$I46,IF(Nebenkosten!$C$28="Anteil",$J46,$K46))*IF(Nebenkosten!$D$28="Heizung",$H46,$G46)/Nebenkosten!$E$28)</f>
        <v/>
      </c>
      <c r="AT46" s="11">
        <f>IF(OR(Nebenkosten!$B$29="",Nebenkosten!$E$29=0,$F46=0),0,Nebenkosten!$B$29*IF(Nebenkosten!$C$29="Fläche",$I46,IF(Nebenkosten!$C$29="Anteil",$J46,$K46))*IF(Nebenkosten!$D$29="Heizung",$H46,$G46)/Nebenkosten!$E$29)</f>
        <v/>
      </c>
      <c r="AU46" s="11">
        <f>IF(OR(Nebenkosten!$B$30="",Nebenkosten!$E$30=0,$F46=0),0,Nebenkosten!$B$30*IF(Nebenkosten!$C$30="Fläche",$I46,IF(Nebenkosten!$C$30="Anteil",$J46,$K46))*IF(Nebenkosten!$D$30="Heizung",$H46,$G46)/Nebenkosten!$E$30)</f>
        <v/>
      </c>
      <c r="AV46" s="11">
        <f>IF(OR(Nebenkosten!$B$31="",Nebenkosten!$E$31=0,$F46=0),0,Nebenkosten!$B$31*IF(Nebenkosten!$C$31="Fläche",$I46,IF(Nebenkosten!$C$31="Anteil",$J46,$K46))*IF(Nebenkosten!$D$31="Heizung",$H46,$G46)/Nebenkosten!$E$31)</f>
        <v/>
      </c>
      <c r="AW46" s="11">
        <f>IF(OR(Nebenkosten!$B$32="",Nebenkosten!$E$32=0,$F46=0),0,Nebenkosten!$B$32*IF(Nebenkosten!$C$32="Fläche",$I46,IF(Nebenkosten!$C$32="Anteil",$J46,$K46))*IF(Nebenkosten!$D$32="Heizung",$H46,$G46)/Nebenkosten!$E$32)</f>
        <v/>
      </c>
      <c r="AX46" s="11">
        <f>IF(OR(Nebenkosten!$B$33="",Nebenkosten!$E$33=0,$F46=0),0,Nebenkosten!$B$33*IF(Nebenkosten!$C$33="Fläche",$I46,IF(Nebenkosten!$C$33="Anteil",$J46,$K46))*IF(Nebenkosten!$D$33="Heizung",$H46,$G46)/Nebenkosten!$E$33)</f>
        <v/>
      </c>
      <c r="AY46" s="11">
        <f>IF(OR(Nebenkosten!$B$34="",Nebenkosten!$E$34=0,$F46=0),0,Nebenkosten!$B$34*IF(Nebenkosten!$C$34="Fläche",$I46,IF(Nebenkosten!$C$34="Anteil",$J46,$K46))*IF(Nebenkosten!$D$34="Heizung",$H46,$G46)/Nebenkosten!$E$34)</f>
        <v/>
      </c>
      <c r="AZ46" s="11">
        <f>ROUND(SUM(AA46:AY46)*20,0)/20</f>
        <v/>
      </c>
      <c r="BA46" s="11">
        <f>IF(F46=0,0,N46)</f>
        <v/>
      </c>
      <c r="BB46" s="11">
        <f>AZ46-BA46</f>
        <v/>
      </c>
    </row>
    <row r="47">
      <c r="A47" s="10">
        <f>'Mein Haus'!A87</f>
        <v/>
      </c>
      <c r="B47" s="23">
        <f>IF('Mein Haus'!C87="","",'Mein Haus'!C87)</f>
        <v/>
      </c>
      <c r="C47" s="23">
        <f>IF('Mein Haus'!B87="","",'Mein Haus'!B87)</f>
        <v/>
      </c>
      <c r="D47" s="21">
        <f>IF(AND('Mein Haus'!C87&lt;&gt;"",'Mein Haus'!B87&lt;&gt;"",Nebenkosten!$B$7&lt;&gt;""),MAX(IF('Mein Haus'!D87="",Nebenkosten!$B$7,'Mein Haus'!D87),Nebenkosten!$B$7),"")</f>
        <v/>
      </c>
      <c r="E47" s="21">
        <f>IF(AND('Mein Haus'!C87&lt;&gt;"",'Mein Haus'!B87&lt;&gt;"",Nebenkosten!$B$7&lt;&gt;""),MIN(IF('Mein Haus'!F87="",Nebenkosten!$D$7,'Mein Haus'!F87),Nebenkosten!$D$7),"")</f>
        <v/>
      </c>
      <c r="F47" s="10">
        <f>IF(D47="",0,MAX(0,E47-D47+1))</f>
        <v/>
      </c>
      <c r="G47" s="49">
        <f>IF(F47=0,0,F47/Nebenkosten!$F$7)</f>
        <v/>
      </c>
      <c r="H47" s="49">
        <f>IF(F47=0,0,SUMPRODUCT(O47:Z47,$O$3:$Z$3)/Einstellungen!$F$17)</f>
        <v/>
      </c>
      <c r="I47" s="19">
        <f>IF(F47=0,0,IFERROR(INDEX('Mein Haus'!$D$11:$D$40,MATCH(C47,'Mein Haus'!$A$11:$A$40,0)),0))</f>
        <v/>
      </c>
      <c r="J47" s="19">
        <f>IF(F47=0,0,IFERROR(INDEX('Mein Haus'!$E$11:$E$40,MATCH(C47,'Mein Haus'!$A$11:$A$40,0)),0))</f>
        <v/>
      </c>
      <c r="K47" s="19">
        <f>IF(F47=0,0,IFERROR(INDEX('Mein Haus'!$F$11:$F$40,MATCH(C47,'Mein Haus'!$A$11:$A$40,0)),0))</f>
        <v/>
      </c>
      <c r="L47" s="11">
        <f>IF(F47=0,0,N('Mein Haus'!H87)*SUM(O47:Z47))</f>
        <v/>
      </c>
      <c r="M47" s="22" t="n"/>
      <c r="N47" s="11">
        <f>IF(M47&lt;&gt;"",M47,L47)</f>
        <v/>
      </c>
      <c r="O47" s="19">
        <f>IF(F47=0,0,MAX(0,MIN(E47,EOMONTH(EDATE(Nebenkosten!$B$7,0),0))-MAX(D47,EDATE(Nebenkosten!$B$7,0))+1)/DAY(EOMONTH(EDATE(Nebenkosten!$B$7,0),0)))</f>
        <v/>
      </c>
      <c r="P47" s="19">
        <f>IF(F47=0,0,MAX(0,MIN(E47,EOMONTH(EDATE(Nebenkosten!$B$7,1),0))-MAX(D47,EDATE(Nebenkosten!$B$7,1))+1)/DAY(EOMONTH(EDATE(Nebenkosten!$B$7,1),0)))</f>
        <v/>
      </c>
      <c r="Q47" s="19">
        <f>IF(F47=0,0,MAX(0,MIN(E47,EOMONTH(EDATE(Nebenkosten!$B$7,2),0))-MAX(D47,EDATE(Nebenkosten!$B$7,2))+1)/DAY(EOMONTH(EDATE(Nebenkosten!$B$7,2),0)))</f>
        <v/>
      </c>
      <c r="R47" s="19">
        <f>IF(F47=0,0,MAX(0,MIN(E47,EOMONTH(EDATE(Nebenkosten!$B$7,3),0))-MAX(D47,EDATE(Nebenkosten!$B$7,3))+1)/DAY(EOMONTH(EDATE(Nebenkosten!$B$7,3),0)))</f>
        <v/>
      </c>
      <c r="S47" s="19">
        <f>IF(F47=0,0,MAX(0,MIN(E47,EOMONTH(EDATE(Nebenkosten!$B$7,4),0))-MAX(D47,EDATE(Nebenkosten!$B$7,4))+1)/DAY(EOMONTH(EDATE(Nebenkosten!$B$7,4),0)))</f>
        <v/>
      </c>
      <c r="T47" s="19">
        <f>IF(F47=0,0,MAX(0,MIN(E47,EOMONTH(EDATE(Nebenkosten!$B$7,5),0))-MAX(D47,EDATE(Nebenkosten!$B$7,5))+1)/DAY(EOMONTH(EDATE(Nebenkosten!$B$7,5),0)))</f>
        <v/>
      </c>
      <c r="U47" s="19">
        <f>IF(F47=0,0,MAX(0,MIN(E47,EOMONTH(EDATE(Nebenkosten!$B$7,6),0))-MAX(D47,EDATE(Nebenkosten!$B$7,6))+1)/DAY(EOMONTH(EDATE(Nebenkosten!$B$7,6),0)))</f>
        <v/>
      </c>
      <c r="V47" s="19">
        <f>IF(F47=0,0,MAX(0,MIN(E47,EOMONTH(EDATE(Nebenkosten!$B$7,7),0))-MAX(D47,EDATE(Nebenkosten!$B$7,7))+1)/DAY(EOMONTH(EDATE(Nebenkosten!$B$7,7),0)))</f>
        <v/>
      </c>
      <c r="W47" s="19">
        <f>IF(F47=0,0,MAX(0,MIN(E47,EOMONTH(EDATE(Nebenkosten!$B$7,8),0))-MAX(D47,EDATE(Nebenkosten!$B$7,8))+1)/DAY(EOMONTH(EDATE(Nebenkosten!$B$7,8),0)))</f>
        <v/>
      </c>
      <c r="X47" s="19">
        <f>IF(F47=0,0,MAX(0,MIN(E47,EOMONTH(EDATE(Nebenkosten!$B$7,9),0))-MAX(D47,EDATE(Nebenkosten!$B$7,9))+1)/DAY(EOMONTH(EDATE(Nebenkosten!$B$7,9),0)))</f>
        <v/>
      </c>
      <c r="Y47" s="19">
        <f>IF(F47=0,0,MAX(0,MIN(E47,EOMONTH(EDATE(Nebenkosten!$B$7,10),0))-MAX(D47,EDATE(Nebenkosten!$B$7,10))+1)/DAY(EOMONTH(EDATE(Nebenkosten!$B$7,10),0)))</f>
        <v/>
      </c>
      <c r="Z47" s="19">
        <f>IF(F47=0,0,MAX(0,MIN(E47,EOMONTH(EDATE(Nebenkosten!$B$7,11),0))-MAX(D47,EDATE(Nebenkosten!$B$7,11))+1)/DAY(EOMONTH(EDATE(Nebenkosten!$B$7,11),0)))</f>
        <v/>
      </c>
      <c r="AA47" s="11">
        <f>IF(OR(Nebenkosten!$B$10="",Nebenkosten!$E$10=0,$F47=0),0,Nebenkosten!$B$10*IF(Nebenkosten!$C$10="Fläche",$I47,IF(Nebenkosten!$C$10="Anteil",$J47,$K47))*IF(Nebenkosten!$D$10="Heizung",$H47,$G47)/Nebenkosten!$E$10)</f>
        <v/>
      </c>
      <c r="AB47" s="11">
        <f>IF(OR(Nebenkosten!$B$11="",Nebenkosten!$E$11=0,$F47=0),0,Nebenkosten!$B$11*IF(Nebenkosten!$C$11="Fläche",$I47,IF(Nebenkosten!$C$11="Anteil",$J47,$K47))*IF(Nebenkosten!$D$11="Heizung",$H47,$G47)/Nebenkosten!$E$11)</f>
        <v/>
      </c>
      <c r="AC47" s="11">
        <f>IF(OR(Nebenkosten!$B$12="",Nebenkosten!$E$12=0,$F47=0),0,Nebenkosten!$B$12*IF(Nebenkosten!$C$12="Fläche",$I47,IF(Nebenkosten!$C$12="Anteil",$J47,$K47))*IF(Nebenkosten!$D$12="Heizung",$H47,$G47)/Nebenkosten!$E$12)</f>
        <v/>
      </c>
      <c r="AD47" s="11">
        <f>IF(OR(Nebenkosten!$B$13="",Nebenkosten!$E$13=0,$F47=0),0,Nebenkosten!$B$13*IF(Nebenkosten!$C$13="Fläche",$I47,IF(Nebenkosten!$C$13="Anteil",$J47,$K47))*IF(Nebenkosten!$D$13="Heizung",$H47,$G47)/Nebenkosten!$E$13)</f>
        <v/>
      </c>
      <c r="AE47" s="11">
        <f>IF(OR(Nebenkosten!$B$14="",Nebenkosten!$E$14=0,$F47=0),0,Nebenkosten!$B$14*IF(Nebenkosten!$C$14="Fläche",$I47,IF(Nebenkosten!$C$14="Anteil",$J47,$K47))*IF(Nebenkosten!$D$14="Heizung",$H47,$G47)/Nebenkosten!$E$14)</f>
        <v/>
      </c>
      <c r="AF47" s="11">
        <f>IF(OR(Nebenkosten!$B$15="",Nebenkosten!$E$15=0,$F47=0),0,Nebenkosten!$B$15*IF(Nebenkosten!$C$15="Fläche",$I47,IF(Nebenkosten!$C$15="Anteil",$J47,$K47))*IF(Nebenkosten!$D$15="Heizung",$H47,$G47)/Nebenkosten!$E$15)</f>
        <v/>
      </c>
      <c r="AG47" s="11">
        <f>IF(OR(Nebenkosten!$B$16="",Nebenkosten!$E$16=0,$F47=0),0,Nebenkosten!$B$16*IF(Nebenkosten!$C$16="Fläche",$I47,IF(Nebenkosten!$C$16="Anteil",$J47,$K47))*IF(Nebenkosten!$D$16="Heizung",$H47,$G47)/Nebenkosten!$E$16)</f>
        <v/>
      </c>
      <c r="AH47" s="11">
        <f>IF(OR(Nebenkosten!$B$17="",Nebenkosten!$E$17=0,$F47=0),0,Nebenkosten!$B$17*IF(Nebenkosten!$C$17="Fläche",$I47,IF(Nebenkosten!$C$17="Anteil",$J47,$K47))*IF(Nebenkosten!$D$17="Heizung",$H47,$G47)/Nebenkosten!$E$17)</f>
        <v/>
      </c>
      <c r="AI47" s="11">
        <f>IF(OR(Nebenkosten!$B$18="",Nebenkosten!$E$18=0,$F47=0),0,Nebenkosten!$B$18*IF(Nebenkosten!$C$18="Fläche",$I47,IF(Nebenkosten!$C$18="Anteil",$J47,$K47))*IF(Nebenkosten!$D$18="Heizung",$H47,$G47)/Nebenkosten!$E$18)</f>
        <v/>
      </c>
      <c r="AJ47" s="11">
        <f>IF(OR(Nebenkosten!$B$19="",Nebenkosten!$E$19=0,$F47=0),0,Nebenkosten!$B$19*IF(Nebenkosten!$C$19="Fläche",$I47,IF(Nebenkosten!$C$19="Anteil",$J47,$K47))*IF(Nebenkosten!$D$19="Heizung",$H47,$G47)/Nebenkosten!$E$19)</f>
        <v/>
      </c>
      <c r="AK47" s="11">
        <f>IF(OR(Nebenkosten!$B$20="",Nebenkosten!$E$20=0,$F47=0),0,Nebenkosten!$B$20*IF(Nebenkosten!$C$20="Fläche",$I47,IF(Nebenkosten!$C$20="Anteil",$J47,$K47))*IF(Nebenkosten!$D$20="Heizung",$H47,$G47)/Nebenkosten!$E$20)</f>
        <v/>
      </c>
      <c r="AL47" s="11">
        <f>IF(OR(Nebenkosten!$B$21="",Nebenkosten!$E$21=0,$F47=0),0,Nebenkosten!$B$21*IF(Nebenkosten!$C$21="Fläche",$I47,IF(Nebenkosten!$C$21="Anteil",$J47,$K47))*IF(Nebenkosten!$D$21="Heizung",$H47,$G47)/Nebenkosten!$E$21)</f>
        <v/>
      </c>
      <c r="AM47" s="11">
        <f>IF(OR(Nebenkosten!$B$22="",Nebenkosten!$E$22=0,$F47=0),0,Nebenkosten!$B$22*IF(Nebenkosten!$C$22="Fläche",$I47,IF(Nebenkosten!$C$22="Anteil",$J47,$K47))*IF(Nebenkosten!$D$22="Heizung",$H47,$G47)/Nebenkosten!$E$22)</f>
        <v/>
      </c>
      <c r="AN47" s="11">
        <f>IF(OR(Nebenkosten!$B$23="",Nebenkosten!$E$23=0,$F47=0),0,Nebenkosten!$B$23*IF(Nebenkosten!$C$23="Fläche",$I47,IF(Nebenkosten!$C$23="Anteil",$J47,$K47))*IF(Nebenkosten!$D$23="Heizung",$H47,$G47)/Nebenkosten!$E$23)</f>
        <v/>
      </c>
      <c r="AO47" s="11">
        <f>IF(OR(Nebenkosten!$B$24="",Nebenkosten!$E$24=0,$F47=0),0,Nebenkosten!$B$24*IF(Nebenkosten!$C$24="Fläche",$I47,IF(Nebenkosten!$C$24="Anteil",$J47,$K47))*IF(Nebenkosten!$D$24="Heizung",$H47,$G47)/Nebenkosten!$E$24)</f>
        <v/>
      </c>
      <c r="AP47" s="11">
        <f>IF(OR(Nebenkosten!$B$25="",Nebenkosten!$E$25=0,$F47=0),0,Nebenkosten!$B$25*IF(Nebenkosten!$C$25="Fläche",$I47,IF(Nebenkosten!$C$25="Anteil",$J47,$K47))*IF(Nebenkosten!$D$25="Heizung",$H47,$G47)/Nebenkosten!$E$25)</f>
        <v/>
      </c>
      <c r="AQ47" s="11">
        <f>IF(OR(Nebenkosten!$B$26="",Nebenkosten!$E$26=0,$F47=0),0,Nebenkosten!$B$26*IF(Nebenkosten!$C$26="Fläche",$I47,IF(Nebenkosten!$C$26="Anteil",$J47,$K47))*IF(Nebenkosten!$D$26="Heizung",$H47,$G47)/Nebenkosten!$E$26)</f>
        <v/>
      </c>
      <c r="AR47" s="11">
        <f>IF(OR(Nebenkosten!$B$27="",Nebenkosten!$E$27=0,$F47=0),0,Nebenkosten!$B$27*IF(Nebenkosten!$C$27="Fläche",$I47,IF(Nebenkosten!$C$27="Anteil",$J47,$K47))*IF(Nebenkosten!$D$27="Heizung",$H47,$G47)/Nebenkosten!$E$27)</f>
        <v/>
      </c>
      <c r="AS47" s="11">
        <f>IF(OR(Nebenkosten!$B$28="",Nebenkosten!$E$28=0,$F47=0),0,Nebenkosten!$B$28*IF(Nebenkosten!$C$28="Fläche",$I47,IF(Nebenkosten!$C$28="Anteil",$J47,$K47))*IF(Nebenkosten!$D$28="Heizung",$H47,$G47)/Nebenkosten!$E$28)</f>
        <v/>
      </c>
      <c r="AT47" s="11">
        <f>IF(OR(Nebenkosten!$B$29="",Nebenkosten!$E$29=0,$F47=0),0,Nebenkosten!$B$29*IF(Nebenkosten!$C$29="Fläche",$I47,IF(Nebenkosten!$C$29="Anteil",$J47,$K47))*IF(Nebenkosten!$D$29="Heizung",$H47,$G47)/Nebenkosten!$E$29)</f>
        <v/>
      </c>
      <c r="AU47" s="11">
        <f>IF(OR(Nebenkosten!$B$30="",Nebenkosten!$E$30=0,$F47=0),0,Nebenkosten!$B$30*IF(Nebenkosten!$C$30="Fläche",$I47,IF(Nebenkosten!$C$30="Anteil",$J47,$K47))*IF(Nebenkosten!$D$30="Heizung",$H47,$G47)/Nebenkosten!$E$30)</f>
        <v/>
      </c>
      <c r="AV47" s="11">
        <f>IF(OR(Nebenkosten!$B$31="",Nebenkosten!$E$31=0,$F47=0),0,Nebenkosten!$B$31*IF(Nebenkosten!$C$31="Fläche",$I47,IF(Nebenkosten!$C$31="Anteil",$J47,$K47))*IF(Nebenkosten!$D$31="Heizung",$H47,$G47)/Nebenkosten!$E$31)</f>
        <v/>
      </c>
      <c r="AW47" s="11">
        <f>IF(OR(Nebenkosten!$B$32="",Nebenkosten!$E$32=0,$F47=0),0,Nebenkosten!$B$32*IF(Nebenkosten!$C$32="Fläche",$I47,IF(Nebenkosten!$C$32="Anteil",$J47,$K47))*IF(Nebenkosten!$D$32="Heizung",$H47,$G47)/Nebenkosten!$E$32)</f>
        <v/>
      </c>
      <c r="AX47" s="11">
        <f>IF(OR(Nebenkosten!$B$33="",Nebenkosten!$E$33=0,$F47=0),0,Nebenkosten!$B$33*IF(Nebenkosten!$C$33="Fläche",$I47,IF(Nebenkosten!$C$33="Anteil",$J47,$K47))*IF(Nebenkosten!$D$33="Heizung",$H47,$G47)/Nebenkosten!$E$33)</f>
        <v/>
      </c>
      <c r="AY47" s="11">
        <f>IF(OR(Nebenkosten!$B$34="",Nebenkosten!$E$34=0,$F47=0),0,Nebenkosten!$B$34*IF(Nebenkosten!$C$34="Fläche",$I47,IF(Nebenkosten!$C$34="Anteil",$J47,$K47))*IF(Nebenkosten!$D$34="Heizung",$H47,$G47)/Nebenkosten!$E$34)</f>
        <v/>
      </c>
      <c r="AZ47" s="11">
        <f>ROUND(SUM(AA47:AY47)*20,0)/20</f>
        <v/>
      </c>
      <c r="BA47" s="11">
        <f>IF(F47=0,0,N47)</f>
        <v/>
      </c>
      <c r="BB47" s="11">
        <f>AZ47-BA47</f>
        <v/>
      </c>
    </row>
    <row r="48">
      <c r="A48" s="10">
        <f>'Mein Haus'!A88</f>
        <v/>
      </c>
      <c r="B48" s="23">
        <f>IF('Mein Haus'!C88="","",'Mein Haus'!C88)</f>
        <v/>
      </c>
      <c r="C48" s="23">
        <f>IF('Mein Haus'!B88="","",'Mein Haus'!B88)</f>
        <v/>
      </c>
      <c r="D48" s="21">
        <f>IF(AND('Mein Haus'!C88&lt;&gt;"",'Mein Haus'!B88&lt;&gt;"",Nebenkosten!$B$7&lt;&gt;""),MAX(IF('Mein Haus'!D88="",Nebenkosten!$B$7,'Mein Haus'!D88),Nebenkosten!$B$7),"")</f>
        <v/>
      </c>
      <c r="E48" s="21">
        <f>IF(AND('Mein Haus'!C88&lt;&gt;"",'Mein Haus'!B88&lt;&gt;"",Nebenkosten!$B$7&lt;&gt;""),MIN(IF('Mein Haus'!F88="",Nebenkosten!$D$7,'Mein Haus'!F88),Nebenkosten!$D$7),"")</f>
        <v/>
      </c>
      <c r="F48" s="10">
        <f>IF(D48="",0,MAX(0,E48-D48+1))</f>
        <v/>
      </c>
      <c r="G48" s="49">
        <f>IF(F48=0,0,F48/Nebenkosten!$F$7)</f>
        <v/>
      </c>
      <c r="H48" s="49">
        <f>IF(F48=0,0,SUMPRODUCT(O48:Z48,$O$3:$Z$3)/Einstellungen!$F$17)</f>
        <v/>
      </c>
      <c r="I48" s="19">
        <f>IF(F48=0,0,IFERROR(INDEX('Mein Haus'!$D$11:$D$40,MATCH(C48,'Mein Haus'!$A$11:$A$40,0)),0))</f>
        <v/>
      </c>
      <c r="J48" s="19">
        <f>IF(F48=0,0,IFERROR(INDEX('Mein Haus'!$E$11:$E$40,MATCH(C48,'Mein Haus'!$A$11:$A$40,0)),0))</f>
        <v/>
      </c>
      <c r="K48" s="19">
        <f>IF(F48=0,0,IFERROR(INDEX('Mein Haus'!$F$11:$F$40,MATCH(C48,'Mein Haus'!$A$11:$A$40,0)),0))</f>
        <v/>
      </c>
      <c r="L48" s="11">
        <f>IF(F48=0,0,N('Mein Haus'!H88)*SUM(O48:Z48))</f>
        <v/>
      </c>
      <c r="M48" s="22" t="n"/>
      <c r="N48" s="11">
        <f>IF(M48&lt;&gt;"",M48,L48)</f>
        <v/>
      </c>
      <c r="O48" s="19">
        <f>IF(F48=0,0,MAX(0,MIN(E48,EOMONTH(EDATE(Nebenkosten!$B$7,0),0))-MAX(D48,EDATE(Nebenkosten!$B$7,0))+1)/DAY(EOMONTH(EDATE(Nebenkosten!$B$7,0),0)))</f>
        <v/>
      </c>
      <c r="P48" s="19">
        <f>IF(F48=0,0,MAX(0,MIN(E48,EOMONTH(EDATE(Nebenkosten!$B$7,1),0))-MAX(D48,EDATE(Nebenkosten!$B$7,1))+1)/DAY(EOMONTH(EDATE(Nebenkosten!$B$7,1),0)))</f>
        <v/>
      </c>
      <c r="Q48" s="19">
        <f>IF(F48=0,0,MAX(0,MIN(E48,EOMONTH(EDATE(Nebenkosten!$B$7,2),0))-MAX(D48,EDATE(Nebenkosten!$B$7,2))+1)/DAY(EOMONTH(EDATE(Nebenkosten!$B$7,2),0)))</f>
        <v/>
      </c>
      <c r="R48" s="19">
        <f>IF(F48=0,0,MAX(0,MIN(E48,EOMONTH(EDATE(Nebenkosten!$B$7,3),0))-MAX(D48,EDATE(Nebenkosten!$B$7,3))+1)/DAY(EOMONTH(EDATE(Nebenkosten!$B$7,3),0)))</f>
        <v/>
      </c>
      <c r="S48" s="19">
        <f>IF(F48=0,0,MAX(0,MIN(E48,EOMONTH(EDATE(Nebenkosten!$B$7,4),0))-MAX(D48,EDATE(Nebenkosten!$B$7,4))+1)/DAY(EOMONTH(EDATE(Nebenkosten!$B$7,4),0)))</f>
        <v/>
      </c>
      <c r="T48" s="19">
        <f>IF(F48=0,0,MAX(0,MIN(E48,EOMONTH(EDATE(Nebenkosten!$B$7,5),0))-MAX(D48,EDATE(Nebenkosten!$B$7,5))+1)/DAY(EOMONTH(EDATE(Nebenkosten!$B$7,5),0)))</f>
        <v/>
      </c>
      <c r="U48" s="19">
        <f>IF(F48=0,0,MAX(0,MIN(E48,EOMONTH(EDATE(Nebenkosten!$B$7,6),0))-MAX(D48,EDATE(Nebenkosten!$B$7,6))+1)/DAY(EOMONTH(EDATE(Nebenkosten!$B$7,6),0)))</f>
        <v/>
      </c>
      <c r="V48" s="19">
        <f>IF(F48=0,0,MAX(0,MIN(E48,EOMONTH(EDATE(Nebenkosten!$B$7,7),0))-MAX(D48,EDATE(Nebenkosten!$B$7,7))+1)/DAY(EOMONTH(EDATE(Nebenkosten!$B$7,7),0)))</f>
        <v/>
      </c>
      <c r="W48" s="19">
        <f>IF(F48=0,0,MAX(0,MIN(E48,EOMONTH(EDATE(Nebenkosten!$B$7,8),0))-MAX(D48,EDATE(Nebenkosten!$B$7,8))+1)/DAY(EOMONTH(EDATE(Nebenkosten!$B$7,8),0)))</f>
        <v/>
      </c>
      <c r="X48" s="19">
        <f>IF(F48=0,0,MAX(0,MIN(E48,EOMONTH(EDATE(Nebenkosten!$B$7,9),0))-MAX(D48,EDATE(Nebenkosten!$B$7,9))+1)/DAY(EOMONTH(EDATE(Nebenkosten!$B$7,9),0)))</f>
        <v/>
      </c>
      <c r="Y48" s="19">
        <f>IF(F48=0,0,MAX(0,MIN(E48,EOMONTH(EDATE(Nebenkosten!$B$7,10),0))-MAX(D48,EDATE(Nebenkosten!$B$7,10))+1)/DAY(EOMONTH(EDATE(Nebenkosten!$B$7,10),0)))</f>
        <v/>
      </c>
      <c r="Z48" s="19">
        <f>IF(F48=0,0,MAX(0,MIN(E48,EOMONTH(EDATE(Nebenkosten!$B$7,11),0))-MAX(D48,EDATE(Nebenkosten!$B$7,11))+1)/DAY(EOMONTH(EDATE(Nebenkosten!$B$7,11),0)))</f>
        <v/>
      </c>
      <c r="AA48" s="11">
        <f>IF(OR(Nebenkosten!$B$10="",Nebenkosten!$E$10=0,$F48=0),0,Nebenkosten!$B$10*IF(Nebenkosten!$C$10="Fläche",$I48,IF(Nebenkosten!$C$10="Anteil",$J48,$K48))*IF(Nebenkosten!$D$10="Heizung",$H48,$G48)/Nebenkosten!$E$10)</f>
        <v/>
      </c>
      <c r="AB48" s="11">
        <f>IF(OR(Nebenkosten!$B$11="",Nebenkosten!$E$11=0,$F48=0),0,Nebenkosten!$B$11*IF(Nebenkosten!$C$11="Fläche",$I48,IF(Nebenkosten!$C$11="Anteil",$J48,$K48))*IF(Nebenkosten!$D$11="Heizung",$H48,$G48)/Nebenkosten!$E$11)</f>
        <v/>
      </c>
      <c r="AC48" s="11">
        <f>IF(OR(Nebenkosten!$B$12="",Nebenkosten!$E$12=0,$F48=0),0,Nebenkosten!$B$12*IF(Nebenkosten!$C$12="Fläche",$I48,IF(Nebenkosten!$C$12="Anteil",$J48,$K48))*IF(Nebenkosten!$D$12="Heizung",$H48,$G48)/Nebenkosten!$E$12)</f>
        <v/>
      </c>
      <c r="AD48" s="11">
        <f>IF(OR(Nebenkosten!$B$13="",Nebenkosten!$E$13=0,$F48=0),0,Nebenkosten!$B$13*IF(Nebenkosten!$C$13="Fläche",$I48,IF(Nebenkosten!$C$13="Anteil",$J48,$K48))*IF(Nebenkosten!$D$13="Heizung",$H48,$G48)/Nebenkosten!$E$13)</f>
        <v/>
      </c>
      <c r="AE48" s="11">
        <f>IF(OR(Nebenkosten!$B$14="",Nebenkosten!$E$14=0,$F48=0),0,Nebenkosten!$B$14*IF(Nebenkosten!$C$14="Fläche",$I48,IF(Nebenkosten!$C$14="Anteil",$J48,$K48))*IF(Nebenkosten!$D$14="Heizung",$H48,$G48)/Nebenkosten!$E$14)</f>
        <v/>
      </c>
      <c r="AF48" s="11">
        <f>IF(OR(Nebenkosten!$B$15="",Nebenkosten!$E$15=0,$F48=0),0,Nebenkosten!$B$15*IF(Nebenkosten!$C$15="Fläche",$I48,IF(Nebenkosten!$C$15="Anteil",$J48,$K48))*IF(Nebenkosten!$D$15="Heizung",$H48,$G48)/Nebenkosten!$E$15)</f>
        <v/>
      </c>
      <c r="AG48" s="11">
        <f>IF(OR(Nebenkosten!$B$16="",Nebenkosten!$E$16=0,$F48=0),0,Nebenkosten!$B$16*IF(Nebenkosten!$C$16="Fläche",$I48,IF(Nebenkosten!$C$16="Anteil",$J48,$K48))*IF(Nebenkosten!$D$16="Heizung",$H48,$G48)/Nebenkosten!$E$16)</f>
        <v/>
      </c>
      <c r="AH48" s="11">
        <f>IF(OR(Nebenkosten!$B$17="",Nebenkosten!$E$17=0,$F48=0),0,Nebenkosten!$B$17*IF(Nebenkosten!$C$17="Fläche",$I48,IF(Nebenkosten!$C$17="Anteil",$J48,$K48))*IF(Nebenkosten!$D$17="Heizung",$H48,$G48)/Nebenkosten!$E$17)</f>
        <v/>
      </c>
      <c r="AI48" s="11">
        <f>IF(OR(Nebenkosten!$B$18="",Nebenkosten!$E$18=0,$F48=0),0,Nebenkosten!$B$18*IF(Nebenkosten!$C$18="Fläche",$I48,IF(Nebenkosten!$C$18="Anteil",$J48,$K48))*IF(Nebenkosten!$D$18="Heizung",$H48,$G48)/Nebenkosten!$E$18)</f>
        <v/>
      </c>
      <c r="AJ48" s="11">
        <f>IF(OR(Nebenkosten!$B$19="",Nebenkosten!$E$19=0,$F48=0),0,Nebenkosten!$B$19*IF(Nebenkosten!$C$19="Fläche",$I48,IF(Nebenkosten!$C$19="Anteil",$J48,$K48))*IF(Nebenkosten!$D$19="Heizung",$H48,$G48)/Nebenkosten!$E$19)</f>
        <v/>
      </c>
      <c r="AK48" s="11">
        <f>IF(OR(Nebenkosten!$B$20="",Nebenkosten!$E$20=0,$F48=0),0,Nebenkosten!$B$20*IF(Nebenkosten!$C$20="Fläche",$I48,IF(Nebenkosten!$C$20="Anteil",$J48,$K48))*IF(Nebenkosten!$D$20="Heizung",$H48,$G48)/Nebenkosten!$E$20)</f>
        <v/>
      </c>
      <c r="AL48" s="11">
        <f>IF(OR(Nebenkosten!$B$21="",Nebenkosten!$E$21=0,$F48=0),0,Nebenkosten!$B$21*IF(Nebenkosten!$C$21="Fläche",$I48,IF(Nebenkosten!$C$21="Anteil",$J48,$K48))*IF(Nebenkosten!$D$21="Heizung",$H48,$G48)/Nebenkosten!$E$21)</f>
        <v/>
      </c>
      <c r="AM48" s="11">
        <f>IF(OR(Nebenkosten!$B$22="",Nebenkosten!$E$22=0,$F48=0),0,Nebenkosten!$B$22*IF(Nebenkosten!$C$22="Fläche",$I48,IF(Nebenkosten!$C$22="Anteil",$J48,$K48))*IF(Nebenkosten!$D$22="Heizung",$H48,$G48)/Nebenkosten!$E$22)</f>
        <v/>
      </c>
      <c r="AN48" s="11">
        <f>IF(OR(Nebenkosten!$B$23="",Nebenkosten!$E$23=0,$F48=0),0,Nebenkosten!$B$23*IF(Nebenkosten!$C$23="Fläche",$I48,IF(Nebenkosten!$C$23="Anteil",$J48,$K48))*IF(Nebenkosten!$D$23="Heizung",$H48,$G48)/Nebenkosten!$E$23)</f>
        <v/>
      </c>
      <c r="AO48" s="11">
        <f>IF(OR(Nebenkosten!$B$24="",Nebenkosten!$E$24=0,$F48=0),0,Nebenkosten!$B$24*IF(Nebenkosten!$C$24="Fläche",$I48,IF(Nebenkosten!$C$24="Anteil",$J48,$K48))*IF(Nebenkosten!$D$24="Heizung",$H48,$G48)/Nebenkosten!$E$24)</f>
        <v/>
      </c>
      <c r="AP48" s="11">
        <f>IF(OR(Nebenkosten!$B$25="",Nebenkosten!$E$25=0,$F48=0),0,Nebenkosten!$B$25*IF(Nebenkosten!$C$25="Fläche",$I48,IF(Nebenkosten!$C$25="Anteil",$J48,$K48))*IF(Nebenkosten!$D$25="Heizung",$H48,$G48)/Nebenkosten!$E$25)</f>
        <v/>
      </c>
      <c r="AQ48" s="11">
        <f>IF(OR(Nebenkosten!$B$26="",Nebenkosten!$E$26=0,$F48=0),0,Nebenkosten!$B$26*IF(Nebenkosten!$C$26="Fläche",$I48,IF(Nebenkosten!$C$26="Anteil",$J48,$K48))*IF(Nebenkosten!$D$26="Heizung",$H48,$G48)/Nebenkosten!$E$26)</f>
        <v/>
      </c>
      <c r="AR48" s="11">
        <f>IF(OR(Nebenkosten!$B$27="",Nebenkosten!$E$27=0,$F48=0),0,Nebenkosten!$B$27*IF(Nebenkosten!$C$27="Fläche",$I48,IF(Nebenkosten!$C$27="Anteil",$J48,$K48))*IF(Nebenkosten!$D$27="Heizung",$H48,$G48)/Nebenkosten!$E$27)</f>
        <v/>
      </c>
      <c r="AS48" s="11">
        <f>IF(OR(Nebenkosten!$B$28="",Nebenkosten!$E$28=0,$F48=0),0,Nebenkosten!$B$28*IF(Nebenkosten!$C$28="Fläche",$I48,IF(Nebenkosten!$C$28="Anteil",$J48,$K48))*IF(Nebenkosten!$D$28="Heizung",$H48,$G48)/Nebenkosten!$E$28)</f>
        <v/>
      </c>
      <c r="AT48" s="11">
        <f>IF(OR(Nebenkosten!$B$29="",Nebenkosten!$E$29=0,$F48=0),0,Nebenkosten!$B$29*IF(Nebenkosten!$C$29="Fläche",$I48,IF(Nebenkosten!$C$29="Anteil",$J48,$K48))*IF(Nebenkosten!$D$29="Heizung",$H48,$G48)/Nebenkosten!$E$29)</f>
        <v/>
      </c>
      <c r="AU48" s="11">
        <f>IF(OR(Nebenkosten!$B$30="",Nebenkosten!$E$30=0,$F48=0),0,Nebenkosten!$B$30*IF(Nebenkosten!$C$30="Fläche",$I48,IF(Nebenkosten!$C$30="Anteil",$J48,$K48))*IF(Nebenkosten!$D$30="Heizung",$H48,$G48)/Nebenkosten!$E$30)</f>
        <v/>
      </c>
      <c r="AV48" s="11">
        <f>IF(OR(Nebenkosten!$B$31="",Nebenkosten!$E$31=0,$F48=0),0,Nebenkosten!$B$31*IF(Nebenkosten!$C$31="Fläche",$I48,IF(Nebenkosten!$C$31="Anteil",$J48,$K48))*IF(Nebenkosten!$D$31="Heizung",$H48,$G48)/Nebenkosten!$E$31)</f>
        <v/>
      </c>
      <c r="AW48" s="11">
        <f>IF(OR(Nebenkosten!$B$32="",Nebenkosten!$E$32=0,$F48=0),0,Nebenkosten!$B$32*IF(Nebenkosten!$C$32="Fläche",$I48,IF(Nebenkosten!$C$32="Anteil",$J48,$K48))*IF(Nebenkosten!$D$32="Heizung",$H48,$G48)/Nebenkosten!$E$32)</f>
        <v/>
      </c>
      <c r="AX48" s="11">
        <f>IF(OR(Nebenkosten!$B$33="",Nebenkosten!$E$33=0,$F48=0),0,Nebenkosten!$B$33*IF(Nebenkosten!$C$33="Fläche",$I48,IF(Nebenkosten!$C$33="Anteil",$J48,$K48))*IF(Nebenkosten!$D$33="Heizung",$H48,$G48)/Nebenkosten!$E$33)</f>
        <v/>
      </c>
      <c r="AY48" s="11">
        <f>IF(OR(Nebenkosten!$B$34="",Nebenkosten!$E$34=0,$F48=0),0,Nebenkosten!$B$34*IF(Nebenkosten!$C$34="Fläche",$I48,IF(Nebenkosten!$C$34="Anteil",$J48,$K48))*IF(Nebenkosten!$D$34="Heizung",$H48,$G48)/Nebenkosten!$E$34)</f>
        <v/>
      </c>
      <c r="AZ48" s="11">
        <f>ROUND(SUM(AA48:AY48)*20,0)/20</f>
        <v/>
      </c>
      <c r="BA48" s="11">
        <f>IF(F48=0,0,N48)</f>
        <v/>
      </c>
      <c r="BB48" s="11">
        <f>AZ48-BA48</f>
        <v/>
      </c>
    </row>
    <row r="49">
      <c r="A49" s="10">
        <f>'Mein Haus'!A89</f>
        <v/>
      </c>
      <c r="B49" s="23">
        <f>IF('Mein Haus'!C89="","",'Mein Haus'!C89)</f>
        <v/>
      </c>
      <c r="C49" s="23">
        <f>IF('Mein Haus'!B89="","",'Mein Haus'!B89)</f>
        <v/>
      </c>
      <c r="D49" s="21">
        <f>IF(AND('Mein Haus'!C89&lt;&gt;"",'Mein Haus'!B89&lt;&gt;"",Nebenkosten!$B$7&lt;&gt;""),MAX(IF('Mein Haus'!D89="",Nebenkosten!$B$7,'Mein Haus'!D89),Nebenkosten!$B$7),"")</f>
        <v/>
      </c>
      <c r="E49" s="21">
        <f>IF(AND('Mein Haus'!C89&lt;&gt;"",'Mein Haus'!B89&lt;&gt;"",Nebenkosten!$B$7&lt;&gt;""),MIN(IF('Mein Haus'!F89="",Nebenkosten!$D$7,'Mein Haus'!F89),Nebenkosten!$D$7),"")</f>
        <v/>
      </c>
      <c r="F49" s="10">
        <f>IF(D49="",0,MAX(0,E49-D49+1))</f>
        <v/>
      </c>
      <c r="G49" s="49">
        <f>IF(F49=0,0,F49/Nebenkosten!$F$7)</f>
        <v/>
      </c>
      <c r="H49" s="49">
        <f>IF(F49=0,0,SUMPRODUCT(O49:Z49,$O$3:$Z$3)/Einstellungen!$F$17)</f>
        <v/>
      </c>
      <c r="I49" s="19">
        <f>IF(F49=0,0,IFERROR(INDEX('Mein Haus'!$D$11:$D$40,MATCH(C49,'Mein Haus'!$A$11:$A$40,0)),0))</f>
        <v/>
      </c>
      <c r="J49" s="19">
        <f>IF(F49=0,0,IFERROR(INDEX('Mein Haus'!$E$11:$E$40,MATCH(C49,'Mein Haus'!$A$11:$A$40,0)),0))</f>
        <v/>
      </c>
      <c r="K49" s="19">
        <f>IF(F49=0,0,IFERROR(INDEX('Mein Haus'!$F$11:$F$40,MATCH(C49,'Mein Haus'!$A$11:$A$40,0)),0))</f>
        <v/>
      </c>
      <c r="L49" s="11">
        <f>IF(F49=0,0,N('Mein Haus'!H89)*SUM(O49:Z49))</f>
        <v/>
      </c>
      <c r="M49" s="22" t="n"/>
      <c r="N49" s="11">
        <f>IF(M49&lt;&gt;"",M49,L49)</f>
        <v/>
      </c>
      <c r="O49" s="19">
        <f>IF(F49=0,0,MAX(0,MIN(E49,EOMONTH(EDATE(Nebenkosten!$B$7,0),0))-MAX(D49,EDATE(Nebenkosten!$B$7,0))+1)/DAY(EOMONTH(EDATE(Nebenkosten!$B$7,0),0)))</f>
        <v/>
      </c>
      <c r="P49" s="19">
        <f>IF(F49=0,0,MAX(0,MIN(E49,EOMONTH(EDATE(Nebenkosten!$B$7,1),0))-MAX(D49,EDATE(Nebenkosten!$B$7,1))+1)/DAY(EOMONTH(EDATE(Nebenkosten!$B$7,1),0)))</f>
        <v/>
      </c>
      <c r="Q49" s="19">
        <f>IF(F49=0,0,MAX(0,MIN(E49,EOMONTH(EDATE(Nebenkosten!$B$7,2),0))-MAX(D49,EDATE(Nebenkosten!$B$7,2))+1)/DAY(EOMONTH(EDATE(Nebenkosten!$B$7,2),0)))</f>
        <v/>
      </c>
      <c r="R49" s="19">
        <f>IF(F49=0,0,MAX(0,MIN(E49,EOMONTH(EDATE(Nebenkosten!$B$7,3),0))-MAX(D49,EDATE(Nebenkosten!$B$7,3))+1)/DAY(EOMONTH(EDATE(Nebenkosten!$B$7,3),0)))</f>
        <v/>
      </c>
      <c r="S49" s="19">
        <f>IF(F49=0,0,MAX(0,MIN(E49,EOMONTH(EDATE(Nebenkosten!$B$7,4),0))-MAX(D49,EDATE(Nebenkosten!$B$7,4))+1)/DAY(EOMONTH(EDATE(Nebenkosten!$B$7,4),0)))</f>
        <v/>
      </c>
      <c r="T49" s="19">
        <f>IF(F49=0,0,MAX(0,MIN(E49,EOMONTH(EDATE(Nebenkosten!$B$7,5),0))-MAX(D49,EDATE(Nebenkosten!$B$7,5))+1)/DAY(EOMONTH(EDATE(Nebenkosten!$B$7,5),0)))</f>
        <v/>
      </c>
      <c r="U49" s="19">
        <f>IF(F49=0,0,MAX(0,MIN(E49,EOMONTH(EDATE(Nebenkosten!$B$7,6),0))-MAX(D49,EDATE(Nebenkosten!$B$7,6))+1)/DAY(EOMONTH(EDATE(Nebenkosten!$B$7,6),0)))</f>
        <v/>
      </c>
      <c r="V49" s="19">
        <f>IF(F49=0,0,MAX(0,MIN(E49,EOMONTH(EDATE(Nebenkosten!$B$7,7),0))-MAX(D49,EDATE(Nebenkosten!$B$7,7))+1)/DAY(EOMONTH(EDATE(Nebenkosten!$B$7,7),0)))</f>
        <v/>
      </c>
      <c r="W49" s="19">
        <f>IF(F49=0,0,MAX(0,MIN(E49,EOMONTH(EDATE(Nebenkosten!$B$7,8),0))-MAX(D49,EDATE(Nebenkosten!$B$7,8))+1)/DAY(EOMONTH(EDATE(Nebenkosten!$B$7,8),0)))</f>
        <v/>
      </c>
      <c r="X49" s="19">
        <f>IF(F49=0,0,MAX(0,MIN(E49,EOMONTH(EDATE(Nebenkosten!$B$7,9),0))-MAX(D49,EDATE(Nebenkosten!$B$7,9))+1)/DAY(EOMONTH(EDATE(Nebenkosten!$B$7,9),0)))</f>
        <v/>
      </c>
      <c r="Y49" s="19">
        <f>IF(F49=0,0,MAX(0,MIN(E49,EOMONTH(EDATE(Nebenkosten!$B$7,10),0))-MAX(D49,EDATE(Nebenkosten!$B$7,10))+1)/DAY(EOMONTH(EDATE(Nebenkosten!$B$7,10),0)))</f>
        <v/>
      </c>
      <c r="Z49" s="19">
        <f>IF(F49=0,0,MAX(0,MIN(E49,EOMONTH(EDATE(Nebenkosten!$B$7,11),0))-MAX(D49,EDATE(Nebenkosten!$B$7,11))+1)/DAY(EOMONTH(EDATE(Nebenkosten!$B$7,11),0)))</f>
        <v/>
      </c>
      <c r="AA49" s="11">
        <f>IF(OR(Nebenkosten!$B$10="",Nebenkosten!$E$10=0,$F49=0),0,Nebenkosten!$B$10*IF(Nebenkosten!$C$10="Fläche",$I49,IF(Nebenkosten!$C$10="Anteil",$J49,$K49))*IF(Nebenkosten!$D$10="Heizung",$H49,$G49)/Nebenkosten!$E$10)</f>
        <v/>
      </c>
      <c r="AB49" s="11">
        <f>IF(OR(Nebenkosten!$B$11="",Nebenkosten!$E$11=0,$F49=0),0,Nebenkosten!$B$11*IF(Nebenkosten!$C$11="Fläche",$I49,IF(Nebenkosten!$C$11="Anteil",$J49,$K49))*IF(Nebenkosten!$D$11="Heizung",$H49,$G49)/Nebenkosten!$E$11)</f>
        <v/>
      </c>
      <c r="AC49" s="11">
        <f>IF(OR(Nebenkosten!$B$12="",Nebenkosten!$E$12=0,$F49=0),0,Nebenkosten!$B$12*IF(Nebenkosten!$C$12="Fläche",$I49,IF(Nebenkosten!$C$12="Anteil",$J49,$K49))*IF(Nebenkosten!$D$12="Heizung",$H49,$G49)/Nebenkosten!$E$12)</f>
        <v/>
      </c>
      <c r="AD49" s="11">
        <f>IF(OR(Nebenkosten!$B$13="",Nebenkosten!$E$13=0,$F49=0),0,Nebenkosten!$B$13*IF(Nebenkosten!$C$13="Fläche",$I49,IF(Nebenkosten!$C$13="Anteil",$J49,$K49))*IF(Nebenkosten!$D$13="Heizung",$H49,$G49)/Nebenkosten!$E$13)</f>
        <v/>
      </c>
      <c r="AE49" s="11">
        <f>IF(OR(Nebenkosten!$B$14="",Nebenkosten!$E$14=0,$F49=0),0,Nebenkosten!$B$14*IF(Nebenkosten!$C$14="Fläche",$I49,IF(Nebenkosten!$C$14="Anteil",$J49,$K49))*IF(Nebenkosten!$D$14="Heizung",$H49,$G49)/Nebenkosten!$E$14)</f>
        <v/>
      </c>
      <c r="AF49" s="11">
        <f>IF(OR(Nebenkosten!$B$15="",Nebenkosten!$E$15=0,$F49=0),0,Nebenkosten!$B$15*IF(Nebenkosten!$C$15="Fläche",$I49,IF(Nebenkosten!$C$15="Anteil",$J49,$K49))*IF(Nebenkosten!$D$15="Heizung",$H49,$G49)/Nebenkosten!$E$15)</f>
        <v/>
      </c>
      <c r="AG49" s="11">
        <f>IF(OR(Nebenkosten!$B$16="",Nebenkosten!$E$16=0,$F49=0),0,Nebenkosten!$B$16*IF(Nebenkosten!$C$16="Fläche",$I49,IF(Nebenkosten!$C$16="Anteil",$J49,$K49))*IF(Nebenkosten!$D$16="Heizung",$H49,$G49)/Nebenkosten!$E$16)</f>
        <v/>
      </c>
      <c r="AH49" s="11">
        <f>IF(OR(Nebenkosten!$B$17="",Nebenkosten!$E$17=0,$F49=0),0,Nebenkosten!$B$17*IF(Nebenkosten!$C$17="Fläche",$I49,IF(Nebenkosten!$C$17="Anteil",$J49,$K49))*IF(Nebenkosten!$D$17="Heizung",$H49,$G49)/Nebenkosten!$E$17)</f>
        <v/>
      </c>
      <c r="AI49" s="11">
        <f>IF(OR(Nebenkosten!$B$18="",Nebenkosten!$E$18=0,$F49=0),0,Nebenkosten!$B$18*IF(Nebenkosten!$C$18="Fläche",$I49,IF(Nebenkosten!$C$18="Anteil",$J49,$K49))*IF(Nebenkosten!$D$18="Heizung",$H49,$G49)/Nebenkosten!$E$18)</f>
        <v/>
      </c>
      <c r="AJ49" s="11">
        <f>IF(OR(Nebenkosten!$B$19="",Nebenkosten!$E$19=0,$F49=0),0,Nebenkosten!$B$19*IF(Nebenkosten!$C$19="Fläche",$I49,IF(Nebenkosten!$C$19="Anteil",$J49,$K49))*IF(Nebenkosten!$D$19="Heizung",$H49,$G49)/Nebenkosten!$E$19)</f>
        <v/>
      </c>
      <c r="AK49" s="11">
        <f>IF(OR(Nebenkosten!$B$20="",Nebenkosten!$E$20=0,$F49=0),0,Nebenkosten!$B$20*IF(Nebenkosten!$C$20="Fläche",$I49,IF(Nebenkosten!$C$20="Anteil",$J49,$K49))*IF(Nebenkosten!$D$20="Heizung",$H49,$G49)/Nebenkosten!$E$20)</f>
        <v/>
      </c>
      <c r="AL49" s="11">
        <f>IF(OR(Nebenkosten!$B$21="",Nebenkosten!$E$21=0,$F49=0),0,Nebenkosten!$B$21*IF(Nebenkosten!$C$21="Fläche",$I49,IF(Nebenkosten!$C$21="Anteil",$J49,$K49))*IF(Nebenkosten!$D$21="Heizung",$H49,$G49)/Nebenkosten!$E$21)</f>
        <v/>
      </c>
      <c r="AM49" s="11">
        <f>IF(OR(Nebenkosten!$B$22="",Nebenkosten!$E$22=0,$F49=0),0,Nebenkosten!$B$22*IF(Nebenkosten!$C$22="Fläche",$I49,IF(Nebenkosten!$C$22="Anteil",$J49,$K49))*IF(Nebenkosten!$D$22="Heizung",$H49,$G49)/Nebenkosten!$E$22)</f>
        <v/>
      </c>
      <c r="AN49" s="11">
        <f>IF(OR(Nebenkosten!$B$23="",Nebenkosten!$E$23=0,$F49=0),0,Nebenkosten!$B$23*IF(Nebenkosten!$C$23="Fläche",$I49,IF(Nebenkosten!$C$23="Anteil",$J49,$K49))*IF(Nebenkosten!$D$23="Heizung",$H49,$G49)/Nebenkosten!$E$23)</f>
        <v/>
      </c>
      <c r="AO49" s="11">
        <f>IF(OR(Nebenkosten!$B$24="",Nebenkosten!$E$24=0,$F49=0),0,Nebenkosten!$B$24*IF(Nebenkosten!$C$24="Fläche",$I49,IF(Nebenkosten!$C$24="Anteil",$J49,$K49))*IF(Nebenkosten!$D$24="Heizung",$H49,$G49)/Nebenkosten!$E$24)</f>
        <v/>
      </c>
      <c r="AP49" s="11">
        <f>IF(OR(Nebenkosten!$B$25="",Nebenkosten!$E$25=0,$F49=0),0,Nebenkosten!$B$25*IF(Nebenkosten!$C$25="Fläche",$I49,IF(Nebenkosten!$C$25="Anteil",$J49,$K49))*IF(Nebenkosten!$D$25="Heizung",$H49,$G49)/Nebenkosten!$E$25)</f>
        <v/>
      </c>
      <c r="AQ49" s="11">
        <f>IF(OR(Nebenkosten!$B$26="",Nebenkosten!$E$26=0,$F49=0),0,Nebenkosten!$B$26*IF(Nebenkosten!$C$26="Fläche",$I49,IF(Nebenkosten!$C$26="Anteil",$J49,$K49))*IF(Nebenkosten!$D$26="Heizung",$H49,$G49)/Nebenkosten!$E$26)</f>
        <v/>
      </c>
      <c r="AR49" s="11">
        <f>IF(OR(Nebenkosten!$B$27="",Nebenkosten!$E$27=0,$F49=0),0,Nebenkosten!$B$27*IF(Nebenkosten!$C$27="Fläche",$I49,IF(Nebenkosten!$C$27="Anteil",$J49,$K49))*IF(Nebenkosten!$D$27="Heizung",$H49,$G49)/Nebenkosten!$E$27)</f>
        <v/>
      </c>
      <c r="AS49" s="11">
        <f>IF(OR(Nebenkosten!$B$28="",Nebenkosten!$E$28=0,$F49=0),0,Nebenkosten!$B$28*IF(Nebenkosten!$C$28="Fläche",$I49,IF(Nebenkosten!$C$28="Anteil",$J49,$K49))*IF(Nebenkosten!$D$28="Heizung",$H49,$G49)/Nebenkosten!$E$28)</f>
        <v/>
      </c>
      <c r="AT49" s="11">
        <f>IF(OR(Nebenkosten!$B$29="",Nebenkosten!$E$29=0,$F49=0),0,Nebenkosten!$B$29*IF(Nebenkosten!$C$29="Fläche",$I49,IF(Nebenkosten!$C$29="Anteil",$J49,$K49))*IF(Nebenkosten!$D$29="Heizung",$H49,$G49)/Nebenkosten!$E$29)</f>
        <v/>
      </c>
      <c r="AU49" s="11">
        <f>IF(OR(Nebenkosten!$B$30="",Nebenkosten!$E$30=0,$F49=0),0,Nebenkosten!$B$30*IF(Nebenkosten!$C$30="Fläche",$I49,IF(Nebenkosten!$C$30="Anteil",$J49,$K49))*IF(Nebenkosten!$D$30="Heizung",$H49,$G49)/Nebenkosten!$E$30)</f>
        <v/>
      </c>
      <c r="AV49" s="11">
        <f>IF(OR(Nebenkosten!$B$31="",Nebenkosten!$E$31=0,$F49=0),0,Nebenkosten!$B$31*IF(Nebenkosten!$C$31="Fläche",$I49,IF(Nebenkosten!$C$31="Anteil",$J49,$K49))*IF(Nebenkosten!$D$31="Heizung",$H49,$G49)/Nebenkosten!$E$31)</f>
        <v/>
      </c>
      <c r="AW49" s="11">
        <f>IF(OR(Nebenkosten!$B$32="",Nebenkosten!$E$32=0,$F49=0),0,Nebenkosten!$B$32*IF(Nebenkosten!$C$32="Fläche",$I49,IF(Nebenkosten!$C$32="Anteil",$J49,$K49))*IF(Nebenkosten!$D$32="Heizung",$H49,$G49)/Nebenkosten!$E$32)</f>
        <v/>
      </c>
      <c r="AX49" s="11">
        <f>IF(OR(Nebenkosten!$B$33="",Nebenkosten!$E$33=0,$F49=0),0,Nebenkosten!$B$33*IF(Nebenkosten!$C$33="Fläche",$I49,IF(Nebenkosten!$C$33="Anteil",$J49,$K49))*IF(Nebenkosten!$D$33="Heizung",$H49,$G49)/Nebenkosten!$E$33)</f>
        <v/>
      </c>
      <c r="AY49" s="11">
        <f>IF(OR(Nebenkosten!$B$34="",Nebenkosten!$E$34=0,$F49=0),0,Nebenkosten!$B$34*IF(Nebenkosten!$C$34="Fläche",$I49,IF(Nebenkosten!$C$34="Anteil",$J49,$K49))*IF(Nebenkosten!$D$34="Heizung",$H49,$G49)/Nebenkosten!$E$34)</f>
        <v/>
      </c>
      <c r="AZ49" s="11">
        <f>ROUND(SUM(AA49:AY49)*20,0)/20</f>
        <v/>
      </c>
      <c r="BA49" s="11">
        <f>IF(F49=0,0,N49)</f>
        <v/>
      </c>
      <c r="BB49" s="11">
        <f>AZ49-BA49</f>
        <v/>
      </c>
    </row>
    <row r="50">
      <c r="A50" s="10">
        <f>'Mein Haus'!A90</f>
        <v/>
      </c>
      <c r="B50" s="23">
        <f>IF('Mein Haus'!C90="","",'Mein Haus'!C90)</f>
        <v/>
      </c>
      <c r="C50" s="23">
        <f>IF('Mein Haus'!B90="","",'Mein Haus'!B90)</f>
        <v/>
      </c>
      <c r="D50" s="21">
        <f>IF(AND('Mein Haus'!C90&lt;&gt;"",'Mein Haus'!B90&lt;&gt;"",Nebenkosten!$B$7&lt;&gt;""),MAX(IF('Mein Haus'!D90="",Nebenkosten!$B$7,'Mein Haus'!D90),Nebenkosten!$B$7),"")</f>
        <v/>
      </c>
      <c r="E50" s="21">
        <f>IF(AND('Mein Haus'!C90&lt;&gt;"",'Mein Haus'!B90&lt;&gt;"",Nebenkosten!$B$7&lt;&gt;""),MIN(IF('Mein Haus'!F90="",Nebenkosten!$D$7,'Mein Haus'!F90),Nebenkosten!$D$7),"")</f>
        <v/>
      </c>
      <c r="F50" s="10">
        <f>IF(D50="",0,MAX(0,E50-D50+1))</f>
        <v/>
      </c>
      <c r="G50" s="49">
        <f>IF(F50=0,0,F50/Nebenkosten!$F$7)</f>
        <v/>
      </c>
      <c r="H50" s="49">
        <f>IF(F50=0,0,SUMPRODUCT(O50:Z50,$O$3:$Z$3)/Einstellungen!$F$17)</f>
        <v/>
      </c>
      <c r="I50" s="19">
        <f>IF(F50=0,0,IFERROR(INDEX('Mein Haus'!$D$11:$D$40,MATCH(C50,'Mein Haus'!$A$11:$A$40,0)),0))</f>
        <v/>
      </c>
      <c r="J50" s="19">
        <f>IF(F50=0,0,IFERROR(INDEX('Mein Haus'!$E$11:$E$40,MATCH(C50,'Mein Haus'!$A$11:$A$40,0)),0))</f>
        <v/>
      </c>
      <c r="K50" s="19">
        <f>IF(F50=0,0,IFERROR(INDEX('Mein Haus'!$F$11:$F$40,MATCH(C50,'Mein Haus'!$A$11:$A$40,0)),0))</f>
        <v/>
      </c>
      <c r="L50" s="11">
        <f>IF(F50=0,0,N('Mein Haus'!H90)*SUM(O50:Z50))</f>
        <v/>
      </c>
      <c r="M50" s="22" t="n"/>
      <c r="N50" s="11">
        <f>IF(M50&lt;&gt;"",M50,L50)</f>
        <v/>
      </c>
      <c r="O50" s="19">
        <f>IF(F50=0,0,MAX(0,MIN(E50,EOMONTH(EDATE(Nebenkosten!$B$7,0),0))-MAX(D50,EDATE(Nebenkosten!$B$7,0))+1)/DAY(EOMONTH(EDATE(Nebenkosten!$B$7,0),0)))</f>
        <v/>
      </c>
      <c r="P50" s="19">
        <f>IF(F50=0,0,MAX(0,MIN(E50,EOMONTH(EDATE(Nebenkosten!$B$7,1),0))-MAX(D50,EDATE(Nebenkosten!$B$7,1))+1)/DAY(EOMONTH(EDATE(Nebenkosten!$B$7,1),0)))</f>
        <v/>
      </c>
      <c r="Q50" s="19">
        <f>IF(F50=0,0,MAX(0,MIN(E50,EOMONTH(EDATE(Nebenkosten!$B$7,2),0))-MAX(D50,EDATE(Nebenkosten!$B$7,2))+1)/DAY(EOMONTH(EDATE(Nebenkosten!$B$7,2),0)))</f>
        <v/>
      </c>
      <c r="R50" s="19">
        <f>IF(F50=0,0,MAX(0,MIN(E50,EOMONTH(EDATE(Nebenkosten!$B$7,3),0))-MAX(D50,EDATE(Nebenkosten!$B$7,3))+1)/DAY(EOMONTH(EDATE(Nebenkosten!$B$7,3),0)))</f>
        <v/>
      </c>
      <c r="S50" s="19">
        <f>IF(F50=0,0,MAX(0,MIN(E50,EOMONTH(EDATE(Nebenkosten!$B$7,4),0))-MAX(D50,EDATE(Nebenkosten!$B$7,4))+1)/DAY(EOMONTH(EDATE(Nebenkosten!$B$7,4),0)))</f>
        <v/>
      </c>
      <c r="T50" s="19">
        <f>IF(F50=0,0,MAX(0,MIN(E50,EOMONTH(EDATE(Nebenkosten!$B$7,5),0))-MAX(D50,EDATE(Nebenkosten!$B$7,5))+1)/DAY(EOMONTH(EDATE(Nebenkosten!$B$7,5),0)))</f>
        <v/>
      </c>
      <c r="U50" s="19">
        <f>IF(F50=0,0,MAX(0,MIN(E50,EOMONTH(EDATE(Nebenkosten!$B$7,6),0))-MAX(D50,EDATE(Nebenkosten!$B$7,6))+1)/DAY(EOMONTH(EDATE(Nebenkosten!$B$7,6),0)))</f>
        <v/>
      </c>
      <c r="V50" s="19">
        <f>IF(F50=0,0,MAX(0,MIN(E50,EOMONTH(EDATE(Nebenkosten!$B$7,7),0))-MAX(D50,EDATE(Nebenkosten!$B$7,7))+1)/DAY(EOMONTH(EDATE(Nebenkosten!$B$7,7),0)))</f>
        <v/>
      </c>
      <c r="W50" s="19">
        <f>IF(F50=0,0,MAX(0,MIN(E50,EOMONTH(EDATE(Nebenkosten!$B$7,8),0))-MAX(D50,EDATE(Nebenkosten!$B$7,8))+1)/DAY(EOMONTH(EDATE(Nebenkosten!$B$7,8),0)))</f>
        <v/>
      </c>
      <c r="X50" s="19">
        <f>IF(F50=0,0,MAX(0,MIN(E50,EOMONTH(EDATE(Nebenkosten!$B$7,9),0))-MAX(D50,EDATE(Nebenkosten!$B$7,9))+1)/DAY(EOMONTH(EDATE(Nebenkosten!$B$7,9),0)))</f>
        <v/>
      </c>
      <c r="Y50" s="19">
        <f>IF(F50=0,0,MAX(0,MIN(E50,EOMONTH(EDATE(Nebenkosten!$B$7,10),0))-MAX(D50,EDATE(Nebenkosten!$B$7,10))+1)/DAY(EOMONTH(EDATE(Nebenkosten!$B$7,10),0)))</f>
        <v/>
      </c>
      <c r="Z50" s="19">
        <f>IF(F50=0,0,MAX(0,MIN(E50,EOMONTH(EDATE(Nebenkosten!$B$7,11),0))-MAX(D50,EDATE(Nebenkosten!$B$7,11))+1)/DAY(EOMONTH(EDATE(Nebenkosten!$B$7,11),0)))</f>
        <v/>
      </c>
      <c r="AA50" s="11">
        <f>IF(OR(Nebenkosten!$B$10="",Nebenkosten!$E$10=0,$F50=0),0,Nebenkosten!$B$10*IF(Nebenkosten!$C$10="Fläche",$I50,IF(Nebenkosten!$C$10="Anteil",$J50,$K50))*IF(Nebenkosten!$D$10="Heizung",$H50,$G50)/Nebenkosten!$E$10)</f>
        <v/>
      </c>
      <c r="AB50" s="11">
        <f>IF(OR(Nebenkosten!$B$11="",Nebenkosten!$E$11=0,$F50=0),0,Nebenkosten!$B$11*IF(Nebenkosten!$C$11="Fläche",$I50,IF(Nebenkosten!$C$11="Anteil",$J50,$K50))*IF(Nebenkosten!$D$11="Heizung",$H50,$G50)/Nebenkosten!$E$11)</f>
        <v/>
      </c>
      <c r="AC50" s="11">
        <f>IF(OR(Nebenkosten!$B$12="",Nebenkosten!$E$12=0,$F50=0),0,Nebenkosten!$B$12*IF(Nebenkosten!$C$12="Fläche",$I50,IF(Nebenkosten!$C$12="Anteil",$J50,$K50))*IF(Nebenkosten!$D$12="Heizung",$H50,$G50)/Nebenkosten!$E$12)</f>
        <v/>
      </c>
      <c r="AD50" s="11">
        <f>IF(OR(Nebenkosten!$B$13="",Nebenkosten!$E$13=0,$F50=0),0,Nebenkosten!$B$13*IF(Nebenkosten!$C$13="Fläche",$I50,IF(Nebenkosten!$C$13="Anteil",$J50,$K50))*IF(Nebenkosten!$D$13="Heizung",$H50,$G50)/Nebenkosten!$E$13)</f>
        <v/>
      </c>
      <c r="AE50" s="11">
        <f>IF(OR(Nebenkosten!$B$14="",Nebenkosten!$E$14=0,$F50=0),0,Nebenkosten!$B$14*IF(Nebenkosten!$C$14="Fläche",$I50,IF(Nebenkosten!$C$14="Anteil",$J50,$K50))*IF(Nebenkosten!$D$14="Heizung",$H50,$G50)/Nebenkosten!$E$14)</f>
        <v/>
      </c>
      <c r="AF50" s="11">
        <f>IF(OR(Nebenkosten!$B$15="",Nebenkosten!$E$15=0,$F50=0),0,Nebenkosten!$B$15*IF(Nebenkosten!$C$15="Fläche",$I50,IF(Nebenkosten!$C$15="Anteil",$J50,$K50))*IF(Nebenkosten!$D$15="Heizung",$H50,$G50)/Nebenkosten!$E$15)</f>
        <v/>
      </c>
      <c r="AG50" s="11">
        <f>IF(OR(Nebenkosten!$B$16="",Nebenkosten!$E$16=0,$F50=0),0,Nebenkosten!$B$16*IF(Nebenkosten!$C$16="Fläche",$I50,IF(Nebenkosten!$C$16="Anteil",$J50,$K50))*IF(Nebenkosten!$D$16="Heizung",$H50,$G50)/Nebenkosten!$E$16)</f>
        <v/>
      </c>
      <c r="AH50" s="11">
        <f>IF(OR(Nebenkosten!$B$17="",Nebenkosten!$E$17=0,$F50=0),0,Nebenkosten!$B$17*IF(Nebenkosten!$C$17="Fläche",$I50,IF(Nebenkosten!$C$17="Anteil",$J50,$K50))*IF(Nebenkosten!$D$17="Heizung",$H50,$G50)/Nebenkosten!$E$17)</f>
        <v/>
      </c>
      <c r="AI50" s="11">
        <f>IF(OR(Nebenkosten!$B$18="",Nebenkosten!$E$18=0,$F50=0),0,Nebenkosten!$B$18*IF(Nebenkosten!$C$18="Fläche",$I50,IF(Nebenkosten!$C$18="Anteil",$J50,$K50))*IF(Nebenkosten!$D$18="Heizung",$H50,$G50)/Nebenkosten!$E$18)</f>
        <v/>
      </c>
      <c r="AJ50" s="11">
        <f>IF(OR(Nebenkosten!$B$19="",Nebenkosten!$E$19=0,$F50=0),0,Nebenkosten!$B$19*IF(Nebenkosten!$C$19="Fläche",$I50,IF(Nebenkosten!$C$19="Anteil",$J50,$K50))*IF(Nebenkosten!$D$19="Heizung",$H50,$G50)/Nebenkosten!$E$19)</f>
        <v/>
      </c>
      <c r="AK50" s="11">
        <f>IF(OR(Nebenkosten!$B$20="",Nebenkosten!$E$20=0,$F50=0),0,Nebenkosten!$B$20*IF(Nebenkosten!$C$20="Fläche",$I50,IF(Nebenkosten!$C$20="Anteil",$J50,$K50))*IF(Nebenkosten!$D$20="Heizung",$H50,$G50)/Nebenkosten!$E$20)</f>
        <v/>
      </c>
      <c r="AL50" s="11">
        <f>IF(OR(Nebenkosten!$B$21="",Nebenkosten!$E$21=0,$F50=0),0,Nebenkosten!$B$21*IF(Nebenkosten!$C$21="Fläche",$I50,IF(Nebenkosten!$C$21="Anteil",$J50,$K50))*IF(Nebenkosten!$D$21="Heizung",$H50,$G50)/Nebenkosten!$E$21)</f>
        <v/>
      </c>
      <c r="AM50" s="11">
        <f>IF(OR(Nebenkosten!$B$22="",Nebenkosten!$E$22=0,$F50=0),0,Nebenkosten!$B$22*IF(Nebenkosten!$C$22="Fläche",$I50,IF(Nebenkosten!$C$22="Anteil",$J50,$K50))*IF(Nebenkosten!$D$22="Heizung",$H50,$G50)/Nebenkosten!$E$22)</f>
        <v/>
      </c>
      <c r="AN50" s="11">
        <f>IF(OR(Nebenkosten!$B$23="",Nebenkosten!$E$23=0,$F50=0),0,Nebenkosten!$B$23*IF(Nebenkosten!$C$23="Fläche",$I50,IF(Nebenkosten!$C$23="Anteil",$J50,$K50))*IF(Nebenkosten!$D$23="Heizung",$H50,$G50)/Nebenkosten!$E$23)</f>
        <v/>
      </c>
      <c r="AO50" s="11">
        <f>IF(OR(Nebenkosten!$B$24="",Nebenkosten!$E$24=0,$F50=0),0,Nebenkosten!$B$24*IF(Nebenkosten!$C$24="Fläche",$I50,IF(Nebenkosten!$C$24="Anteil",$J50,$K50))*IF(Nebenkosten!$D$24="Heizung",$H50,$G50)/Nebenkosten!$E$24)</f>
        <v/>
      </c>
      <c r="AP50" s="11">
        <f>IF(OR(Nebenkosten!$B$25="",Nebenkosten!$E$25=0,$F50=0),0,Nebenkosten!$B$25*IF(Nebenkosten!$C$25="Fläche",$I50,IF(Nebenkosten!$C$25="Anteil",$J50,$K50))*IF(Nebenkosten!$D$25="Heizung",$H50,$G50)/Nebenkosten!$E$25)</f>
        <v/>
      </c>
      <c r="AQ50" s="11">
        <f>IF(OR(Nebenkosten!$B$26="",Nebenkosten!$E$26=0,$F50=0),0,Nebenkosten!$B$26*IF(Nebenkosten!$C$26="Fläche",$I50,IF(Nebenkosten!$C$26="Anteil",$J50,$K50))*IF(Nebenkosten!$D$26="Heizung",$H50,$G50)/Nebenkosten!$E$26)</f>
        <v/>
      </c>
      <c r="AR50" s="11">
        <f>IF(OR(Nebenkosten!$B$27="",Nebenkosten!$E$27=0,$F50=0),0,Nebenkosten!$B$27*IF(Nebenkosten!$C$27="Fläche",$I50,IF(Nebenkosten!$C$27="Anteil",$J50,$K50))*IF(Nebenkosten!$D$27="Heizung",$H50,$G50)/Nebenkosten!$E$27)</f>
        <v/>
      </c>
      <c r="AS50" s="11">
        <f>IF(OR(Nebenkosten!$B$28="",Nebenkosten!$E$28=0,$F50=0),0,Nebenkosten!$B$28*IF(Nebenkosten!$C$28="Fläche",$I50,IF(Nebenkosten!$C$28="Anteil",$J50,$K50))*IF(Nebenkosten!$D$28="Heizung",$H50,$G50)/Nebenkosten!$E$28)</f>
        <v/>
      </c>
      <c r="AT50" s="11">
        <f>IF(OR(Nebenkosten!$B$29="",Nebenkosten!$E$29=0,$F50=0),0,Nebenkosten!$B$29*IF(Nebenkosten!$C$29="Fläche",$I50,IF(Nebenkosten!$C$29="Anteil",$J50,$K50))*IF(Nebenkosten!$D$29="Heizung",$H50,$G50)/Nebenkosten!$E$29)</f>
        <v/>
      </c>
      <c r="AU50" s="11">
        <f>IF(OR(Nebenkosten!$B$30="",Nebenkosten!$E$30=0,$F50=0),0,Nebenkosten!$B$30*IF(Nebenkosten!$C$30="Fläche",$I50,IF(Nebenkosten!$C$30="Anteil",$J50,$K50))*IF(Nebenkosten!$D$30="Heizung",$H50,$G50)/Nebenkosten!$E$30)</f>
        <v/>
      </c>
      <c r="AV50" s="11">
        <f>IF(OR(Nebenkosten!$B$31="",Nebenkosten!$E$31=0,$F50=0),0,Nebenkosten!$B$31*IF(Nebenkosten!$C$31="Fläche",$I50,IF(Nebenkosten!$C$31="Anteil",$J50,$K50))*IF(Nebenkosten!$D$31="Heizung",$H50,$G50)/Nebenkosten!$E$31)</f>
        <v/>
      </c>
      <c r="AW50" s="11">
        <f>IF(OR(Nebenkosten!$B$32="",Nebenkosten!$E$32=0,$F50=0),0,Nebenkosten!$B$32*IF(Nebenkosten!$C$32="Fläche",$I50,IF(Nebenkosten!$C$32="Anteil",$J50,$K50))*IF(Nebenkosten!$D$32="Heizung",$H50,$G50)/Nebenkosten!$E$32)</f>
        <v/>
      </c>
      <c r="AX50" s="11">
        <f>IF(OR(Nebenkosten!$B$33="",Nebenkosten!$E$33=0,$F50=0),0,Nebenkosten!$B$33*IF(Nebenkosten!$C$33="Fläche",$I50,IF(Nebenkosten!$C$33="Anteil",$J50,$K50))*IF(Nebenkosten!$D$33="Heizung",$H50,$G50)/Nebenkosten!$E$33)</f>
        <v/>
      </c>
      <c r="AY50" s="11">
        <f>IF(OR(Nebenkosten!$B$34="",Nebenkosten!$E$34=0,$F50=0),0,Nebenkosten!$B$34*IF(Nebenkosten!$C$34="Fläche",$I50,IF(Nebenkosten!$C$34="Anteil",$J50,$K50))*IF(Nebenkosten!$D$34="Heizung",$H50,$G50)/Nebenkosten!$E$34)</f>
        <v/>
      </c>
      <c r="AZ50" s="11">
        <f>ROUND(SUM(AA50:AY50)*20,0)/20</f>
        <v/>
      </c>
      <c r="BA50" s="11">
        <f>IF(F50=0,0,N50)</f>
        <v/>
      </c>
      <c r="BB50" s="11">
        <f>AZ50-BA50</f>
        <v/>
      </c>
    </row>
    <row r="51">
      <c r="A51" s="10">
        <f>'Mein Haus'!A91</f>
        <v/>
      </c>
      <c r="B51" s="23">
        <f>IF('Mein Haus'!C91="","",'Mein Haus'!C91)</f>
        <v/>
      </c>
      <c r="C51" s="23">
        <f>IF('Mein Haus'!B91="","",'Mein Haus'!B91)</f>
        <v/>
      </c>
      <c r="D51" s="21">
        <f>IF(AND('Mein Haus'!C91&lt;&gt;"",'Mein Haus'!B91&lt;&gt;"",Nebenkosten!$B$7&lt;&gt;""),MAX(IF('Mein Haus'!D91="",Nebenkosten!$B$7,'Mein Haus'!D91),Nebenkosten!$B$7),"")</f>
        <v/>
      </c>
      <c r="E51" s="21">
        <f>IF(AND('Mein Haus'!C91&lt;&gt;"",'Mein Haus'!B91&lt;&gt;"",Nebenkosten!$B$7&lt;&gt;""),MIN(IF('Mein Haus'!F91="",Nebenkosten!$D$7,'Mein Haus'!F91),Nebenkosten!$D$7),"")</f>
        <v/>
      </c>
      <c r="F51" s="10">
        <f>IF(D51="",0,MAX(0,E51-D51+1))</f>
        <v/>
      </c>
      <c r="G51" s="49">
        <f>IF(F51=0,0,F51/Nebenkosten!$F$7)</f>
        <v/>
      </c>
      <c r="H51" s="49">
        <f>IF(F51=0,0,SUMPRODUCT(O51:Z51,$O$3:$Z$3)/Einstellungen!$F$17)</f>
        <v/>
      </c>
      <c r="I51" s="19">
        <f>IF(F51=0,0,IFERROR(INDEX('Mein Haus'!$D$11:$D$40,MATCH(C51,'Mein Haus'!$A$11:$A$40,0)),0))</f>
        <v/>
      </c>
      <c r="J51" s="19">
        <f>IF(F51=0,0,IFERROR(INDEX('Mein Haus'!$E$11:$E$40,MATCH(C51,'Mein Haus'!$A$11:$A$40,0)),0))</f>
        <v/>
      </c>
      <c r="K51" s="19">
        <f>IF(F51=0,0,IFERROR(INDEX('Mein Haus'!$F$11:$F$40,MATCH(C51,'Mein Haus'!$A$11:$A$40,0)),0))</f>
        <v/>
      </c>
      <c r="L51" s="11">
        <f>IF(F51=0,0,N('Mein Haus'!H91)*SUM(O51:Z51))</f>
        <v/>
      </c>
      <c r="M51" s="22" t="n"/>
      <c r="N51" s="11">
        <f>IF(M51&lt;&gt;"",M51,L51)</f>
        <v/>
      </c>
      <c r="O51" s="19">
        <f>IF(F51=0,0,MAX(0,MIN(E51,EOMONTH(EDATE(Nebenkosten!$B$7,0),0))-MAX(D51,EDATE(Nebenkosten!$B$7,0))+1)/DAY(EOMONTH(EDATE(Nebenkosten!$B$7,0),0)))</f>
        <v/>
      </c>
      <c r="P51" s="19">
        <f>IF(F51=0,0,MAX(0,MIN(E51,EOMONTH(EDATE(Nebenkosten!$B$7,1),0))-MAX(D51,EDATE(Nebenkosten!$B$7,1))+1)/DAY(EOMONTH(EDATE(Nebenkosten!$B$7,1),0)))</f>
        <v/>
      </c>
      <c r="Q51" s="19">
        <f>IF(F51=0,0,MAX(0,MIN(E51,EOMONTH(EDATE(Nebenkosten!$B$7,2),0))-MAX(D51,EDATE(Nebenkosten!$B$7,2))+1)/DAY(EOMONTH(EDATE(Nebenkosten!$B$7,2),0)))</f>
        <v/>
      </c>
      <c r="R51" s="19">
        <f>IF(F51=0,0,MAX(0,MIN(E51,EOMONTH(EDATE(Nebenkosten!$B$7,3),0))-MAX(D51,EDATE(Nebenkosten!$B$7,3))+1)/DAY(EOMONTH(EDATE(Nebenkosten!$B$7,3),0)))</f>
        <v/>
      </c>
      <c r="S51" s="19">
        <f>IF(F51=0,0,MAX(0,MIN(E51,EOMONTH(EDATE(Nebenkosten!$B$7,4),0))-MAX(D51,EDATE(Nebenkosten!$B$7,4))+1)/DAY(EOMONTH(EDATE(Nebenkosten!$B$7,4),0)))</f>
        <v/>
      </c>
      <c r="T51" s="19">
        <f>IF(F51=0,0,MAX(0,MIN(E51,EOMONTH(EDATE(Nebenkosten!$B$7,5),0))-MAX(D51,EDATE(Nebenkosten!$B$7,5))+1)/DAY(EOMONTH(EDATE(Nebenkosten!$B$7,5),0)))</f>
        <v/>
      </c>
      <c r="U51" s="19">
        <f>IF(F51=0,0,MAX(0,MIN(E51,EOMONTH(EDATE(Nebenkosten!$B$7,6),0))-MAX(D51,EDATE(Nebenkosten!$B$7,6))+1)/DAY(EOMONTH(EDATE(Nebenkosten!$B$7,6),0)))</f>
        <v/>
      </c>
      <c r="V51" s="19">
        <f>IF(F51=0,0,MAX(0,MIN(E51,EOMONTH(EDATE(Nebenkosten!$B$7,7),0))-MAX(D51,EDATE(Nebenkosten!$B$7,7))+1)/DAY(EOMONTH(EDATE(Nebenkosten!$B$7,7),0)))</f>
        <v/>
      </c>
      <c r="W51" s="19">
        <f>IF(F51=0,0,MAX(0,MIN(E51,EOMONTH(EDATE(Nebenkosten!$B$7,8),0))-MAX(D51,EDATE(Nebenkosten!$B$7,8))+1)/DAY(EOMONTH(EDATE(Nebenkosten!$B$7,8),0)))</f>
        <v/>
      </c>
      <c r="X51" s="19">
        <f>IF(F51=0,0,MAX(0,MIN(E51,EOMONTH(EDATE(Nebenkosten!$B$7,9),0))-MAX(D51,EDATE(Nebenkosten!$B$7,9))+1)/DAY(EOMONTH(EDATE(Nebenkosten!$B$7,9),0)))</f>
        <v/>
      </c>
      <c r="Y51" s="19">
        <f>IF(F51=0,0,MAX(0,MIN(E51,EOMONTH(EDATE(Nebenkosten!$B$7,10),0))-MAX(D51,EDATE(Nebenkosten!$B$7,10))+1)/DAY(EOMONTH(EDATE(Nebenkosten!$B$7,10),0)))</f>
        <v/>
      </c>
      <c r="Z51" s="19">
        <f>IF(F51=0,0,MAX(0,MIN(E51,EOMONTH(EDATE(Nebenkosten!$B$7,11),0))-MAX(D51,EDATE(Nebenkosten!$B$7,11))+1)/DAY(EOMONTH(EDATE(Nebenkosten!$B$7,11),0)))</f>
        <v/>
      </c>
      <c r="AA51" s="11">
        <f>IF(OR(Nebenkosten!$B$10="",Nebenkosten!$E$10=0,$F51=0),0,Nebenkosten!$B$10*IF(Nebenkosten!$C$10="Fläche",$I51,IF(Nebenkosten!$C$10="Anteil",$J51,$K51))*IF(Nebenkosten!$D$10="Heizung",$H51,$G51)/Nebenkosten!$E$10)</f>
        <v/>
      </c>
      <c r="AB51" s="11">
        <f>IF(OR(Nebenkosten!$B$11="",Nebenkosten!$E$11=0,$F51=0),0,Nebenkosten!$B$11*IF(Nebenkosten!$C$11="Fläche",$I51,IF(Nebenkosten!$C$11="Anteil",$J51,$K51))*IF(Nebenkosten!$D$11="Heizung",$H51,$G51)/Nebenkosten!$E$11)</f>
        <v/>
      </c>
      <c r="AC51" s="11">
        <f>IF(OR(Nebenkosten!$B$12="",Nebenkosten!$E$12=0,$F51=0),0,Nebenkosten!$B$12*IF(Nebenkosten!$C$12="Fläche",$I51,IF(Nebenkosten!$C$12="Anteil",$J51,$K51))*IF(Nebenkosten!$D$12="Heizung",$H51,$G51)/Nebenkosten!$E$12)</f>
        <v/>
      </c>
      <c r="AD51" s="11">
        <f>IF(OR(Nebenkosten!$B$13="",Nebenkosten!$E$13=0,$F51=0),0,Nebenkosten!$B$13*IF(Nebenkosten!$C$13="Fläche",$I51,IF(Nebenkosten!$C$13="Anteil",$J51,$K51))*IF(Nebenkosten!$D$13="Heizung",$H51,$G51)/Nebenkosten!$E$13)</f>
        <v/>
      </c>
      <c r="AE51" s="11">
        <f>IF(OR(Nebenkosten!$B$14="",Nebenkosten!$E$14=0,$F51=0),0,Nebenkosten!$B$14*IF(Nebenkosten!$C$14="Fläche",$I51,IF(Nebenkosten!$C$14="Anteil",$J51,$K51))*IF(Nebenkosten!$D$14="Heizung",$H51,$G51)/Nebenkosten!$E$14)</f>
        <v/>
      </c>
      <c r="AF51" s="11">
        <f>IF(OR(Nebenkosten!$B$15="",Nebenkosten!$E$15=0,$F51=0),0,Nebenkosten!$B$15*IF(Nebenkosten!$C$15="Fläche",$I51,IF(Nebenkosten!$C$15="Anteil",$J51,$K51))*IF(Nebenkosten!$D$15="Heizung",$H51,$G51)/Nebenkosten!$E$15)</f>
        <v/>
      </c>
      <c r="AG51" s="11">
        <f>IF(OR(Nebenkosten!$B$16="",Nebenkosten!$E$16=0,$F51=0),0,Nebenkosten!$B$16*IF(Nebenkosten!$C$16="Fläche",$I51,IF(Nebenkosten!$C$16="Anteil",$J51,$K51))*IF(Nebenkosten!$D$16="Heizung",$H51,$G51)/Nebenkosten!$E$16)</f>
        <v/>
      </c>
      <c r="AH51" s="11">
        <f>IF(OR(Nebenkosten!$B$17="",Nebenkosten!$E$17=0,$F51=0),0,Nebenkosten!$B$17*IF(Nebenkosten!$C$17="Fläche",$I51,IF(Nebenkosten!$C$17="Anteil",$J51,$K51))*IF(Nebenkosten!$D$17="Heizung",$H51,$G51)/Nebenkosten!$E$17)</f>
        <v/>
      </c>
      <c r="AI51" s="11">
        <f>IF(OR(Nebenkosten!$B$18="",Nebenkosten!$E$18=0,$F51=0),0,Nebenkosten!$B$18*IF(Nebenkosten!$C$18="Fläche",$I51,IF(Nebenkosten!$C$18="Anteil",$J51,$K51))*IF(Nebenkosten!$D$18="Heizung",$H51,$G51)/Nebenkosten!$E$18)</f>
        <v/>
      </c>
      <c r="AJ51" s="11">
        <f>IF(OR(Nebenkosten!$B$19="",Nebenkosten!$E$19=0,$F51=0),0,Nebenkosten!$B$19*IF(Nebenkosten!$C$19="Fläche",$I51,IF(Nebenkosten!$C$19="Anteil",$J51,$K51))*IF(Nebenkosten!$D$19="Heizung",$H51,$G51)/Nebenkosten!$E$19)</f>
        <v/>
      </c>
      <c r="AK51" s="11">
        <f>IF(OR(Nebenkosten!$B$20="",Nebenkosten!$E$20=0,$F51=0),0,Nebenkosten!$B$20*IF(Nebenkosten!$C$20="Fläche",$I51,IF(Nebenkosten!$C$20="Anteil",$J51,$K51))*IF(Nebenkosten!$D$20="Heizung",$H51,$G51)/Nebenkosten!$E$20)</f>
        <v/>
      </c>
      <c r="AL51" s="11">
        <f>IF(OR(Nebenkosten!$B$21="",Nebenkosten!$E$21=0,$F51=0),0,Nebenkosten!$B$21*IF(Nebenkosten!$C$21="Fläche",$I51,IF(Nebenkosten!$C$21="Anteil",$J51,$K51))*IF(Nebenkosten!$D$21="Heizung",$H51,$G51)/Nebenkosten!$E$21)</f>
        <v/>
      </c>
      <c r="AM51" s="11">
        <f>IF(OR(Nebenkosten!$B$22="",Nebenkosten!$E$22=0,$F51=0),0,Nebenkosten!$B$22*IF(Nebenkosten!$C$22="Fläche",$I51,IF(Nebenkosten!$C$22="Anteil",$J51,$K51))*IF(Nebenkosten!$D$22="Heizung",$H51,$G51)/Nebenkosten!$E$22)</f>
        <v/>
      </c>
      <c r="AN51" s="11">
        <f>IF(OR(Nebenkosten!$B$23="",Nebenkosten!$E$23=0,$F51=0),0,Nebenkosten!$B$23*IF(Nebenkosten!$C$23="Fläche",$I51,IF(Nebenkosten!$C$23="Anteil",$J51,$K51))*IF(Nebenkosten!$D$23="Heizung",$H51,$G51)/Nebenkosten!$E$23)</f>
        <v/>
      </c>
      <c r="AO51" s="11">
        <f>IF(OR(Nebenkosten!$B$24="",Nebenkosten!$E$24=0,$F51=0),0,Nebenkosten!$B$24*IF(Nebenkosten!$C$24="Fläche",$I51,IF(Nebenkosten!$C$24="Anteil",$J51,$K51))*IF(Nebenkosten!$D$24="Heizung",$H51,$G51)/Nebenkosten!$E$24)</f>
        <v/>
      </c>
      <c r="AP51" s="11">
        <f>IF(OR(Nebenkosten!$B$25="",Nebenkosten!$E$25=0,$F51=0),0,Nebenkosten!$B$25*IF(Nebenkosten!$C$25="Fläche",$I51,IF(Nebenkosten!$C$25="Anteil",$J51,$K51))*IF(Nebenkosten!$D$25="Heizung",$H51,$G51)/Nebenkosten!$E$25)</f>
        <v/>
      </c>
      <c r="AQ51" s="11">
        <f>IF(OR(Nebenkosten!$B$26="",Nebenkosten!$E$26=0,$F51=0),0,Nebenkosten!$B$26*IF(Nebenkosten!$C$26="Fläche",$I51,IF(Nebenkosten!$C$26="Anteil",$J51,$K51))*IF(Nebenkosten!$D$26="Heizung",$H51,$G51)/Nebenkosten!$E$26)</f>
        <v/>
      </c>
      <c r="AR51" s="11">
        <f>IF(OR(Nebenkosten!$B$27="",Nebenkosten!$E$27=0,$F51=0),0,Nebenkosten!$B$27*IF(Nebenkosten!$C$27="Fläche",$I51,IF(Nebenkosten!$C$27="Anteil",$J51,$K51))*IF(Nebenkosten!$D$27="Heizung",$H51,$G51)/Nebenkosten!$E$27)</f>
        <v/>
      </c>
      <c r="AS51" s="11">
        <f>IF(OR(Nebenkosten!$B$28="",Nebenkosten!$E$28=0,$F51=0),0,Nebenkosten!$B$28*IF(Nebenkosten!$C$28="Fläche",$I51,IF(Nebenkosten!$C$28="Anteil",$J51,$K51))*IF(Nebenkosten!$D$28="Heizung",$H51,$G51)/Nebenkosten!$E$28)</f>
        <v/>
      </c>
      <c r="AT51" s="11">
        <f>IF(OR(Nebenkosten!$B$29="",Nebenkosten!$E$29=0,$F51=0),0,Nebenkosten!$B$29*IF(Nebenkosten!$C$29="Fläche",$I51,IF(Nebenkosten!$C$29="Anteil",$J51,$K51))*IF(Nebenkosten!$D$29="Heizung",$H51,$G51)/Nebenkosten!$E$29)</f>
        <v/>
      </c>
      <c r="AU51" s="11">
        <f>IF(OR(Nebenkosten!$B$30="",Nebenkosten!$E$30=0,$F51=0),0,Nebenkosten!$B$30*IF(Nebenkosten!$C$30="Fläche",$I51,IF(Nebenkosten!$C$30="Anteil",$J51,$K51))*IF(Nebenkosten!$D$30="Heizung",$H51,$G51)/Nebenkosten!$E$30)</f>
        <v/>
      </c>
      <c r="AV51" s="11">
        <f>IF(OR(Nebenkosten!$B$31="",Nebenkosten!$E$31=0,$F51=0),0,Nebenkosten!$B$31*IF(Nebenkosten!$C$31="Fläche",$I51,IF(Nebenkosten!$C$31="Anteil",$J51,$K51))*IF(Nebenkosten!$D$31="Heizung",$H51,$G51)/Nebenkosten!$E$31)</f>
        <v/>
      </c>
      <c r="AW51" s="11">
        <f>IF(OR(Nebenkosten!$B$32="",Nebenkosten!$E$32=0,$F51=0),0,Nebenkosten!$B$32*IF(Nebenkosten!$C$32="Fläche",$I51,IF(Nebenkosten!$C$32="Anteil",$J51,$K51))*IF(Nebenkosten!$D$32="Heizung",$H51,$G51)/Nebenkosten!$E$32)</f>
        <v/>
      </c>
      <c r="AX51" s="11">
        <f>IF(OR(Nebenkosten!$B$33="",Nebenkosten!$E$33=0,$F51=0),0,Nebenkosten!$B$33*IF(Nebenkosten!$C$33="Fläche",$I51,IF(Nebenkosten!$C$33="Anteil",$J51,$K51))*IF(Nebenkosten!$D$33="Heizung",$H51,$G51)/Nebenkosten!$E$33)</f>
        <v/>
      </c>
      <c r="AY51" s="11">
        <f>IF(OR(Nebenkosten!$B$34="",Nebenkosten!$E$34=0,$F51=0),0,Nebenkosten!$B$34*IF(Nebenkosten!$C$34="Fläche",$I51,IF(Nebenkosten!$C$34="Anteil",$J51,$K51))*IF(Nebenkosten!$D$34="Heizung",$H51,$G51)/Nebenkosten!$E$34)</f>
        <v/>
      </c>
      <c r="AZ51" s="11">
        <f>ROUND(SUM(AA51:AY51)*20,0)/20</f>
        <v/>
      </c>
      <c r="BA51" s="11">
        <f>IF(F51=0,0,N51)</f>
        <v/>
      </c>
      <c r="BB51" s="11">
        <f>AZ51-BA51</f>
        <v/>
      </c>
    </row>
    <row r="52">
      <c r="A52" s="10">
        <f>'Mein Haus'!A92</f>
        <v/>
      </c>
      <c r="B52" s="23">
        <f>IF('Mein Haus'!C92="","",'Mein Haus'!C92)</f>
        <v/>
      </c>
      <c r="C52" s="23">
        <f>IF('Mein Haus'!B92="","",'Mein Haus'!B92)</f>
        <v/>
      </c>
      <c r="D52" s="21">
        <f>IF(AND('Mein Haus'!C92&lt;&gt;"",'Mein Haus'!B92&lt;&gt;"",Nebenkosten!$B$7&lt;&gt;""),MAX(IF('Mein Haus'!D92="",Nebenkosten!$B$7,'Mein Haus'!D92),Nebenkosten!$B$7),"")</f>
        <v/>
      </c>
      <c r="E52" s="21">
        <f>IF(AND('Mein Haus'!C92&lt;&gt;"",'Mein Haus'!B92&lt;&gt;"",Nebenkosten!$B$7&lt;&gt;""),MIN(IF('Mein Haus'!F92="",Nebenkosten!$D$7,'Mein Haus'!F92),Nebenkosten!$D$7),"")</f>
        <v/>
      </c>
      <c r="F52" s="10">
        <f>IF(D52="",0,MAX(0,E52-D52+1))</f>
        <v/>
      </c>
      <c r="G52" s="49">
        <f>IF(F52=0,0,F52/Nebenkosten!$F$7)</f>
        <v/>
      </c>
      <c r="H52" s="49">
        <f>IF(F52=0,0,SUMPRODUCT(O52:Z52,$O$3:$Z$3)/Einstellungen!$F$17)</f>
        <v/>
      </c>
      <c r="I52" s="19">
        <f>IF(F52=0,0,IFERROR(INDEX('Mein Haus'!$D$11:$D$40,MATCH(C52,'Mein Haus'!$A$11:$A$40,0)),0))</f>
        <v/>
      </c>
      <c r="J52" s="19">
        <f>IF(F52=0,0,IFERROR(INDEX('Mein Haus'!$E$11:$E$40,MATCH(C52,'Mein Haus'!$A$11:$A$40,0)),0))</f>
        <v/>
      </c>
      <c r="K52" s="19">
        <f>IF(F52=0,0,IFERROR(INDEX('Mein Haus'!$F$11:$F$40,MATCH(C52,'Mein Haus'!$A$11:$A$40,0)),0))</f>
        <v/>
      </c>
      <c r="L52" s="11">
        <f>IF(F52=0,0,N('Mein Haus'!H92)*SUM(O52:Z52))</f>
        <v/>
      </c>
      <c r="M52" s="22" t="n"/>
      <c r="N52" s="11">
        <f>IF(M52&lt;&gt;"",M52,L52)</f>
        <v/>
      </c>
      <c r="O52" s="19">
        <f>IF(F52=0,0,MAX(0,MIN(E52,EOMONTH(EDATE(Nebenkosten!$B$7,0),0))-MAX(D52,EDATE(Nebenkosten!$B$7,0))+1)/DAY(EOMONTH(EDATE(Nebenkosten!$B$7,0),0)))</f>
        <v/>
      </c>
      <c r="P52" s="19">
        <f>IF(F52=0,0,MAX(0,MIN(E52,EOMONTH(EDATE(Nebenkosten!$B$7,1),0))-MAX(D52,EDATE(Nebenkosten!$B$7,1))+1)/DAY(EOMONTH(EDATE(Nebenkosten!$B$7,1),0)))</f>
        <v/>
      </c>
      <c r="Q52" s="19">
        <f>IF(F52=0,0,MAX(0,MIN(E52,EOMONTH(EDATE(Nebenkosten!$B$7,2),0))-MAX(D52,EDATE(Nebenkosten!$B$7,2))+1)/DAY(EOMONTH(EDATE(Nebenkosten!$B$7,2),0)))</f>
        <v/>
      </c>
      <c r="R52" s="19">
        <f>IF(F52=0,0,MAX(0,MIN(E52,EOMONTH(EDATE(Nebenkosten!$B$7,3),0))-MAX(D52,EDATE(Nebenkosten!$B$7,3))+1)/DAY(EOMONTH(EDATE(Nebenkosten!$B$7,3),0)))</f>
        <v/>
      </c>
      <c r="S52" s="19">
        <f>IF(F52=0,0,MAX(0,MIN(E52,EOMONTH(EDATE(Nebenkosten!$B$7,4),0))-MAX(D52,EDATE(Nebenkosten!$B$7,4))+1)/DAY(EOMONTH(EDATE(Nebenkosten!$B$7,4),0)))</f>
        <v/>
      </c>
      <c r="T52" s="19">
        <f>IF(F52=0,0,MAX(0,MIN(E52,EOMONTH(EDATE(Nebenkosten!$B$7,5),0))-MAX(D52,EDATE(Nebenkosten!$B$7,5))+1)/DAY(EOMONTH(EDATE(Nebenkosten!$B$7,5),0)))</f>
        <v/>
      </c>
      <c r="U52" s="19">
        <f>IF(F52=0,0,MAX(0,MIN(E52,EOMONTH(EDATE(Nebenkosten!$B$7,6),0))-MAX(D52,EDATE(Nebenkosten!$B$7,6))+1)/DAY(EOMONTH(EDATE(Nebenkosten!$B$7,6),0)))</f>
        <v/>
      </c>
      <c r="V52" s="19">
        <f>IF(F52=0,0,MAX(0,MIN(E52,EOMONTH(EDATE(Nebenkosten!$B$7,7),0))-MAX(D52,EDATE(Nebenkosten!$B$7,7))+1)/DAY(EOMONTH(EDATE(Nebenkosten!$B$7,7),0)))</f>
        <v/>
      </c>
      <c r="W52" s="19">
        <f>IF(F52=0,0,MAX(0,MIN(E52,EOMONTH(EDATE(Nebenkosten!$B$7,8),0))-MAX(D52,EDATE(Nebenkosten!$B$7,8))+1)/DAY(EOMONTH(EDATE(Nebenkosten!$B$7,8),0)))</f>
        <v/>
      </c>
      <c r="X52" s="19">
        <f>IF(F52=0,0,MAX(0,MIN(E52,EOMONTH(EDATE(Nebenkosten!$B$7,9),0))-MAX(D52,EDATE(Nebenkosten!$B$7,9))+1)/DAY(EOMONTH(EDATE(Nebenkosten!$B$7,9),0)))</f>
        <v/>
      </c>
      <c r="Y52" s="19">
        <f>IF(F52=0,0,MAX(0,MIN(E52,EOMONTH(EDATE(Nebenkosten!$B$7,10),0))-MAX(D52,EDATE(Nebenkosten!$B$7,10))+1)/DAY(EOMONTH(EDATE(Nebenkosten!$B$7,10),0)))</f>
        <v/>
      </c>
      <c r="Z52" s="19">
        <f>IF(F52=0,0,MAX(0,MIN(E52,EOMONTH(EDATE(Nebenkosten!$B$7,11),0))-MAX(D52,EDATE(Nebenkosten!$B$7,11))+1)/DAY(EOMONTH(EDATE(Nebenkosten!$B$7,11),0)))</f>
        <v/>
      </c>
      <c r="AA52" s="11">
        <f>IF(OR(Nebenkosten!$B$10="",Nebenkosten!$E$10=0,$F52=0),0,Nebenkosten!$B$10*IF(Nebenkosten!$C$10="Fläche",$I52,IF(Nebenkosten!$C$10="Anteil",$J52,$K52))*IF(Nebenkosten!$D$10="Heizung",$H52,$G52)/Nebenkosten!$E$10)</f>
        <v/>
      </c>
      <c r="AB52" s="11">
        <f>IF(OR(Nebenkosten!$B$11="",Nebenkosten!$E$11=0,$F52=0),0,Nebenkosten!$B$11*IF(Nebenkosten!$C$11="Fläche",$I52,IF(Nebenkosten!$C$11="Anteil",$J52,$K52))*IF(Nebenkosten!$D$11="Heizung",$H52,$G52)/Nebenkosten!$E$11)</f>
        <v/>
      </c>
      <c r="AC52" s="11">
        <f>IF(OR(Nebenkosten!$B$12="",Nebenkosten!$E$12=0,$F52=0),0,Nebenkosten!$B$12*IF(Nebenkosten!$C$12="Fläche",$I52,IF(Nebenkosten!$C$12="Anteil",$J52,$K52))*IF(Nebenkosten!$D$12="Heizung",$H52,$G52)/Nebenkosten!$E$12)</f>
        <v/>
      </c>
      <c r="AD52" s="11">
        <f>IF(OR(Nebenkosten!$B$13="",Nebenkosten!$E$13=0,$F52=0),0,Nebenkosten!$B$13*IF(Nebenkosten!$C$13="Fläche",$I52,IF(Nebenkosten!$C$13="Anteil",$J52,$K52))*IF(Nebenkosten!$D$13="Heizung",$H52,$G52)/Nebenkosten!$E$13)</f>
        <v/>
      </c>
      <c r="AE52" s="11">
        <f>IF(OR(Nebenkosten!$B$14="",Nebenkosten!$E$14=0,$F52=0),0,Nebenkosten!$B$14*IF(Nebenkosten!$C$14="Fläche",$I52,IF(Nebenkosten!$C$14="Anteil",$J52,$K52))*IF(Nebenkosten!$D$14="Heizung",$H52,$G52)/Nebenkosten!$E$14)</f>
        <v/>
      </c>
      <c r="AF52" s="11">
        <f>IF(OR(Nebenkosten!$B$15="",Nebenkosten!$E$15=0,$F52=0),0,Nebenkosten!$B$15*IF(Nebenkosten!$C$15="Fläche",$I52,IF(Nebenkosten!$C$15="Anteil",$J52,$K52))*IF(Nebenkosten!$D$15="Heizung",$H52,$G52)/Nebenkosten!$E$15)</f>
        <v/>
      </c>
      <c r="AG52" s="11">
        <f>IF(OR(Nebenkosten!$B$16="",Nebenkosten!$E$16=0,$F52=0),0,Nebenkosten!$B$16*IF(Nebenkosten!$C$16="Fläche",$I52,IF(Nebenkosten!$C$16="Anteil",$J52,$K52))*IF(Nebenkosten!$D$16="Heizung",$H52,$G52)/Nebenkosten!$E$16)</f>
        <v/>
      </c>
      <c r="AH52" s="11">
        <f>IF(OR(Nebenkosten!$B$17="",Nebenkosten!$E$17=0,$F52=0),0,Nebenkosten!$B$17*IF(Nebenkosten!$C$17="Fläche",$I52,IF(Nebenkosten!$C$17="Anteil",$J52,$K52))*IF(Nebenkosten!$D$17="Heizung",$H52,$G52)/Nebenkosten!$E$17)</f>
        <v/>
      </c>
      <c r="AI52" s="11">
        <f>IF(OR(Nebenkosten!$B$18="",Nebenkosten!$E$18=0,$F52=0),0,Nebenkosten!$B$18*IF(Nebenkosten!$C$18="Fläche",$I52,IF(Nebenkosten!$C$18="Anteil",$J52,$K52))*IF(Nebenkosten!$D$18="Heizung",$H52,$G52)/Nebenkosten!$E$18)</f>
        <v/>
      </c>
      <c r="AJ52" s="11">
        <f>IF(OR(Nebenkosten!$B$19="",Nebenkosten!$E$19=0,$F52=0),0,Nebenkosten!$B$19*IF(Nebenkosten!$C$19="Fläche",$I52,IF(Nebenkosten!$C$19="Anteil",$J52,$K52))*IF(Nebenkosten!$D$19="Heizung",$H52,$G52)/Nebenkosten!$E$19)</f>
        <v/>
      </c>
      <c r="AK52" s="11">
        <f>IF(OR(Nebenkosten!$B$20="",Nebenkosten!$E$20=0,$F52=0),0,Nebenkosten!$B$20*IF(Nebenkosten!$C$20="Fläche",$I52,IF(Nebenkosten!$C$20="Anteil",$J52,$K52))*IF(Nebenkosten!$D$20="Heizung",$H52,$G52)/Nebenkosten!$E$20)</f>
        <v/>
      </c>
      <c r="AL52" s="11">
        <f>IF(OR(Nebenkosten!$B$21="",Nebenkosten!$E$21=0,$F52=0),0,Nebenkosten!$B$21*IF(Nebenkosten!$C$21="Fläche",$I52,IF(Nebenkosten!$C$21="Anteil",$J52,$K52))*IF(Nebenkosten!$D$21="Heizung",$H52,$G52)/Nebenkosten!$E$21)</f>
        <v/>
      </c>
      <c r="AM52" s="11">
        <f>IF(OR(Nebenkosten!$B$22="",Nebenkosten!$E$22=0,$F52=0),0,Nebenkosten!$B$22*IF(Nebenkosten!$C$22="Fläche",$I52,IF(Nebenkosten!$C$22="Anteil",$J52,$K52))*IF(Nebenkosten!$D$22="Heizung",$H52,$G52)/Nebenkosten!$E$22)</f>
        <v/>
      </c>
      <c r="AN52" s="11">
        <f>IF(OR(Nebenkosten!$B$23="",Nebenkosten!$E$23=0,$F52=0),0,Nebenkosten!$B$23*IF(Nebenkosten!$C$23="Fläche",$I52,IF(Nebenkosten!$C$23="Anteil",$J52,$K52))*IF(Nebenkosten!$D$23="Heizung",$H52,$G52)/Nebenkosten!$E$23)</f>
        <v/>
      </c>
      <c r="AO52" s="11">
        <f>IF(OR(Nebenkosten!$B$24="",Nebenkosten!$E$24=0,$F52=0),0,Nebenkosten!$B$24*IF(Nebenkosten!$C$24="Fläche",$I52,IF(Nebenkosten!$C$24="Anteil",$J52,$K52))*IF(Nebenkosten!$D$24="Heizung",$H52,$G52)/Nebenkosten!$E$24)</f>
        <v/>
      </c>
      <c r="AP52" s="11">
        <f>IF(OR(Nebenkosten!$B$25="",Nebenkosten!$E$25=0,$F52=0),0,Nebenkosten!$B$25*IF(Nebenkosten!$C$25="Fläche",$I52,IF(Nebenkosten!$C$25="Anteil",$J52,$K52))*IF(Nebenkosten!$D$25="Heizung",$H52,$G52)/Nebenkosten!$E$25)</f>
        <v/>
      </c>
      <c r="AQ52" s="11">
        <f>IF(OR(Nebenkosten!$B$26="",Nebenkosten!$E$26=0,$F52=0),0,Nebenkosten!$B$26*IF(Nebenkosten!$C$26="Fläche",$I52,IF(Nebenkosten!$C$26="Anteil",$J52,$K52))*IF(Nebenkosten!$D$26="Heizung",$H52,$G52)/Nebenkosten!$E$26)</f>
        <v/>
      </c>
      <c r="AR52" s="11">
        <f>IF(OR(Nebenkosten!$B$27="",Nebenkosten!$E$27=0,$F52=0),0,Nebenkosten!$B$27*IF(Nebenkosten!$C$27="Fläche",$I52,IF(Nebenkosten!$C$27="Anteil",$J52,$K52))*IF(Nebenkosten!$D$27="Heizung",$H52,$G52)/Nebenkosten!$E$27)</f>
        <v/>
      </c>
      <c r="AS52" s="11">
        <f>IF(OR(Nebenkosten!$B$28="",Nebenkosten!$E$28=0,$F52=0),0,Nebenkosten!$B$28*IF(Nebenkosten!$C$28="Fläche",$I52,IF(Nebenkosten!$C$28="Anteil",$J52,$K52))*IF(Nebenkosten!$D$28="Heizung",$H52,$G52)/Nebenkosten!$E$28)</f>
        <v/>
      </c>
      <c r="AT52" s="11">
        <f>IF(OR(Nebenkosten!$B$29="",Nebenkosten!$E$29=0,$F52=0),0,Nebenkosten!$B$29*IF(Nebenkosten!$C$29="Fläche",$I52,IF(Nebenkosten!$C$29="Anteil",$J52,$K52))*IF(Nebenkosten!$D$29="Heizung",$H52,$G52)/Nebenkosten!$E$29)</f>
        <v/>
      </c>
      <c r="AU52" s="11">
        <f>IF(OR(Nebenkosten!$B$30="",Nebenkosten!$E$30=0,$F52=0),0,Nebenkosten!$B$30*IF(Nebenkosten!$C$30="Fläche",$I52,IF(Nebenkosten!$C$30="Anteil",$J52,$K52))*IF(Nebenkosten!$D$30="Heizung",$H52,$G52)/Nebenkosten!$E$30)</f>
        <v/>
      </c>
      <c r="AV52" s="11">
        <f>IF(OR(Nebenkosten!$B$31="",Nebenkosten!$E$31=0,$F52=0),0,Nebenkosten!$B$31*IF(Nebenkosten!$C$31="Fläche",$I52,IF(Nebenkosten!$C$31="Anteil",$J52,$K52))*IF(Nebenkosten!$D$31="Heizung",$H52,$G52)/Nebenkosten!$E$31)</f>
        <v/>
      </c>
      <c r="AW52" s="11">
        <f>IF(OR(Nebenkosten!$B$32="",Nebenkosten!$E$32=0,$F52=0),0,Nebenkosten!$B$32*IF(Nebenkosten!$C$32="Fläche",$I52,IF(Nebenkosten!$C$32="Anteil",$J52,$K52))*IF(Nebenkosten!$D$32="Heizung",$H52,$G52)/Nebenkosten!$E$32)</f>
        <v/>
      </c>
      <c r="AX52" s="11">
        <f>IF(OR(Nebenkosten!$B$33="",Nebenkosten!$E$33=0,$F52=0),0,Nebenkosten!$B$33*IF(Nebenkosten!$C$33="Fläche",$I52,IF(Nebenkosten!$C$33="Anteil",$J52,$K52))*IF(Nebenkosten!$D$33="Heizung",$H52,$G52)/Nebenkosten!$E$33)</f>
        <v/>
      </c>
      <c r="AY52" s="11">
        <f>IF(OR(Nebenkosten!$B$34="",Nebenkosten!$E$34=0,$F52=0),0,Nebenkosten!$B$34*IF(Nebenkosten!$C$34="Fläche",$I52,IF(Nebenkosten!$C$34="Anteil",$J52,$K52))*IF(Nebenkosten!$D$34="Heizung",$H52,$G52)/Nebenkosten!$E$34)</f>
        <v/>
      </c>
      <c r="AZ52" s="11">
        <f>ROUND(SUM(AA52:AY52)*20,0)/20</f>
        <v/>
      </c>
      <c r="BA52" s="11">
        <f>IF(F52=0,0,N52)</f>
        <v/>
      </c>
      <c r="BB52" s="11">
        <f>AZ52-BA52</f>
        <v/>
      </c>
    </row>
    <row r="53">
      <c r="A53" s="10">
        <f>'Mein Haus'!A93</f>
        <v/>
      </c>
      <c r="B53" s="23">
        <f>IF('Mein Haus'!C93="","",'Mein Haus'!C93)</f>
        <v/>
      </c>
      <c r="C53" s="23">
        <f>IF('Mein Haus'!B93="","",'Mein Haus'!B93)</f>
        <v/>
      </c>
      <c r="D53" s="21">
        <f>IF(AND('Mein Haus'!C93&lt;&gt;"",'Mein Haus'!B93&lt;&gt;"",Nebenkosten!$B$7&lt;&gt;""),MAX(IF('Mein Haus'!D93="",Nebenkosten!$B$7,'Mein Haus'!D93),Nebenkosten!$B$7),"")</f>
        <v/>
      </c>
      <c r="E53" s="21">
        <f>IF(AND('Mein Haus'!C93&lt;&gt;"",'Mein Haus'!B93&lt;&gt;"",Nebenkosten!$B$7&lt;&gt;""),MIN(IF('Mein Haus'!F93="",Nebenkosten!$D$7,'Mein Haus'!F93),Nebenkosten!$D$7),"")</f>
        <v/>
      </c>
      <c r="F53" s="10">
        <f>IF(D53="",0,MAX(0,E53-D53+1))</f>
        <v/>
      </c>
      <c r="G53" s="49">
        <f>IF(F53=0,0,F53/Nebenkosten!$F$7)</f>
        <v/>
      </c>
      <c r="H53" s="49">
        <f>IF(F53=0,0,SUMPRODUCT(O53:Z53,$O$3:$Z$3)/Einstellungen!$F$17)</f>
        <v/>
      </c>
      <c r="I53" s="19">
        <f>IF(F53=0,0,IFERROR(INDEX('Mein Haus'!$D$11:$D$40,MATCH(C53,'Mein Haus'!$A$11:$A$40,0)),0))</f>
        <v/>
      </c>
      <c r="J53" s="19">
        <f>IF(F53=0,0,IFERROR(INDEX('Mein Haus'!$E$11:$E$40,MATCH(C53,'Mein Haus'!$A$11:$A$40,0)),0))</f>
        <v/>
      </c>
      <c r="K53" s="19">
        <f>IF(F53=0,0,IFERROR(INDEX('Mein Haus'!$F$11:$F$40,MATCH(C53,'Mein Haus'!$A$11:$A$40,0)),0))</f>
        <v/>
      </c>
      <c r="L53" s="11">
        <f>IF(F53=0,0,N('Mein Haus'!H93)*SUM(O53:Z53))</f>
        <v/>
      </c>
      <c r="M53" s="22" t="n"/>
      <c r="N53" s="11">
        <f>IF(M53&lt;&gt;"",M53,L53)</f>
        <v/>
      </c>
      <c r="O53" s="19">
        <f>IF(F53=0,0,MAX(0,MIN(E53,EOMONTH(EDATE(Nebenkosten!$B$7,0),0))-MAX(D53,EDATE(Nebenkosten!$B$7,0))+1)/DAY(EOMONTH(EDATE(Nebenkosten!$B$7,0),0)))</f>
        <v/>
      </c>
      <c r="P53" s="19">
        <f>IF(F53=0,0,MAX(0,MIN(E53,EOMONTH(EDATE(Nebenkosten!$B$7,1),0))-MAX(D53,EDATE(Nebenkosten!$B$7,1))+1)/DAY(EOMONTH(EDATE(Nebenkosten!$B$7,1),0)))</f>
        <v/>
      </c>
      <c r="Q53" s="19">
        <f>IF(F53=0,0,MAX(0,MIN(E53,EOMONTH(EDATE(Nebenkosten!$B$7,2),0))-MAX(D53,EDATE(Nebenkosten!$B$7,2))+1)/DAY(EOMONTH(EDATE(Nebenkosten!$B$7,2),0)))</f>
        <v/>
      </c>
      <c r="R53" s="19">
        <f>IF(F53=0,0,MAX(0,MIN(E53,EOMONTH(EDATE(Nebenkosten!$B$7,3),0))-MAX(D53,EDATE(Nebenkosten!$B$7,3))+1)/DAY(EOMONTH(EDATE(Nebenkosten!$B$7,3),0)))</f>
        <v/>
      </c>
      <c r="S53" s="19">
        <f>IF(F53=0,0,MAX(0,MIN(E53,EOMONTH(EDATE(Nebenkosten!$B$7,4),0))-MAX(D53,EDATE(Nebenkosten!$B$7,4))+1)/DAY(EOMONTH(EDATE(Nebenkosten!$B$7,4),0)))</f>
        <v/>
      </c>
      <c r="T53" s="19">
        <f>IF(F53=0,0,MAX(0,MIN(E53,EOMONTH(EDATE(Nebenkosten!$B$7,5),0))-MAX(D53,EDATE(Nebenkosten!$B$7,5))+1)/DAY(EOMONTH(EDATE(Nebenkosten!$B$7,5),0)))</f>
        <v/>
      </c>
      <c r="U53" s="19">
        <f>IF(F53=0,0,MAX(0,MIN(E53,EOMONTH(EDATE(Nebenkosten!$B$7,6),0))-MAX(D53,EDATE(Nebenkosten!$B$7,6))+1)/DAY(EOMONTH(EDATE(Nebenkosten!$B$7,6),0)))</f>
        <v/>
      </c>
      <c r="V53" s="19">
        <f>IF(F53=0,0,MAX(0,MIN(E53,EOMONTH(EDATE(Nebenkosten!$B$7,7),0))-MAX(D53,EDATE(Nebenkosten!$B$7,7))+1)/DAY(EOMONTH(EDATE(Nebenkosten!$B$7,7),0)))</f>
        <v/>
      </c>
      <c r="W53" s="19">
        <f>IF(F53=0,0,MAX(0,MIN(E53,EOMONTH(EDATE(Nebenkosten!$B$7,8),0))-MAX(D53,EDATE(Nebenkosten!$B$7,8))+1)/DAY(EOMONTH(EDATE(Nebenkosten!$B$7,8),0)))</f>
        <v/>
      </c>
      <c r="X53" s="19">
        <f>IF(F53=0,0,MAX(0,MIN(E53,EOMONTH(EDATE(Nebenkosten!$B$7,9),0))-MAX(D53,EDATE(Nebenkosten!$B$7,9))+1)/DAY(EOMONTH(EDATE(Nebenkosten!$B$7,9),0)))</f>
        <v/>
      </c>
      <c r="Y53" s="19">
        <f>IF(F53=0,0,MAX(0,MIN(E53,EOMONTH(EDATE(Nebenkosten!$B$7,10),0))-MAX(D53,EDATE(Nebenkosten!$B$7,10))+1)/DAY(EOMONTH(EDATE(Nebenkosten!$B$7,10),0)))</f>
        <v/>
      </c>
      <c r="Z53" s="19">
        <f>IF(F53=0,0,MAX(0,MIN(E53,EOMONTH(EDATE(Nebenkosten!$B$7,11),0))-MAX(D53,EDATE(Nebenkosten!$B$7,11))+1)/DAY(EOMONTH(EDATE(Nebenkosten!$B$7,11),0)))</f>
        <v/>
      </c>
      <c r="AA53" s="11">
        <f>IF(OR(Nebenkosten!$B$10="",Nebenkosten!$E$10=0,$F53=0),0,Nebenkosten!$B$10*IF(Nebenkosten!$C$10="Fläche",$I53,IF(Nebenkosten!$C$10="Anteil",$J53,$K53))*IF(Nebenkosten!$D$10="Heizung",$H53,$G53)/Nebenkosten!$E$10)</f>
        <v/>
      </c>
      <c r="AB53" s="11">
        <f>IF(OR(Nebenkosten!$B$11="",Nebenkosten!$E$11=0,$F53=0),0,Nebenkosten!$B$11*IF(Nebenkosten!$C$11="Fläche",$I53,IF(Nebenkosten!$C$11="Anteil",$J53,$K53))*IF(Nebenkosten!$D$11="Heizung",$H53,$G53)/Nebenkosten!$E$11)</f>
        <v/>
      </c>
      <c r="AC53" s="11">
        <f>IF(OR(Nebenkosten!$B$12="",Nebenkosten!$E$12=0,$F53=0),0,Nebenkosten!$B$12*IF(Nebenkosten!$C$12="Fläche",$I53,IF(Nebenkosten!$C$12="Anteil",$J53,$K53))*IF(Nebenkosten!$D$12="Heizung",$H53,$G53)/Nebenkosten!$E$12)</f>
        <v/>
      </c>
      <c r="AD53" s="11">
        <f>IF(OR(Nebenkosten!$B$13="",Nebenkosten!$E$13=0,$F53=0),0,Nebenkosten!$B$13*IF(Nebenkosten!$C$13="Fläche",$I53,IF(Nebenkosten!$C$13="Anteil",$J53,$K53))*IF(Nebenkosten!$D$13="Heizung",$H53,$G53)/Nebenkosten!$E$13)</f>
        <v/>
      </c>
      <c r="AE53" s="11">
        <f>IF(OR(Nebenkosten!$B$14="",Nebenkosten!$E$14=0,$F53=0),0,Nebenkosten!$B$14*IF(Nebenkosten!$C$14="Fläche",$I53,IF(Nebenkosten!$C$14="Anteil",$J53,$K53))*IF(Nebenkosten!$D$14="Heizung",$H53,$G53)/Nebenkosten!$E$14)</f>
        <v/>
      </c>
      <c r="AF53" s="11">
        <f>IF(OR(Nebenkosten!$B$15="",Nebenkosten!$E$15=0,$F53=0),0,Nebenkosten!$B$15*IF(Nebenkosten!$C$15="Fläche",$I53,IF(Nebenkosten!$C$15="Anteil",$J53,$K53))*IF(Nebenkosten!$D$15="Heizung",$H53,$G53)/Nebenkosten!$E$15)</f>
        <v/>
      </c>
      <c r="AG53" s="11">
        <f>IF(OR(Nebenkosten!$B$16="",Nebenkosten!$E$16=0,$F53=0),0,Nebenkosten!$B$16*IF(Nebenkosten!$C$16="Fläche",$I53,IF(Nebenkosten!$C$16="Anteil",$J53,$K53))*IF(Nebenkosten!$D$16="Heizung",$H53,$G53)/Nebenkosten!$E$16)</f>
        <v/>
      </c>
      <c r="AH53" s="11">
        <f>IF(OR(Nebenkosten!$B$17="",Nebenkosten!$E$17=0,$F53=0),0,Nebenkosten!$B$17*IF(Nebenkosten!$C$17="Fläche",$I53,IF(Nebenkosten!$C$17="Anteil",$J53,$K53))*IF(Nebenkosten!$D$17="Heizung",$H53,$G53)/Nebenkosten!$E$17)</f>
        <v/>
      </c>
      <c r="AI53" s="11">
        <f>IF(OR(Nebenkosten!$B$18="",Nebenkosten!$E$18=0,$F53=0),0,Nebenkosten!$B$18*IF(Nebenkosten!$C$18="Fläche",$I53,IF(Nebenkosten!$C$18="Anteil",$J53,$K53))*IF(Nebenkosten!$D$18="Heizung",$H53,$G53)/Nebenkosten!$E$18)</f>
        <v/>
      </c>
      <c r="AJ53" s="11">
        <f>IF(OR(Nebenkosten!$B$19="",Nebenkosten!$E$19=0,$F53=0),0,Nebenkosten!$B$19*IF(Nebenkosten!$C$19="Fläche",$I53,IF(Nebenkosten!$C$19="Anteil",$J53,$K53))*IF(Nebenkosten!$D$19="Heizung",$H53,$G53)/Nebenkosten!$E$19)</f>
        <v/>
      </c>
      <c r="AK53" s="11">
        <f>IF(OR(Nebenkosten!$B$20="",Nebenkosten!$E$20=0,$F53=0),0,Nebenkosten!$B$20*IF(Nebenkosten!$C$20="Fläche",$I53,IF(Nebenkosten!$C$20="Anteil",$J53,$K53))*IF(Nebenkosten!$D$20="Heizung",$H53,$G53)/Nebenkosten!$E$20)</f>
        <v/>
      </c>
      <c r="AL53" s="11">
        <f>IF(OR(Nebenkosten!$B$21="",Nebenkosten!$E$21=0,$F53=0),0,Nebenkosten!$B$21*IF(Nebenkosten!$C$21="Fläche",$I53,IF(Nebenkosten!$C$21="Anteil",$J53,$K53))*IF(Nebenkosten!$D$21="Heizung",$H53,$G53)/Nebenkosten!$E$21)</f>
        <v/>
      </c>
      <c r="AM53" s="11">
        <f>IF(OR(Nebenkosten!$B$22="",Nebenkosten!$E$22=0,$F53=0),0,Nebenkosten!$B$22*IF(Nebenkosten!$C$22="Fläche",$I53,IF(Nebenkosten!$C$22="Anteil",$J53,$K53))*IF(Nebenkosten!$D$22="Heizung",$H53,$G53)/Nebenkosten!$E$22)</f>
        <v/>
      </c>
      <c r="AN53" s="11">
        <f>IF(OR(Nebenkosten!$B$23="",Nebenkosten!$E$23=0,$F53=0),0,Nebenkosten!$B$23*IF(Nebenkosten!$C$23="Fläche",$I53,IF(Nebenkosten!$C$23="Anteil",$J53,$K53))*IF(Nebenkosten!$D$23="Heizung",$H53,$G53)/Nebenkosten!$E$23)</f>
        <v/>
      </c>
      <c r="AO53" s="11">
        <f>IF(OR(Nebenkosten!$B$24="",Nebenkosten!$E$24=0,$F53=0),0,Nebenkosten!$B$24*IF(Nebenkosten!$C$24="Fläche",$I53,IF(Nebenkosten!$C$24="Anteil",$J53,$K53))*IF(Nebenkosten!$D$24="Heizung",$H53,$G53)/Nebenkosten!$E$24)</f>
        <v/>
      </c>
      <c r="AP53" s="11">
        <f>IF(OR(Nebenkosten!$B$25="",Nebenkosten!$E$25=0,$F53=0),0,Nebenkosten!$B$25*IF(Nebenkosten!$C$25="Fläche",$I53,IF(Nebenkosten!$C$25="Anteil",$J53,$K53))*IF(Nebenkosten!$D$25="Heizung",$H53,$G53)/Nebenkosten!$E$25)</f>
        <v/>
      </c>
      <c r="AQ53" s="11">
        <f>IF(OR(Nebenkosten!$B$26="",Nebenkosten!$E$26=0,$F53=0),0,Nebenkosten!$B$26*IF(Nebenkosten!$C$26="Fläche",$I53,IF(Nebenkosten!$C$26="Anteil",$J53,$K53))*IF(Nebenkosten!$D$26="Heizung",$H53,$G53)/Nebenkosten!$E$26)</f>
        <v/>
      </c>
      <c r="AR53" s="11">
        <f>IF(OR(Nebenkosten!$B$27="",Nebenkosten!$E$27=0,$F53=0),0,Nebenkosten!$B$27*IF(Nebenkosten!$C$27="Fläche",$I53,IF(Nebenkosten!$C$27="Anteil",$J53,$K53))*IF(Nebenkosten!$D$27="Heizung",$H53,$G53)/Nebenkosten!$E$27)</f>
        <v/>
      </c>
      <c r="AS53" s="11">
        <f>IF(OR(Nebenkosten!$B$28="",Nebenkosten!$E$28=0,$F53=0),0,Nebenkosten!$B$28*IF(Nebenkosten!$C$28="Fläche",$I53,IF(Nebenkosten!$C$28="Anteil",$J53,$K53))*IF(Nebenkosten!$D$28="Heizung",$H53,$G53)/Nebenkosten!$E$28)</f>
        <v/>
      </c>
      <c r="AT53" s="11">
        <f>IF(OR(Nebenkosten!$B$29="",Nebenkosten!$E$29=0,$F53=0),0,Nebenkosten!$B$29*IF(Nebenkosten!$C$29="Fläche",$I53,IF(Nebenkosten!$C$29="Anteil",$J53,$K53))*IF(Nebenkosten!$D$29="Heizung",$H53,$G53)/Nebenkosten!$E$29)</f>
        <v/>
      </c>
      <c r="AU53" s="11">
        <f>IF(OR(Nebenkosten!$B$30="",Nebenkosten!$E$30=0,$F53=0),0,Nebenkosten!$B$30*IF(Nebenkosten!$C$30="Fläche",$I53,IF(Nebenkosten!$C$30="Anteil",$J53,$K53))*IF(Nebenkosten!$D$30="Heizung",$H53,$G53)/Nebenkosten!$E$30)</f>
        <v/>
      </c>
      <c r="AV53" s="11">
        <f>IF(OR(Nebenkosten!$B$31="",Nebenkosten!$E$31=0,$F53=0),0,Nebenkosten!$B$31*IF(Nebenkosten!$C$31="Fläche",$I53,IF(Nebenkosten!$C$31="Anteil",$J53,$K53))*IF(Nebenkosten!$D$31="Heizung",$H53,$G53)/Nebenkosten!$E$31)</f>
        <v/>
      </c>
      <c r="AW53" s="11">
        <f>IF(OR(Nebenkosten!$B$32="",Nebenkosten!$E$32=0,$F53=0),0,Nebenkosten!$B$32*IF(Nebenkosten!$C$32="Fläche",$I53,IF(Nebenkosten!$C$32="Anteil",$J53,$K53))*IF(Nebenkosten!$D$32="Heizung",$H53,$G53)/Nebenkosten!$E$32)</f>
        <v/>
      </c>
      <c r="AX53" s="11">
        <f>IF(OR(Nebenkosten!$B$33="",Nebenkosten!$E$33=0,$F53=0),0,Nebenkosten!$B$33*IF(Nebenkosten!$C$33="Fläche",$I53,IF(Nebenkosten!$C$33="Anteil",$J53,$K53))*IF(Nebenkosten!$D$33="Heizung",$H53,$G53)/Nebenkosten!$E$33)</f>
        <v/>
      </c>
      <c r="AY53" s="11">
        <f>IF(OR(Nebenkosten!$B$34="",Nebenkosten!$E$34=0,$F53=0),0,Nebenkosten!$B$34*IF(Nebenkosten!$C$34="Fläche",$I53,IF(Nebenkosten!$C$34="Anteil",$J53,$K53))*IF(Nebenkosten!$D$34="Heizung",$H53,$G53)/Nebenkosten!$E$34)</f>
        <v/>
      </c>
      <c r="AZ53" s="11">
        <f>ROUND(SUM(AA53:AY53)*20,0)/20</f>
        <v/>
      </c>
      <c r="BA53" s="11">
        <f>IF(F53=0,0,N53)</f>
        <v/>
      </c>
      <c r="BB53" s="11">
        <f>AZ53-BA53</f>
        <v/>
      </c>
    </row>
    <row r="54">
      <c r="A54" s="10">
        <f>'Mein Haus'!A94</f>
        <v/>
      </c>
      <c r="B54" s="23">
        <f>IF('Mein Haus'!C94="","",'Mein Haus'!C94)</f>
        <v/>
      </c>
      <c r="C54" s="23">
        <f>IF('Mein Haus'!B94="","",'Mein Haus'!B94)</f>
        <v/>
      </c>
      <c r="D54" s="21">
        <f>IF(AND('Mein Haus'!C94&lt;&gt;"",'Mein Haus'!B94&lt;&gt;"",Nebenkosten!$B$7&lt;&gt;""),MAX(IF('Mein Haus'!D94="",Nebenkosten!$B$7,'Mein Haus'!D94),Nebenkosten!$B$7),"")</f>
        <v/>
      </c>
      <c r="E54" s="21">
        <f>IF(AND('Mein Haus'!C94&lt;&gt;"",'Mein Haus'!B94&lt;&gt;"",Nebenkosten!$B$7&lt;&gt;""),MIN(IF('Mein Haus'!F94="",Nebenkosten!$D$7,'Mein Haus'!F94),Nebenkosten!$D$7),"")</f>
        <v/>
      </c>
      <c r="F54" s="10">
        <f>IF(D54="",0,MAX(0,E54-D54+1))</f>
        <v/>
      </c>
      <c r="G54" s="49">
        <f>IF(F54=0,0,F54/Nebenkosten!$F$7)</f>
        <v/>
      </c>
      <c r="H54" s="49">
        <f>IF(F54=0,0,SUMPRODUCT(O54:Z54,$O$3:$Z$3)/Einstellungen!$F$17)</f>
        <v/>
      </c>
      <c r="I54" s="19">
        <f>IF(F54=0,0,IFERROR(INDEX('Mein Haus'!$D$11:$D$40,MATCH(C54,'Mein Haus'!$A$11:$A$40,0)),0))</f>
        <v/>
      </c>
      <c r="J54" s="19">
        <f>IF(F54=0,0,IFERROR(INDEX('Mein Haus'!$E$11:$E$40,MATCH(C54,'Mein Haus'!$A$11:$A$40,0)),0))</f>
        <v/>
      </c>
      <c r="K54" s="19">
        <f>IF(F54=0,0,IFERROR(INDEX('Mein Haus'!$F$11:$F$40,MATCH(C54,'Mein Haus'!$A$11:$A$40,0)),0))</f>
        <v/>
      </c>
      <c r="L54" s="11">
        <f>IF(F54=0,0,N('Mein Haus'!H94)*SUM(O54:Z54))</f>
        <v/>
      </c>
      <c r="M54" s="22" t="n"/>
      <c r="N54" s="11">
        <f>IF(M54&lt;&gt;"",M54,L54)</f>
        <v/>
      </c>
      <c r="O54" s="19">
        <f>IF(F54=0,0,MAX(0,MIN(E54,EOMONTH(EDATE(Nebenkosten!$B$7,0),0))-MAX(D54,EDATE(Nebenkosten!$B$7,0))+1)/DAY(EOMONTH(EDATE(Nebenkosten!$B$7,0),0)))</f>
        <v/>
      </c>
      <c r="P54" s="19">
        <f>IF(F54=0,0,MAX(0,MIN(E54,EOMONTH(EDATE(Nebenkosten!$B$7,1),0))-MAX(D54,EDATE(Nebenkosten!$B$7,1))+1)/DAY(EOMONTH(EDATE(Nebenkosten!$B$7,1),0)))</f>
        <v/>
      </c>
      <c r="Q54" s="19">
        <f>IF(F54=0,0,MAX(0,MIN(E54,EOMONTH(EDATE(Nebenkosten!$B$7,2),0))-MAX(D54,EDATE(Nebenkosten!$B$7,2))+1)/DAY(EOMONTH(EDATE(Nebenkosten!$B$7,2),0)))</f>
        <v/>
      </c>
      <c r="R54" s="19">
        <f>IF(F54=0,0,MAX(0,MIN(E54,EOMONTH(EDATE(Nebenkosten!$B$7,3),0))-MAX(D54,EDATE(Nebenkosten!$B$7,3))+1)/DAY(EOMONTH(EDATE(Nebenkosten!$B$7,3),0)))</f>
        <v/>
      </c>
      <c r="S54" s="19">
        <f>IF(F54=0,0,MAX(0,MIN(E54,EOMONTH(EDATE(Nebenkosten!$B$7,4),0))-MAX(D54,EDATE(Nebenkosten!$B$7,4))+1)/DAY(EOMONTH(EDATE(Nebenkosten!$B$7,4),0)))</f>
        <v/>
      </c>
      <c r="T54" s="19">
        <f>IF(F54=0,0,MAX(0,MIN(E54,EOMONTH(EDATE(Nebenkosten!$B$7,5),0))-MAX(D54,EDATE(Nebenkosten!$B$7,5))+1)/DAY(EOMONTH(EDATE(Nebenkosten!$B$7,5),0)))</f>
        <v/>
      </c>
      <c r="U54" s="19">
        <f>IF(F54=0,0,MAX(0,MIN(E54,EOMONTH(EDATE(Nebenkosten!$B$7,6),0))-MAX(D54,EDATE(Nebenkosten!$B$7,6))+1)/DAY(EOMONTH(EDATE(Nebenkosten!$B$7,6),0)))</f>
        <v/>
      </c>
      <c r="V54" s="19">
        <f>IF(F54=0,0,MAX(0,MIN(E54,EOMONTH(EDATE(Nebenkosten!$B$7,7),0))-MAX(D54,EDATE(Nebenkosten!$B$7,7))+1)/DAY(EOMONTH(EDATE(Nebenkosten!$B$7,7),0)))</f>
        <v/>
      </c>
      <c r="W54" s="19">
        <f>IF(F54=0,0,MAX(0,MIN(E54,EOMONTH(EDATE(Nebenkosten!$B$7,8),0))-MAX(D54,EDATE(Nebenkosten!$B$7,8))+1)/DAY(EOMONTH(EDATE(Nebenkosten!$B$7,8),0)))</f>
        <v/>
      </c>
      <c r="X54" s="19">
        <f>IF(F54=0,0,MAX(0,MIN(E54,EOMONTH(EDATE(Nebenkosten!$B$7,9),0))-MAX(D54,EDATE(Nebenkosten!$B$7,9))+1)/DAY(EOMONTH(EDATE(Nebenkosten!$B$7,9),0)))</f>
        <v/>
      </c>
      <c r="Y54" s="19">
        <f>IF(F54=0,0,MAX(0,MIN(E54,EOMONTH(EDATE(Nebenkosten!$B$7,10),0))-MAX(D54,EDATE(Nebenkosten!$B$7,10))+1)/DAY(EOMONTH(EDATE(Nebenkosten!$B$7,10),0)))</f>
        <v/>
      </c>
      <c r="Z54" s="19">
        <f>IF(F54=0,0,MAX(0,MIN(E54,EOMONTH(EDATE(Nebenkosten!$B$7,11),0))-MAX(D54,EDATE(Nebenkosten!$B$7,11))+1)/DAY(EOMONTH(EDATE(Nebenkosten!$B$7,11),0)))</f>
        <v/>
      </c>
      <c r="AA54" s="11">
        <f>IF(OR(Nebenkosten!$B$10="",Nebenkosten!$E$10=0,$F54=0),0,Nebenkosten!$B$10*IF(Nebenkosten!$C$10="Fläche",$I54,IF(Nebenkosten!$C$10="Anteil",$J54,$K54))*IF(Nebenkosten!$D$10="Heizung",$H54,$G54)/Nebenkosten!$E$10)</f>
        <v/>
      </c>
      <c r="AB54" s="11">
        <f>IF(OR(Nebenkosten!$B$11="",Nebenkosten!$E$11=0,$F54=0),0,Nebenkosten!$B$11*IF(Nebenkosten!$C$11="Fläche",$I54,IF(Nebenkosten!$C$11="Anteil",$J54,$K54))*IF(Nebenkosten!$D$11="Heizung",$H54,$G54)/Nebenkosten!$E$11)</f>
        <v/>
      </c>
      <c r="AC54" s="11">
        <f>IF(OR(Nebenkosten!$B$12="",Nebenkosten!$E$12=0,$F54=0),0,Nebenkosten!$B$12*IF(Nebenkosten!$C$12="Fläche",$I54,IF(Nebenkosten!$C$12="Anteil",$J54,$K54))*IF(Nebenkosten!$D$12="Heizung",$H54,$G54)/Nebenkosten!$E$12)</f>
        <v/>
      </c>
      <c r="AD54" s="11">
        <f>IF(OR(Nebenkosten!$B$13="",Nebenkosten!$E$13=0,$F54=0),0,Nebenkosten!$B$13*IF(Nebenkosten!$C$13="Fläche",$I54,IF(Nebenkosten!$C$13="Anteil",$J54,$K54))*IF(Nebenkosten!$D$13="Heizung",$H54,$G54)/Nebenkosten!$E$13)</f>
        <v/>
      </c>
      <c r="AE54" s="11">
        <f>IF(OR(Nebenkosten!$B$14="",Nebenkosten!$E$14=0,$F54=0),0,Nebenkosten!$B$14*IF(Nebenkosten!$C$14="Fläche",$I54,IF(Nebenkosten!$C$14="Anteil",$J54,$K54))*IF(Nebenkosten!$D$14="Heizung",$H54,$G54)/Nebenkosten!$E$14)</f>
        <v/>
      </c>
      <c r="AF54" s="11">
        <f>IF(OR(Nebenkosten!$B$15="",Nebenkosten!$E$15=0,$F54=0),0,Nebenkosten!$B$15*IF(Nebenkosten!$C$15="Fläche",$I54,IF(Nebenkosten!$C$15="Anteil",$J54,$K54))*IF(Nebenkosten!$D$15="Heizung",$H54,$G54)/Nebenkosten!$E$15)</f>
        <v/>
      </c>
      <c r="AG54" s="11">
        <f>IF(OR(Nebenkosten!$B$16="",Nebenkosten!$E$16=0,$F54=0),0,Nebenkosten!$B$16*IF(Nebenkosten!$C$16="Fläche",$I54,IF(Nebenkosten!$C$16="Anteil",$J54,$K54))*IF(Nebenkosten!$D$16="Heizung",$H54,$G54)/Nebenkosten!$E$16)</f>
        <v/>
      </c>
      <c r="AH54" s="11">
        <f>IF(OR(Nebenkosten!$B$17="",Nebenkosten!$E$17=0,$F54=0),0,Nebenkosten!$B$17*IF(Nebenkosten!$C$17="Fläche",$I54,IF(Nebenkosten!$C$17="Anteil",$J54,$K54))*IF(Nebenkosten!$D$17="Heizung",$H54,$G54)/Nebenkosten!$E$17)</f>
        <v/>
      </c>
      <c r="AI54" s="11">
        <f>IF(OR(Nebenkosten!$B$18="",Nebenkosten!$E$18=0,$F54=0),0,Nebenkosten!$B$18*IF(Nebenkosten!$C$18="Fläche",$I54,IF(Nebenkosten!$C$18="Anteil",$J54,$K54))*IF(Nebenkosten!$D$18="Heizung",$H54,$G54)/Nebenkosten!$E$18)</f>
        <v/>
      </c>
      <c r="AJ54" s="11">
        <f>IF(OR(Nebenkosten!$B$19="",Nebenkosten!$E$19=0,$F54=0),0,Nebenkosten!$B$19*IF(Nebenkosten!$C$19="Fläche",$I54,IF(Nebenkosten!$C$19="Anteil",$J54,$K54))*IF(Nebenkosten!$D$19="Heizung",$H54,$G54)/Nebenkosten!$E$19)</f>
        <v/>
      </c>
      <c r="AK54" s="11">
        <f>IF(OR(Nebenkosten!$B$20="",Nebenkosten!$E$20=0,$F54=0),0,Nebenkosten!$B$20*IF(Nebenkosten!$C$20="Fläche",$I54,IF(Nebenkosten!$C$20="Anteil",$J54,$K54))*IF(Nebenkosten!$D$20="Heizung",$H54,$G54)/Nebenkosten!$E$20)</f>
        <v/>
      </c>
      <c r="AL54" s="11">
        <f>IF(OR(Nebenkosten!$B$21="",Nebenkosten!$E$21=0,$F54=0),0,Nebenkosten!$B$21*IF(Nebenkosten!$C$21="Fläche",$I54,IF(Nebenkosten!$C$21="Anteil",$J54,$K54))*IF(Nebenkosten!$D$21="Heizung",$H54,$G54)/Nebenkosten!$E$21)</f>
        <v/>
      </c>
      <c r="AM54" s="11">
        <f>IF(OR(Nebenkosten!$B$22="",Nebenkosten!$E$22=0,$F54=0),0,Nebenkosten!$B$22*IF(Nebenkosten!$C$22="Fläche",$I54,IF(Nebenkosten!$C$22="Anteil",$J54,$K54))*IF(Nebenkosten!$D$22="Heizung",$H54,$G54)/Nebenkosten!$E$22)</f>
        <v/>
      </c>
      <c r="AN54" s="11">
        <f>IF(OR(Nebenkosten!$B$23="",Nebenkosten!$E$23=0,$F54=0),0,Nebenkosten!$B$23*IF(Nebenkosten!$C$23="Fläche",$I54,IF(Nebenkosten!$C$23="Anteil",$J54,$K54))*IF(Nebenkosten!$D$23="Heizung",$H54,$G54)/Nebenkosten!$E$23)</f>
        <v/>
      </c>
      <c r="AO54" s="11">
        <f>IF(OR(Nebenkosten!$B$24="",Nebenkosten!$E$24=0,$F54=0),0,Nebenkosten!$B$24*IF(Nebenkosten!$C$24="Fläche",$I54,IF(Nebenkosten!$C$24="Anteil",$J54,$K54))*IF(Nebenkosten!$D$24="Heizung",$H54,$G54)/Nebenkosten!$E$24)</f>
        <v/>
      </c>
      <c r="AP54" s="11">
        <f>IF(OR(Nebenkosten!$B$25="",Nebenkosten!$E$25=0,$F54=0),0,Nebenkosten!$B$25*IF(Nebenkosten!$C$25="Fläche",$I54,IF(Nebenkosten!$C$25="Anteil",$J54,$K54))*IF(Nebenkosten!$D$25="Heizung",$H54,$G54)/Nebenkosten!$E$25)</f>
        <v/>
      </c>
      <c r="AQ54" s="11">
        <f>IF(OR(Nebenkosten!$B$26="",Nebenkosten!$E$26=0,$F54=0),0,Nebenkosten!$B$26*IF(Nebenkosten!$C$26="Fläche",$I54,IF(Nebenkosten!$C$26="Anteil",$J54,$K54))*IF(Nebenkosten!$D$26="Heizung",$H54,$G54)/Nebenkosten!$E$26)</f>
        <v/>
      </c>
      <c r="AR54" s="11">
        <f>IF(OR(Nebenkosten!$B$27="",Nebenkosten!$E$27=0,$F54=0),0,Nebenkosten!$B$27*IF(Nebenkosten!$C$27="Fläche",$I54,IF(Nebenkosten!$C$27="Anteil",$J54,$K54))*IF(Nebenkosten!$D$27="Heizung",$H54,$G54)/Nebenkosten!$E$27)</f>
        <v/>
      </c>
      <c r="AS54" s="11">
        <f>IF(OR(Nebenkosten!$B$28="",Nebenkosten!$E$28=0,$F54=0),0,Nebenkosten!$B$28*IF(Nebenkosten!$C$28="Fläche",$I54,IF(Nebenkosten!$C$28="Anteil",$J54,$K54))*IF(Nebenkosten!$D$28="Heizung",$H54,$G54)/Nebenkosten!$E$28)</f>
        <v/>
      </c>
      <c r="AT54" s="11">
        <f>IF(OR(Nebenkosten!$B$29="",Nebenkosten!$E$29=0,$F54=0),0,Nebenkosten!$B$29*IF(Nebenkosten!$C$29="Fläche",$I54,IF(Nebenkosten!$C$29="Anteil",$J54,$K54))*IF(Nebenkosten!$D$29="Heizung",$H54,$G54)/Nebenkosten!$E$29)</f>
        <v/>
      </c>
      <c r="AU54" s="11">
        <f>IF(OR(Nebenkosten!$B$30="",Nebenkosten!$E$30=0,$F54=0),0,Nebenkosten!$B$30*IF(Nebenkosten!$C$30="Fläche",$I54,IF(Nebenkosten!$C$30="Anteil",$J54,$K54))*IF(Nebenkosten!$D$30="Heizung",$H54,$G54)/Nebenkosten!$E$30)</f>
        <v/>
      </c>
      <c r="AV54" s="11">
        <f>IF(OR(Nebenkosten!$B$31="",Nebenkosten!$E$31=0,$F54=0),0,Nebenkosten!$B$31*IF(Nebenkosten!$C$31="Fläche",$I54,IF(Nebenkosten!$C$31="Anteil",$J54,$K54))*IF(Nebenkosten!$D$31="Heizung",$H54,$G54)/Nebenkosten!$E$31)</f>
        <v/>
      </c>
      <c r="AW54" s="11">
        <f>IF(OR(Nebenkosten!$B$32="",Nebenkosten!$E$32=0,$F54=0),0,Nebenkosten!$B$32*IF(Nebenkosten!$C$32="Fläche",$I54,IF(Nebenkosten!$C$32="Anteil",$J54,$K54))*IF(Nebenkosten!$D$32="Heizung",$H54,$G54)/Nebenkosten!$E$32)</f>
        <v/>
      </c>
      <c r="AX54" s="11">
        <f>IF(OR(Nebenkosten!$B$33="",Nebenkosten!$E$33=0,$F54=0),0,Nebenkosten!$B$33*IF(Nebenkosten!$C$33="Fläche",$I54,IF(Nebenkosten!$C$33="Anteil",$J54,$K54))*IF(Nebenkosten!$D$33="Heizung",$H54,$G54)/Nebenkosten!$E$33)</f>
        <v/>
      </c>
      <c r="AY54" s="11">
        <f>IF(OR(Nebenkosten!$B$34="",Nebenkosten!$E$34=0,$F54=0),0,Nebenkosten!$B$34*IF(Nebenkosten!$C$34="Fläche",$I54,IF(Nebenkosten!$C$34="Anteil",$J54,$K54))*IF(Nebenkosten!$D$34="Heizung",$H54,$G54)/Nebenkosten!$E$34)</f>
        <v/>
      </c>
      <c r="AZ54" s="11">
        <f>ROUND(SUM(AA54:AY54)*20,0)/20</f>
        <v/>
      </c>
      <c r="BA54" s="11">
        <f>IF(F54=0,0,N54)</f>
        <v/>
      </c>
      <c r="BB54" s="11">
        <f>AZ54-BA54</f>
        <v/>
      </c>
    </row>
    <row r="55">
      <c r="A55" s="10">
        <f>'Mein Haus'!A95</f>
        <v/>
      </c>
      <c r="B55" s="23">
        <f>IF('Mein Haus'!C95="","",'Mein Haus'!C95)</f>
        <v/>
      </c>
      <c r="C55" s="23">
        <f>IF('Mein Haus'!B95="","",'Mein Haus'!B95)</f>
        <v/>
      </c>
      <c r="D55" s="21">
        <f>IF(AND('Mein Haus'!C95&lt;&gt;"",'Mein Haus'!B95&lt;&gt;"",Nebenkosten!$B$7&lt;&gt;""),MAX(IF('Mein Haus'!D95="",Nebenkosten!$B$7,'Mein Haus'!D95),Nebenkosten!$B$7),"")</f>
        <v/>
      </c>
      <c r="E55" s="21">
        <f>IF(AND('Mein Haus'!C95&lt;&gt;"",'Mein Haus'!B95&lt;&gt;"",Nebenkosten!$B$7&lt;&gt;""),MIN(IF('Mein Haus'!F95="",Nebenkosten!$D$7,'Mein Haus'!F95),Nebenkosten!$D$7),"")</f>
        <v/>
      </c>
      <c r="F55" s="10">
        <f>IF(D55="",0,MAX(0,E55-D55+1))</f>
        <v/>
      </c>
      <c r="G55" s="49">
        <f>IF(F55=0,0,F55/Nebenkosten!$F$7)</f>
        <v/>
      </c>
      <c r="H55" s="49">
        <f>IF(F55=0,0,SUMPRODUCT(O55:Z55,$O$3:$Z$3)/Einstellungen!$F$17)</f>
        <v/>
      </c>
      <c r="I55" s="19">
        <f>IF(F55=0,0,IFERROR(INDEX('Mein Haus'!$D$11:$D$40,MATCH(C55,'Mein Haus'!$A$11:$A$40,0)),0))</f>
        <v/>
      </c>
      <c r="J55" s="19">
        <f>IF(F55=0,0,IFERROR(INDEX('Mein Haus'!$E$11:$E$40,MATCH(C55,'Mein Haus'!$A$11:$A$40,0)),0))</f>
        <v/>
      </c>
      <c r="K55" s="19">
        <f>IF(F55=0,0,IFERROR(INDEX('Mein Haus'!$F$11:$F$40,MATCH(C55,'Mein Haus'!$A$11:$A$40,0)),0))</f>
        <v/>
      </c>
      <c r="L55" s="11">
        <f>IF(F55=0,0,N('Mein Haus'!H95)*SUM(O55:Z55))</f>
        <v/>
      </c>
      <c r="M55" s="22" t="n"/>
      <c r="N55" s="11">
        <f>IF(M55&lt;&gt;"",M55,L55)</f>
        <v/>
      </c>
      <c r="O55" s="19">
        <f>IF(F55=0,0,MAX(0,MIN(E55,EOMONTH(EDATE(Nebenkosten!$B$7,0),0))-MAX(D55,EDATE(Nebenkosten!$B$7,0))+1)/DAY(EOMONTH(EDATE(Nebenkosten!$B$7,0),0)))</f>
        <v/>
      </c>
      <c r="P55" s="19">
        <f>IF(F55=0,0,MAX(0,MIN(E55,EOMONTH(EDATE(Nebenkosten!$B$7,1),0))-MAX(D55,EDATE(Nebenkosten!$B$7,1))+1)/DAY(EOMONTH(EDATE(Nebenkosten!$B$7,1),0)))</f>
        <v/>
      </c>
      <c r="Q55" s="19">
        <f>IF(F55=0,0,MAX(0,MIN(E55,EOMONTH(EDATE(Nebenkosten!$B$7,2),0))-MAX(D55,EDATE(Nebenkosten!$B$7,2))+1)/DAY(EOMONTH(EDATE(Nebenkosten!$B$7,2),0)))</f>
        <v/>
      </c>
      <c r="R55" s="19">
        <f>IF(F55=0,0,MAX(0,MIN(E55,EOMONTH(EDATE(Nebenkosten!$B$7,3),0))-MAX(D55,EDATE(Nebenkosten!$B$7,3))+1)/DAY(EOMONTH(EDATE(Nebenkosten!$B$7,3),0)))</f>
        <v/>
      </c>
      <c r="S55" s="19">
        <f>IF(F55=0,0,MAX(0,MIN(E55,EOMONTH(EDATE(Nebenkosten!$B$7,4),0))-MAX(D55,EDATE(Nebenkosten!$B$7,4))+1)/DAY(EOMONTH(EDATE(Nebenkosten!$B$7,4),0)))</f>
        <v/>
      </c>
      <c r="T55" s="19">
        <f>IF(F55=0,0,MAX(0,MIN(E55,EOMONTH(EDATE(Nebenkosten!$B$7,5),0))-MAX(D55,EDATE(Nebenkosten!$B$7,5))+1)/DAY(EOMONTH(EDATE(Nebenkosten!$B$7,5),0)))</f>
        <v/>
      </c>
      <c r="U55" s="19">
        <f>IF(F55=0,0,MAX(0,MIN(E55,EOMONTH(EDATE(Nebenkosten!$B$7,6),0))-MAX(D55,EDATE(Nebenkosten!$B$7,6))+1)/DAY(EOMONTH(EDATE(Nebenkosten!$B$7,6),0)))</f>
        <v/>
      </c>
      <c r="V55" s="19">
        <f>IF(F55=0,0,MAX(0,MIN(E55,EOMONTH(EDATE(Nebenkosten!$B$7,7),0))-MAX(D55,EDATE(Nebenkosten!$B$7,7))+1)/DAY(EOMONTH(EDATE(Nebenkosten!$B$7,7),0)))</f>
        <v/>
      </c>
      <c r="W55" s="19">
        <f>IF(F55=0,0,MAX(0,MIN(E55,EOMONTH(EDATE(Nebenkosten!$B$7,8),0))-MAX(D55,EDATE(Nebenkosten!$B$7,8))+1)/DAY(EOMONTH(EDATE(Nebenkosten!$B$7,8),0)))</f>
        <v/>
      </c>
      <c r="X55" s="19">
        <f>IF(F55=0,0,MAX(0,MIN(E55,EOMONTH(EDATE(Nebenkosten!$B$7,9),0))-MAX(D55,EDATE(Nebenkosten!$B$7,9))+1)/DAY(EOMONTH(EDATE(Nebenkosten!$B$7,9),0)))</f>
        <v/>
      </c>
      <c r="Y55" s="19">
        <f>IF(F55=0,0,MAX(0,MIN(E55,EOMONTH(EDATE(Nebenkosten!$B$7,10),0))-MAX(D55,EDATE(Nebenkosten!$B$7,10))+1)/DAY(EOMONTH(EDATE(Nebenkosten!$B$7,10),0)))</f>
        <v/>
      </c>
      <c r="Z55" s="19">
        <f>IF(F55=0,0,MAX(0,MIN(E55,EOMONTH(EDATE(Nebenkosten!$B$7,11),0))-MAX(D55,EDATE(Nebenkosten!$B$7,11))+1)/DAY(EOMONTH(EDATE(Nebenkosten!$B$7,11),0)))</f>
        <v/>
      </c>
      <c r="AA55" s="11">
        <f>IF(OR(Nebenkosten!$B$10="",Nebenkosten!$E$10=0,$F55=0),0,Nebenkosten!$B$10*IF(Nebenkosten!$C$10="Fläche",$I55,IF(Nebenkosten!$C$10="Anteil",$J55,$K55))*IF(Nebenkosten!$D$10="Heizung",$H55,$G55)/Nebenkosten!$E$10)</f>
        <v/>
      </c>
      <c r="AB55" s="11">
        <f>IF(OR(Nebenkosten!$B$11="",Nebenkosten!$E$11=0,$F55=0),0,Nebenkosten!$B$11*IF(Nebenkosten!$C$11="Fläche",$I55,IF(Nebenkosten!$C$11="Anteil",$J55,$K55))*IF(Nebenkosten!$D$11="Heizung",$H55,$G55)/Nebenkosten!$E$11)</f>
        <v/>
      </c>
      <c r="AC55" s="11">
        <f>IF(OR(Nebenkosten!$B$12="",Nebenkosten!$E$12=0,$F55=0),0,Nebenkosten!$B$12*IF(Nebenkosten!$C$12="Fläche",$I55,IF(Nebenkosten!$C$12="Anteil",$J55,$K55))*IF(Nebenkosten!$D$12="Heizung",$H55,$G55)/Nebenkosten!$E$12)</f>
        <v/>
      </c>
      <c r="AD55" s="11">
        <f>IF(OR(Nebenkosten!$B$13="",Nebenkosten!$E$13=0,$F55=0),0,Nebenkosten!$B$13*IF(Nebenkosten!$C$13="Fläche",$I55,IF(Nebenkosten!$C$13="Anteil",$J55,$K55))*IF(Nebenkosten!$D$13="Heizung",$H55,$G55)/Nebenkosten!$E$13)</f>
        <v/>
      </c>
      <c r="AE55" s="11">
        <f>IF(OR(Nebenkosten!$B$14="",Nebenkosten!$E$14=0,$F55=0),0,Nebenkosten!$B$14*IF(Nebenkosten!$C$14="Fläche",$I55,IF(Nebenkosten!$C$14="Anteil",$J55,$K55))*IF(Nebenkosten!$D$14="Heizung",$H55,$G55)/Nebenkosten!$E$14)</f>
        <v/>
      </c>
      <c r="AF55" s="11">
        <f>IF(OR(Nebenkosten!$B$15="",Nebenkosten!$E$15=0,$F55=0),0,Nebenkosten!$B$15*IF(Nebenkosten!$C$15="Fläche",$I55,IF(Nebenkosten!$C$15="Anteil",$J55,$K55))*IF(Nebenkosten!$D$15="Heizung",$H55,$G55)/Nebenkosten!$E$15)</f>
        <v/>
      </c>
      <c r="AG55" s="11">
        <f>IF(OR(Nebenkosten!$B$16="",Nebenkosten!$E$16=0,$F55=0),0,Nebenkosten!$B$16*IF(Nebenkosten!$C$16="Fläche",$I55,IF(Nebenkosten!$C$16="Anteil",$J55,$K55))*IF(Nebenkosten!$D$16="Heizung",$H55,$G55)/Nebenkosten!$E$16)</f>
        <v/>
      </c>
      <c r="AH55" s="11">
        <f>IF(OR(Nebenkosten!$B$17="",Nebenkosten!$E$17=0,$F55=0),0,Nebenkosten!$B$17*IF(Nebenkosten!$C$17="Fläche",$I55,IF(Nebenkosten!$C$17="Anteil",$J55,$K55))*IF(Nebenkosten!$D$17="Heizung",$H55,$G55)/Nebenkosten!$E$17)</f>
        <v/>
      </c>
      <c r="AI55" s="11">
        <f>IF(OR(Nebenkosten!$B$18="",Nebenkosten!$E$18=0,$F55=0),0,Nebenkosten!$B$18*IF(Nebenkosten!$C$18="Fläche",$I55,IF(Nebenkosten!$C$18="Anteil",$J55,$K55))*IF(Nebenkosten!$D$18="Heizung",$H55,$G55)/Nebenkosten!$E$18)</f>
        <v/>
      </c>
      <c r="AJ55" s="11">
        <f>IF(OR(Nebenkosten!$B$19="",Nebenkosten!$E$19=0,$F55=0),0,Nebenkosten!$B$19*IF(Nebenkosten!$C$19="Fläche",$I55,IF(Nebenkosten!$C$19="Anteil",$J55,$K55))*IF(Nebenkosten!$D$19="Heizung",$H55,$G55)/Nebenkosten!$E$19)</f>
        <v/>
      </c>
      <c r="AK55" s="11">
        <f>IF(OR(Nebenkosten!$B$20="",Nebenkosten!$E$20=0,$F55=0),0,Nebenkosten!$B$20*IF(Nebenkosten!$C$20="Fläche",$I55,IF(Nebenkosten!$C$20="Anteil",$J55,$K55))*IF(Nebenkosten!$D$20="Heizung",$H55,$G55)/Nebenkosten!$E$20)</f>
        <v/>
      </c>
      <c r="AL55" s="11">
        <f>IF(OR(Nebenkosten!$B$21="",Nebenkosten!$E$21=0,$F55=0),0,Nebenkosten!$B$21*IF(Nebenkosten!$C$21="Fläche",$I55,IF(Nebenkosten!$C$21="Anteil",$J55,$K55))*IF(Nebenkosten!$D$21="Heizung",$H55,$G55)/Nebenkosten!$E$21)</f>
        <v/>
      </c>
      <c r="AM55" s="11">
        <f>IF(OR(Nebenkosten!$B$22="",Nebenkosten!$E$22=0,$F55=0),0,Nebenkosten!$B$22*IF(Nebenkosten!$C$22="Fläche",$I55,IF(Nebenkosten!$C$22="Anteil",$J55,$K55))*IF(Nebenkosten!$D$22="Heizung",$H55,$G55)/Nebenkosten!$E$22)</f>
        <v/>
      </c>
      <c r="AN55" s="11">
        <f>IF(OR(Nebenkosten!$B$23="",Nebenkosten!$E$23=0,$F55=0),0,Nebenkosten!$B$23*IF(Nebenkosten!$C$23="Fläche",$I55,IF(Nebenkosten!$C$23="Anteil",$J55,$K55))*IF(Nebenkosten!$D$23="Heizung",$H55,$G55)/Nebenkosten!$E$23)</f>
        <v/>
      </c>
      <c r="AO55" s="11">
        <f>IF(OR(Nebenkosten!$B$24="",Nebenkosten!$E$24=0,$F55=0),0,Nebenkosten!$B$24*IF(Nebenkosten!$C$24="Fläche",$I55,IF(Nebenkosten!$C$24="Anteil",$J55,$K55))*IF(Nebenkosten!$D$24="Heizung",$H55,$G55)/Nebenkosten!$E$24)</f>
        <v/>
      </c>
      <c r="AP55" s="11">
        <f>IF(OR(Nebenkosten!$B$25="",Nebenkosten!$E$25=0,$F55=0),0,Nebenkosten!$B$25*IF(Nebenkosten!$C$25="Fläche",$I55,IF(Nebenkosten!$C$25="Anteil",$J55,$K55))*IF(Nebenkosten!$D$25="Heizung",$H55,$G55)/Nebenkosten!$E$25)</f>
        <v/>
      </c>
      <c r="AQ55" s="11">
        <f>IF(OR(Nebenkosten!$B$26="",Nebenkosten!$E$26=0,$F55=0),0,Nebenkosten!$B$26*IF(Nebenkosten!$C$26="Fläche",$I55,IF(Nebenkosten!$C$26="Anteil",$J55,$K55))*IF(Nebenkosten!$D$26="Heizung",$H55,$G55)/Nebenkosten!$E$26)</f>
        <v/>
      </c>
      <c r="AR55" s="11">
        <f>IF(OR(Nebenkosten!$B$27="",Nebenkosten!$E$27=0,$F55=0),0,Nebenkosten!$B$27*IF(Nebenkosten!$C$27="Fläche",$I55,IF(Nebenkosten!$C$27="Anteil",$J55,$K55))*IF(Nebenkosten!$D$27="Heizung",$H55,$G55)/Nebenkosten!$E$27)</f>
        <v/>
      </c>
      <c r="AS55" s="11">
        <f>IF(OR(Nebenkosten!$B$28="",Nebenkosten!$E$28=0,$F55=0),0,Nebenkosten!$B$28*IF(Nebenkosten!$C$28="Fläche",$I55,IF(Nebenkosten!$C$28="Anteil",$J55,$K55))*IF(Nebenkosten!$D$28="Heizung",$H55,$G55)/Nebenkosten!$E$28)</f>
        <v/>
      </c>
      <c r="AT55" s="11">
        <f>IF(OR(Nebenkosten!$B$29="",Nebenkosten!$E$29=0,$F55=0),0,Nebenkosten!$B$29*IF(Nebenkosten!$C$29="Fläche",$I55,IF(Nebenkosten!$C$29="Anteil",$J55,$K55))*IF(Nebenkosten!$D$29="Heizung",$H55,$G55)/Nebenkosten!$E$29)</f>
        <v/>
      </c>
      <c r="AU55" s="11">
        <f>IF(OR(Nebenkosten!$B$30="",Nebenkosten!$E$30=0,$F55=0),0,Nebenkosten!$B$30*IF(Nebenkosten!$C$30="Fläche",$I55,IF(Nebenkosten!$C$30="Anteil",$J55,$K55))*IF(Nebenkosten!$D$30="Heizung",$H55,$G55)/Nebenkosten!$E$30)</f>
        <v/>
      </c>
      <c r="AV55" s="11">
        <f>IF(OR(Nebenkosten!$B$31="",Nebenkosten!$E$31=0,$F55=0),0,Nebenkosten!$B$31*IF(Nebenkosten!$C$31="Fläche",$I55,IF(Nebenkosten!$C$31="Anteil",$J55,$K55))*IF(Nebenkosten!$D$31="Heizung",$H55,$G55)/Nebenkosten!$E$31)</f>
        <v/>
      </c>
      <c r="AW55" s="11">
        <f>IF(OR(Nebenkosten!$B$32="",Nebenkosten!$E$32=0,$F55=0),0,Nebenkosten!$B$32*IF(Nebenkosten!$C$32="Fläche",$I55,IF(Nebenkosten!$C$32="Anteil",$J55,$K55))*IF(Nebenkosten!$D$32="Heizung",$H55,$G55)/Nebenkosten!$E$32)</f>
        <v/>
      </c>
      <c r="AX55" s="11">
        <f>IF(OR(Nebenkosten!$B$33="",Nebenkosten!$E$33=0,$F55=0),0,Nebenkosten!$B$33*IF(Nebenkosten!$C$33="Fläche",$I55,IF(Nebenkosten!$C$33="Anteil",$J55,$K55))*IF(Nebenkosten!$D$33="Heizung",$H55,$G55)/Nebenkosten!$E$33)</f>
        <v/>
      </c>
      <c r="AY55" s="11">
        <f>IF(OR(Nebenkosten!$B$34="",Nebenkosten!$E$34=0,$F55=0),0,Nebenkosten!$B$34*IF(Nebenkosten!$C$34="Fläche",$I55,IF(Nebenkosten!$C$34="Anteil",$J55,$K55))*IF(Nebenkosten!$D$34="Heizung",$H55,$G55)/Nebenkosten!$E$34)</f>
        <v/>
      </c>
      <c r="AZ55" s="11">
        <f>ROUND(SUM(AA55:AY55)*20,0)/20</f>
        <v/>
      </c>
      <c r="BA55" s="11">
        <f>IF(F55=0,0,N55)</f>
        <v/>
      </c>
      <c r="BB55" s="11">
        <f>AZ55-BA55</f>
        <v/>
      </c>
    </row>
    <row r="56">
      <c r="A56" s="10">
        <f>'Mein Haus'!A96</f>
        <v/>
      </c>
      <c r="B56" s="23">
        <f>IF('Mein Haus'!C96="","",'Mein Haus'!C96)</f>
        <v/>
      </c>
      <c r="C56" s="23">
        <f>IF('Mein Haus'!B96="","",'Mein Haus'!B96)</f>
        <v/>
      </c>
      <c r="D56" s="21">
        <f>IF(AND('Mein Haus'!C96&lt;&gt;"",'Mein Haus'!B96&lt;&gt;"",Nebenkosten!$B$7&lt;&gt;""),MAX(IF('Mein Haus'!D96="",Nebenkosten!$B$7,'Mein Haus'!D96),Nebenkosten!$B$7),"")</f>
        <v/>
      </c>
      <c r="E56" s="21">
        <f>IF(AND('Mein Haus'!C96&lt;&gt;"",'Mein Haus'!B96&lt;&gt;"",Nebenkosten!$B$7&lt;&gt;""),MIN(IF('Mein Haus'!F96="",Nebenkosten!$D$7,'Mein Haus'!F96),Nebenkosten!$D$7),"")</f>
        <v/>
      </c>
      <c r="F56" s="10">
        <f>IF(D56="",0,MAX(0,E56-D56+1))</f>
        <v/>
      </c>
      <c r="G56" s="49">
        <f>IF(F56=0,0,F56/Nebenkosten!$F$7)</f>
        <v/>
      </c>
      <c r="H56" s="49">
        <f>IF(F56=0,0,SUMPRODUCT(O56:Z56,$O$3:$Z$3)/Einstellungen!$F$17)</f>
        <v/>
      </c>
      <c r="I56" s="19">
        <f>IF(F56=0,0,IFERROR(INDEX('Mein Haus'!$D$11:$D$40,MATCH(C56,'Mein Haus'!$A$11:$A$40,0)),0))</f>
        <v/>
      </c>
      <c r="J56" s="19">
        <f>IF(F56=0,0,IFERROR(INDEX('Mein Haus'!$E$11:$E$40,MATCH(C56,'Mein Haus'!$A$11:$A$40,0)),0))</f>
        <v/>
      </c>
      <c r="K56" s="19">
        <f>IF(F56=0,0,IFERROR(INDEX('Mein Haus'!$F$11:$F$40,MATCH(C56,'Mein Haus'!$A$11:$A$40,0)),0))</f>
        <v/>
      </c>
      <c r="L56" s="11">
        <f>IF(F56=0,0,N('Mein Haus'!H96)*SUM(O56:Z56))</f>
        <v/>
      </c>
      <c r="M56" s="22" t="n"/>
      <c r="N56" s="11">
        <f>IF(M56&lt;&gt;"",M56,L56)</f>
        <v/>
      </c>
      <c r="O56" s="19">
        <f>IF(F56=0,0,MAX(0,MIN(E56,EOMONTH(EDATE(Nebenkosten!$B$7,0),0))-MAX(D56,EDATE(Nebenkosten!$B$7,0))+1)/DAY(EOMONTH(EDATE(Nebenkosten!$B$7,0),0)))</f>
        <v/>
      </c>
      <c r="P56" s="19">
        <f>IF(F56=0,0,MAX(0,MIN(E56,EOMONTH(EDATE(Nebenkosten!$B$7,1),0))-MAX(D56,EDATE(Nebenkosten!$B$7,1))+1)/DAY(EOMONTH(EDATE(Nebenkosten!$B$7,1),0)))</f>
        <v/>
      </c>
      <c r="Q56" s="19">
        <f>IF(F56=0,0,MAX(0,MIN(E56,EOMONTH(EDATE(Nebenkosten!$B$7,2),0))-MAX(D56,EDATE(Nebenkosten!$B$7,2))+1)/DAY(EOMONTH(EDATE(Nebenkosten!$B$7,2),0)))</f>
        <v/>
      </c>
      <c r="R56" s="19">
        <f>IF(F56=0,0,MAX(0,MIN(E56,EOMONTH(EDATE(Nebenkosten!$B$7,3),0))-MAX(D56,EDATE(Nebenkosten!$B$7,3))+1)/DAY(EOMONTH(EDATE(Nebenkosten!$B$7,3),0)))</f>
        <v/>
      </c>
      <c r="S56" s="19">
        <f>IF(F56=0,0,MAX(0,MIN(E56,EOMONTH(EDATE(Nebenkosten!$B$7,4),0))-MAX(D56,EDATE(Nebenkosten!$B$7,4))+1)/DAY(EOMONTH(EDATE(Nebenkosten!$B$7,4),0)))</f>
        <v/>
      </c>
      <c r="T56" s="19">
        <f>IF(F56=0,0,MAX(0,MIN(E56,EOMONTH(EDATE(Nebenkosten!$B$7,5),0))-MAX(D56,EDATE(Nebenkosten!$B$7,5))+1)/DAY(EOMONTH(EDATE(Nebenkosten!$B$7,5),0)))</f>
        <v/>
      </c>
      <c r="U56" s="19">
        <f>IF(F56=0,0,MAX(0,MIN(E56,EOMONTH(EDATE(Nebenkosten!$B$7,6),0))-MAX(D56,EDATE(Nebenkosten!$B$7,6))+1)/DAY(EOMONTH(EDATE(Nebenkosten!$B$7,6),0)))</f>
        <v/>
      </c>
      <c r="V56" s="19">
        <f>IF(F56=0,0,MAX(0,MIN(E56,EOMONTH(EDATE(Nebenkosten!$B$7,7),0))-MAX(D56,EDATE(Nebenkosten!$B$7,7))+1)/DAY(EOMONTH(EDATE(Nebenkosten!$B$7,7),0)))</f>
        <v/>
      </c>
      <c r="W56" s="19">
        <f>IF(F56=0,0,MAX(0,MIN(E56,EOMONTH(EDATE(Nebenkosten!$B$7,8),0))-MAX(D56,EDATE(Nebenkosten!$B$7,8))+1)/DAY(EOMONTH(EDATE(Nebenkosten!$B$7,8),0)))</f>
        <v/>
      </c>
      <c r="X56" s="19">
        <f>IF(F56=0,0,MAX(0,MIN(E56,EOMONTH(EDATE(Nebenkosten!$B$7,9),0))-MAX(D56,EDATE(Nebenkosten!$B$7,9))+1)/DAY(EOMONTH(EDATE(Nebenkosten!$B$7,9),0)))</f>
        <v/>
      </c>
      <c r="Y56" s="19">
        <f>IF(F56=0,0,MAX(0,MIN(E56,EOMONTH(EDATE(Nebenkosten!$B$7,10),0))-MAX(D56,EDATE(Nebenkosten!$B$7,10))+1)/DAY(EOMONTH(EDATE(Nebenkosten!$B$7,10),0)))</f>
        <v/>
      </c>
      <c r="Z56" s="19">
        <f>IF(F56=0,0,MAX(0,MIN(E56,EOMONTH(EDATE(Nebenkosten!$B$7,11),0))-MAX(D56,EDATE(Nebenkosten!$B$7,11))+1)/DAY(EOMONTH(EDATE(Nebenkosten!$B$7,11),0)))</f>
        <v/>
      </c>
      <c r="AA56" s="11">
        <f>IF(OR(Nebenkosten!$B$10="",Nebenkosten!$E$10=0,$F56=0),0,Nebenkosten!$B$10*IF(Nebenkosten!$C$10="Fläche",$I56,IF(Nebenkosten!$C$10="Anteil",$J56,$K56))*IF(Nebenkosten!$D$10="Heizung",$H56,$G56)/Nebenkosten!$E$10)</f>
        <v/>
      </c>
      <c r="AB56" s="11">
        <f>IF(OR(Nebenkosten!$B$11="",Nebenkosten!$E$11=0,$F56=0),0,Nebenkosten!$B$11*IF(Nebenkosten!$C$11="Fläche",$I56,IF(Nebenkosten!$C$11="Anteil",$J56,$K56))*IF(Nebenkosten!$D$11="Heizung",$H56,$G56)/Nebenkosten!$E$11)</f>
        <v/>
      </c>
      <c r="AC56" s="11">
        <f>IF(OR(Nebenkosten!$B$12="",Nebenkosten!$E$12=0,$F56=0),0,Nebenkosten!$B$12*IF(Nebenkosten!$C$12="Fläche",$I56,IF(Nebenkosten!$C$12="Anteil",$J56,$K56))*IF(Nebenkosten!$D$12="Heizung",$H56,$G56)/Nebenkosten!$E$12)</f>
        <v/>
      </c>
      <c r="AD56" s="11">
        <f>IF(OR(Nebenkosten!$B$13="",Nebenkosten!$E$13=0,$F56=0),0,Nebenkosten!$B$13*IF(Nebenkosten!$C$13="Fläche",$I56,IF(Nebenkosten!$C$13="Anteil",$J56,$K56))*IF(Nebenkosten!$D$13="Heizung",$H56,$G56)/Nebenkosten!$E$13)</f>
        <v/>
      </c>
      <c r="AE56" s="11">
        <f>IF(OR(Nebenkosten!$B$14="",Nebenkosten!$E$14=0,$F56=0),0,Nebenkosten!$B$14*IF(Nebenkosten!$C$14="Fläche",$I56,IF(Nebenkosten!$C$14="Anteil",$J56,$K56))*IF(Nebenkosten!$D$14="Heizung",$H56,$G56)/Nebenkosten!$E$14)</f>
        <v/>
      </c>
      <c r="AF56" s="11">
        <f>IF(OR(Nebenkosten!$B$15="",Nebenkosten!$E$15=0,$F56=0),0,Nebenkosten!$B$15*IF(Nebenkosten!$C$15="Fläche",$I56,IF(Nebenkosten!$C$15="Anteil",$J56,$K56))*IF(Nebenkosten!$D$15="Heizung",$H56,$G56)/Nebenkosten!$E$15)</f>
        <v/>
      </c>
      <c r="AG56" s="11">
        <f>IF(OR(Nebenkosten!$B$16="",Nebenkosten!$E$16=0,$F56=0),0,Nebenkosten!$B$16*IF(Nebenkosten!$C$16="Fläche",$I56,IF(Nebenkosten!$C$16="Anteil",$J56,$K56))*IF(Nebenkosten!$D$16="Heizung",$H56,$G56)/Nebenkosten!$E$16)</f>
        <v/>
      </c>
      <c r="AH56" s="11">
        <f>IF(OR(Nebenkosten!$B$17="",Nebenkosten!$E$17=0,$F56=0),0,Nebenkosten!$B$17*IF(Nebenkosten!$C$17="Fläche",$I56,IF(Nebenkosten!$C$17="Anteil",$J56,$K56))*IF(Nebenkosten!$D$17="Heizung",$H56,$G56)/Nebenkosten!$E$17)</f>
        <v/>
      </c>
      <c r="AI56" s="11">
        <f>IF(OR(Nebenkosten!$B$18="",Nebenkosten!$E$18=0,$F56=0),0,Nebenkosten!$B$18*IF(Nebenkosten!$C$18="Fläche",$I56,IF(Nebenkosten!$C$18="Anteil",$J56,$K56))*IF(Nebenkosten!$D$18="Heizung",$H56,$G56)/Nebenkosten!$E$18)</f>
        <v/>
      </c>
      <c r="AJ56" s="11">
        <f>IF(OR(Nebenkosten!$B$19="",Nebenkosten!$E$19=0,$F56=0),0,Nebenkosten!$B$19*IF(Nebenkosten!$C$19="Fläche",$I56,IF(Nebenkosten!$C$19="Anteil",$J56,$K56))*IF(Nebenkosten!$D$19="Heizung",$H56,$G56)/Nebenkosten!$E$19)</f>
        <v/>
      </c>
      <c r="AK56" s="11">
        <f>IF(OR(Nebenkosten!$B$20="",Nebenkosten!$E$20=0,$F56=0),0,Nebenkosten!$B$20*IF(Nebenkosten!$C$20="Fläche",$I56,IF(Nebenkosten!$C$20="Anteil",$J56,$K56))*IF(Nebenkosten!$D$20="Heizung",$H56,$G56)/Nebenkosten!$E$20)</f>
        <v/>
      </c>
      <c r="AL56" s="11">
        <f>IF(OR(Nebenkosten!$B$21="",Nebenkosten!$E$21=0,$F56=0),0,Nebenkosten!$B$21*IF(Nebenkosten!$C$21="Fläche",$I56,IF(Nebenkosten!$C$21="Anteil",$J56,$K56))*IF(Nebenkosten!$D$21="Heizung",$H56,$G56)/Nebenkosten!$E$21)</f>
        <v/>
      </c>
      <c r="AM56" s="11">
        <f>IF(OR(Nebenkosten!$B$22="",Nebenkosten!$E$22=0,$F56=0),0,Nebenkosten!$B$22*IF(Nebenkosten!$C$22="Fläche",$I56,IF(Nebenkosten!$C$22="Anteil",$J56,$K56))*IF(Nebenkosten!$D$22="Heizung",$H56,$G56)/Nebenkosten!$E$22)</f>
        <v/>
      </c>
      <c r="AN56" s="11">
        <f>IF(OR(Nebenkosten!$B$23="",Nebenkosten!$E$23=0,$F56=0),0,Nebenkosten!$B$23*IF(Nebenkosten!$C$23="Fläche",$I56,IF(Nebenkosten!$C$23="Anteil",$J56,$K56))*IF(Nebenkosten!$D$23="Heizung",$H56,$G56)/Nebenkosten!$E$23)</f>
        <v/>
      </c>
      <c r="AO56" s="11">
        <f>IF(OR(Nebenkosten!$B$24="",Nebenkosten!$E$24=0,$F56=0),0,Nebenkosten!$B$24*IF(Nebenkosten!$C$24="Fläche",$I56,IF(Nebenkosten!$C$24="Anteil",$J56,$K56))*IF(Nebenkosten!$D$24="Heizung",$H56,$G56)/Nebenkosten!$E$24)</f>
        <v/>
      </c>
      <c r="AP56" s="11">
        <f>IF(OR(Nebenkosten!$B$25="",Nebenkosten!$E$25=0,$F56=0),0,Nebenkosten!$B$25*IF(Nebenkosten!$C$25="Fläche",$I56,IF(Nebenkosten!$C$25="Anteil",$J56,$K56))*IF(Nebenkosten!$D$25="Heizung",$H56,$G56)/Nebenkosten!$E$25)</f>
        <v/>
      </c>
      <c r="AQ56" s="11">
        <f>IF(OR(Nebenkosten!$B$26="",Nebenkosten!$E$26=0,$F56=0),0,Nebenkosten!$B$26*IF(Nebenkosten!$C$26="Fläche",$I56,IF(Nebenkosten!$C$26="Anteil",$J56,$K56))*IF(Nebenkosten!$D$26="Heizung",$H56,$G56)/Nebenkosten!$E$26)</f>
        <v/>
      </c>
      <c r="AR56" s="11">
        <f>IF(OR(Nebenkosten!$B$27="",Nebenkosten!$E$27=0,$F56=0),0,Nebenkosten!$B$27*IF(Nebenkosten!$C$27="Fläche",$I56,IF(Nebenkosten!$C$27="Anteil",$J56,$K56))*IF(Nebenkosten!$D$27="Heizung",$H56,$G56)/Nebenkosten!$E$27)</f>
        <v/>
      </c>
      <c r="AS56" s="11">
        <f>IF(OR(Nebenkosten!$B$28="",Nebenkosten!$E$28=0,$F56=0),0,Nebenkosten!$B$28*IF(Nebenkosten!$C$28="Fläche",$I56,IF(Nebenkosten!$C$28="Anteil",$J56,$K56))*IF(Nebenkosten!$D$28="Heizung",$H56,$G56)/Nebenkosten!$E$28)</f>
        <v/>
      </c>
      <c r="AT56" s="11">
        <f>IF(OR(Nebenkosten!$B$29="",Nebenkosten!$E$29=0,$F56=0),0,Nebenkosten!$B$29*IF(Nebenkosten!$C$29="Fläche",$I56,IF(Nebenkosten!$C$29="Anteil",$J56,$K56))*IF(Nebenkosten!$D$29="Heizung",$H56,$G56)/Nebenkosten!$E$29)</f>
        <v/>
      </c>
      <c r="AU56" s="11">
        <f>IF(OR(Nebenkosten!$B$30="",Nebenkosten!$E$30=0,$F56=0),0,Nebenkosten!$B$30*IF(Nebenkosten!$C$30="Fläche",$I56,IF(Nebenkosten!$C$30="Anteil",$J56,$K56))*IF(Nebenkosten!$D$30="Heizung",$H56,$G56)/Nebenkosten!$E$30)</f>
        <v/>
      </c>
      <c r="AV56" s="11">
        <f>IF(OR(Nebenkosten!$B$31="",Nebenkosten!$E$31=0,$F56=0),0,Nebenkosten!$B$31*IF(Nebenkosten!$C$31="Fläche",$I56,IF(Nebenkosten!$C$31="Anteil",$J56,$K56))*IF(Nebenkosten!$D$31="Heizung",$H56,$G56)/Nebenkosten!$E$31)</f>
        <v/>
      </c>
      <c r="AW56" s="11">
        <f>IF(OR(Nebenkosten!$B$32="",Nebenkosten!$E$32=0,$F56=0),0,Nebenkosten!$B$32*IF(Nebenkosten!$C$32="Fläche",$I56,IF(Nebenkosten!$C$32="Anteil",$J56,$K56))*IF(Nebenkosten!$D$32="Heizung",$H56,$G56)/Nebenkosten!$E$32)</f>
        <v/>
      </c>
      <c r="AX56" s="11">
        <f>IF(OR(Nebenkosten!$B$33="",Nebenkosten!$E$33=0,$F56=0),0,Nebenkosten!$B$33*IF(Nebenkosten!$C$33="Fläche",$I56,IF(Nebenkosten!$C$33="Anteil",$J56,$K56))*IF(Nebenkosten!$D$33="Heizung",$H56,$G56)/Nebenkosten!$E$33)</f>
        <v/>
      </c>
      <c r="AY56" s="11">
        <f>IF(OR(Nebenkosten!$B$34="",Nebenkosten!$E$34=0,$F56=0),0,Nebenkosten!$B$34*IF(Nebenkosten!$C$34="Fläche",$I56,IF(Nebenkosten!$C$34="Anteil",$J56,$K56))*IF(Nebenkosten!$D$34="Heizung",$H56,$G56)/Nebenkosten!$E$34)</f>
        <v/>
      </c>
      <c r="AZ56" s="11">
        <f>ROUND(SUM(AA56:AY56)*20,0)/20</f>
        <v/>
      </c>
      <c r="BA56" s="11">
        <f>IF(F56=0,0,N56)</f>
        <v/>
      </c>
      <c r="BB56" s="11">
        <f>AZ56-BA56</f>
        <v/>
      </c>
    </row>
    <row r="57">
      <c r="A57" s="10">
        <f>'Mein Haus'!A97</f>
        <v/>
      </c>
      <c r="B57" s="23">
        <f>IF('Mein Haus'!C97="","",'Mein Haus'!C97)</f>
        <v/>
      </c>
      <c r="C57" s="23">
        <f>IF('Mein Haus'!B97="","",'Mein Haus'!B97)</f>
        <v/>
      </c>
      <c r="D57" s="21">
        <f>IF(AND('Mein Haus'!C97&lt;&gt;"",'Mein Haus'!B97&lt;&gt;"",Nebenkosten!$B$7&lt;&gt;""),MAX(IF('Mein Haus'!D97="",Nebenkosten!$B$7,'Mein Haus'!D97),Nebenkosten!$B$7),"")</f>
        <v/>
      </c>
      <c r="E57" s="21">
        <f>IF(AND('Mein Haus'!C97&lt;&gt;"",'Mein Haus'!B97&lt;&gt;"",Nebenkosten!$B$7&lt;&gt;""),MIN(IF('Mein Haus'!F97="",Nebenkosten!$D$7,'Mein Haus'!F97),Nebenkosten!$D$7),"")</f>
        <v/>
      </c>
      <c r="F57" s="10">
        <f>IF(D57="",0,MAX(0,E57-D57+1))</f>
        <v/>
      </c>
      <c r="G57" s="49">
        <f>IF(F57=0,0,F57/Nebenkosten!$F$7)</f>
        <v/>
      </c>
      <c r="H57" s="49">
        <f>IF(F57=0,0,SUMPRODUCT(O57:Z57,$O$3:$Z$3)/Einstellungen!$F$17)</f>
        <v/>
      </c>
      <c r="I57" s="19">
        <f>IF(F57=0,0,IFERROR(INDEX('Mein Haus'!$D$11:$D$40,MATCH(C57,'Mein Haus'!$A$11:$A$40,0)),0))</f>
        <v/>
      </c>
      <c r="J57" s="19">
        <f>IF(F57=0,0,IFERROR(INDEX('Mein Haus'!$E$11:$E$40,MATCH(C57,'Mein Haus'!$A$11:$A$40,0)),0))</f>
        <v/>
      </c>
      <c r="K57" s="19">
        <f>IF(F57=0,0,IFERROR(INDEX('Mein Haus'!$F$11:$F$40,MATCH(C57,'Mein Haus'!$A$11:$A$40,0)),0))</f>
        <v/>
      </c>
      <c r="L57" s="11">
        <f>IF(F57=0,0,N('Mein Haus'!H97)*SUM(O57:Z57))</f>
        <v/>
      </c>
      <c r="M57" s="22" t="n"/>
      <c r="N57" s="11">
        <f>IF(M57&lt;&gt;"",M57,L57)</f>
        <v/>
      </c>
      <c r="O57" s="19">
        <f>IF(F57=0,0,MAX(0,MIN(E57,EOMONTH(EDATE(Nebenkosten!$B$7,0),0))-MAX(D57,EDATE(Nebenkosten!$B$7,0))+1)/DAY(EOMONTH(EDATE(Nebenkosten!$B$7,0),0)))</f>
        <v/>
      </c>
      <c r="P57" s="19">
        <f>IF(F57=0,0,MAX(0,MIN(E57,EOMONTH(EDATE(Nebenkosten!$B$7,1),0))-MAX(D57,EDATE(Nebenkosten!$B$7,1))+1)/DAY(EOMONTH(EDATE(Nebenkosten!$B$7,1),0)))</f>
        <v/>
      </c>
      <c r="Q57" s="19">
        <f>IF(F57=0,0,MAX(0,MIN(E57,EOMONTH(EDATE(Nebenkosten!$B$7,2),0))-MAX(D57,EDATE(Nebenkosten!$B$7,2))+1)/DAY(EOMONTH(EDATE(Nebenkosten!$B$7,2),0)))</f>
        <v/>
      </c>
      <c r="R57" s="19">
        <f>IF(F57=0,0,MAX(0,MIN(E57,EOMONTH(EDATE(Nebenkosten!$B$7,3),0))-MAX(D57,EDATE(Nebenkosten!$B$7,3))+1)/DAY(EOMONTH(EDATE(Nebenkosten!$B$7,3),0)))</f>
        <v/>
      </c>
      <c r="S57" s="19">
        <f>IF(F57=0,0,MAX(0,MIN(E57,EOMONTH(EDATE(Nebenkosten!$B$7,4),0))-MAX(D57,EDATE(Nebenkosten!$B$7,4))+1)/DAY(EOMONTH(EDATE(Nebenkosten!$B$7,4),0)))</f>
        <v/>
      </c>
      <c r="T57" s="19">
        <f>IF(F57=0,0,MAX(0,MIN(E57,EOMONTH(EDATE(Nebenkosten!$B$7,5),0))-MAX(D57,EDATE(Nebenkosten!$B$7,5))+1)/DAY(EOMONTH(EDATE(Nebenkosten!$B$7,5),0)))</f>
        <v/>
      </c>
      <c r="U57" s="19">
        <f>IF(F57=0,0,MAX(0,MIN(E57,EOMONTH(EDATE(Nebenkosten!$B$7,6),0))-MAX(D57,EDATE(Nebenkosten!$B$7,6))+1)/DAY(EOMONTH(EDATE(Nebenkosten!$B$7,6),0)))</f>
        <v/>
      </c>
      <c r="V57" s="19">
        <f>IF(F57=0,0,MAX(0,MIN(E57,EOMONTH(EDATE(Nebenkosten!$B$7,7),0))-MAX(D57,EDATE(Nebenkosten!$B$7,7))+1)/DAY(EOMONTH(EDATE(Nebenkosten!$B$7,7),0)))</f>
        <v/>
      </c>
      <c r="W57" s="19">
        <f>IF(F57=0,0,MAX(0,MIN(E57,EOMONTH(EDATE(Nebenkosten!$B$7,8),0))-MAX(D57,EDATE(Nebenkosten!$B$7,8))+1)/DAY(EOMONTH(EDATE(Nebenkosten!$B$7,8),0)))</f>
        <v/>
      </c>
      <c r="X57" s="19">
        <f>IF(F57=0,0,MAX(0,MIN(E57,EOMONTH(EDATE(Nebenkosten!$B$7,9),0))-MAX(D57,EDATE(Nebenkosten!$B$7,9))+1)/DAY(EOMONTH(EDATE(Nebenkosten!$B$7,9),0)))</f>
        <v/>
      </c>
      <c r="Y57" s="19">
        <f>IF(F57=0,0,MAX(0,MIN(E57,EOMONTH(EDATE(Nebenkosten!$B$7,10),0))-MAX(D57,EDATE(Nebenkosten!$B$7,10))+1)/DAY(EOMONTH(EDATE(Nebenkosten!$B$7,10),0)))</f>
        <v/>
      </c>
      <c r="Z57" s="19">
        <f>IF(F57=0,0,MAX(0,MIN(E57,EOMONTH(EDATE(Nebenkosten!$B$7,11),0))-MAX(D57,EDATE(Nebenkosten!$B$7,11))+1)/DAY(EOMONTH(EDATE(Nebenkosten!$B$7,11),0)))</f>
        <v/>
      </c>
      <c r="AA57" s="11">
        <f>IF(OR(Nebenkosten!$B$10="",Nebenkosten!$E$10=0,$F57=0),0,Nebenkosten!$B$10*IF(Nebenkosten!$C$10="Fläche",$I57,IF(Nebenkosten!$C$10="Anteil",$J57,$K57))*IF(Nebenkosten!$D$10="Heizung",$H57,$G57)/Nebenkosten!$E$10)</f>
        <v/>
      </c>
      <c r="AB57" s="11">
        <f>IF(OR(Nebenkosten!$B$11="",Nebenkosten!$E$11=0,$F57=0),0,Nebenkosten!$B$11*IF(Nebenkosten!$C$11="Fläche",$I57,IF(Nebenkosten!$C$11="Anteil",$J57,$K57))*IF(Nebenkosten!$D$11="Heizung",$H57,$G57)/Nebenkosten!$E$11)</f>
        <v/>
      </c>
      <c r="AC57" s="11">
        <f>IF(OR(Nebenkosten!$B$12="",Nebenkosten!$E$12=0,$F57=0),0,Nebenkosten!$B$12*IF(Nebenkosten!$C$12="Fläche",$I57,IF(Nebenkosten!$C$12="Anteil",$J57,$K57))*IF(Nebenkosten!$D$12="Heizung",$H57,$G57)/Nebenkosten!$E$12)</f>
        <v/>
      </c>
      <c r="AD57" s="11">
        <f>IF(OR(Nebenkosten!$B$13="",Nebenkosten!$E$13=0,$F57=0),0,Nebenkosten!$B$13*IF(Nebenkosten!$C$13="Fläche",$I57,IF(Nebenkosten!$C$13="Anteil",$J57,$K57))*IF(Nebenkosten!$D$13="Heizung",$H57,$G57)/Nebenkosten!$E$13)</f>
        <v/>
      </c>
      <c r="AE57" s="11">
        <f>IF(OR(Nebenkosten!$B$14="",Nebenkosten!$E$14=0,$F57=0),0,Nebenkosten!$B$14*IF(Nebenkosten!$C$14="Fläche",$I57,IF(Nebenkosten!$C$14="Anteil",$J57,$K57))*IF(Nebenkosten!$D$14="Heizung",$H57,$G57)/Nebenkosten!$E$14)</f>
        <v/>
      </c>
      <c r="AF57" s="11">
        <f>IF(OR(Nebenkosten!$B$15="",Nebenkosten!$E$15=0,$F57=0),0,Nebenkosten!$B$15*IF(Nebenkosten!$C$15="Fläche",$I57,IF(Nebenkosten!$C$15="Anteil",$J57,$K57))*IF(Nebenkosten!$D$15="Heizung",$H57,$G57)/Nebenkosten!$E$15)</f>
        <v/>
      </c>
      <c r="AG57" s="11">
        <f>IF(OR(Nebenkosten!$B$16="",Nebenkosten!$E$16=0,$F57=0),0,Nebenkosten!$B$16*IF(Nebenkosten!$C$16="Fläche",$I57,IF(Nebenkosten!$C$16="Anteil",$J57,$K57))*IF(Nebenkosten!$D$16="Heizung",$H57,$G57)/Nebenkosten!$E$16)</f>
        <v/>
      </c>
      <c r="AH57" s="11">
        <f>IF(OR(Nebenkosten!$B$17="",Nebenkosten!$E$17=0,$F57=0),0,Nebenkosten!$B$17*IF(Nebenkosten!$C$17="Fläche",$I57,IF(Nebenkosten!$C$17="Anteil",$J57,$K57))*IF(Nebenkosten!$D$17="Heizung",$H57,$G57)/Nebenkosten!$E$17)</f>
        <v/>
      </c>
      <c r="AI57" s="11">
        <f>IF(OR(Nebenkosten!$B$18="",Nebenkosten!$E$18=0,$F57=0),0,Nebenkosten!$B$18*IF(Nebenkosten!$C$18="Fläche",$I57,IF(Nebenkosten!$C$18="Anteil",$J57,$K57))*IF(Nebenkosten!$D$18="Heizung",$H57,$G57)/Nebenkosten!$E$18)</f>
        <v/>
      </c>
      <c r="AJ57" s="11">
        <f>IF(OR(Nebenkosten!$B$19="",Nebenkosten!$E$19=0,$F57=0),0,Nebenkosten!$B$19*IF(Nebenkosten!$C$19="Fläche",$I57,IF(Nebenkosten!$C$19="Anteil",$J57,$K57))*IF(Nebenkosten!$D$19="Heizung",$H57,$G57)/Nebenkosten!$E$19)</f>
        <v/>
      </c>
      <c r="AK57" s="11">
        <f>IF(OR(Nebenkosten!$B$20="",Nebenkosten!$E$20=0,$F57=0),0,Nebenkosten!$B$20*IF(Nebenkosten!$C$20="Fläche",$I57,IF(Nebenkosten!$C$20="Anteil",$J57,$K57))*IF(Nebenkosten!$D$20="Heizung",$H57,$G57)/Nebenkosten!$E$20)</f>
        <v/>
      </c>
      <c r="AL57" s="11">
        <f>IF(OR(Nebenkosten!$B$21="",Nebenkosten!$E$21=0,$F57=0),0,Nebenkosten!$B$21*IF(Nebenkosten!$C$21="Fläche",$I57,IF(Nebenkosten!$C$21="Anteil",$J57,$K57))*IF(Nebenkosten!$D$21="Heizung",$H57,$G57)/Nebenkosten!$E$21)</f>
        <v/>
      </c>
      <c r="AM57" s="11">
        <f>IF(OR(Nebenkosten!$B$22="",Nebenkosten!$E$22=0,$F57=0),0,Nebenkosten!$B$22*IF(Nebenkosten!$C$22="Fläche",$I57,IF(Nebenkosten!$C$22="Anteil",$J57,$K57))*IF(Nebenkosten!$D$22="Heizung",$H57,$G57)/Nebenkosten!$E$22)</f>
        <v/>
      </c>
      <c r="AN57" s="11">
        <f>IF(OR(Nebenkosten!$B$23="",Nebenkosten!$E$23=0,$F57=0),0,Nebenkosten!$B$23*IF(Nebenkosten!$C$23="Fläche",$I57,IF(Nebenkosten!$C$23="Anteil",$J57,$K57))*IF(Nebenkosten!$D$23="Heizung",$H57,$G57)/Nebenkosten!$E$23)</f>
        <v/>
      </c>
      <c r="AO57" s="11">
        <f>IF(OR(Nebenkosten!$B$24="",Nebenkosten!$E$24=0,$F57=0),0,Nebenkosten!$B$24*IF(Nebenkosten!$C$24="Fläche",$I57,IF(Nebenkosten!$C$24="Anteil",$J57,$K57))*IF(Nebenkosten!$D$24="Heizung",$H57,$G57)/Nebenkosten!$E$24)</f>
        <v/>
      </c>
      <c r="AP57" s="11">
        <f>IF(OR(Nebenkosten!$B$25="",Nebenkosten!$E$25=0,$F57=0),0,Nebenkosten!$B$25*IF(Nebenkosten!$C$25="Fläche",$I57,IF(Nebenkosten!$C$25="Anteil",$J57,$K57))*IF(Nebenkosten!$D$25="Heizung",$H57,$G57)/Nebenkosten!$E$25)</f>
        <v/>
      </c>
      <c r="AQ57" s="11">
        <f>IF(OR(Nebenkosten!$B$26="",Nebenkosten!$E$26=0,$F57=0),0,Nebenkosten!$B$26*IF(Nebenkosten!$C$26="Fläche",$I57,IF(Nebenkosten!$C$26="Anteil",$J57,$K57))*IF(Nebenkosten!$D$26="Heizung",$H57,$G57)/Nebenkosten!$E$26)</f>
        <v/>
      </c>
      <c r="AR57" s="11">
        <f>IF(OR(Nebenkosten!$B$27="",Nebenkosten!$E$27=0,$F57=0),0,Nebenkosten!$B$27*IF(Nebenkosten!$C$27="Fläche",$I57,IF(Nebenkosten!$C$27="Anteil",$J57,$K57))*IF(Nebenkosten!$D$27="Heizung",$H57,$G57)/Nebenkosten!$E$27)</f>
        <v/>
      </c>
      <c r="AS57" s="11">
        <f>IF(OR(Nebenkosten!$B$28="",Nebenkosten!$E$28=0,$F57=0),0,Nebenkosten!$B$28*IF(Nebenkosten!$C$28="Fläche",$I57,IF(Nebenkosten!$C$28="Anteil",$J57,$K57))*IF(Nebenkosten!$D$28="Heizung",$H57,$G57)/Nebenkosten!$E$28)</f>
        <v/>
      </c>
      <c r="AT57" s="11">
        <f>IF(OR(Nebenkosten!$B$29="",Nebenkosten!$E$29=0,$F57=0),0,Nebenkosten!$B$29*IF(Nebenkosten!$C$29="Fläche",$I57,IF(Nebenkosten!$C$29="Anteil",$J57,$K57))*IF(Nebenkosten!$D$29="Heizung",$H57,$G57)/Nebenkosten!$E$29)</f>
        <v/>
      </c>
      <c r="AU57" s="11">
        <f>IF(OR(Nebenkosten!$B$30="",Nebenkosten!$E$30=0,$F57=0),0,Nebenkosten!$B$30*IF(Nebenkosten!$C$30="Fläche",$I57,IF(Nebenkosten!$C$30="Anteil",$J57,$K57))*IF(Nebenkosten!$D$30="Heizung",$H57,$G57)/Nebenkosten!$E$30)</f>
        <v/>
      </c>
      <c r="AV57" s="11">
        <f>IF(OR(Nebenkosten!$B$31="",Nebenkosten!$E$31=0,$F57=0),0,Nebenkosten!$B$31*IF(Nebenkosten!$C$31="Fläche",$I57,IF(Nebenkosten!$C$31="Anteil",$J57,$K57))*IF(Nebenkosten!$D$31="Heizung",$H57,$G57)/Nebenkosten!$E$31)</f>
        <v/>
      </c>
      <c r="AW57" s="11">
        <f>IF(OR(Nebenkosten!$B$32="",Nebenkosten!$E$32=0,$F57=0),0,Nebenkosten!$B$32*IF(Nebenkosten!$C$32="Fläche",$I57,IF(Nebenkosten!$C$32="Anteil",$J57,$K57))*IF(Nebenkosten!$D$32="Heizung",$H57,$G57)/Nebenkosten!$E$32)</f>
        <v/>
      </c>
      <c r="AX57" s="11">
        <f>IF(OR(Nebenkosten!$B$33="",Nebenkosten!$E$33=0,$F57=0),0,Nebenkosten!$B$33*IF(Nebenkosten!$C$33="Fläche",$I57,IF(Nebenkosten!$C$33="Anteil",$J57,$K57))*IF(Nebenkosten!$D$33="Heizung",$H57,$G57)/Nebenkosten!$E$33)</f>
        <v/>
      </c>
      <c r="AY57" s="11">
        <f>IF(OR(Nebenkosten!$B$34="",Nebenkosten!$E$34=0,$F57=0),0,Nebenkosten!$B$34*IF(Nebenkosten!$C$34="Fläche",$I57,IF(Nebenkosten!$C$34="Anteil",$J57,$K57))*IF(Nebenkosten!$D$34="Heizung",$H57,$G57)/Nebenkosten!$E$34)</f>
        <v/>
      </c>
      <c r="AZ57" s="11">
        <f>ROUND(SUM(AA57:AY57)*20,0)/20</f>
        <v/>
      </c>
      <c r="BA57" s="11">
        <f>IF(F57=0,0,N57)</f>
        <v/>
      </c>
      <c r="BB57" s="11">
        <f>AZ57-BA57</f>
        <v/>
      </c>
    </row>
    <row r="58">
      <c r="A58" s="10">
        <f>'Mein Haus'!A98</f>
        <v/>
      </c>
      <c r="B58" s="23">
        <f>IF('Mein Haus'!C98="","",'Mein Haus'!C98)</f>
        <v/>
      </c>
      <c r="C58" s="23">
        <f>IF('Mein Haus'!B98="","",'Mein Haus'!B98)</f>
        <v/>
      </c>
      <c r="D58" s="21">
        <f>IF(AND('Mein Haus'!C98&lt;&gt;"",'Mein Haus'!B98&lt;&gt;"",Nebenkosten!$B$7&lt;&gt;""),MAX(IF('Mein Haus'!D98="",Nebenkosten!$B$7,'Mein Haus'!D98),Nebenkosten!$B$7),"")</f>
        <v/>
      </c>
      <c r="E58" s="21">
        <f>IF(AND('Mein Haus'!C98&lt;&gt;"",'Mein Haus'!B98&lt;&gt;"",Nebenkosten!$B$7&lt;&gt;""),MIN(IF('Mein Haus'!F98="",Nebenkosten!$D$7,'Mein Haus'!F98),Nebenkosten!$D$7),"")</f>
        <v/>
      </c>
      <c r="F58" s="10">
        <f>IF(D58="",0,MAX(0,E58-D58+1))</f>
        <v/>
      </c>
      <c r="G58" s="49">
        <f>IF(F58=0,0,F58/Nebenkosten!$F$7)</f>
        <v/>
      </c>
      <c r="H58" s="49">
        <f>IF(F58=0,0,SUMPRODUCT(O58:Z58,$O$3:$Z$3)/Einstellungen!$F$17)</f>
        <v/>
      </c>
      <c r="I58" s="19">
        <f>IF(F58=0,0,IFERROR(INDEX('Mein Haus'!$D$11:$D$40,MATCH(C58,'Mein Haus'!$A$11:$A$40,0)),0))</f>
        <v/>
      </c>
      <c r="J58" s="19">
        <f>IF(F58=0,0,IFERROR(INDEX('Mein Haus'!$E$11:$E$40,MATCH(C58,'Mein Haus'!$A$11:$A$40,0)),0))</f>
        <v/>
      </c>
      <c r="K58" s="19">
        <f>IF(F58=0,0,IFERROR(INDEX('Mein Haus'!$F$11:$F$40,MATCH(C58,'Mein Haus'!$A$11:$A$40,0)),0))</f>
        <v/>
      </c>
      <c r="L58" s="11">
        <f>IF(F58=0,0,N('Mein Haus'!H98)*SUM(O58:Z58))</f>
        <v/>
      </c>
      <c r="M58" s="22" t="n"/>
      <c r="N58" s="11">
        <f>IF(M58&lt;&gt;"",M58,L58)</f>
        <v/>
      </c>
      <c r="O58" s="19">
        <f>IF(F58=0,0,MAX(0,MIN(E58,EOMONTH(EDATE(Nebenkosten!$B$7,0),0))-MAX(D58,EDATE(Nebenkosten!$B$7,0))+1)/DAY(EOMONTH(EDATE(Nebenkosten!$B$7,0),0)))</f>
        <v/>
      </c>
      <c r="P58" s="19">
        <f>IF(F58=0,0,MAX(0,MIN(E58,EOMONTH(EDATE(Nebenkosten!$B$7,1),0))-MAX(D58,EDATE(Nebenkosten!$B$7,1))+1)/DAY(EOMONTH(EDATE(Nebenkosten!$B$7,1),0)))</f>
        <v/>
      </c>
      <c r="Q58" s="19">
        <f>IF(F58=0,0,MAX(0,MIN(E58,EOMONTH(EDATE(Nebenkosten!$B$7,2),0))-MAX(D58,EDATE(Nebenkosten!$B$7,2))+1)/DAY(EOMONTH(EDATE(Nebenkosten!$B$7,2),0)))</f>
        <v/>
      </c>
      <c r="R58" s="19">
        <f>IF(F58=0,0,MAX(0,MIN(E58,EOMONTH(EDATE(Nebenkosten!$B$7,3),0))-MAX(D58,EDATE(Nebenkosten!$B$7,3))+1)/DAY(EOMONTH(EDATE(Nebenkosten!$B$7,3),0)))</f>
        <v/>
      </c>
      <c r="S58" s="19">
        <f>IF(F58=0,0,MAX(0,MIN(E58,EOMONTH(EDATE(Nebenkosten!$B$7,4),0))-MAX(D58,EDATE(Nebenkosten!$B$7,4))+1)/DAY(EOMONTH(EDATE(Nebenkosten!$B$7,4),0)))</f>
        <v/>
      </c>
      <c r="T58" s="19">
        <f>IF(F58=0,0,MAX(0,MIN(E58,EOMONTH(EDATE(Nebenkosten!$B$7,5),0))-MAX(D58,EDATE(Nebenkosten!$B$7,5))+1)/DAY(EOMONTH(EDATE(Nebenkosten!$B$7,5),0)))</f>
        <v/>
      </c>
      <c r="U58" s="19">
        <f>IF(F58=0,0,MAX(0,MIN(E58,EOMONTH(EDATE(Nebenkosten!$B$7,6),0))-MAX(D58,EDATE(Nebenkosten!$B$7,6))+1)/DAY(EOMONTH(EDATE(Nebenkosten!$B$7,6),0)))</f>
        <v/>
      </c>
      <c r="V58" s="19">
        <f>IF(F58=0,0,MAX(0,MIN(E58,EOMONTH(EDATE(Nebenkosten!$B$7,7),0))-MAX(D58,EDATE(Nebenkosten!$B$7,7))+1)/DAY(EOMONTH(EDATE(Nebenkosten!$B$7,7),0)))</f>
        <v/>
      </c>
      <c r="W58" s="19">
        <f>IF(F58=0,0,MAX(0,MIN(E58,EOMONTH(EDATE(Nebenkosten!$B$7,8),0))-MAX(D58,EDATE(Nebenkosten!$B$7,8))+1)/DAY(EOMONTH(EDATE(Nebenkosten!$B$7,8),0)))</f>
        <v/>
      </c>
      <c r="X58" s="19">
        <f>IF(F58=0,0,MAX(0,MIN(E58,EOMONTH(EDATE(Nebenkosten!$B$7,9),0))-MAX(D58,EDATE(Nebenkosten!$B$7,9))+1)/DAY(EOMONTH(EDATE(Nebenkosten!$B$7,9),0)))</f>
        <v/>
      </c>
      <c r="Y58" s="19">
        <f>IF(F58=0,0,MAX(0,MIN(E58,EOMONTH(EDATE(Nebenkosten!$B$7,10),0))-MAX(D58,EDATE(Nebenkosten!$B$7,10))+1)/DAY(EOMONTH(EDATE(Nebenkosten!$B$7,10),0)))</f>
        <v/>
      </c>
      <c r="Z58" s="19">
        <f>IF(F58=0,0,MAX(0,MIN(E58,EOMONTH(EDATE(Nebenkosten!$B$7,11),0))-MAX(D58,EDATE(Nebenkosten!$B$7,11))+1)/DAY(EOMONTH(EDATE(Nebenkosten!$B$7,11),0)))</f>
        <v/>
      </c>
      <c r="AA58" s="11">
        <f>IF(OR(Nebenkosten!$B$10="",Nebenkosten!$E$10=0,$F58=0),0,Nebenkosten!$B$10*IF(Nebenkosten!$C$10="Fläche",$I58,IF(Nebenkosten!$C$10="Anteil",$J58,$K58))*IF(Nebenkosten!$D$10="Heizung",$H58,$G58)/Nebenkosten!$E$10)</f>
        <v/>
      </c>
      <c r="AB58" s="11">
        <f>IF(OR(Nebenkosten!$B$11="",Nebenkosten!$E$11=0,$F58=0),0,Nebenkosten!$B$11*IF(Nebenkosten!$C$11="Fläche",$I58,IF(Nebenkosten!$C$11="Anteil",$J58,$K58))*IF(Nebenkosten!$D$11="Heizung",$H58,$G58)/Nebenkosten!$E$11)</f>
        <v/>
      </c>
      <c r="AC58" s="11">
        <f>IF(OR(Nebenkosten!$B$12="",Nebenkosten!$E$12=0,$F58=0),0,Nebenkosten!$B$12*IF(Nebenkosten!$C$12="Fläche",$I58,IF(Nebenkosten!$C$12="Anteil",$J58,$K58))*IF(Nebenkosten!$D$12="Heizung",$H58,$G58)/Nebenkosten!$E$12)</f>
        <v/>
      </c>
      <c r="AD58" s="11">
        <f>IF(OR(Nebenkosten!$B$13="",Nebenkosten!$E$13=0,$F58=0),0,Nebenkosten!$B$13*IF(Nebenkosten!$C$13="Fläche",$I58,IF(Nebenkosten!$C$13="Anteil",$J58,$K58))*IF(Nebenkosten!$D$13="Heizung",$H58,$G58)/Nebenkosten!$E$13)</f>
        <v/>
      </c>
      <c r="AE58" s="11">
        <f>IF(OR(Nebenkosten!$B$14="",Nebenkosten!$E$14=0,$F58=0),0,Nebenkosten!$B$14*IF(Nebenkosten!$C$14="Fläche",$I58,IF(Nebenkosten!$C$14="Anteil",$J58,$K58))*IF(Nebenkosten!$D$14="Heizung",$H58,$G58)/Nebenkosten!$E$14)</f>
        <v/>
      </c>
      <c r="AF58" s="11">
        <f>IF(OR(Nebenkosten!$B$15="",Nebenkosten!$E$15=0,$F58=0),0,Nebenkosten!$B$15*IF(Nebenkosten!$C$15="Fläche",$I58,IF(Nebenkosten!$C$15="Anteil",$J58,$K58))*IF(Nebenkosten!$D$15="Heizung",$H58,$G58)/Nebenkosten!$E$15)</f>
        <v/>
      </c>
      <c r="AG58" s="11">
        <f>IF(OR(Nebenkosten!$B$16="",Nebenkosten!$E$16=0,$F58=0),0,Nebenkosten!$B$16*IF(Nebenkosten!$C$16="Fläche",$I58,IF(Nebenkosten!$C$16="Anteil",$J58,$K58))*IF(Nebenkosten!$D$16="Heizung",$H58,$G58)/Nebenkosten!$E$16)</f>
        <v/>
      </c>
      <c r="AH58" s="11">
        <f>IF(OR(Nebenkosten!$B$17="",Nebenkosten!$E$17=0,$F58=0),0,Nebenkosten!$B$17*IF(Nebenkosten!$C$17="Fläche",$I58,IF(Nebenkosten!$C$17="Anteil",$J58,$K58))*IF(Nebenkosten!$D$17="Heizung",$H58,$G58)/Nebenkosten!$E$17)</f>
        <v/>
      </c>
      <c r="AI58" s="11">
        <f>IF(OR(Nebenkosten!$B$18="",Nebenkosten!$E$18=0,$F58=0),0,Nebenkosten!$B$18*IF(Nebenkosten!$C$18="Fläche",$I58,IF(Nebenkosten!$C$18="Anteil",$J58,$K58))*IF(Nebenkosten!$D$18="Heizung",$H58,$G58)/Nebenkosten!$E$18)</f>
        <v/>
      </c>
      <c r="AJ58" s="11">
        <f>IF(OR(Nebenkosten!$B$19="",Nebenkosten!$E$19=0,$F58=0),0,Nebenkosten!$B$19*IF(Nebenkosten!$C$19="Fläche",$I58,IF(Nebenkosten!$C$19="Anteil",$J58,$K58))*IF(Nebenkosten!$D$19="Heizung",$H58,$G58)/Nebenkosten!$E$19)</f>
        <v/>
      </c>
      <c r="AK58" s="11">
        <f>IF(OR(Nebenkosten!$B$20="",Nebenkosten!$E$20=0,$F58=0),0,Nebenkosten!$B$20*IF(Nebenkosten!$C$20="Fläche",$I58,IF(Nebenkosten!$C$20="Anteil",$J58,$K58))*IF(Nebenkosten!$D$20="Heizung",$H58,$G58)/Nebenkosten!$E$20)</f>
        <v/>
      </c>
      <c r="AL58" s="11">
        <f>IF(OR(Nebenkosten!$B$21="",Nebenkosten!$E$21=0,$F58=0),0,Nebenkosten!$B$21*IF(Nebenkosten!$C$21="Fläche",$I58,IF(Nebenkosten!$C$21="Anteil",$J58,$K58))*IF(Nebenkosten!$D$21="Heizung",$H58,$G58)/Nebenkosten!$E$21)</f>
        <v/>
      </c>
      <c r="AM58" s="11">
        <f>IF(OR(Nebenkosten!$B$22="",Nebenkosten!$E$22=0,$F58=0),0,Nebenkosten!$B$22*IF(Nebenkosten!$C$22="Fläche",$I58,IF(Nebenkosten!$C$22="Anteil",$J58,$K58))*IF(Nebenkosten!$D$22="Heizung",$H58,$G58)/Nebenkosten!$E$22)</f>
        <v/>
      </c>
      <c r="AN58" s="11">
        <f>IF(OR(Nebenkosten!$B$23="",Nebenkosten!$E$23=0,$F58=0),0,Nebenkosten!$B$23*IF(Nebenkosten!$C$23="Fläche",$I58,IF(Nebenkosten!$C$23="Anteil",$J58,$K58))*IF(Nebenkosten!$D$23="Heizung",$H58,$G58)/Nebenkosten!$E$23)</f>
        <v/>
      </c>
      <c r="AO58" s="11">
        <f>IF(OR(Nebenkosten!$B$24="",Nebenkosten!$E$24=0,$F58=0),0,Nebenkosten!$B$24*IF(Nebenkosten!$C$24="Fläche",$I58,IF(Nebenkosten!$C$24="Anteil",$J58,$K58))*IF(Nebenkosten!$D$24="Heizung",$H58,$G58)/Nebenkosten!$E$24)</f>
        <v/>
      </c>
      <c r="AP58" s="11">
        <f>IF(OR(Nebenkosten!$B$25="",Nebenkosten!$E$25=0,$F58=0),0,Nebenkosten!$B$25*IF(Nebenkosten!$C$25="Fläche",$I58,IF(Nebenkosten!$C$25="Anteil",$J58,$K58))*IF(Nebenkosten!$D$25="Heizung",$H58,$G58)/Nebenkosten!$E$25)</f>
        <v/>
      </c>
      <c r="AQ58" s="11">
        <f>IF(OR(Nebenkosten!$B$26="",Nebenkosten!$E$26=0,$F58=0),0,Nebenkosten!$B$26*IF(Nebenkosten!$C$26="Fläche",$I58,IF(Nebenkosten!$C$26="Anteil",$J58,$K58))*IF(Nebenkosten!$D$26="Heizung",$H58,$G58)/Nebenkosten!$E$26)</f>
        <v/>
      </c>
      <c r="AR58" s="11">
        <f>IF(OR(Nebenkosten!$B$27="",Nebenkosten!$E$27=0,$F58=0),0,Nebenkosten!$B$27*IF(Nebenkosten!$C$27="Fläche",$I58,IF(Nebenkosten!$C$27="Anteil",$J58,$K58))*IF(Nebenkosten!$D$27="Heizung",$H58,$G58)/Nebenkosten!$E$27)</f>
        <v/>
      </c>
      <c r="AS58" s="11">
        <f>IF(OR(Nebenkosten!$B$28="",Nebenkosten!$E$28=0,$F58=0),0,Nebenkosten!$B$28*IF(Nebenkosten!$C$28="Fläche",$I58,IF(Nebenkosten!$C$28="Anteil",$J58,$K58))*IF(Nebenkosten!$D$28="Heizung",$H58,$G58)/Nebenkosten!$E$28)</f>
        <v/>
      </c>
      <c r="AT58" s="11">
        <f>IF(OR(Nebenkosten!$B$29="",Nebenkosten!$E$29=0,$F58=0),0,Nebenkosten!$B$29*IF(Nebenkosten!$C$29="Fläche",$I58,IF(Nebenkosten!$C$29="Anteil",$J58,$K58))*IF(Nebenkosten!$D$29="Heizung",$H58,$G58)/Nebenkosten!$E$29)</f>
        <v/>
      </c>
      <c r="AU58" s="11">
        <f>IF(OR(Nebenkosten!$B$30="",Nebenkosten!$E$30=0,$F58=0),0,Nebenkosten!$B$30*IF(Nebenkosten!$C$30="Fläche",$I58,IF(Nebenkosten!$C$30="Anteil",$J58,$K58))*IF(Nebenkosten!$D$30="Heizung",$H58,$G58)/Nebenkosten!$E$30)</f>
        <v/>
      </c>
      <c r="AV58" s="11">
        <f>IF(OR(Nebenkosten!$B$31="",Nebenkosten!$E$31=0,$F58=0),0,Nebenkosten!$B$31*IF(Nebenkosten!$C$31="Fläche",$I58,IF(Nebenkosten!$C$31="Anteil",$J58,$K58))*IF(Nebenkosten!$D$31="Heizung",$H58,$G58)/Nebenkosten!$E$31)</f>
        <v/>
      </c>
      <c r="AW58" s="11">
        <f>IF(OR(Nebenkosten!$B$32="",Nebenkosten!$E$32=0,$F58=0),0,Nebenkosten!$B$32*IF(Nebenkosten!$C$32="Fläche",$I58,IF(Nebenkosten!$C$32="Anteil",$J58,$K58))*IF(Nebenkosten!$D$32="Heizung",$H58,$G58)/Nebenkosten!$E$32)</f>
        <v/>
      </c>
      <c r="AX58" s="11">
        <f>IF(OR(Nebenkosten!$B$33="",Nebenkosten!$E$33=0,$F58=0),0,Nebenkosten!$B$33*IF(Nebenkosten!$C$33="Fläche",$I58,IF(Nebenkosten!$C$33="Anteil",$J58,$K58))*IF(Nebenkosten!$D$33="Heizung",$H58,$G58)/Nebenkosten!$E$33)</f>
        <v/>
      </c>
      <c r="AY58" s="11">
        <f>IF(OR(Nebenkosten!$B$34="",Nebenkosten!$E$34=0,$F58=0),0,Nebenkosten!$B$34*IF(Nebenkosten!$C$34="Fläche",$I58,IF(Nebenkosten!$C$34="Anteil",$J58,$K58))*IF(Nebenkosten!$D$34="Heizung",$H58,$G58)/Nebenkosten!$E$34)</f>
        <v/>
      </c>
      <c r="AZ58" s="11">
        <f>ROUND(SUM(AA58:AY58)*20,0)/20</f>
        <v/>
      </c>
      <c r="BA58" s="11">
        <f>IF(F58=0,0,N58)</f>
        <v/>
      </c>
      <c r="BB58" s="11">
        <f>AZ58-BA58</f>
        <v/>
      </c>
    </row>
    <row r="59">
      <c r="A59" s="10">
        <f>'Mein Haus'!A99</f>
        <v/>
      </c>
      <c r="B59" s="23">
        <f>IF('Mein Haus'!C99="","",'Mein Haus'!C99)</f>
        <v/>
      </c>
      <c r="C59" s="23">
        <f>IF('Mein Haus'!B99="","",'Mein Haus'!B99)</f>
        <v/>
      </c>
      <c r="D59" s="21">
        <f>IF(AND('Mein Haus'!C99&lt;&gt;"",'Mein Haus'!B99&lt;&gt;"",Nebenkosten!$B$7&lt;&gt;""),MAX(IF('Mein Haus'!D99="",Nebenkosten!$B$7,'Mein Haus'!D99),Nebenkosten!$B$7),"")</f>
        <v/>
      </c>
      <c r="E59" s="21">
        <f>IF(AND('Mein Haus'!C99&lt;&gt;"",'Mein Haus'!B99&lt;&gt;"",Nebenkosten!$B$7&lt;&gt;""),MIN(IF('Mein Haus'!F99="",Nebenkosten!$D$7,'Mein Haus'!F99),Nebenkosten!$D$7),"")</f>
        <v/>
      </c>
      <c r="F59" s="10">
        <f>IF(D59="",0,MAX(0,E59-D59+1))</f>
        <v/>
      </c>
      <c r="G59" s="49">
        <f>IF(F59=0,0,F59/Nebenkosten!$F$7)</f>
        <v/>
      </c>
      <c r="H59" s="49">
        <f>IF(F59=0,0,SUMPRODUCT(O59:Z59,$O$3:$Z$3)/Einstellungen!$F$17)</f>
        <v/>
      </c>
      <c r="I59" s="19">
        <f>IF(F59=0,0,IFERROR(INDEX('Mein Haus'!$D$11:$D$40,MATCH(C59,'Mein Haus'!$A$11:$A$40,0)),0))</f>
        <v/>
      </c>
      <c r="J59" s="19">
        <f>IF(F59=0,0,IFERROR(INDEX('Mein Haus'!$E$11:$E$40,MATCH(C59,'Mein Haus'!$A$11:$A$40,0)),0))</f>
        <v/>
      </c>
      <c r="K59" s="19">
        <f>IF(F59=0,0,IFERROR(INDEX('Mein Haus'!$F$11:$F$40,MATCH(C59,'Mein Haus'!$A$11:$A$40,0)),0))</f>
        <v/>
      </c>
      <c r="L59" s="11">
        <f>IF(F59=0,0,N('Mein Haus'!H99)*SUM(O59:Z59))</f>
        <v/>
      </c>
      <c r="M59" s="22" t="n"/>
      <c r="N59" s="11">
        <f>IF(M59&lt;&gt;"",M59,L59)</f>
        <v/>
      </c>
      <c r="O59" s="19">
        <f>IF(F59=0,0,MAX(0,MIN(E59,EOMONTH(EDATE(Nebenkosten!$B$7,0),0))-MAX(D59,EDATE(Nebenkosten!$B$7,0))+1)/DAY(EOMONTH(EDATE(Nebenkosten!$B$7,0),0)))</f>
        <v/>
      </c>
      <c r="P59" s="19">
        <f>IF(F59=0,0,MAX(0,MIN(E59,EOMONTH(EDATE(Nebenkosten!$B$7,1),0))-MAX(D59,EDATE(Nebenkosten!$B$7,1))+1)/DAY(EOMONTH(EDATE(Nebenkosten!$B$7,1),0)))</f>
        <v/>
      </c>
      <c r="Q59" s="19">
        <f>IF(F59=0,0,MAX(0,MIN(E59,EOMONTH(EDATE(Nebenkosten!$B$7,2),0))-MAX(D59,EDATE(Nebenkosten!$B$7,2))+1)/DAY(EOMONTH(EDATE(Nebenkosten!$B$7,2),0)))</f>
        <v/>
      </c>
      <c r="R59" s="19">
        <f>IF(F59=0,0,MAX(0,MIN(E59,EOMONTH(EDATE(Nebenkosten!$B$7,3),0))-MAX(D59,EDATE(Nebenkosten!$B$7,3))+1)/DAY(EOMONTH(EDATE(Nebenkosten!$B$7,3),0)))</f>
        <v/>
      </c>
      <c r="S59" s="19">
        <f>IF(F59=0,0,MAX(0,MIN(E59,EOMONTH(EDATE(Nebenkosten!$B$7,4),0))-MAX(D59,EDATE(Nebenkosten!$B$7,4))+1)/DAY(EOMONTH(EDATE(Nebenkosten!$B$7,4),0)))</f>
        <v/>
      </c>
      <c r="T59" s="19">
        <f>IF(F59=0,0,MAX(0,MIN(E59,EOMONTH(EDATE(Nebenkosten!$B$7,5),0))-MAX(D59,EDATE(Nebenkosten!$B$7,5))+1)/DAY(EOMONTH(EDATE(Nebenkosten!$B$7,5),0)))</f>
        <v/>
      </c>
      <c r="U59" s="19">
        <f>IF(F59=0,0,MAX(0,MIN(E59,EOMONTH(EDATE(Nebenkosten!$B$7,6),0))-MAX(D59,EDATE(Nebenkosten!$B$7,6))+1)/DAY(EOMONTH(EDATE(Nebenkosten!$B$7,6),0)))</f>
        <v/>
      </c>
      <c r="V59" s="19">
        <f>IF(F59=0,0,MAX(0,MIN(E59,EOMONTH(EDATE(Nebenkosten!$B$7,7),0))-MAX(D59,EDATE(Nebenkosten!$B$7,7))+1)/DAY(EOMONTH(EDATE(Nebenkosten!$B$7,7),0)))</f>
        <v/>
      </c>
      <c r="W59" s="19">
        <f>IF(F59=0,0,MAX(0,MIN(E59,EOMONTH(EDATE(Nebenkosten!$B$7,8),0))-MAX(D59,EDATE(Nebenkosten!$B$7,8))+1)/DAY(EOMONTH(EDATE(Nebenkosten!$B$7,8),0)))</f>
        <v/>
      </c>
      <c r="X59" s="19">
        <f>IF(F59=0,0,MAX(0,MIN(E59,EOMONTH(EDATE(Nebenkosten!$B$7,9),0))-MAX(D59,EDATE(Nebenkosten!$B$7,9))+1)/DAY(EOMONTH(EDATE(Nebenkosten!$B$7,9),0)))</f>
        <v/>
      </c>
      <c r="Y59" s="19">
        <f>IF(F59=0,0,MAX(0,MIN(E59,EOMONTH(EDATE(Nebenkosten!$B$7,10),0))-MAX(D59,EDATE(Nebenkosten!$B$7,10))+1)/DAY(EOMONTH(EDATE(Nebenkosten!$B$7,10),0)))</f>
        <v/>
      </c>
      <c r="Z59" s="19">
        <f>IF(F59=0,0,MAX(0,MIN(E59,EOMONTH(EDATE(Nebenkosten!$B$7,11),0))-MAX(D59,EDATE(Nebenkosten!$B$7,11))+1)/DAY(EOMONTH(EDATE(Nebenkosten!$B$7,11),0)))</f>
        <v/>
      </c>
      <c r="AA59" s="11">
        <f>IF(OR(Nebenkosten!$B$10="",Nebenkosten!$E$10=0,$F59=0),0,Nebenkosten!$B$10*IF(Nebenkosten!$C$10="Fläche",$I59,IF(Nebenkosten!$C$10="Anteil",$J59,$K59))*IF(Nebenkosten!$D$10="Heizung",$H59,$G59)/Nebenkosten!$E$10)</f>
        <v/>
      </c>
      <c r="AB59" s="11">
        <f>IF(OR(Nebenkosten!$B$11="",Nebenkosten!$E$11=0,$F59=0),0,Nebenkosten!$B$11*IF(Nebenkosten!$C$11="Fläche",$I59,IF(Nebenkosten!$C$11="Anteil",$J59,$K59))*IF(Nebenkosten!$D$11="Heizung",$H59,$G59)/Nebenkosten!$E$11)</f>
        <v/>
      </c>
      <c r="AC59" s="11">
        <f>IF(OR(Nebenkosten!$B$12="",Nebenkosten!$E$12=0,$F59=0),0,Nebenkosten!$B$12*IF(Nebenkosten!$C$12="Fläche",$I59,IF(Nebenkosten!$C$12="Anteil",$J59,$K59))*IF(Nebenkosten!$D$12="Heizung",$H59,$G59)/Nebenkosten!$E$12)</f>
        <v/>
      </c>
      <c r="AD59" s="11">
        <f>IF(OR(Nebenkosten!$B$13="",Nebenkosten!$E$13=0,$F59=0),0,Nebenkosten!$B$13*IF(Nebenkosten!$C$13="Fläche",$I59,IF(Nebenkosten!$C$13="Anteil",$J59,$K59))*IF(Nebenkosten!$D$13="Heizung",$H59,$G59)/Nebenkosten!$E$13)</f>
        <v/>
      </c>
      <c r="AE59" s="11">
        <f>IF(OR(Nebenkosten!$B$14="",Nebenkosten!$E$14=0,$F59=0),0,Nebenkosten!$B$14*IF(Nebenkosten!$C$14="Fläche",$I59,IF(Nebenkosten!$C$14="Anteil",$J59,$K59))*IF(Nebenkosten!$D$14="Heizung",$H59,$G59)/Nebenkosten!$E$14)</f>
        <v/>
      </c>
      <c r="AF59" s="11">
        <f>IF(OR(Nebenkosten!$B$15="",Nebenkosten!$E$15=0,$F59=0),0,Nebenkosten!$B$15*IF(Nebenkosten!$C$15="Fläche",$I59,IF(Nebenkosten!$C$15="Anteil",$J59,$K59))*IF(Nebenkosten!$D$15="Heizung",$H59,$G59)/Nebenkosten!$E$15)</f>
        <v/>
      </c>
      <c r="AG59" s="11">
        <f>IF(OR(Nebenkosten!$B$16="",Nebenkosten!$E$16=0,$F59=0),0,Nebenkosten!$B$16*IF(Nebenkosten!$C$16="Fläche",$I59,IF(Nebenkosten!$C$16="Anteil",$J59,$K59))*IF(Nebenkosten!$D$16="Heizung",$H59,$G59)/Nebenkosten!$E$16)</f>
        <v/>
      </c>
      <c r="AH59" s="11">
        <f>IF(OR(Nebenkosten!$B$17="",Nebenkosten!$E$17=0,$F59=0),0,Nebenkosten!$B$17*IF(Nebenkosten!$C$17="Fläche",$I59,IF(Nebenkosten!$C$17="Anteil",$J59,$K59))*IF(Nebenkosten!$D$17="Heizung",$H59,$G59)/Nebenkosten!$E$17)</f>
        <v/>
      </c>
      <c r="AI59" s="11">
        <f>IF(OR(Nebenkosten!$B$18="",Nebenkosten!$E$18=0,$F59=0),0,Nebenkosten!$B$18*IF(Nebenkosten!$C$18="Fläche",$I59,IF(Nebenkosten!$C$18="Anteil",$J59,$K59))*IF(Nebenkosten!$D$18="Heizung",$H59,$G59)/Nebenkosten!$E$18)</f>
        <v/>
      </c>
      <c r="AJ59" s="11">
        <f>IF(OR(Nebenkosten!$B$19="",Nebenkosten!$E$19=0,$F59=0),0,Nebenkosten!$B$19*IF(Nebenkosten!$C$19="Fläche",$I59,IF(Nebenkosten!$C$19="Anteil",$J59,$K59))*IF(Nebenkosten!$D$19="Heizung",$H59,$G59)/Nebenkosten!$E$19)</f>
        <v/>
      </c>
      <c r="AK59" s="11">
        <f>IF(OR(Nebenkosten!$B$20="",Nebenkosten!$E$20=0,$F59=0),0,Nebenkosten!$B$20*IF(Nebenkosten!$C$20="Fläche",$I59,IF(Nebenkosten!$C$20="Anteil",$J59,$K59))*IF(Nebenkosten!$D$20="Heizung",$H59,$G59)/Nebenkosten!$E$20)</f>
        <v/>
      </c>
      <c r="AL59" s="11">
        <f>IF(OR(Nebenkosten!$B$21="",Nebenkosten!$E$21=0,$F59=0),0,Nebenkosten!$B$21*IF(Nebenkosten!$C$21="Fläche",$I59,IF(Nebenkosten!$C$21="Anteil",$J59,$K59))*IF(Nebenkosten!$D$21="Heizung",$H59,$G59)/Nebenkosten!$E$21)</f>
        <v/>
      </c>
      <c r="AM59" s="11">
        <f>IF(OR(Nebenkosten!$B$22="",Nebenkosten!$E$22=0,$F59=0),0,Nebenkosten!$B$22*IF(Nebenkosten!$C$22="Fläche",$I59,IF(Nebenkosten!$C$22="Anteil",$J59,$K59))*IF(Nebenkosten!$D$22="Heizung",$H59,$G59)/Nebenkosten!$E$22)</f>
        <v/>
      </c>
      <c r="AN59" s="11">
        <f>IF(OR(Nebenkosten!$B$23="",Nebenkosten!$E$23=0,$F59=0),0,Nebenkosten!$B$23*IF(Nebenkosten!$C$23="Fläche",$I59,IF(Nebenkosten!$C$23="Anteil",$J59,$K59))*IF(Nebenkosten!$D$23="Heizung",$H59,$G59)/Nebenkosten!$E$23)</f>
        <v/>
      </c>
      <c r="AO59" s="11">
        <f>IF(OR(Nebenkosten!$B$24="",Nebenkosten!$E$24=0,$F59=0),0,Nebenkosten!$B$24*IF(Nebenkosten!$C$24="Fläche",$I59,IF(Nebenkosten!$C$24="Anteil",$J59,$K59))*IF(Nebenkosten!$D$24="Heizung",$H59,$G59)/Nebenkosten!$E$24)</f>
        <v/>
      </c>
      <c r="AP59" s="11">
        <f>IF(OR(Nebenkosten!$B$25="",Nebenkosten!$E$25=0,$F59=0),0,Nebenkosten!$B$25*IF(Nebenkosten!$C$25="Fläche",$I59,IF(Nebenkosten!$C$25="Anteil",$J59,$K59))*IF(Nebenkosten!$D$25="Heizung",$H59,$G59)/Nebenkosten!$E$25)</f>
        <v/>
      </c>
      <c r="AQ59" s="11">
        <f>IF(OR(Nebenkosten!$B$26="",Nebenkosten!$E$26=0,$F59=0),0,Nebenkosten!$B$26*IF(Nebenkosten!$C$26="Fläche",$I59,IF(Nebenkosten!$C$26="Anteil",$J59,$K59))*IF(Nebenkosten!$D$26="Heizung",$H59,$G59)/Nebenkosten!$E$26)</f>
        <v/>
      </c>
      <c r="AR59" s="11">
        <f>IF(OR(Nebenkosten!$B$27="",Nebenkosten!$E$27=0,$F59=0),0,Nebenkosten!$B$27*IF(Nebenkosten!$C$27="Fläche",$I59,IF(Nebenkosten!$C$27="Anteil",$J59,$K59))*IF(Nebenkosten!$D$27="Heizung",$H59,$G59)/Nebenkosten!$E$27)</f>
        <v/>
      </c>
      <c r="AS59" s="11">
        <f>IF(OR(Nebenkosten!$B$28="",Nebenkosten!$E$28=0,$F59=0),0,Nebenkosten!$B$28*IF(Nebenkosten!$C$28="Fläche",$I59,IF(Nebenkosten!$C$28="Anteil",$J59,$K59))*IF(Nebenkosten!$D$28="Heizung",$H59,$G59)/Nebenkosten!$E$28)</f>
        <v/>
      </c>
      <c r="AT59" s="11">
        <f>IF(OR(Nebenkosten!$B$29="",Nebenkosten!$E$29=0,$F59=0),0,Nebenkosten!$B$29*IF(Nebenkosten!$C$29="Fläche",$I59,IF(Nebenkosten!$C$29="Anteil",$J59,$K59))*IF(Nebenkosten!$D$29="Heizung",$H59,$G59)/Nebenkosten!$E$29)</f>
        <v/>
      </c>
      <c r="AU59" s="11">
        <f>IF(OR(Nebenkosten!$B$30="",Nebenkosten!$E$30=0,$F59=0),0,Nebenkosten!$B$30*IF(Nebenkosten!$C$30="Fläche",$I59,IF(Nebenkosten!$C$30="Anteil",$J59,$K59))*IF(Nebenkosten!$D$30="Heizung",$H59,$G59)/Nebenkosten!$E$30)</f>
        <v/>
      </c>
      <c r="AV59" s="11">
        <f>IF(OR(Nebenkosten!$B$31="",Nebenkosten!$E$31=0,$F59=0),0,Nebenkosten!$B$31*IF(Nebenkosten!$C$31="Fläche",$I59,IF(Nebenkosten!$C$31="Anteil",$J59,$K59))*IF(Nebenkosten!$D$31="Heizung",$H59,$G59)/Nebenkosten!$E$31)</f>
        <v/>
      </c>
      <c r="AW59" s="11">
        <f>IF(OR(Nebenkosten!$B$32="",Nebenkosten!$E$32=0,$F59=0),0,Nebenkosten!$B$32*IF(Nebenkosten!$C$32="Fläche",$I59,IF(Nebenkosten!$C$32="Anteil",$J59,$K59))*IF(Nebenkosten!$D$32="Heizung",$H59,$G59)/Nebenkosten!$E$32)</f>
        <v/>
      </c>
      <c r="AX59" s="11">
        <f>IF(OR(Nebenkosten!$B$33="",Nebenkosten!$E$33=0,$F59=0),0,Nebenkosten!$B$33*IF(Nebenkosten!$C$33="Fläche",$I59,IF(Nebenkosten!$C$33="Anteil",$J59,$K59))*IF(Nebenkosten!$D$33="Heizung",$H59,$G59)/Nebenkosten!$E$33)</f>
        <v/>
      </c>
      <c r="AY59" s="11">
        <f>IF(OR(Nebenkosten!$B$34="",Nebenkosten!$E$34=0,$F59=0),0,Nebenkosten!$B$34*IF(Nebenkosten!$C$34="Fläche",$I59,IF(Nebenkosten!$C$34="Anteil",$J59,$K59))*IF(Nebenkosten!$D$34="Heizung",$H59,$G59)/Nebenkosten!$E$34)</f>
        <v/>
      </c>
      <c r="AZ59" s="11">
        <f>ROUND(SUM(AA59:AY59)*20,0)/20</f>
        <v/>
      </c>
      <c r="BA59" s="11">
        <f>IF(F59=0,0,N59)</f>
        <v/>
      </c>
      <c r="BB59" s="11">
        <f>AZ59-BA59</f>
        <v/>
      </c>
    </row>
    <row r="60">
      <c r="A60" s="10">
        <f>'Mein Haus'!A100</f>
        <v/>
      </c>
      <c r="B60" s="23">
        <f>IF('Mein Haus'!C100="","",'Mein Haus'!C100)</f>
        <v/>
      </c>
      <c r="C60" s="23">
        <f>IF('Mein Haus'!B100="","",'Mein Haus'!B100)</f>
        <v/>
      </c>
      <c r="D60" s="21">
        <f>IF(AND('Mein Haus'!C100&lt;&gt;"",'Mein Haus'!B100&lt;&gt;"",Nebenkosten!$B$7&lt;&gt;""),MAX(IF('Mein Haus'!D100="",Nebenkosten!$B$7,'Mein Haus'!D100),Nebenkosten!$B$7),"")</f>
        <v/>
      </c>
      <c r="E60" s="21">
        <f>IF(AND('Mein Haus'!C100&lt;&gt;"",'Mein Haus'!B100&lt;&gt;"",Nebenkosten!$B$7&lt;&gt;""),MIN(IF('Mein Haus'!F100="",Nebenkosten!$D$7,'Mein Haus'!F100),Nebenkosten!$D$7),"")</f>
        <v/>
      </c>
      <c r="F60" s="10">
        <f>IF(D60="",0,MAX(0,E60-D60+1))</f>
        <v/>
      </c>
      <c r="G60" s="49">
        <f>IF(F60=0,0,F60/Nebenkosten!$F$7)</f>
        <v/>
      </c>
      <c r="H60" s="49">
        <f>IF(F60=0,0,SUMPRODUCT(O60:Z60,$O$3:$Z$3)/Einstellungen!$F$17)</f>
        <v/>
      </c>
      <c r="I60" s="19">
        <f>IF(F60=0,0,IFERROR(INDEX('Mein Haus'!$D$11:$D$40,MATCH(C60,'Mein Haus'!$A$11:$A$40,0)),0))</f>
        <v/>
      </c>
      <c r="J60" s="19">
        <f>IF(F60=0,0,IFERROR(INDEX('Mein Haus'!$E$11:$E$40,MATCH(C60,'Mein Haus'!$A$11:$A$40,0)),0))</f>
        <v/>
      </c>
      <c r="K60" s="19">
        <f>IF(F60=0,0,IFERROR(INDEX('Mein Haus'!$F$11:$F$40,MATCH(C60,'Mein Haus'!$A$11:$A$40,0)),0))</f>
        <v/>
      </c>
      <c r="L60" s="11">
        <f>IF(F60=0,0,N('Mein Haus'!H100)*SUM(O60:Z60))</f>
        <v/>
      </c>
      <c r="M60" s="22" t="n"/>
      <c r="N60" s="11">
        <f>IF(M60&lt;&gt;"",M60,L60)</f>
        <v/>
      </c>
      <c r="O60" s="19">
        <f>IF(F60=0,0,MAX(0,MIN(E60,EOMONTH(EDATE(Nebenkosten!$B$7,0),0))-MAX(D60,EDATE(Nebenkosten!$B$7,0))+1)/DAY(EOMONTH(EDATE(Nebenkosten!$B$7,0),0)))</f>
        <v/>
      </c>
      <c r="P60" s="19">
        <f>IF(F60=0,0,MAX(0,MIN(E60,EOMONTH(EDATE(Nebenkosten!$B$7,1),0))-MAX(D60,EDATE(Nebenkosten!$B$7,1))+1)/DAY(EOMONTH(EDATE(Nebenkosten!$B$7,1),0)))</f>
        <v/>
      </c>
      <c r="Q60" s="19">
        <f>IF(F60=0,0,MAX(0,MIN(E60,EOMONTH(EDATE(Nebenkosten!$B$7,2),0))-MAX(D60,EDATE(Nebenkosten!$B$7,2))+1)/DAY(EOMONTH(EDATE(Nebenkosten!$B$7,2),0)))</f>
        <v/>
      </c>
      <c r="R60" s="19">
        <f>IF(F60=0,0,MAX(0,MIN(E60,EOMONTH(EDATE(Nebenkosten!$B$7,3),0))-MAX(D60,EDATE(Nebenkosten!$B$7,3))+1)/DAY(EOMONTH(EDATE(Nebenkosten!$B$7,3),0)))</f>
        <v/>
      </c>
      <c r="S60" s="19">
        <f>IF(F60=0,0,MAX(0,MIN(E60,EOMONTH(EDATE(Nebenkosten!$B$7,4),0))-MAX(D60,EDATE(Nebenkosten!$B$7,4))+1)/DAY(EOMONTH(EDATE(Nebenkosten!$B$7,4),0)))</f>
        <v/>
      </c>
      <c r="T60" s="19">
        <f>IF(F60=0,0,MAX(0,MIN(E60,EOMONTH(EDATE(Nebenkosten!$B$7,5),0))-MAX(D60,EDATE(Nebenkosten!$B$7,5))+1)/DAY(EOMONTH(EDATE(Nebenkosten!$B$7,5),0)))</f>
        <v/>
      </c>
      <c r="U60" s="19">
        <f>IF(F60=0,0,MAX(0,MIN(E60,EOMONTH(EDATE(Nebenkosten!$B$7,6),0))-MAX(D60,EDATE(Nebenkosten!$B$7,6))+1)/DAY(EOMONTH(EDATE(Nebenkosten!$B$7,6),0)))</f>
        <v/>
      </c>
      <c r="V60" s="19">
        <f>IF(F60=0,0,MAX(0,MIN(E60,EOMONTH(EDATE(Nebenkosten!$B$7,7),0))-MAX(D60,EDATE(Nebenkosten!$B$7,7))+1)/DAY(EOMONTH(EDATE(Nebenkosten!$B$7,7),0)))</f>
        <v/>
      </c>
      <c r="W60" s="19">
        <f>IF(F60=0,0,MAX(0,MIN(E60,EOMONTH(EDATE(Nebenkosten!$B$7,8),0))-MAX(D60,EDATE(Nebenkosten!$B$7,8))+1)/DAY(EOMONTH(EDATE(Nebenkosten!$B$7,8),0)))</f>
        <v/>
      </c>
      <c r="X60" s="19">
        <f>IF(F60=0,0,MAX(0,MIN(E60,EOMONTH(EDATE(Nebenkosten!$B$7,9),0))-MAX(D60,EDATE(Nebenkosten!$B$7,9))+1)/DAY(EOMONTH(EDATE(Nebenkosten!$B$7,9),0)))</f>
        <v/>
      </c>
      <c r="Y60" s="19">
        <f>IF(F60=0,0,MAX(0,MIN(E60,EOMONTH(EDATE(Nebenkosten!$B$7,10),0))-MAX(D60,EDATE(Nebenkosten!$B$7,10))+1)/DAY(EOMONTH(EDATE(Nebenkosten!$B$7,10),0)))</f>
        <v/>
      </c>
      <c r="Z60" s="19">
        <f>IF(F60=0,0,MAX(0,MIN(E60,EOMONTH(EDATE(Nebenkosten!$B$7,11),0))-MAX(D60,EDATE(Nebenkosten!$B$7,11))+1)/DAY(EOMONTH(EDATE(Nebenkosten!$B$7,11),0)))</f>
        <v/>
      </c>
      <c r="AA60" s="11">
        <f>IF(OR(Nebenkosten!$B$10="",Nebenkosten!$E$10=0,$F60=0),0,Nebenkosten!$B$10*IF(Nebenkosten!$C$10="Fläche",$I60,IF(Nebenkosten!$C$10="Anteil",$J60,$K60))*IF(Nebenkosten!$D$10="Heizung",$H60,$G60)/Nebenkosten!$E$10)</f>
        <v/>
      </c>
      <c r="AB60" s="11">
        <f>IF(OR(Nebenkosten!$B$11="",Nebenkosten!$E$11=0,$F60=0),0,Nebenkosten!$B$11*IF(Nebenkosten!$C$11="Fläche",$I60,IF(Nebenkosten!$C$11="Anteil",$J60,$K60))*IF(Nebenkosten!$D$11="Heizung",$H60,$G60)/Nebenkosten!$E$11)</f>
        <v/>
      </c>
      <c r="AC60" s="11">
        <f>IF(OR(Nebenkosten!$B$12="",Nebenkosten!$E$12=0,$F60=0),0,Nebenkosten!$B$12*IF(Nebenkosten!$C$12="Fläche",$I60,IF(Nebenkosten!$C$12="Anteil",$J60,$K60))*IF(Nebenkosten!$D$12="Heizung",$H60,$G60)/Nebenkosten!$E$12)</f>
        <v/>
      </c>
      <c r="AD60" s="11">
        <f>IF(OR(Nebenkosten!$B$13="",Nebenkosten!$E$13=0,$F60=0),0,Nebenkosten!$B$13*IF(Nebenkosten!$C$13="Fläche",$I60,IF(Nebenkosten!$C$13="Anteil",$J60,$K60))*IF(Nebenkosten!$D$13="Heizung",$H60,$G60)/Nebenkosten!$E$13)</f>
        <v/>
      </c>
      <c r="AE60" s="11">
        <f>IF(OR(Nebenkosten!$B$14="",Nebenkosten!$E$14=0,$F60=0),0,Nebenkosten!$B$14*IF(Nebenkosten!$C$14="Fläche",$I60,IF(Nebenkosten!$C$14="Anteil",$J60,$K60))*IF(Nebenkosten!$D$14="Heizung",$H60,$G60)/Nebenkosten!$E$14)</f>
        <v/>
      </c>
      <c r="AF60" s="11">
        <f>IF(OR(Nebenkosten!$B$15="",Nebenkosten!$E$15=0,$F60=0),0,Nebenkosten!$B$15*IF(Nebenkosten!$C$15="Fläche",$I60,IF(Nebenkosten!$C$15="Anteil",$J60,$K60))*IF(Nebenkosten!$D$15="Heizung",$H60,$G60)/Nebenkosten!$E$15)</f>
        <v/>
      </c>
      <c r="AG60" s="11">
        <f>IF(OR(Nebenkosten!$B$16="",Nebenkosten!$E$16=0,$F60=0),0,Nebenkosten!$B$16*IF(Nebenkosten!$C$16="Fläche",$I60,IF(Nebenkosten!$C$16="Anteil",$J60,$K60))*IF(Nebenkosten!$D$16="Heizung",$H60,$G60)/Nebenkosten!$E$16)</f>
        <v/>
      </c>
      <c r="AH60" s="11">
        <f>IF(OR(Nebenkosten!$B$17="",Nebenkosten!$E$17=0,$F60=0),0,Nebenkosten!$B$17*IF(Nebenkosten!$C$17="Fläche",$I60,IF(Nebenkosten!$C$17="Anteil",$J60,$K60))*IF(Nebenkosten!$D$17="Heizung",$H60,$G60)/Nebenkosten!$E$17)</f>
        <v/>
      </c>
      <c r="AI60" s="11">
        <f>IF(OR(Nebenkosten!$B$18="",Nebenkosten!$E$18=0,$F60=0),0,Nebenkosten!$B$18*IF(Nebenkosten!$C$18="Fläche",$I60,IF(Nebenkosten!$C$18="Anteil",$J60,$K60))*IF(Nebenkosten!$D$18="Heizung",$H60,$G60)/Nebenkosten!$E$18)</f>
        <v/>
      </c>
      <c r="AJ60" s="11">
        <f>IF(OR(Nebenkosten!$B$19="",Nebenkosten!$E$19=0,$F60=0),0,Nebenkosten!$B$19*IF(Nebenkosten!$C$19="Fläche",$I60,IF(Nebenkosten!$C$19="Anteil",$J60,$K60))*IF(Nebenkosten!$D$19="Heizung",$H60,$G60)/Nebenkosten!$E$19)</f>
        <v/>
      </c>
      <c r="AK60" s="11">
        <f>IF(OR(Nebenkosten!$B$20="",Nebenkosten!$E$20=0,$F60=0),0,Nebenkosten!$B$20*IF(Nebenkosten!$C$20="Fläche",$I60,IF(Nebenkosten!$C$20="Anteil",$J60,$K60))*IF(Nebenkosten!$D$20="Heizung",$H60,$G60)/Nebenkosten!$E$20)</f>
        <v/>
      </c>
      <c r="AL60" s="11">
        <f>IF(OR(Nebenkosten!$B$21="",Nebenkosten!$E$21=0,$F60=0),0,Nebenkosten!$B$21*IF(Nebenkosten!$C$21="Fläche",$I60,IF(Nebenkosten!$C$21="Anteil",$J60,$K60))*IF(Nebenkosten!$D$21="Heizung",$H60,$G60)/Nebenkosten!$E$21)</f>
        <v/>
      </c>
      <c r="AM60" s="11">
        <f>IF(OR(Nebenkosten!$B$22="",Nebenkosten!$E$22=0,$F60=0),0,Nebenkosten!$B$22*IF(Nebenkosten!$C$22="Fläche",$I60,IF(Nebenkosten!$C$22="Anteil",$J60,$K60))*IF(Nebenkosten!$D$22="Heizung",$H60,$G60)/Nebenkosten!$E$22)</f>
        <v/>
      </c>
      <c r="AN60" s="11">
        <f>IF(OR(Nebenkosten!$B$23="",Nebenkosten!$E$23=0,$F60=0),0,Nebenkosten!$B$23*IF(Nebenkosten!$C$23="Fläche",$I60,IF(Nebenkosten!$C$23="Anteil",$J60,$K60))*IF(Nebenkosten!$D$23="Heizung",$H60,$G60)/Nebenkosten!$E$23)</f>
        <v/>
      </c>
      <c r="AO60" s="11">
        <f>IF(OR(Nebenkosten!$B$24="",Nebenkosten!$E$24=0,$F60=0),0,Nebenkosten!$B$24*IF(Nebenkosten!$C$24="Fläche",$I60,IF(Nebenkosten!$C$24="Anteil",$J60,$K60))*IF(Nebenkosten!$D$24="Heizung",$H60,$G60)/Nebenkosten!$E$24)</f>
        <v/>
      </c>
      <c r="AP60" s="11">
        <f>IF(OR(Nebenkosten!$B$25="",Nebenkosten!$E$25=0,$F60=0),0,Nebenkosten!$B$25*IF(Nebenkosten!$C$25="Fläche",$I60,IF(Nebenkosten!$C$25="Anteil",$J60,$K60))*IF(Nebenkosten!$D$25="Heizung",$H60,$G60)/Nebenkosten!$E$25)</f>
        <v/>
      </c>
      <c r="AQ60" s="11">
        <f>IF(OR(Nebenkosten!$B$26="",Nebenkosten!$E$26=0,$F60=0),0,Nebenkosten!$B$26*IF(Nebenkosten!$C$26="Fläche",$I60,IF(Nebenkosten!$C$26="Anteil",$J60,$K60))*IF(Nebenkosten!$D$26="Heizung",$H60,$G60)/Nebenkosten!$E$26)</f>
        <v/>
      </c>
      <c r="AR60" s="11">
        <f>IF(OR(Nebenkosten!$B$27="",Nebenkosten!$E$27=0,$F60=0),0,Nebenkosten!$B$27*IF(Nebenkosten!$C$27="Fläche",$I60,IF(Nebenkosten!$C$27="Anteil",$J60,$K60))*IF(Nebenkosten!$D$27="Heizung",$H60,$G60)/Nebenkosten!$E$27)</f>
        <v/>
      </c>
      <c r="AS60" s="11">
        <f>IF(OR(Nebenkosten!$B$28="",Nebenkosten!$E$28=0,$F60=0),0,Nebenkosten!$B$28*IF(Nebenkosten!$C$28="Fläche",$I60,IF(Nebenkosten!$C$28="Anteil",$J60,$K60))*IF(Nebenkosten!$D$28="Heizung",$H60,$G60)/Nebenkosten!$E$28)</f>
        <v/>
      </c>
      <c r="AT60" s="11">
        <f>IF(OR(Nebenkosten!$B$29="",Nebenkosten!$E$29=0,$F60=0),0,Nebenkosten!$B$29*IF(Nebenkosten!$C$29="Fläche",$I60,IF(Nebenkosten!$C$29="Anteil",$J60,$K60))*IF(Nebenkosten!$D$29="Heizung",$H60,$G60)/Nebenkosten!$E$29)</f>
        <v/>
      </c>
      <c r="AU60" s="11">
        <f>IF(OR(Nebenkosten!$B$30="",Nebenkosten!$E$30=0,$F60=0),0,Nebenkosten!$B$30*IF(Nebenkosten!$C$30="Fläche",$I60,IF(Nebenkosten!$C$30="Anteil",$J60,$K60))*IF(Nebenkosten!$D$30="Heizung",$H60,$G60)/Nebenkosten!$E$30)</f>
        <v/>
      </c>
      <c r="AV60" s="11">
        <f>IF(OR(Nebenkosten!$B$31="",Nebenkosten!$E$31=0,$F60=0),0,Nebenkosten!$B$31*IF(Nebenkosten!$C$31="Fläche",$I60,IF(Nebenkosten!$C$31="Anteil",$J60,$K60))*IF(Nebenkosten!$D$31="Heizung",$H60,$G60)/Nebenkosten!$E$31)</f>
        <v/>
      </c>
      <c r="AW60" s="11">
        <f>IF(OR(Nebenkosten!$B$32="",Nebenkosten!$E$32=0,$F60=0),0,Nebenkosten!$B$32*IF(Nebenkosten!$C$32="Fläche",$I60,IF(Nebenkosten!$C$32="Anteil",$J60,$K60))*IF(Nebenkosten!$D$32="Heizung",$H60,$G60)/Nebenkosten!$E$32)</f>
        <v/>
      </c>
      <c r="AX60" s="11">
        <f>IF(OR(Nebenkosten!$B$33="",Nebenkosten!$E$33=0,$F60=0),0,Nebenkosten!$B$33*IF(Nebenkosten!$C$33="Fläche",$I60,IF(Nebenkosten!$C$33="Anteil",$J60,$K60))*IF(Nebenkosten!$D$33="Heizung",$H60,$G60)/Nebenkosten!$E$33)</f>
        <v/>
      </c>
      <c r="AY60" s="11">
        <f>IF(OR(Nebenkosten!$B$34="",Nebenkosten!$E$34=0,$F60=0),0,Nebenkosten!$B$34*IF(Nebenkosten!$C$34="Fläche",$I60,IF(Nebenkosten!$C$34="Anteil",$J60,$K60))*IF(Nebenkosten!$D$34="Heizung",$H60,$G60)/Nebenkosten!$E$34)</f>
        <v/>
      </c>
      <c r="AZ60" s="11">
        <f>ROUND(SUM(AA60:AY60)*20,0)/20</f>
        <v/>
      </c>
      <c r="BA60" s="11">
        <f>IF(F60=0,0,N60)</f>
        <v/>
      </c>
      <c r="BB60" s="11">
        <f>AZ60-BA60</f>
        <v/>
      </c>
    </row>
    <row r="61">
      <c r="A61" s="10">
        <f>'Mein Haus'!A101</f>
        <v/>
      </c>
      <c r="B61" s="23">
        <f>IF('Mein Haus'!C101="","",'Mein Haus'!C101)</f>
        <v/>
      </c>
      <c r="C61" s="23">
        <f>IF('Mein Haus'!B101="","",'Mein Haus'!B101)</f>
        <v/>
      </c>
      <c r="D61" s="21">
        <f>IF(AND('Mein Haus'!C101&lt;&gt;"",'Mein Haus'!B101&lt;&gt;"",Nebenkosten!$B$7&lt;&gt;""),MAX(IF('Mein Haus'!D101="",Nebenkosten!$B$7,'Mein Haus'!D101),Nebenkosten!$B$7),"")</f>
        <v/>
      </c>
      <c r="E61" s="21">
        <f>IF(AND('Mein Haus'!C101&lt;&gt;"",'Mein Haus'!B101&lt;&gt;"",Nebenkosten!$B$7&lt;&gt;""),MIN(IF('Mein Haus'!F101="",Nebenkosten!$D$7,'Mein Haus'!F101),Nebenkosten!$D$7),"")</f>
        <v/>
      </c>
      <c r="F61" s="10">
        <f>IF(D61="",0,MAX(0,E61-D61+1))</f>
        <v/>
      </c>
      <c r="G61" s="49">
        <f>IF(F61=0,0,F61/Nebenkosten!$F$7)</f>
        <v/>
      </c>
      <c r="H61" s="49">
        <f>IF(F61=0,0,SUMPRODUCT(O61:Z61,$O$3:$Z$3)/Einstellungen!$F$17)</f>
        <v/>
      </c>
      <c r="I61" s="19">
        <f>IF(F61=0,0,IFERROR(INDEX('Mein Haus'!$D$11:$D$40,MATCH(C61,'Mein Haus'!$A$11:$A$40,0)),0))</f>
        <v/>
      </c>
      <c r="J61" s="19">
        <f>IF(F61=0,0,IFERROR(INDEX('Mein Haus'!$E$11:$E$40,MATCH(C61,'Mein Haus'!$A$11:$A$40,0)),0))</f>
        <v/>
      </c>
      <c r="K61" s="19">
        <f>IF(F61=0,0,IFERROR(INDEX('Mein Haus'!$F$11:$F$40,MATCH(C61,'Mein Haus'!$A$11:$A$40,0)),0))</f>
        <v/>
      </c>
      <c r="L61" s="11">
        <f>IF(F61=0,0,N('Mein Haus'!H101)*SUM(O61:Z61))</f>
        <v/>
      </c>
      <c r="M61" s="22" t="n"/>
      <c r="N61" s="11">
        <f>IF(M61&lt;&gt;"",M61,L61)</f>
        <v/>
      </c>
      <c r="O61" s="19">
        <f>IF(F61=0,0,MAX(0,MIN(E61,EOMONTH(EDATE(Nebenkosten!$B$7,0),0))-MAX(D61,EDATE(Nebenkosten!$B$7,0))+1)/DAY(EOMONTH(EDATE(Nebenkosten!$B$7,0),0)))</f>
        <v/>
      </c>
      <c r="P61" s="19">
        <f>IF(F61=0,0,MAX(0,MIN(E61,EOMONTH(EDATE(Nebenkosten!$B$7,1),0))-MAX(D61,EDATE(Nebenkosten!$B$7,1))+1)/DAY(EOMONTH(EDATE(Nebenkosten!$B$7,1),0)))</f>
        <v/>
      </c>
      <c r="Q61" s="19">
        <f>IF(F61=0,0,MAX(0,MIN(E61,EOMONTH(EDATE(Nebenkosten!$B$7,2),0))-MAX(D61,EDATE(Nebenkosten!$B$7,2))+1)/DAY(EOMONTH(EDATE(Nebenkosten!$B$7,2),0)))</f>
        <v/>
      </c>
      <c r="R61" s="19">
        <f>IF(F61=0,0,MAX(0,MIN(E61,EOMONTH(EDATE(Nebenkosten!$B$7,3),0))-MAX(D61,EDATE(Nebenkosten!$B$7,3))+1)/DAY(EOMONTH(EDATE(Nebenkosten!$B$7,3),0)))</f>
        <v/>
      </c>
      <c r="S61" s="19">
        <f>IF(F61=0,0,MAX(0,MIN(E61,EOMONTH(EDATE(Nebenkosten!$B$7,4),0))-MAX(D61,EDATE(Nebenkosten!$B$7,4))+1)/DAY(EOMONTH(EDATE(Nebenkosten!$B$7,4),0)))</f>
        <v/>
      </c>
      <c r="T61" s="19">
        <f>IF(F61=0,0,MAX(0,MIN(E61,EOMONTH(EDATE(Nebenkosten!$B$7,5),0))-MAX(D61,EDATE(Nebenkosten!$B$7,5))+1)/DAY(EOMONTH(EDATE(Nebenkosten!$B$7,5),0)))</f>
        <v/>
      </c>
      <c r="U61" s="19">
        <f>IF(F61=0,0,MAX(0,MIN(E61,EOMONTH(EDATE(Nebenkosten!$B$7,6),0))-MAX(D61,EDATE(Nebenkosten!$B$7,6))+1)/DAY(EOMONTH(EDATE(Nebenkosten!$B$7,6),0)))</f>
        <v/>
      </c>
      <c r="V61" s="19">
        <f>IF(F61=0,0,MAX(0,MIN(E61,EOMONTH(EDATE(Nebenkosten!$B$7,7),0))-MAX(D61,EDATE(Nebenkosten!$B$7,7))+1)/DAY(EOMONTH(EDATE(Nebenkosten!$B$7,7),0)))</f>
        <v/>
      </c>
      <c r="W61" s="19">
        <f>IF(F61=0,0,MAX(0,MIN(E61,EOMONTH(EDATE(Nebenkosten!$B$7,8),0))-MAX(D61,EDATE(Nebenkosten!$B$7,8))+1)/DAY(EOMONTH(EDATE(Nebenkosten!$B$7,8),0)))</f>
        <v/>
      </c>
      <c r="X61" s="19">
        <f>IF(F61=0,0,MAX(0,MIN(E61,EOMONTH(EDATE(Nebenkosten!$B$7,9),0))-MAX(D61,EDATE(Nebenkosten!$B$7,9))+1)/DAY(EOMONTH(EDATE(Nebenkosten!$B$7,9),0)))</f>
        <v/>
      </c>
      <c r="Y61" s="19">
        <f>IF(F61=0,0,MAX(0,MIN(E61,EOMONTH(EDATE(Nebenkosten!$B$7,10),0))-MAX(D61,EDATE(Nebenkosten!$B$7,10))+1)/DAY(EOMONTH(EDATE(Nebenkosten!$B$7,10),0)))</f>
        <v/>
      </c>
      <c r="Z61" s="19">
        <f>IF(F61=0,0,MAX(0,MIN(E61,EOMONTH(EDATE(Nebenkosten!$B$7,11),0))-MAX(D61,EDATE(Nebenkosten!$B$7,11))+1)/DAY(EOMONTH(EDATE(Nebenkosten!$B$7,11),0)))</f>
        <v/>
      </c>
      <c r="AA61" s="11">
        <f>IF(OR(Nebenkosten!$B$10="",Nebenkosten!$E$10=0,$F61=0),0,Nebenkosten!$B$10*IF(Nebenkosten!$C$10="Fläche",$I61,IF(Nebenkosten!$C$10="Anteil",$J61,$K61))*IF(Nebenkosten!$D$10="Heizung",$H61,$G61)/Nebenkosten!$E$10)</f>
        <v/>
      </c>
      <c r="AB61" s="11">
        <f>IF(OR(Nebenkosten!$B$11="",Nebenkosten!$E$11=0,$F61=0),0,Nebenkosten!$B$11*IF(Nebenkosten!$C$11="Fläche",$I61,IF(Nebenkosten!$C$11="Anteil",$J61,$K61))*IF(Nebenkosten!$D$11="Heizung",$H61,$G61)/Nebenkosten!$E$11)</f>
        <v/>
      </c>
      <c r="AC61" s="11">
        <f>IF(OR(Nebenkosten!$B$12="",Nebenkosten!$E$12=0,$F61=0),0,Nebenkosten!$B$12*IF(Nebenkosten!$C$12="Fläche",$I61,IF(Nebenkosten!$C$12="Anteil",$J61,$K61))*IF(Nebenkosten!$D$12="Heizung",$H61,$G61)/Nebenkosten!$E$12)</f>
        <v/>
      </c>
      <c r="AD61" s="11">
        <f>IF(OR(Nebenkosten!$B$13="",Nebenkosten!$E$13=0,$F61=0),0,Nebenkosten!$B$13*IF(Nebenkosten!$C$13="Fläche",$I61,IF(Nebenkosten!$C$13="Anteil",$J61,$K61))*IF(Nebenkosten!$D$13="Heizung",$H61,$G61)/Nebenkosten!$E$13)</f>
        <v/>
      </c>
      <c r="AE61" s="11">
        <f>IF(OR(Nebenkosten!$B$14="",Nebenkosten!$E$14=0,$F61=0),0,Nebenkosten!$B$14*IF(Nebenkosten!$C$14="Fläche",$I61,IF(Nebenkosten!$C$14="Anteil",$J61,$K61))*IF(Nebenkosten!$D$14="Heizung",$H61,$G61)/Nebenkosten!$E$14)</f>
        <v/>
      </c>
      <c r="AF61" s="11">
        <f>IF(OR(Nebenkosten!$B$15="",Nebenkosten!$E$15=0,$F61=0),0,Nebenkosten!$B$15*IF(Nebenkosten!$C$15="Fläche",$I61,IF(Nebenkosten!$C$15="Anteil",$J61,$K61))*IF(Nebenkosten!$D$15="Heizung",$H61,$G61)/Nebenkosten!$E$15)</f>
        <v/>
      </c>
      <c r="AG61" s="11">
        <f>IF(OR(Nebenkosten!$B$16="",Nebenkosten!$E$16=0,$F61=0),0,Nebenkosten!$B$16*IF(Nebenkosten!$C$16="Fläche",$I61,IF(Nebenkosten!$C$16="Anteil",$J61,$K61))*IF(Nebenkosten!$D$16="Heizung",$H61,$G61)/Nebenkosten!$E$16)</f>
        <v/>
      </c>
      <c r="AH61" s="11">
        <f>IF(OR(Nebenkosten!$B$17="",Nebenkosten!$E$17=0,$F61=0),0,Nebenkosten!$B$17*IF(Nebenkosten!$C$17="Fläche",$I61,IF(Nebenkosten!$C$17="Anteil",$J61,$K61))*IF(Nebenkosten!$D$17="Heizung",$H61,$G61)/Nebenkosten!$E$17)</f>
        <v/>
      </c>
      <c r="AI61" s="11">
        <f>IF(OR(Nebenkosten!$B$18="",Nebenkosten!$E$18=0,$F61=0),0,Nebenkosten!$B$18*IF(Nebenkosten!$C$18="Fläche",$I61,IF(Nebenkosten!$C$18="Anteil",$J61,$K61))*IF(Nebenkosten!$D$18="Heizung",$H61,$G61)/Nebenkosten!$E$18)</f>
        <v/>
      </c>
      <c r="AJ61" s="11">
        <f>IF(OR(Nebenkosten!$B$19="",Nebenkosten!$E$19=0,$F61=0),0,Nebenkosten!$B$19*IF(Nebenkosten!$C$19="Fläche",$I61,IF(Nebenkosten!$C$19="Anteil",$J61,$K61))*IF(Nebenkosten!$D$19="Heizung",$H61,$G61)/Nebenkosten!$E$19)</f>
        <v/>
      </c>
      <c r="AK61" s="11">
        <f>IF(OR(Nebenkosten!$B$20="",Nebenkosten!$E$20=0,$F61=0),0,Nebenkosten!$B$20*IF(Nebenkosten!$C$20="Fläche",$I61,IF(Nebenkosten!$C$20="Anteil",$J61,$K61))*IF(Nebenkosten!$D$20="Heizung",$H61,$G61)/Nebenkosten!$E$20)</f>
        <v/>
      </c>
      <c r="AL61" s="11">
        <f>IF(OR(Nebenkosten!$B$21="",Nebenkosten!$E$21=0,$F61=0),0,Nebenkosten!$B$21*IF(Nebenkosten!$C$21="Fläche",$I61,IF(Nebenkosten!$C$21="Anteil",$J61,$K61))*IF(Nebenkosten!$D$21="Heizung",$H61,$G61)/Nebenkosten!$E$21)</f>
        <v/>
      </c>
      <c r="AM61" s="11">
        <f>IF(OR(Nebenkosten!$B$22="",Nebenkosten!$E$22=0,$F61=0),0,Nebenkosten!$B$22*IF(Nebenkosten!$C$22="Fläche",$I61,IF(Nebenkosten!$C$22="Anteil",$J61,$K61))*IF(Nebenkosten!$D$22="Heizung",$H61,$G61)/Nebenkosten!$E$22)</f>
        <v/>
      </c>
      <c r="AN61" s="11">
        <f>IF(OR(Nebenkosten!$B$23="",Nebenkosten!$E$23=0,$F61=0),0,Nebenkosten!$B$23*IF(Nebenkosten!$C$23="Fläche",$I61,IF(Nebenkosten!$C$23="Anteil",$J61,$K61))*IF(Nebenkosten!$D$23="Heizung",$H61,$G61)/Nebenkosten!$E$23)</f>
        <v/>
      </c>
      <c r="AO61" s="11">
        <f>IF(OR(Nebenkosten!$B$24="",Nebenkosten!$E$24=0,$F61=0),0,Nebenkosten!$B$24*IF(Nebenkosten!$C$24="Fläche",$I61,IF(Nebenkosten!$C$24="Anteil",$J61,$K61))*IF(Nebenkosten!$D$24="Heizung",$H61,$G61)/Nebenkosten!$E$24)</f>
        <v/>
      </c>
      <c r="AP61" s="11">
        <f>IF(OR(Nebenkosten!$B$25="",Nebenkosten!$E$25=0,$F61=0),0,Nebenkosten!$B$25*IF(Nebenkosten!$C$25="Fläche",$I61,IF(Nebenkosten!$C$25="Anteil",$J61,$K61))*IF(Nebenkosten!$D$25="Heizung",$H61,$G61)/Nebenkosten!$E$25)</f>
        <v/>
      </c>
      <c r="AQ61" s="11">
        <f>IF(OR(Nebenkosten!$B$26="",Nebenkosten!$E$26=0,$F61=0),0,Nebenkosten!$B$26*IF(Nebenkosten!$C$26="Fläche",$I61,IF(Nebenkosten!$C$26="Anteil",$J61,$K61))*IF(Nebenkosten!$D$26="Heizung",$H61,$G61)/Nebenkosten!$E$26)</f>
        <v/>
      </c>
      <c r="AR61" s="11">
        <f>IF(OR(Nebenkosten!$B$27="",Nebenkosten!$E$27=0,$F61=0),0,Nebenkosten!$B$27*IF(Nebenkosten!$C$27="Fläche",$I61,IF(Nebenkosten!$C$27="Anteil",$J61,$K61))*IF(Nebenkosten!$D$27="Heizung",$H61,$G61)/Nebenkosten!$E$27)</f>
        <v/>
      </c>
      <c r="AS61" s="11">
        <f>IF(OR(Nebenkosten!$B$28="",Nebenkosten!$E$28=0,$F61=0),0,Nebenkosten!$B$28*IF(Nebenkosten!$C$28="Fläche",$I61,IF(Nebenkosten!$C$28="Anteil",$J61,$K61))*IF(Nebenkosten!$D$28="Heizung",$H61,$G61)/Nebenkosten!$E$28)</f>
        <v/>
      </c>
      <c r="AT61" s="11">
        <f>IF(OR(Nebenkosten!$B$29="",Nebenkosten!$E$29=0,$F61=0),0,Nebenkosten!$B$29*IF(Nebenkosten!$C$29="Fläche",$I61,IF(Nebenkosten!$C$29="Anteil",$J61,$K61))*IF(Nebenkosten!$D$29="Heizung",$H61,$G61)/Nebenkosten!$E$29)</f>
        <v/>
      </c>
      <c r="AU61" s="11">
        <f>IF(OR(Nebenkosten!$B$30="",Nebenkosten!$E$30=0,$F61=0),0,Nebenkosten!$B$30*IF(Nebenkosten!$C$30="Fläche",$I61,IF(Nebenkosten!$C$30="Anteil",$J61,$K61))*IF(Nebenkosten!$D$30="Heizung",$H61,$G61)/Nebenkosten!$E$30)</f>
        <v/>
      </c>
      <c r="AV61" s="11">
        <f>IF(OR(Nebenkosten!$B$31="",Nebenkosten!$E$31=0,$F61=0),0,Nebenkosten!$B$31*IF(Nebenkosten!$C$31="Fläche",$I61,IF(Nebenkosten!$C$31="Anteil",$J61,$K61))*IF(Nebenkosten!$D$31="Heizung",$H61,$G61)/Nebenkosten!$E$31)</f>
        <v/>
      </c>
      <c r="AW61" s="11">
        <f>IF(OR(Nebenkosten!$B$32="",Nebenkosten!$E$32=0,$F61=0),0,Nebenkosten!$B$32*IF(Nebenkosten!$C$32="Fläche",$I61,IF(Nebenkosten!$C$32="Anteil",$J61,$K61))*IF(Nebenkosten!$D$32="Heizung",$H61,$G61)/Nebenkosten!$E$32)</f>
        <v/>
      </c>
      <c r="AX61" s="11">
        <f>IF(OR(Nebenkosten!$B$33="",Nebenkosten!$E$33=0,$F61=0),0,Nebenkosten!$B$33*IF(Nebenkosten!$C$33="Fläche",$I61,IF(Nebenkosten!$C$33="Anteil",$J61,$K61))*IF(Nebenkosten!$D$33="Heizung",$H61,$G61)/Nebenkosten!$E$33)</f>
        <v/>
      </c>
      <c r="AY61" s="11">
        <f>IF(OR(Nebenkosten!$B$34="",Nebenkosten!$E$34=0,$F61=0),0,Nebenkosten!$B$34*IF(Nebenkosten!$C$34="Fläche",$I61,IF(Nebenkosten!$C$34="Anteil",$J61,$K61))*IF(Nebenkosten!$D$34="Heizung",$H61,$G61)/Nebenkosten!$E$34)</f>
        <v/>
      </c>
      <c r="AZ61" s="11">
        <f>ROUND(SUM(AA61:AY61)*20,0)/20</f>
        <v/>
      </c>
      <c r="BA61" s="11">
        <f>IF(F61=0,0,N61)</f>
        <v/>
      </c>
      <c r="BB61" s="11">
        <f>AZ61-BA61</f>
        <v/>
      </c>
    </row>
    <row r="62">
      <c r="A62" s="10">
        <f>'Mein Haus'!A102</f>
        <v/>
      </c>
      <c r="B62" s="23">
        <f>IF('Mein Haus'!C102="","",'Mein Haus'!C102)</f>
        <v/>
      </c>
      <c r="C62" s="23">
        <f>IF('Mein Haus'!B102="","",'Mein Haus'!B102)</f>
        <v/>
      </c>
      <c r="D62" s="21">
        <f>IF(AND('Mein Haus'!C102&lt;&gt;"",'Mein Haus'!B102&lt;&gt;"",Nebenkosten!$B$7&lt;&gt;""),MAX(IF('Mein Haus'!D102="",Nebenkosten!$B$7,'Mein Haus'!D102),Nebenkosten!$B$7),"")</f>
        <v/>
      </c>
      <c r="E62" s="21">
        <f>IF(AND('Mein Haus'!C102&lt;&gt;"",'Mein Haus'!B102&lt;&gt;"",Nebenkosten!$B$7&lt;&gt;""),MIN(IF('Mein Haus'!F102="",Nebenkosten!$D$7,'Mein Haus'!F102),Nebenkosten!$D$7),"")</f>
        <v/>
      </c>
      <c r="F62" s="10">
        <f>IF(D62="",0,MAX(0,E62-D62+1))</f>
        <v/>
      </c>
      <c r="G62" s="49">
        <f>IF(F62=0,0,F62/Nebenkosten!$F$7)</f>
        <v/>
      </c>
      <c r="H62" s="49">
        <f>IF(F62=0,0,SUMPRODUCT(O62:Z62,$O$3:$Z$3)/Einstellungen!$F$17)</f>
        <v/>
      </c>
      <c r="I62" s="19">
        <f>IF(F62=0,0,IFERROR(INDEX('Mein Haus'!$D$11:$D$40,MATCH(C62,'Mein Haus'!$A$11:$A$40,0)),0))</f>
        <v/>
      </c>
      <c r="J62" s="19">
        <f>IF(F62=0,0,IFERROR(INDEX('Mein Haus'!$E$11:$E$40,MATCH(C62,'Mein Haus'!$A$11:$A$40,0)),0))</f>
        <v/>
      </c>
      <c r="K62" s="19">
        <f>IF(F62=0,0,IFERROR(INDEX('Mein Haus'!$F$11:$F$40,MATCH(C62,'Mein Haus'!$A$11:$A$40,0)),0))</f>
        <v/>
      </c>
      <c r="L62" s="11">
        <f>IF(F62=0,0,N('Mein Haus'!H102)*SUM(O62:Z62))</f>
        <v/>
      </c>
      <c r="M62" s="22" t="n"/>
      <c r="N62" s="11">
        <f>IF(M62&lt;&gt;"",M62,L62)</f>
        <v/>
      </c>
      <c r="O62" s="19">
        <f>IF(F62=0,0,MAX(0,MIN(E62,EOMONTH(EDATE(Nebenkosten!$B$7,0),0))-MAX(D62,EDATE(Nebenkosten!$B$7,0))+1)/DAY(EOMONTH(EDATE(Nebenkosten!$B$7,0),0)))</f>
        <v/>
      </c>
      <c r="P62" s="19">
        <f>IF(F62=0,0,MAX(0,MIN(E62,EOMONTH(EDATE(Nebenkosten!$B$7,1),0))-MAX(D62,EDATE(Nebenkosten!$B$7,1))+1)/DAY(EOMONTH(EDATE(Nebenkosten!$B$7,1),0)))</f>
        <v/>
      </c>
      <c r="Q62" s="19">
        <f>IF(F62=0,0,MAX(0,MIN(E62,EOMONTH(EDATE(Nebenkosten!$B$7,2),0))-MAX(D62,EDATE(Nebenkosten!$B$7,2))+1)/DAY(EOMONTH(EDATE(Nebenkosten!$B$7,2),0)))</f>
        <v/>
      </c>
      <c r="R62" s="19">
        <f>IF(F62=0,0,MAX(0,MIN(E62,EOMONTH(EDATE(Nebenkosten!$B$7,3),0))-MAX(D62,EDATE(Nebenkosten!$B$7,3))+1)/DAY(EOMONTH(EDATE(Nebenkosten!$B$7,3),0)))</f>
        <v/>
      </c>
      <c r="S62" s="19">
        <f>IF(F62=0,0,MAX(0,MIN(E62,EOMONTH(EDATE(Nebenkosten!$B$7,4),0))-MAX(D62,EDATE(Nebenkosten!$B$7,4))+1)/DAY(EOMONTH(EDATE(Nebenkosten!$B$7,4),0)))</f>
        <v/>
      </c>
      <c r="T62" s="19">
        <f>IF(F62=0,0,MAX(0,MIN(E62,EOMONTH(EDATE(Nebenkosten!$B$7,5),0))-MAX(D62,EDATE(Nebenkosten!$B$7,5))+1)/DAY(EOMONTH(EDATE(Nebenkosten!$B$7,5),0)))</f>
        <v/>
      </c>
      <c r="U62" s="19">
        <f>IF(F62=0,0,MAX(0,MIN(E62,EOMONTH(EDATE(Nebenkosten!$B$7,6),0))-MAX(D62,EDATE(Nebenkosten!$B$7,6))+1)/DAY(EOMONTH(EDATE(Nebenkosten!$B$7,6),0)))</f>
        <v/>
      </c>
      <c r="V62" s="19">
        <f>IF(F62=0,0,MAX(0,MIN(E62,EOMONTH(EDATE(Nebenkosten!$B$7,7),0))-MAX(D62,EDATE(Nebenkosten!$B$7,7))+1)/DAY(EOMONTH(EDATE(Nebenkosten!$B$7,7),0)))</f>
        <v/>
      </c>
      <c r="W62" s="19">
        <f>IF(F62=0,0,MAX(0,MIN(E62,EOMONTH(EDATE(Nebenkosten!$B$7,8),0))-MAX(D62,EDATE(Nebenkosten!$B$7,8))+1)/DAY(EOMONTH(EDATE(Nebenkosten!$B$7,8),0)))</f>
        <v/>
      </c>
      <c r="X62" s="19">
        <f>IF(F62=0,0,MAX(0,MIN(E62,EOMONTH(EDATE(Nebenkosten!$B$7,9),0))-MAX(D62,EDATE(Nebenkosten!$B$7,9))+1)/DAY(EOMONTH(EDATE(Nebenkosten!$B$7,9),0)))</f>
        <v/>
      </c>
      <c r="Y62" s="19">
        <f>IF(F62=0,0,MAX(0,MIN(E62,EOMONTH(EDATE(Nebenkosten!$B$7,10),0))-MAX(D62,EDATE(Nebenkosten!$B$7,10))+1)/DAY(EOMONTH(EDATE(Nebenkosten!$B$7,10),0)))</f>
        <v/>
      </c>
      <c r="Z62" s="19">
        <f>IF(F62=0,0,MAX(0,MIN(E62,EOMONTH(EDATE(Nebenkosten!$B$7,11),0))-MAX(D62,EDATE(Nebenkosten!$B$7,11))+1)/DAY(EOMONTH(EDATE(Nebenkosten!$B$7,11),0)))</f>
        <v/>
      </c>
      <c r="AA62" s="11">
        <f>IF(OR(Nebenkosten!$B$10="",Nebenkosten!$E$10=0,$F62=0),0,Nebenkosten!$B$10*IF(Nebenkosten!$C$10="Fläche",$I62,IF(Nebenkosten!$C$10="Anteil",$J62,$K62))*IF(Nebenkosten!$D$10="Heizung",$H62,$G62)/Nebenkosten!$E$10)</f>
        <v/>
      </c>
      <c r="AB62" s="11">
        <f>IF(OR(Nebenkosten!$B$11="",Nebenkosten!$E$11=0,$F62=0),0,Nebenkosten!$B$11*IF(Nebenkosten!$C$11="Fläche",$I62,IF(Nebenkosten!$C$11="Anteil",$J62,$K62))*IF(Nebenkosten!$D$11="Heizung",$H62,$G62)/Nebenkosten!$E$11)</f>
        <v/>
      </c>
      <c r="AC62" s="11">
        <f>IF(OR(Nebenkosten!$B$12="",Nebenkosten!$E$12=0,$F62=0),0,Nebenkosten!$B$12*IF(Nebenkosten!$C$12="Fläche",$I62,IF(Nebenkosten!$C$12="Anteil",$J62,$K62))*IF(Nebenkosten!$D$12="Heizung",$H62,$G62)/Nebenkosten!$E$12)</f>
        <v/>
      </c>
      <c r="AD62" s="11">
        <f>IF(OR(Nebenkosten!$B$13="",Nebenkosten!$E$13=0,$F62=0),0,Nebenkosten!$B$13*IF(Nebenkosten!$C$13="Fläche",$I62,IF(Nebenkosten!$C$13="Anteil",$J62,$K62))*IF(Nebenkosten!$D$13="Heizung",$H62,$G62)/Nebenkosten!$E$13)</f>
        <v/>
      </c>
      <c r="AE62" s="11">
        <f>IF(OR(Nebenkosten!$B$14="",Nebenkosten!$E$14=0,$F62=0),0,Nebenkosten!$B$14*IF(Nebenkosten!$C$14="Fläche",$I62,IF(Nebenkosten!$C$14="Anteil",$J62,$K62))*IF(Nebenkosten!$D$14="Heizung",$H62,$G62)/Nebenkosten!$E$14)</f>
        <v/>
      </c>
      <c r="AF62" s="11">
        <f>IF(OR(Nebenkosten!$B$15="",Nebenkosten!$E$15=0,$F62=0),0,Nebenkosten!$B$15*IF(Nebenkosten!$C$15="Fläche",$I62,IF(Nebenkosten!$C$15="Anteil",$J62,$K62))*IF(Nebenkosten!$D$15="Heizung",$H62,$G62)/Nebenkosten!$E$15)</f>
        <v/>
      </c>
      <c r="AG62" s="11">
        <f>IF(OR(Nebenkosten!$B$16="",Nebenkosten!$E$16=0,$F62=0),0,Nebenkosten!$B$16*IF(Nebenkosten!$C$16="Fläche",$I62,IF(Nebenkosten!$C$16="Anteil",$J62,$K62))*IF(Nebenkosten!$D$16="Heizung",$H62,$G62)/Nebenkosten!$E$16)</f>
        <v/>
      </c>
      <c r="AH62" s="11">
        <f>IF(OR(Nebenkosten!$B$17="",Nebenkosten!$E$17=0,$F62=0),0,Nebenkosten!$B$17*IF(Nebenkosten!$C$17="Fläche",$I62,IF(Nebenkosten!$C$17="Anteil",$J62,$K62))*IF(Nebenkosten!$D$17="Heizung",$H62,$G62)/Nebenkosten!$E$17)</f>
        <v/>
      </c>
      <c r="AI62" s="11">
        <f>IF(OR(Nebenkosten!$B$18="",Nebenkosten!$E$18=0,$F62=0),0,Nebenkosten!$B$18*IF(Nebenkosten!$C$18="Fläche",$I62,IF(Nebenkosten!$C$18="Anteil",$J62,$K62))*IF(Nebenkosten!$D$18="Heizung",$H62,$G62)/Nebenkosten!$E$18)</f>
        <v/>
      </c>
      <c r="AJ62" s="11">
        <f>IF(OR(Nebenkosten!$B$19="",Nebenkosten!$E$19=0,$F62=0),0,Nebenkosten!$B$19*IF(Nebenkosten!$C$19="Fläche",$I62,IF(Nebenkosten!$C$19="Anteil",$J62,$K62))*IF(Nebenkosten!$D$19="Heizung",$H62,$G62)/Nebenkosten!$E$19)</f>
        <v/>
      </c>
      <c r="AK62" s="11">
        <f>IF(OR(Nebenkosten!$B$20="",Nebenkosten!$E$20=0,$F62=0),0,Nebenkosten!$B$20*IF(Nebenkosten!$C$20="Fläche",$I62,IF(Nebenkosten!$C$20="Anteil",$J62,$K62))*IF(Nebenkosten!$D$20="Heizung",$H62,$G62)/Nebenkosten!$E$20)</f>
        <v/>
      </c>
      <c r="AL62" s="11">
        <f>IF(OR(Nebenkosten!$B$21="",Nebenkosten!$E$21=0,$F62=0),0,Nebenkosten!$B$21*IF(Nebenkosten!$C$21="Fläche",$I62,IF(Nebenkosten!$C$21="Anteil",$J62,$K62))*IF(Nebenkosten!$D$21="Heizung",$H62,$G62)/Nebenkosten!$E$21)</f>
        <v/>
      </c>
      <c r="AM62" s="11">
        <f>IF(OR(Nebenkosten!$B$22="",Nebenkosten!$E$22=0,$F62=0),0,Nebenkosten!$B$22*IF(Nebenkosten!$C$22="Fläche",$I62,IF(Nebenkosten!$C$22="Anteil",$J62,$K62))*IF(Nebenkosten!$D$22="Heizung",$H62,$G62)/Nebenkosten!$E$22)</f>
        <v/>
      </c>
      <c r="AN62" s="11">
        <f>IF(OR(Nebenkosten!$B$23="",Nebenkosten!$E$23=0,$F62=0),0,Nebenkosten!$B$23*IF(Nebenkosten!$C$23="Fläche",$I62,IF(Nebenkosten!$C$23="Anteil",$J62,$K62))*IF(Nebenkosten!$D$23="Heizung",$H62,$G62)/Nebenkosten!$E$23)</f>
        <v/>
      </c>
      <c r="AO62" s="11">
        <f>IF(OR(Nebenkosten!$B$24="",Nebenkosten!$E$24=0,$F62=0),0,Nebenkosten!$B$24*IF(Nebenkosten!$C$24="Fläche",$I62,IF(Nebenkosten!$C$24="Anteil",$J62,$K62))*IF(Nebenkosten!$D$24="Heizung",$H62,$G62)/Nebenkosten!$E$24)</f>
        <v/>
      </c>
      <c r="AP62" s="11">
        <f>IF(OR(Nebenkosten!$B$25="",Nebenkosten!$E$25=0,$F62=0),0,Nebenkosten!$B$25*IF(Nebenkosten!$C$25="Fläche",$I62,IF(Nebenkosten!$C$25="Anteil",$J62,$K62))*IF(Nebenkosten!$D$25="Heizung",$H62,$G62)/Nebenkosten!$E$25)</f>
        <v/>
      </c>
      <c r="AQ62" s="11">
        <f>IF(OR(Nebenkosten!$B$26="",Nebenkosten!$E$26=0,$F62=0),0,Nebenkosten!$B$26*IF(Nebenkosten!$C$26="Fläche",$I62,IF(Nebenkosten!$C$26="Anteil",$J62,$K62))*IF(Nebenkosten!$D$26="Heizung",$H62,$G62)/Nebenkosten!$E$26)</f>
        <v/>
      </c>
      <c r="AR62" s="11">
        <f>IF(OR(Nebenkosten!$B$27="",Nebenkosten!$E$27=0,$F62=0),0,Nebenkosten!$B$27*IF(Nebenkosten!$C$27="Fläche",$I62,IF(Nebenkosten!$C$27="Anteil",$J62,$K62))*IF(Nebenkosten!$D$27="Heizung",$H62,$G62)/Nebenkosten!$E$27)</f>
        <v/>
      </c>
      <c r="AS62" s="11">
        <f>IF(OR(Nebenkosten!$B$28="",Nebenkosten!$E$28=0,$F62=0),0,Nebenkosten!$B$28*IF(Nebenkosten!$C$28="Fläche",$I62,IF(Nebenkosten!$C$28="Anteil",$J62,$K62))*IF(Nebenkosten!$D$28="Heizung",$H62,$G62)/Nebenkosten!$E$28)</f>
        <v/>
      </c>
      <c r="AT62" s="11">
        <f>IF(OR(Nebenkosten!$B$29="",Nebenkosten!$E$29=0,$F62=0),0,Nebenkosten!$B$29*IF(Nebenkosten!$C$29="Fläche",$I62,IF(Nebenkosten!$C$29="Anteil",$J62,$K62))*IF(Nebenkosten!$D$29="Heizung",$H62,$G62)/Nebenkosten!$E$29)</f>
        <v/>
      </c>
      <c r="AU62" s="11">
        <f>IF(OR(Nebenkosten!$B$30="",Nebenkosten!$E$30=0,$F62=0),0,Nebenkosten!$B$30*IF(Nebenkosten!$C$30="Fläche",$I62,IF(Nebenkosten!$C$30="Anteil",$J62,$K62))*IF(Nebenkosten!$D$30="Heizung",$H62,$G62)/Nebenkosten!$E$30)</f>
        <v/>
      </c>
      <c r="AV62" s="11">
        <f>IF(OR(Nebenkosten!$B$31="",Nebenkosten!$E$31=0,$F62=0),0,Nebenkosten!$B$31*IF(Nebenkosten!$C$31="Fläche",$I62,IF(Nebenkosten!$C$31="Anteil",$J62,$K62))*IF(Nebenkosten!$D$31="Heizung",$H62,$G62)/Nebenkosten!$E$31)</f>
        <v/>
      </c>
      <c r="AW62" s="11">
        <f>IF(OR(Nebenkosten!$B$32="",Nebenkosten!$E$32=0,$F62=0),0,Nebenkosten!$B$32*IF(Nebenkosten!$C$32="Fläche",$I62,IF(Nebenkosten!$C$32="Anteil",$J62,$K62))*IF(Nebenkosten!$D$32="Heizung",$H62,$G62)/Nebenkosten!$E$32)</f>
        <v/>
      </c>
      <c r="AX62" s="11">
        <f>IF(OR(Nebenkosten!$B$33="",Nebenkosten!$E$33=0,$F62=0),0,Nebenkosten!$B$33*IF(Nebenkosten!$C$33="Fläche",$I62,IF(Nebenkosten!$C$33="Anteil",$J62,$K62))*IF(Nebenkosten!$D$33="Heizung",$H62,$G62)/Nebenkosten!$E$33)</f>
        <v/>
      </c>
      <c r="AY62" s="11">
        <f>IF(OR(Nebenkosten!$B$34="",Nebenkosten!$E$34=0,$F62=0),0,Nebenkosten!$B$34*IF(Nebenkosten!$C$34="Fläche",$I62,IF(Nebenkosten!$C$34="Anteil",$J62,$K62))*IF(Nebenkosten!$D$34="Heizung",$H62,$G62)/Nebenkosten!$E$34)</f>
        <v/>
      </c>
      <c r="AZ62" s="11">
        <f>ROUND(SUM(AA62:AY62)*20,0)/20</f>
        <v/>
      </c>
      <c r="BA62" s="11">
        <f>IF(F62=0,0,N62)</f>
        <v/>
      </c>
      <c r="BB62" s="11">
        <f>AZ62-BA62</f>
        <v/>
      </c>
    </row>
    <row r="63">
      <c r="A63" s="10">
        <f>'Mein Haus'!A103</f>
        <v/>
      </c>
      <c r="B63" s="23">
        <f>IF('Mein Haus'!C103="","",'Mein Haus'!C103)</f>
        <v/>
      </c>
      <c r="C63" s="23">
        <f>IF('Mein Haus'!B103="","",'Mein Haus'!B103)</f>
        <v/>
      </c>
      <c r="D63" s="21">
        <f>IF(AND('Mein Haus'!C103&lt;&gt;"",'Mein Haus'!B103&lt;&gt;"",Nebenkosten!$B$7&lt;&gt;""),MAX(IF('Mein Haus'!D103="",Nebenkosten!$B$7,'Mein Haus'!D103),Nebenkosten!$B$7),"")</f>
        <v/>
      </c>
      <c r="E63" s="21">
        <f>IF(AND('Mein Haus'!C103&lt;&gt;"",'Mein Haus'!B103&lt;&gt;"",Nebenkosten!$B$7&lt;&gt;""),MIN(IF('Mein Haus'!F103="",Nebenkosten!$D$7,'Mein Haus'!F103),Nebenkosten!$D$7),"")</f>
        <v/>
      </c>
      <c r="F63" s="10">
        <f>IF(D63="",0,MAX(0,E63-D63+1))</f>
        <v/>
      </c>
      <c r="G63" s="49">
        <f>IF(F63=0,0,F63/Nebenkosten!$F$7)</f>
        <v/>
      </c>
      <c r="H63" s="49">
        <f>IF(F63=0,0,SUMPRODUCT(O63:Z63,$O$3:$Z$3)/Einstellungen!$F$17)</f>
        <v/>
      </c>
      <c r="I63" s="19">
        <f>IF(F63=0,0,IFERROR(INDEX('Mein Haus'!$D$11:$D$40,MATCH(C63,'Mein Haus'!$A$11:$A$40,0)),0))</f>
        <v/>
      </c>
      <c r="J63" s="19">
        <f>IF(F63=0,0,IFERROR(INDEX('Mein Haus'!$E$11:$E$40,MATCH(C63,'Mein Haus'!$A$11:$A$40,0)),0))</f>
        <v/>
      </c>
      <c r="K63" s="19">
        <f>IF(F63=0,0,IFERROR(INDEX('Mein Haus'!$F$11:$F$40,MATCH(C63,'Mein Haus'!$A$11:$A$40,0)),0))</f>
        <v/>
      </c>
      <c r="L63" s="11">
        <f>IF(F63=0,0,N('Mein Haus'!H103)*SUM(O63:Z63))</f>
        <v/>
      </c>
      <c r="M63" s="22" t="n"/>
      <c r="N63" s="11">
        <f>IF(M63&lt;&gt;"",M63,L63)</f>
        <v/>
      </c>
      <c r="O63" s="19">
        <f>IF(F63=0,0,MAX(0,MIN(E63,EOMONTH(EDATE(Nebenkosten!$B$7,0),0))-MAX(D63,EDATE(Nebenkosten!$B$7,0))+1)/DAY(EOMONTH(EDATE(Nebenkosten!$B$7,0),0)))</f>
        <v/>
      </c>
      <c r="P63" s="19">
        <f>IF(F63=0,0,MAX(0,MIN(E63,EOMONTH(EDATE(Nebenkosten!$B$7,1),0))-MAX(D63,EDATE(Nebenkosten!$B$7,1))+1)/DAY(EOMONTH(EDATE(Nebenkosten!$B$7,1),0)))</f>
        <v/>
      </c>
      <c r="Q63" s="19">
        <f>IF(F63=0,0,MAX(0,MIN(E63,EOMONTH(EDATE(Nebenkosten!$B$7,2),0))-MAX(D63,EDATE(Nebenkosten!$B$7,2))+1)/DAY(EOMONTH(EDATE(Nebenkosten!$B$7,2),0)))</f>
        <v/>
      </c>
      <c r="R63" s="19">
        <f>IF(F63=0,0,MAX(0,MIN(E63,EOMONTH(EDATE(Nebenkosten!$B$7,3),0))-MAX(D63,EDATE(Nebenkosten!$B$7,3))+1)/DAY(EOMONTH(EDATE(Nebenkosten!$B$7,3),0)))</f>
        <v/>
      </c>
      <c r="S63" s="19">
        <f>IF(F63=0,0,MAX(0,MIN(E63,EOMONTH(EDATE(Nebenkosten!$B$7,4),0))-MAX(D63,EDATE(Nebenkosten!$B$7,4))+1)/DAY(EOMONTH(EDATE(Nebenkosten!$B$7,4),0)))</f>
        <v/>
      </c>
      <c r="T63" s="19">
        <f>IF(F63=0,0,MAX(0,MIN(E63,EOMONTH(EDATE(Nebenkosten!$B$7,5),0))-MAX(D63,EDATE(Nebenkosten!$B$7,5))+1)/DAY(EOMONTH(EDATE(Nebenkosten!$B$7,5),0)))</f>
        <v/>
      </c>
      <c r="U63" s="19">
        <f>IF(F63=0,0,MAX(0,MIN(E63,EOMONTH(EDATE(Nebenkosten!$B$7,6),0))-MAX(D63,EDATE(Nebenkosten!$B$7,6))+1)/DAY(EOMONTH(EDATE(Nebenkosten!$B$7,6),0)))</f>
        <v/>
      </c>
      <c r="V63" s="19">
        <f>IF(F63=0,0,MAX(0,MIN(E63,EOMONTH(EDATE(Nebenkosten!$B$7,7),0))-MAX(D63,EDATE(Nebenkosten!$B$7,7))+1)/DAY(EOMONTH(EDATE(Nebenkosten!$B$7,7),0)))</f>
        <v/>
      </c>
      <c r="W63" s="19">
        <f>IF(F63=0,0,MAX(0,MIN(E63,EOMONTH(EDATE(Nebenkosten!$B$7,8),0))-MAX(D63,EDATE(Nebenkosten!$B$7,8))+1)/DAY(EOMONTH(EDATE(Nebenkosten!$B$7,8),0)))</f>
        <v/>
      </c>
      <c r="X63" s="19">
        <f>IF(F63=0,0,MAX(0,MIN(E63,EOMONTH(EDATE(Nebenkosten!$B$7,9),0))-MAX(D63,EDATE(Nebenkosten!$B$7,9))+1)/DAY(EOMONTH(EDATE(Nebenkosten!$B$7,9),0)))</f>
        <v/>
      </c>
      <c r="Y63" s="19">
        <f>IF(F63=0,0,MAX(0,MIN(E63,EOMONTH(EDATE(Nebenkosten!$B$7,10),0))-MAX(D63,EDATE(Nebenkosten!$B$7,10))+1)/DAY(EOMONTH(EDATE(Nebenkosten!$B$7,10),0)))</f>
        <v/>
      </c>
      <c r="Z63" s="19">
        <f>IF(F63=0,0,MAX(0,MIN(E63,EOMONTH(EDATE(Nebenkosten!$B$7,11),0))-MAX(D63,EDATE(Nebenkosten!$B$7,11))+1)/DAY(EOMONTH(EDATE(Nebenkosten!$B$7,11),0)))</f>
        <v/>
      </c>
      <c r="AA63" s="11">
        <f>IF(OR(Nebenkosten!$B$10="",Nebenkosten!$E$10=0,$F63=0),0,Nebenkosten!$B$10*IF(Nebenkosten!$C$10="Fläche",$I63,IF(Nebenkosten!$C$10="Anteil",$J63,$K63))*IF(Nebenkosten!$D$10="Heizung",$H63,$G63)/Nebenkosten!$E$10)</f>
        <v/>
      </c>
      <c r="AB63" s="11">
        <f>IF(OR(Nebenkosten!$B$11="",Nebenkosten!$E$11=0,$F63=0),0,Nebenkosten!$B$11*IF(Nebenkosten!$C$11="Fläche",$I63,IF(Nebenkosten!$C$11="Anteil",$J63,$K63))*IF(Nebenkosten!$D$11="Heizung",$H63,$G63)/Nebenkosten!$E$11)</f>
        <v/>
      </c>
      <c r="AC63" s="11">
        <f>IF(OR(Nebenkosten!$B$12="",Nebenkosten!$E$12=0,$F63=0),0,Nebenkosten!$B$12*IF(Nebenkosten!$C$12="Fläche",$I63,IF(Nebenkosten!$C$12="Anteil",$J63,$K63))*IF(Nebenkosten!$D$12="Heizung",$H63,$G63)/Nebenkosten!$E$12)</f>
        <v/>
      </c>
      <c r="AD63" s="11">
        <f>IF(OR(Nebenkosten!$B$13="",Nebenkosten!$E$13=0,$F63=0),0,Nebenkosten!$B$13*IF(Nebenkosten!$C$13="Fläche",$I63,IF(Nebenkosten!$C$13="Anteil",$J63,$K63))*IF(Nebenkosten!$D$13="Heizung",$H63,$G63)/Nebenkosten!$E$13)</f>
        <v/>
      </c>
      <c r="AE63" s="11">
        <f>IF(OR(Nebenkosten!$B$14="",Nebenkosten!$E$14=0,$F63=0),0,Nebenkosten!$B$14*IF(Nebenkosten!$C$14="Fläche",$I63,IF(Nebenkosten!$C$14="Anteil",$J63,$K63))*IF(Nebenkosten!$D$14="Heizung",$H63,$G63)/Nebenkosten!$E$14)</f>
        <v/>
      </c>
      <c r="AF63" s="11">
        <f>IF(OR(Nebenkosten!$B$15="",Nebenkosten!$E$15=0,$F63=0),0,Nebenkosten!$B$15*IF(Nebenkosten!$C$15="Fläche",$I63,IF(Nebenkosten!$C$15="Anteil",$J63,$K63))*IF(Nebenkosten!$D$15="Heizung",$H63,$G63)/Nebenkosten!$E$15)</f>
        <v/>
      </c>
      <c r="AG63" s="11">
        <f>IF(OR(Nebenkosten!$B$16="",Nebenkosten!$E$16=0,$F63=0),0,Nebenkosten!$B$16*IF(Nebenkosten!$C$16="Fläche",$I63,IF(Nebenkosten!$C$16="Anteil",$J63,$K63))*IF(Nebenkosten!$D$16="Heizung",$H63,$G63)/Nebenkosten!$E$16)</f>
        <v/>
      </c>
      <c r="AH63" s="11">
        <f>IF(OR(Nebenkosten!$B$17="",Nebenkosten!$E$17=0,$F63=0),0,Nebenkosten!$B$17*IF(Nebenkosten!$C$17="Fläche",$I63,IF(Nebenkosten!$C$17="Anteil",$J63,$K63))*IF(Nebenkosten!$D$17="Heizung",$H63,$G63)/Nebenkosten!$E$17)</f>
        <v/>
      </c>
      <c r="AI63" s="11">
        <f>IF(OR(Nebenkosten!$B$18="",Nebenkosten!$E$18=0,$F63=0),0,Nebenkosten!$B$18*IF(Nebenkosten!$C$18="Fläche",$I63,IF(Nebenkosten!$C$18="Anteil",$J63,$K63))*IF(Nebenkosten!$D$18="Heizung",$H63,$G63)/Nebenkosten!$E$18)</f>
        <v/>
      </c>
      <c r="AJ63" s="11">
        <f>IF(OR(Nebenkosten!$B$19="",Nebenkosten!$E$19=0,$F63=0),0,Nebenkosten!$B$19*IF(Nebenkosten!$C$19="Fläche",$I63,IF(Nebenkosten!$C$19="Anteil",$J63,$K63))*IF(Nebenkosten!$D$19="Heizung",$H63,$G63)/Nebenkosten!$E$19)</f>
        <v/>
      </c>
      <c r="AK63" s="11">
        <f>IF(OR(Nebenkosten!$B$20="",Nebenkosten!$E$20=0,$F63=0),0,Nebenkosten!$B$20*IF(Nebenkosten!$C$20="Fläche",$I63,IF(Nebenkosten!$C$20="Anteil",$J63,$K63))*IF(Nebenkosten!$D$20="Heizung",$H63,$G63)/Nebenkosten!$E$20)</f>
        <v/>
      </c>
      <c r="AL63" s="11">
        <f>IF(OR(Nebenkosten!$B$21="",Nebenkosten!$E$21=0,$F63=0),0,Nebenkosten!$B$21*IF(Nebenkosten!$C$21="Fläche",$I63,IF(Nebenkosten!$C$21="Anteil",$J63,$K63))*IF(Nebenkosten!$D$21="Heizung",$H63,$G63)/Nebenkosten!$E$21)</f>
        <v/>
      </c>
      <c r="AM63" s="11">
        <f>IF(OR(Nebenkosten!$B$22="",Nebenkosten!$E$22=0,$F63=0),0,Nebenkosten!$B$22*IF(Nebenkosten!$C$22="Fläche",$I63,IF(Nebenkosten!$C$22="Anteil",$J63,$K63))*IF(Nebenkosten!$D$22="Heizung",$H63,$G63)/Nebenkosten!$E$22)</f>
        <v/>
      </c>
      <c r="AN63" s="11">
        <f>IF(OR(Nebenkosten!$B$23="",Nebenkosten!$E$23=0,$F63=0),0,Nebenkosten!$B$23*IF(Nebenkosten!$C$23="Fläche",$I63,IF(Nebenkosten!$C$23="Anteil",$J63,$K63))*IF(Nebenkosten!$D$23="Heizung",$H63,$G63)/Nebenkosten!$E$23)</f>
        <v/>
      </c>
      <c r="AO63" s="11">
        <f>IF(OR(Nebenkosten!$B$24="",Nebenkosten!$E$24=0,$F63=0),0,Nebenkosten!$B$24*IF(Nebenkosten!$C$24="Fläche",$I63,IF(Nebenkosten!$C$24="Anteil",$J63,$K63))*IF(Nebenkosten!$D$24="Heizung",$H63,$G63)/Nebenkosten!$E$24)</f>
        <v/>
      </c>
      <c r="AP63" s="11">
        <f>IF(OR(Nebenkosten!$B$25="",Nebenkosten!$E$25=0,$F63=0),0,Nebenkosten!$B$25*IF(Nebenkosten!$C$25="Fläche",$I63,IF(Nebenkosten!$C$25="Anteil",$J63,$K63))*IF(Nebenkosten!$D$25="Heizung",$H63,$G63)/Nebenkosten!$E$25)</f>
        <v/>
      </c>
      <c r="AQ63" s="11">
        <f>IF(OR(Nebenkosten!$B$26="",Nebenkosten!$E$26=0,$F63=0),0,Nebenkosten!$B$26*IF(Nebenkosten!$C$26="Fläche",$I63,IF(Nebenkosten!$C$26="Anteil",$J63,$K63))*IF(Nebenkosten!$D$26="Heizung",$H63,$G63)/Nebenkosten!$E$26)</f>
        <v/>
      </c>
      <c r="AR63" s="11">
        <f>IF(OR(Nebenkosten!$B$27="",Nebenkosten!$E$27=0,$F63=0),0,Nebenkosten!$B$27*IF(Nebenkosten!$C$27="Fläche",$I63,IF(Nebenkosten!$C$27="Anteil",$J63,$K63))*IF(Nebenkosten!$D$27="Heizung",$H63,$G63)/Nebenkosten!$E$27)</f>
        <v/>
      </c>
      <c r="AS63" s="11">
        <f>IF(OR(Nebenkosten!$B$28="",Nebenkosten!$E$28=0,$F63=0),0,Nebenkosten!$B$28*IF(Nebenkosten!$C$28="Fläche",$I63,IF(Nebenkosten!$C$28="Anteil",$J63,$K63))*IF(Nebenkosten!$D$28="Heizung",$H63,$G63)/Nebenkosten!$E$28)</f>
        <v/>
      </c>
      <c r="AT63" s="11">
        <f>IF(OR(Nebenkosten!$B$29="",Nebenkosten!$E$29=0,$F63=0),0,Nebenkosten!$B$29*IF(Nebenkosten!$C$29="Fläche",$I63,IF(Nebenkosten!$C$29="Anteil",$J63,$K63))*IF(Nebenkosten!$D$29="Heizung",$H63,$G63)/Nebenkosten!$E$29)</f>
        <v/>
      </c>
      <c r="AU63" s="11">
        <f>IF(OR(Nebenkosten!$B$30="",Nebenkosten!$E$30=0,$F63=0),0,Nebenkosten!$B$30*IF(Nebenkosten!$C$30="Fläche",$I63,IF(Nebenkosten!$C$30="Anteil",$J63,$K63))*IF(Nebenkosten!$D$30="Heizung",$H63,$G63)/Nebenkosten!$E$30)</f>
        <v/>
      </c>
      <c r="AV63" s="11">
        <f>IF(OR(Nebenkosten!$B$31="",Nebenkosten!$E$31=0,$F63=0),0,Nebenkosten!$B$31*IF(Nebenkosten!$C$31="Fläche",$I63,IF(Nebenkosten!$C$31="Anteil",$J63,$K63))*IF(Nebenkosten!$D$31="Heizung",$H63,$G63)/Nebenkosten!$E$31)</f>
        <v/>
      </c>
      <c r="AW63" s="11">
        <f>IF(OR(Nebenkosten!$B$32="",Nebenkosten!$E$32=0,$F63=0),0,Nebenkosten!$B$32*IF(Nebenkosten!$C$32="Fläche",$I63,IF(Nebenkosten!$C$32="Anteil",$J63,$K63))*IF(Nebenkosten!$D$32="Heizung",$H63,$G63)/Nebenkosten!$E$32)</f>
        <v/>
      </c>
      <c r="AX63" s="11">
        <f>IF(OR(Nebenkosten!$B$33="",Nebenkosten!$E$33=0,$F63=0),0,Nebenkosten!$B$33*IF(Nebenkosten!$C$33="Fläche",$I63,IF(Nebenkosten!$C$33="Anteil",$J63,$K63))*IF(Nebenkosten!$D$33="Heizung",$H63,$G63)/Nebenkosten!$E$33)</f>
        <v/>
      </c>
      <c r="AY63" s="11">
        <f>IF(OR(Nebenkosten!$B$34="",Nebenkosten!$E$34=0,$F63=0),0,Nebenkosten!$B$34*IF(Nebenkosten!$C$34="Fläche",$I63,IF(Nebenkosten!$C$34="Anteil",$J63,$K63))*IF(Nebenkosten!$D$34="Heizung",$H63,$G63)/Nebenkosten!$E$34)</f>
        <v/>
      </c>
      <c r="AZ63" s="11">
        <f>ROUND(SUM(AA63:AY63)*20,0)/20</f>
        <v/>
      </c>
      <c r="BA63" s="11">
        <f>IF(F63=0,0,N63)</f>
        <v/>
      </c>
      <c r="BB63" s="11">
        <f>AZ63-BA63</f>
        <v/>
      </c>
    </row>
    <row r="64">
      <c r="A64" s="10">
        <f>'Mein Haus'!A104</f>
        <v/>
      </c>
      <c r="B64" s="23">
        <f>IF('Mein Haus'!C104="","",'Mein Haus'!C104)</f>
        <v/>
      </c>
      <c r="C64" s="23">
        <f>IF('Mein Haus'!B104="","",'Mein Haus'!B104)</f>
        <v/>
      </c>
      <c r="D64" s="21">
        <f>IF(AND('Mein Haus'!C104&lt;&gt;"",'Mein Haus'!B104&lt;&gt;"",Nebenkosten!$B$7&lt;&gt;""),MAX(IF('Mein Haus'!D104="",Nebenkosten!$B$7,'Mein Haus'!D104),Nebenkosten!$B$7),"")</f>
        <v/>
      </c>
      <c r="E64" s="21">
        <f>IF(AND('Mein Haus'!C104&lt;&gt;"",'Mein Haus'!B104&lt;&gt;"",Nebenkosten!$B$7&lt;&gt;""),MIN(IF('Mein Haus'!F104="",Nebenkosten!$D$7,'Mein Haus'!F104),Nebenkosten!$D$7),"")</f>
        <v/>
      </c>
      <c r="F64" s="10">
        <f>IF(D64="",0,MAX(0,E64-D64+1))</f>
        <v/>
      </c>
      <c r="G64" s="49">
        <f>IF(F64=0,0,F64/Nebenkosten!$F$7)</f>
        <v/>
      </c>
      <c r="H64" s="49">
        <f>IF(F64=0,0,SUMPRODUCT(O64:Z64,$O$3:$Z$3)/Einstellungen!$F$17)</f>
        <v/>
      </c>
      <c r="I64" s="19">
        <f>IF(F64=0,0,IFERROR(INDEX('Mein Haus'!$D$11:$D$40,MATCH(C64,'Mein Haus'!$A$11:$A$40,0)),0))</f>
        <v/>
      </c>
      <c r="J64" s="19">
        <f>IF(F64=0,0,IFERROR(INDEX('Mein Haus'!$E$11:$E$40,MATCH(C64,'Mein Haus'!$A$11:$A$40,0)),0))</f>
        <v/>
      </c>
      <c r="K64" s="19">
        <f>IF(F64=0,0,IFERROR(INDEX('Mein Haus'!$F$11:$F$40,MATCH(C64,'Mein Haus'!$A$11:$A$40,0)),0))</f>
        <v/>
      </c>
      <c r="L64" s="11">
        <f>IF(F64=0,0,N('Mein Haus'!H104)*SUM(O64:Z64))</f>
        <v/>
      </c>
      <c r="M64" s="22" t="n"/>
      <c r="N64" s="11">
        <f>IF(M64&lt;&gt;"",M64,L64)</f>
        <v/>
      </c>
      <c r="O64" s="19">
        <f>IF(F64=0,0,MAX(0,MIN(E64,EOMONTH(EDATE(Nebenkosten!$B$7,0),0))-MAX(D64,EDATE(Nebenkosten!$B$7,0))+1)/DAY(EOMONTH(EDATE(Nebenkosten!$B$7,0),0)))</f>
        <v/>
      </c>
      <c r="P64" s="19">
        <f>IF(F64=0,0,MAX(0,MIN(E64,EOMONTH(EDATE(Nebenkosten!$B$7,1),0))-MAX(D64,EDATE(Nebenkosten!$B$7,1))+1)/DAY(EOMONTH(EDATE(Nebenkosten!$B$7,1),0)))</f>
        <v/>
      </c>
      <c r="Q64" s="19">
        <f>IF(F64=0,0,MAX(0,MIN(E64,EOMONTH(EDATE(Nebenkosten!$B$7,2),0))-MAX(D64,EDATE(Nebenkosten!$B$7,2))+1)/DAY(EOMONTH(EDATE(Nebenkosten!$B$7,2),0)))</f>
        <v/>
      </c>
      <c r="R64" s="19">
        <f>IF(F64=0,0,MAX(0,MIN(E64,EOMONTH(EDATE(Nebenkosten!$B$7,3),0))-MAX(D64,EDATE(Nebenkosten!$B$7,3))+1)/DAY(EOMONTH(EDATE(Nebenkosten!$B$7,3),0)))</f>
        <v/>
      </c>
      <c r="S64" s="19">
        <f>IF(F64=0,0,MAX(0,MIN(E64,EOMONTH(EDATE(Nebenkosten!$B$7,4),0))-MAX(D64,EDATE(Nebenkosten!$B$7,4))+1)/DAY(EOMONTH(EDATE(Nebenkosten!$B$7,4),0)))</f>
        <v/>
      </c>
      <c r="T64" s="19">
        <f>IF(F64=0,0,MAX(0,MIN(E64,EOMONTH(EDATE(Nebenkosten!$B$7,5),0))-MAX(D64,EDATE(Nebenkosten!$B$7,5))+1)/DAY(EOMONTH(EDATE(Nebenkosten!$B$7,5),0)))</f>
        <v/>
      </c>
      <c r="U64" s="19">
        <f>IF(F64=0,0,MAX(0,MIN(E64,EOMONTH(EDATE(Nebenkosten!$B$7,6),0))-MAX(D64,EDATE(Nebenkosten!$B$7,6))+1)/DAY(EOMONTH(EDATE(Nebenkosten!$B$7,6),0)))</f>
        <v/>
      </c>
      <c r="V64" s="19">
        <f>IF(F64=0,0,MAX(0,MIN(E64,EOMONTH(EDATE(Nebenkosten!$B$7,7),0))-MAX(D64,EDATE(Nebenkosten!$B$7,7))+1)/DAY(EOMONTH(EDATE(Nebenkosten!$B$7,7),0)))</f>
        <v/>
      </c>
      <c r="W64" s="19">
        <f>IF(F64=0,0,MAX(0,MIN(E64,EOMONTH(EDATE(Nebenkosten!$B$7,8),0))-MAX(D64,EDATE(Nebenkosten!$B$7,8))+1)/DAY(EOMONTH(EDATE(Nebenkosten!$B$7,8),0)))</f>
        <v/>
      </c>
      <c r="X64" s="19">
        <f>IF(F64=0,0,MAX(0,MIN(E64,EOMONTH(EDATE(Nebenkosten!$B$7,9),0))-MAX(D64,EDATE(Nebenkosten!$B$7,9))+1)/DAY(EOMONTH(EDATE(Nebenkosten!$B$7,9),0)))</f>
        <v/>
      </c>
      <c r="Y64" s="19">
        <f>IF(F64=0,0,MAX(0,MIN(E64,EOMONTH(EDATE(Nebenkosten!$B$7,10),0))-MAX(D64,EDATE(Nebenkosten!$B$7,10))+1)/DAY(EOMONTH(EDATE(Nebenkosten!$B$7,10),0)))</f>
        <v/>
      </c>
      <c r="Z64" s="19">
        <f>IF(F64=0,0,MAX(0,MIN(E64,EOMONTH(EDATE(Nebenkosten!$B$7,11),0))-MAX(D64,EDATE(Nebenkosten!$B$7,11))+1)/DAY(EOMONTH(EDATE(Nebenkosten!$B$7,11),0)))</f>
        <v/>
      </c>
      <c r="AA64" s="11">
        <f>IF(OR(Nebenkosten!$B$10="",Nebenkosten!$E$10=0,$F64=0),0,Nebenkosten!$B$10*IF(Nebenkosten!$C$10="Fläche",$I64,IF(Nebenkosten!$C$10="Anteil",$J64,$K64))*IF(Nebenkosten!$D$10="Heizung",$H64,$G64)/Nebenkosten!$E$10)</f>
        <v/>
      </c>
      <c r="AB64" s="11">
        <f>IF(OR(Nebenkosten!$B$11="",Nebenkosten!$E$11=0,$F64=0),0,Nebenkosten!$B$11*IF(Nebenkosten!$C$11="Fläche",$I64,IF(Nebenkosten!$C$11="Anteil",$J64,$K64))*IF(Nebenkosten!$D$11="Heizung",$H64,$G64)/Nebenkosten!$E$11)</f>
        <v/>
      </c>
      <c r="AC64" s="11">
        <f>IF(OR(Nebenkosten!$B$12="",Nebenkosten!$E$12=0,$F64=0),0,Nebenkosten!$B$12*IF(Nebenkosten!$C$12="Fläche",$I64,IF(Nebenkosten!$C$12="Anteil",$J64,$K64))*IF(Nebenkosten!$D$12="Heizung",$H64,$G64)/Nebenkosten!$E$12)</f>
        <v/>
      </c>
      <c r="AD64" s="11">
        <f>IF(OR(Nebenkosten!$B$13="",Nebenkosten!$E$13=0,$F64=0),0,Nebenkosten!$B$13*IF(Nebenkosten!$C$13="Fläche",$I64,IF(Nebenkosten!$C$13="Anteil",$J64,$K64))*IF(Nebenkosten!$D$13="Heizung",$H64,$G64)/Nebenkosten!$E$13)</f>
        <v/>
      </c>
      <c r="AE64" s="11">
        <f>IF(OR(Nebenkosten!$B$14="",Nebenkosten!$E$14=0,$F64=0),0,Nebenkosten!$B$14*IF(Nebenkosten!$C$14="Fläche",$I64,IF(Nebenkosten!$C$14="Anteil",$J64,$K64))*IF(Nebenkosten!$D$14="Heizung",$H64,$G64)/Nebenkosten!$E$14)</f>
        <v/>
      </c>
      <c r="AF64" s="11">
        <f>IF(OR(Nebenkosten!$B$15="",Nebenkosten!$E$15=0,$F64=0),0,Nebenkosten!$B$15*IF(Nebenkosten!$C$15="Fläche",$I64,IF(Nebenkosten!$C$15="Anteil",$J64,$K64))*IF(Nebenkosten!$D$15="Heizung",$H64,$G64)/Nebenkosten!$E$15)</f>
        <v/>
      </c>
      <c r="AG64" s="11">
        <f>IF(OR(Nebenkosten!$B$16="",Nebenkosten!$E$16=0,$F64=0),0,Nebenkosten!$B$16*IF(Nebenkosten!$C$16="Fläche",$I64,IF(Nebenkosten!$C$16="Anteil",$J64,$K64))*IF(Nebenkosten!$D$16="Heizung",$H64,$G64)/Nebenkosten!$E$16)</f>
        <v/>
      </c>
      <c r="AH64" s="11">
        <f>IF(OR(Nebenkosten!$B$17="",Nebenkosten!$E$17=0,$F64=0),0,Nebenkosten!$B$17*IF(Nebenkosten!$C$17="Fläche",$I64,IF(Nebenkosten!$C$17="Anteil",$J64,$K64))*IF(Nebenkosten!$D$17="Heizung",$H64,$G64)/Nebenkosten!$E$17)</f>
        <v/>
      </c>
      <c r="AI64" s="11">
        <f>IF(OR(Nebenkosten!$B$18="",Nebenkosten!$E$18=0,$F64=0),0,Nebenkosten!$B$18*IF(Nebenkosten!$C$18="Fläche",$I64,IF(Nebenkosten!$C$18="Anteil",$J64,$K64))*IF(Nebenkosten!$D$18="Heizung",$H64,$G64)/Nebenkosten!$E$18)</f>
        <v/>
      </c>
      <c r="AJ64" s="11">
        <f>IF(OR(Nebenkosten!$B$19="",Nebenkosten!$E$19=0,$F64=0),0,Nebenkosten!$B$19*IF(Nebenkosten!$C$19="Fläche",$I64,IF(Nebenkosten!$C$19="Anteil",$J64,$K64))*IF(Nebenkosten!$D$19="Heizung",$H64,$G64)/Nebenkosten!$E$19)</f>
        <v/>
      </c>
      <c r="AK64" s="11">
        <f>IF(OR(Nebenkosten!$B$20="",Nebenkosten!$E$20=0,$F64=0),0,Nebenkosten!$B$20*IF(Nebenkosten!$C$20="Fläche",$I64,IF(Nebenkosten!$C$20="Anteil",$J64,$K64))*IF(Nebenkosten!$D$20="Heizung",$H64,$G64)/Nebenkosten!$E$20)</f>
        <v/>
      </c>
      <c r="AL64" s="11">
        <f>IF(OR(Nebenkosten!$B$21="",Nebenkosten!$E$21=0,$F64=0),0,Nebenkosten!$B$21*IF(Nebenkosten!$C$21="Fläche",$I64,IF(Nebenkosten!$C$21="Anteil",$J64,$K64))*IF(Nebenkosten!$D$21="Heizung",$H64,$G64)/Nebenkosten!$E$21)</f>
        <v/>
      </c>
      <c r="AM64" s="11">
        <f>IF(OR(Nebenkosten!$B$22="",Nebenkosten!$E$22=0,$F64=0),0,Nebenkosten!$B$22*IF(Nebenkosten!$C$22="Fläche",$I64,IF(Nebenkosten!$C$22="Anteil",$J64,$K64))*IF(Nebenkosten!$D$22="Heizung",$H64,$G64)/Nebenkosten!$E$22)</f>
        <v/>
      </c>
      <c r="AN64" s="11">
        <f>IF(OR(Nebenkosten!$B$23="",Nebenkosten!$E$23=0,$F64=0),0,Nebenkosten!$B$23*IF(Nebenkosten!$C$23="Fläche",$I64,IF(Nebenkosten!$C$23="Anteil",$J64,$K64))*IF(Nebenkosten!$D$23="Heizung",$H64,$G64)/Nebenkosten!$E$23)</f>
        <v/>
      </c>
      <c r="AO64" s="11">
        <f>IF(OR(Nebenkosten!$B$24="",Nebenkosten!$E$24=0,$F64=0),0,Nebenkosten!$B$24*IF(Nebenkosten!$C$24="Fläche",$I64,IF(Nebenkosten!$C$24="Anteil",$J64,$K64))*IF(Nebenkosten!$D$24="Heizung",$H64,$G64)/Nebenkosten!$E$24)</f>
        <v/>
      </c>
      <c r="AP64" s="11">
        <f>IF(OR(Nebenkosten!$B$25="",Nebenkosten!$E$25=0,$F64=0),0,Nebenkosten!$B$25*IF(Nebenkosten!$C$25="Fläche",$I64,IF(Nebenkosten!$C$25="Anteil",$J64,$K64))*IF(Nebenkosten!$D$25="Heizung",$H64,$G64)/Nebenkosten!$E$25)</f>
        <v/>
      </c>
      <c r="AQ64" s="11">
        <f>IF(OR(Nebenkosten!$B$26="",Nebenkosten!$E$26=0,$F64=0),0,Nebenkosten!$B$26*IF(Nebenkosten!$C$26="Fläche",$I64,IF(Nebenkosten!$C$26="Anteil",$J64,$K64))*IF(Nebenkosten!$D$26="Heizung",$H64,$G64)/Nebenkosten!$E$26)</f>
        <v/>
      </c>
      <c r="AR64" s="11">
        <f>IF(OR(Nebenkosten!$B$27="",Nebenkosten!$E$27=0,$F64=0),0,Nebenkosten!$B$27*IF(Nebenkosten!$C$27="Fläche",$I64,IF(Nebenkosten!$C$27="Anteil",$J64,$K64))*IF(Nebenkosten!$D$27="Heizung",$H64,$G64)/Nebenkosten!$E$27)</f>
        <v/>
      </c>
      <c r="AS64" s="11">
        <f>IF(OR(Nebenkosten!$B$28="",Nebenkosten!$E$28=0,$F64=0),0,Nebenkosten!$B$28*IF(Nebenkosten!$C$28="Fläche",$I64,IF(Nebenkosten!$C$28="Anteil",$J64,$K64))*IF(Nebenkosten!$D$28="Heizung",$H64,$G64)/Nebenkosten!$E$28)</f>
        <v/>
      </c>
      <c r="AT64" s="11">
        <f>IF(OR(Nebenkosten!$B$29="",Nebenkosten!$E$29=0,$F64=0),0,Nebenkosten!$B$29*IF(Nebenkosten!$C$29="Fläche",$I64,IF(Nebenkosten!$C$29="Anteil",$J64,$K64))*IF(Nebenkosten!$D$29="Heizung",$H64,$G64)/Nebenkosten!$E$29)</f>
        <v/>
      </c>
      <c r="AU64" s="11">
        <f>IF(OR(Nebenkosten!$B$30="",Nebenkosten!$E$30=0,$F64=0),0,Nebenkosten!$B$30*IF(Nebenkosten!$C$30="Fläche",$I64,IF(Nebenkosten!$C$30="Anteil",$J64,$K64))*IF(Nebenkosten!$D$30="Heizung",$H64,$G64)/Nebenkosten!$E$30)</f>
        <v/>
      </c>
      <c r="AV64" s="11">
        <f>IF(OR(Nebenkosten!$B$31="",Nebenkosten!$E$31=0,$F64=0),0,Nebenkosten!$B$31*IF(Nebenkosten!$C$31="Fläche",$I64,IF(Nebenkosten!$C$31="Anteil",$J64,$K64))*IF(Nebenkosten!$D$31="Heizung",$H64,$G64)/Nebenkosten!$E$31)</f>
        <v/>
      </c>
      <c r="AW64" s="11">
        <f>IF(OR(Nebenkosten!$B$32="",Nebenkosten!$E$32=0,$F64=0),0,Nebenkosten!$B$32*IF(Nebenkosten!$C$32="Fläche",$I64,IF(Nebenkosten!$C$32="Anteil",$J64,$K64))*IF(Nebenkosten!$D$32="Heizung",$H64,$G64)/Nebenkosten!$E$32)</f>
        <v/>
      </c>
      <c r="AX64" s="11">
        <f>IF(OR(Nebenkosten!$B$33="",Nebenkosten!$E$33=0,$F64=0),0,Nebenkosten!$B$33*IF(Nebenkosten!$C$33="Fläche",$I64,IF(Nebenkosten!$C$33="Anteil",$J64,$K64))*IF(Nebenkosten!$D$33="Heizung",$H64,$G64)/Nebenkosten!$E$33)</f>
        <v/>
      </c>
      <c r="AY64" s="11">
        <f>IF(OR(Nebenkosten!$B$34="",Nebenkosten!$E$34=0,$F64=0),0,Nebenkosten!$B$34*IF(Nebenkosten!$C$34="Fläche",$I64,IF(Nebenkosten!$C$34="Anteil",$J64,$K64))*IF(Nebenkosten!$D$34="Heizung",$H64,$G64)/Nebenkosten!$E$34)</f>
        <v/>
      </c>
      <c r="AZ64" s="11">
        <f>ROUND(SUM(AA64:AY64)*20,0)/20</f>
        <v/>
      </c>
      <c r="BA64" s="11">
        <f>IF(F64=0,0,N64)</f>
        <v/>
      </c>
      <c r="BB64" s="11">
        <f>AZ64-BA64</f>
        <v/>
      </c>
    </row>
    <row r="65">
      <c r="B65" s="15" t="inlineStr">
        <is>
          <t>Summe Mieter</t>
        </is>
      </c>
      <c r="AA65" s="11">
        <f>SUM(AA5:AA64)</f>
        <v/>
      </c>
      <c r="AB65" s="11">
        <f>SUM(AB5:AB64)</f>
        <v/>
      </c>
      <c r="AC65" s="11">
        <f>SUM(AC5:AC64)</f>
        <v/>
      </c>
      <c r="AD65" s="11">
        <f>SUM(AD5:AD64)</f>
        <v/>
      </c>
      <c r="AE65" s="11">
        <f>SUM(AE5:AE64)</f>
        <v/>
      </c>
      <c r="AF65" s="11">
        <f>SUM(AF5:AF64)</f>
        <v/>
      </c>
      <c r="AG65" s="11">
        <f>SUM(AG5:AG64)</f>
        <v/>
      </c>
      <c r="AH65" s="11">
        <f>SUM(AH5:AH64)</f>
        <v/>
      </c>
      <c r="AI65" s="11">
        <f>SUM(AI5:AI64)</f>
        <v/>
      </c>
      <c r="AJ65" s="11">
        <f>SUM(AJ5:AJ64)</f>
        <v/>
      </c>
      <c r="AK65" s="11">
        <f>SUM(AK5:AK64)</f>
        <v/>
      </c>
      <c r="AL65" s="11">
        <f>SUM(AL5:AL64)</f>
        <v/>
      </c>
      <c r="AM65" s="11">
        <f>SUM(AM5:AM64)</f>
        <v/>
      </c>
      <c r="AN65" s="11">
        <f>SUM(AN5:AN64)</f>
        <v/>
      </c>
      <c r="AO65" s="11">
        <f>SUM(AO5:AO64)</f>
        <v/>
      </c>
      <c r="AP65" s="11">
        <f>SUM(AP5:AP64)</f>
        <v/>
      </c>
      <c r="AQ65" s="11">
        <f>SUM(AQ5:AQ64)</f>
        <v/>
      </c>
      <c r="AR65" s="11">
        <f>SUM(AR5:AR64)</f>
        <v/>
      </c>
      <c r="AS65" s="11">
        <f>SUM(AS5:AS64)</f>
        <v/>
      </c>
      <c r="AT65" s="11">
        <f>SUM(AT5:AT64)</f>
        <v/>
      </c>
      <c r="AU65" s="11">
        <f>SUM(AU5:AU64)</f>
        <v/>
      </c>
      <c r="AV65" s="11">
        <f>SUM(AV5:AV64)</f>
        <v/>
      </c>
      <c r="AW65" s="11">
        <f>SUM(AW5:AW64)</f>
        <v/>
      </c>
      <c r="AX65" s="11">
        <f>SUM(AX5:AX64)</f>
        <v/>
      </c>
      <c r="AY65" s="11">
        <f>SUM(AY5:AY64)</f>
        <v/>
      </c>
      <c r="AZ65" s="11">
        <f>SUM(AZ5:AZ64)</f>
        <v/>
      </c>
    </row>
    <row r="66">
      <c r="B66" s="15" t="inlineStr">
        <is>
          <t>Leerstand / Eigentümer</t>
        </is>
      </c>
      <c r="AA66" s="11">
        <f>N(Nebenkosten!B10)-AA65</f>
        <v/>
      </c>
      <c r="AB66" s="11">
        <f>N(Nebenkosten!B11)-AB65</f>
        <v/>
      </c>
      <c r="AC66" s="11">
        <f>N(Nebenkosten!B12)-AC65</f>
        <v/>
      </c>
      <c r="AD66" s="11">
        <f>N(Nebenkosten!B13)-AD65</f>
        <v/>
      </c>
      <c r="AE66" s="11">
        <f>N(Nebenkosten!B14)-AE65</f>
        <v/>
      </c>
      <c r="AF66" s="11">
        <f>N(Nebenkosten!B15)-AF65</f>
        <v/>
      </c>
      <c r="AG66" s="11">
        <f>N(Nebenkosten!B16)-AG65</f>
        <v/>
      </c>
      <c r="AH66" s="11">
        <f>N(Nebenkosten!B17)-AH65</f>
        <v/>
      </c>
      <c r="AI66" s="11">
        <f>N(Nebenkosten!B18)-AI65</f>
        <v/>
      </c>
      <c r="AJ66" s="11">
        <f>N(Nebenkosten!B19)-AJ65</f>
        <v/>
      </c>
      <c r="AK66" s="11">
        <f>N(Nebenkosten!B20)-AK65</f>
        <v/>
      </c>
      <c r="AL66" s="11">
        <f>N(Nebenkosten!B21)-AL65</f>
        <v/>
      </c>
      <c r="AM66" s="11">
        <f>N(Nebenkosten!B22)-AM65</f>
        <v/>
      </c>
      <c r="AN66" s="11">
        <f>N(Nebenkosten!B23)-AN65</f>
        <v/>
      </c>
      <c r="AO66" s="11">
        <f>N(Nebenkosten!B24)-AO65</f>
        <v/>
      </c>
      <c r="AP66" s="11">
        <f>N(Nebenkosten!B25)-AP65</f>
        <v/>
      </c>
      <c r="AQ66" s="11">
        <f>N(Nebenkosten!B26)-AQ65</f>
        <v/>
      </c>
      <c r="AR66" s="11">
        <f>N(Nebenkosten!B27)-AR65</f>
        <v/>
      </c>
      <c r="AS66" s="11">
        <f>N(Nebenkosten!B28)-AS65</f>
        <v/>
      </c>
      <c r="AT66" s="11">
        <f>N(Nebenkosten!B29)-AT65</f>
        <v/>
      </c>
      <c r="AU66" s="11">
        <f>N(Nebenkosten!B30)-AU65</f>
        <v/>
      </c>
      <c r="AV66" s="11">
        <f>N(Nebenkosten!B31)-AV65</f>
        <v/>
      </c>
      <c r="AW66" s="11">
        <f>N(Nebenkosten!B32)-AW65</f>
        <v/>
      </c>
      <c r="AX66" s="11">
        <f>N(Nebenkosten!B33)-AX65</f>
        <v/>
      </c>
      <c r="AY66" s="11">
        <f>N(Nebenkosten!B34)-AY65</f>
        <v/>
      </c>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11.xml><?xml version="1.0" encoding="utf-8"?>
<worksheet xmlns="http://schemas.openxmlformats.org/spreadsheetml/2006/main">
  <sheetPr>
    <outlinePr summaryBelow="1" summaryRight="1"/>
    <pageSetUpPr fitToPage="1"/>
  </sheetPr>
  <dimension ref="A1:J42"/>
  <sheetViews>
    <sheetView workbookViewId="0">
      <selection activeCell="A1" sqref="A1"/>
    </sheetView>
  </sheetViews>
  <sheetFormatPr baseColWidth="8" defaultRowHeight="15"/>
  <cols>
    <col width="32" customWidth="1" min="1" max="1"/>
    <col width="14" customWidth="1" min="2" max="2"/>
    <col width="11" customWidth="1" min="3" max="3"/>
    <col width="10" customWidth="1" min="4" max="4"/>
    <col width="10" customWidth="1" min="5" max="5"/>
    <col width="9" customWidth="1" min="6" max="6"/>
    <col width="10" customWidth="1" min="7" max="7"/>
    <col width="14" customWidth="1" min="8" max="8"/>
    <col width="2" customWidth="1" min="9" max="9"/>
    <col width="30" customWidth="1" min="10" max="10"/>
  </cols>
  <sheetData>
    <row r="1">
      <c r="A1" s="14" t="inlineStr">
        <is>
          <t>Heiz- und Nebenkostenabrechnung</t>
        </is>
      </c>
      <c r="J1" s="27" t="inlineStr">
        <is>
          <t>Mietverhältnis-ID (wird nicht gedruckt):</t>
        </is>
      </c>
    </row>
    <row r="2">
      <c r="J2" s="26" t="n">
        <v>1</v>
      </c>
    </row>
    <row r="3">
      <c r="A3" s="15" t="inlineStr">
        <is>
          <t>Liegenschaft</t>
        </is>
      </c>
      <c r="B3" s="5">
        <f>'Mein Haus'!B4</f>
        <v/>
      </c>
    </row>
    <row r="4">
      <c r="A4" s="15" t="inlineStr">
        <is>
          <t>Vermieter</t>
        </is>
      </c>
      <c r="B4" s="5">
        <f>'Mein Haus'!B5</f>
        <v/>
      </c>
    </row>
    <row r="5">
      <c r="A5" s="15" t="inlineStr">
        <is>
          <t>Mieter</t>
        </is>
      </c>
      <c r="B5" s="5">
        <f>INDEX('NK Verteilung'!$B$5:$B$64,$J$2)&amp;""</f>
        <v/>
      </c>
    </row>
    <row r="6">
      <c r="A6" s="15" t="inlineStr">
        <is>
          <t>Einheit</t>
        </is>
      </c>
      <c r="B6" s="5">
        <f>INDEX('NK Verteilung'!$C$5:$C$64,$J$2)&amp;"  "&amp;IFERROR(INDEX('Mein Haus'!$B$11:$B$40,MATCH(INDEX('NK Verteilung'!$C$5:$C$64,$J$2),'Mein Haus'!$A$11:$A$40,0)),"")</f>
        <v/>
      </c>
    </row>
    <row r="7">
      <c r="A7" s="15" t="inlineStr">
        <is>
          <t>Abrechnungsperiode</t>
        </is>
      </c>
      <c r="B7" s="28">
        <f>Nebenkosten!B7</f>
        <v/>
      </c>
      <c r="C7" s="28">
        <f>Nebenkosten!D7</f>
        <v/>
      </c>
    </row>
    <row r="8">
      <c r="A8" s="15" t="inlineStr">
        <is>
          <t>Ihre Mietdauer in der Periode</t>
        </is>
      </c>
      <c r="B8" s="28">
        <f>IF(INDEX('NK Verteilung'!$D$5:$D$64,$J$2)="","",INDEX('NK Verteilung'!$D$5:$D$64,$J$2))</f>
        <v/>
      </c>
      <c r="C8" s="28">
        <f>IF(INDEX('NK Verteilung'!$E$5:$E$64,$J$2)="","",INDEX('NK Verteilung'!$E$5:$E$64,$J$2))</f>
        <v/>
      </c>
      <c r="D8" s="5">
        <f>INDEX('NK Verteilung'!$F$5:$F$64,$J$2)&amp;" Tage"</f>
        <v/>
      </c>
    </row>
    <row r="10">
      <c r="A10" s="6" t="inlineStr">
        <is>
          <t>Kostenart</t>
        </is>
      </c>
      <c r="B10" s="6" t="inlineStr">
        <is>
          <t>Gesamtkosten CHF</t>
        </is>
      </c>
      <c r="C10" s="6" t="inlineStr">
        <is>
          <t>Schlüssel</t>
        </is>
      </c>
      <c r="D10" s="6" t="inlineStr">
        <is>
          <t>Verteilung</t>
        </is>
      </c>
      <c r="E10" s="6" t="inlineStr">
        <is>
          <t>Ihr Anteil</t>
        </is>
      </c>
      <c r="F10" s="6" t="inlineStr">
        <is>
          <t>von Total</t>
        </is>
      </c>
      <c r="G10" s="6" t="inlineStr">
        <is>
          <t>Zeitanteil</t>
        </is>
      </c>
      <c r="H10" s="6" t="inlineStr">
        <is>
          <t>Ihr Betrag CHF</t>
        </is>
      </c>
    </row>
    <row r="11">
      <c r="A11" s="40">
        <f>IF(Nebenkosten!A10="","",Nebenkosten!A10)</f>
        <v/>
      </c>
      <c r="B11" s="41">
        <f>IF(Nebenkosten!A10="","",Nebenkosten!B10)</f>
        <v/>
      </c>
      <c r="C11" s="40">
        <f>IF(Nebenkosten!A10="","",Nebenkosten!C10)</f>
        <v/>
      </c>
      <c r="D11" s="40">
        <f>IF(Nebenkosten!A10="","",Nebenkosten!D10)</f>
        <v/>
      </c>
      <c r="E11" s="50">
        <f>IF(Nebenkosten!A10="","",IF(Nebenkosten!C10="Fläche",INDEX('NK Verteilung'!$I$5:$I$64,$J$2),IF(Nebenkosten!C10="Anteil",INDEX('NK Verteilung'!$J$5:$J$64,$J$2),INDEX('NK Verteilung'!$K$5:$K$64,$J$2))))</f>
        <v/>
      </c>
      <c r="F11" s="50">
        <f>IF(Nebenkosten!A10="","",Nebenkosten!E10)</f>
        <v/>
      </c>
      <c r="G11" s="51">
        <f>IF(Nebenkosten!A10="","",IF(Nebenkosten!D10="Heizung",INDEX('NK Verteilung'!$H$5:$H$64,$J$2),INDEX('NK Verteilung'!$G$5:$G$64,$J$2)))</f>
        <v/>
      </c>
      <c r="H11" s="41">
        <f>IF(Nebenkosten!A10="","",INDEX('NK Verteilung'!$AA$5:$AA$64,$J$2))</f>
        <v/>
      </c>
    </row>
    <row r="12">
      <c r="A12" s="40">
        <f>IF(Nebenkosten!A11="","",Nebenkosten!A11)</f>
        <v/>
      </c>
      <c r="B12" s="41">
        <f>IF(Nebenkosten!A11="","",Nebenkosten!B11)</f>
        <v/>
      </c>
      <c r="C12" s="40">
        <f>IF(Nebenkosten!A11="","",Nebenkosten!C11)</f>
        <v/>
      </c>
      <c r="D12" s="40">
        <f>IF(Nebenkosten!A11="","",Nebenkosten!D11)</f>
        <v/>
      </c>
      <c r="E12" s="50">
        <f>IF(Nebenkosten!A11="","",IF(Nebenkosten!C11="Fläche",INDEX('NK Verteilung'!$I$5:$I$64,$J$2),IF(Nebenkosten!C11="Anteil",INDEX('NK Verteilung'!$J$5:$J$64,$J$2),INDEX('NK Verteilung'!$K$5:$K$64,$J$2))))</f>
        <v/>
      </c>
      <c r="F12" s="50">
        <f>IF(Nebenkosten!A11="","",Nebenkosten!E11)</f>
        <v/>
      </c>
      <c r="G12" s="51">
        <f>IF(Nebenkosten!A11="","",IF(Nebenkosten!D11="Heizung",INDEX('NK Verteilung'!$H$5:$H$64,$J$2),INDEX('NK Verteilung'!$G$5:$G$64,$J$2)))</f>
        <v/>
      </c>
      <c r="H12" s="41">
        <f>IF(Nebenkosten!A11="","",INDEX('NK Verteilung'!$AB$5:$AB$64,$J$2))</f>
        <v/>
      </c>
    </row>
    <row r="13">
      <c r="A13" s="40">
        <f>IF(Nebenkosten!A12="","",Nebenkosten!A12)</f>
        <v/>
      </c>
      <c r="B13" s="41">
        <f>IF(Nebenkosten!A12="","",Nebenkosten!B12)</f>
        <v/>
      </c>
      <c r="C13" s="40">
        <f>IF(Nebenkosten!A12="","",Nebenkosten!C12)</f>
        <v/>
      </c>
      <c r="D13" s="40">
        <f>IF(Nebenkosten!A12="","",Nebenkosten!D12)</f>
        <v/>
      </c>
      <c r="E13" s="50">
        <f>IF(Nebenkosten!A12="","",IF(Nebenkosten!C12="Fläche",INDEX('NK Verteilung'!$I$5:$I$64,$J$2),IF(Nebenkosten!C12="Anteil",INDEX('NK Verteilung'!$J$5:$J$64,$J$2),INDEX('NK Verteilung'!$K$5:$K$64,$J$2))))</f>
        <v/>
      </c>
      <c r="F13" s="50">
        <f>IF(Nebenkosten!A12="","",Nebenkosten!E12)</f>
        <v/>
      </c>
      <c r="G13" s="51">
        <f>IF(Nebenkosten!A12="","",IF(Nebenkosten!D12="Heizung",INDEX('NK Verteilung'!$H$5:$H$64,$J$2),INDEX('NK Verteilung'!$G$5:$G$64,$J$2)))</f>
        <v/>
      </c>
      <c r="H13" s="41">
        <f>IF(Nebenkosten!A12="","",INDEX('NK Verteilung'!$AC$5:$AC$64,$J$2))</f>
        <v/>
      </c>
    </row>
    <row r="14">
      <c r="A14" s="40">
        <f>IF(Nebenkosten!A13="","",Nebenkosten!A13)</f>
        <v/>
      </c>
      <c r="B14" s="41">
        <f>IF(Nebenkosten!A13="","",Nebenkosten!B13)</f>
        <v/>
      </c>
      <c r="C14" s="40">
        <f>IF(Nebenkosten!A13="","",Nebenkosten!C13)</f>
        <v/>
      </c>
      <c r="D14" s="40">
        <f>IF(Nebenkosten!A13="","",Nebenkosten!D13)</f>
        <v/>
      </c>
      <c r="E14" s="50">
        <f>IF(Nebenkosten!A13="","",IF(Nebenkosten!C13="Fläche",INDEX('NK Verteilung'!$I$5:$I$64,$J$2),IF(Nebenkosten!C13="Anteil",INDEX('NK Verteilung'!$J$5:$J$64,$J$2),INDEX('NK Verteilung'!$K$5:$K$64,$J$2))))</f>
        <v/>
      </c>
      <c r="F14" s="50">
        <f>IF(Nebenkosten!A13="","",Nebenkosten!E13)</f>
        <v/>
      </c>
      <c r="G14" s="51">
        <f>IF(Nebenkosten!A13="","",IF(Nebenkosten!D13="Heizung",INDEX('NK Verteilung'!$H$5:$H$64,$J$2),INDEX('NK Verteilung'!$G$5:$G$64,$J$2)))</f>
        <v/>
      </c>
      <c r="H14" s="41">
        <f>IF(Nebenkosten!A13="","",INDEX('NK Verteilung'!$AD$5:$AD$64,$J$2))</f>
        <v/>
      </c>
    </row>
    <row r="15">
      <c r="A15" s="40">
        <f>IF(Nebenkosten!A14="","",Nebenkosten!A14)</f>
        <v/>
      </c>
      <c r="B15" s="41">
        <f>IF(Nebenkosten!A14="","",Nebenkosten!B14)</f>
        <v/>
      </c>
      <c r="C15" s="40">
        <f>IF(Nebenkosten!A14="","",Nebenkosten!C14)</f>
        <v/>
      </c>
      <c r="D15" s="40">
        <f>IF(Nebenkosten!A14="","",Nebenkosten!D14)</f>
        <v/>
      </c>
      <c r="E15" s="50">
        <f>IF(Nebenkosten!A14="","",IF(Nebenkosten!C14="Fläche",INDEX('NK Verteilung'!$I$5:$I$64,$J$2),IF(Nebenkosten!C14="Anteil",INDEX('NK Verteilung'!$J$5:$J$64,$J$2),INDEX('NK Verteilung'!$K$5:$K$64,$J$2))))</f>
        <v/>
      </c>
      <c r="F15" s="50">
        <f>IF(Nebenkosten!A14="","",Nebenkosten!E14)</f>
        <v/>
      </c>
      <c r="G15" s="51">
        <f>IF(Nebenkosten!A14="","",IF(Nebenkosten!D14="Heizung",INDEX('NK Verteilung'!$H$5:$H$64,$J$2),INDEX('NK Verteilung'!$G$5:$G$64,$J$2)))</f>
        <v/>
      </c>
      <c r="H15" s="41">
        <f>IF(Nebenkosten!A14="","",INDEX('NK Verteilung'!$AE$5:$AE$64,$J$2))</f>
        <v/>
      </c>
    </row>
    <row r="16">
      <c r="A16" s="40">
        <f>IF(Nebenkosten!A15="","",Nebenkosten!A15)</f>
        <v/>
      </c>
      <c r="B16" s="41">
        <f>IF(Nebenkosten!A15="","",Nebenkosten!B15)</f>
        <v/>
      </c>
      <c r="C16" s="40">
        <f>IF(Nebenkosten!A15="","",Nebenkosten!C15)</f>
        <v/>
      </c>
      <c r="D16" s="40">
        <f>IF(Nebenkosten!A15="","",Nebenkosten!D15)</f>
        <v/>
      </c>
      <c r="E16" s="50">
        <f>IF(Nebenkosten!A15="","",IF(Nebenkosten!C15="Fläche",INDEX('NK Verteilung'!$I$5:$I$64,$J$2),IF(Nebenkosten!C15="Anteil",INDEX('NK Verteilung'!$J$5:$J$64,$J$2),INDEX('NK Verteilung'!$K$5:$K$64,$J$2))))</f>
        <v/>
      </c>
      <c r="F16" s="50">
        <f>IF(Nebenkosten!A15="","",Nebenkosten!E15)</f>
        <v/>
      </c>
      <c r="G16" s="51">
        <f>IF(Nebenkosten!A15="","",IF(Nebenkosten!D15="Heizung",INDEX('NK Verteilung'!$H$5:$H$64,$J$2),INDEX('NK Verteilung'!$G$5:$G$64,$J$2)))</f>
        <v/>
      </c>
      <c r="H16" s="41">
        <f>IF(Nebenkosten!A15="","",INDEX('NK Verteilung'!$AF$5:$AF$64,$J$2))</f>
        <v/>
      </c>
    </row>
    <row r="17">
      <c r="A17" s="40">
        <f>IF(Nebenkosten!A16="","",Nebenkosten!A16)</f>
        <v/>
      </c>
      <c r="B17" s="41">
        <f>IF(Nebenkosten!A16="","",Nebenkosten!B16)</f>
        <v/>
      </c>
      <c r="C17" s="40">
        <f>IF(Nebenkosten!A16="","",Nebenkosten!C16)</f>
        <v/>
      </c>
      <c r="D17" s="40">
        <f>IF(Nebenkosten!A16="","",Nebenkosten!D16)</f>
        <v/>
      </c>
      <c r="E17" s="50">
        <f>IF(Nebenkosten!A16="","",IF(Nebenkosten!C16="Fläche",INDEX('NK Verteilung'!$I$5:$I$64,$J$2),IF(Nebenkosten!C16="Anteil",INDEX('NK Verteilung'!$J$5:$J$64,$J$2),INDEX('NK Verteilung'!$K$5:$K$64,$J$2))))</f>
        <v/>
      </c>
      <c r="F17" s="50">
        <f>IF(Nebenkosten!A16="","",Nebenkosten!E16)</f>
        <v/>
      </c>
      <c r="G17" s="51">
        <f>IF(Nebenkosten!A16="","",IF(Nebenkosten!D16="Heizung",INDEX('NK Verteilung'!$H$5:$H$64,$J$2),INDEX('NK Verteilung'!$G$5:$G$64,$J$2)))</f>
        <v/>
      </c>
      <c r="H17" s="41">
        <f>IF(Nebenkosten!A16="","",INDEX('NK Verteilung'!$AG$5:$AG$64,$J$2))</f>
        <v/>
      </c>
    </row>
    <row r="18">
      <c r="A18" s="40">
        <f>IF(Nebenkosten!A17="","",Nebenkosten!A17)</f>
        <v/>
      </c>
      <c r="B18" s="41">
        <f>IF(Nebenkosten!A17="","",Nebenkosten!B17)</f>
        <v/>
      </c>
      <c r="C18" s="40">
        <f>IF(Nebenkosten!A17="","",Nebenkosten!C17)</f>
        <v/>
      </c>
      <c r="D18" s="40">
        <f>IF(Nebenkosten!A17="","",Nebenkosten!D17)</f>
        <v/>
      </c>
      <c r="E18" s="50">
        <f>IF(Nebenkosten!A17="","",IF(Nebenkosten!C17="Fläche",INDEX('NK Verteilung'!$I$5:$I$64,$J$2),IF(Nebenkosten!C17="Anteil",INDEX('NK Verteilung'!$J$5:$J$64,$J$2),INDEX('NK Verteilung'!$K$5:$K$64,$J$2))))</f>
        <v/>
      </c>
      <c r="F18" s="50">
        <f>IF(Nebenkosten!A17="","",Nebenkosten!E17)</f>
        <v/>
      </c>
      <c r="G18" s="51">
        <f>IF(Nebenkosten!A17="","",IF(Nebenkosten!D17="Heizung",INDEX('NK Verteilung'!$H$5:$H$64,$J$2),INDEX('NK Verteilung'!$G$5:$G$64,$J$2)))</f>
        <v/>
      </c>
      <c r="H18" s="41">
        <f>IF(Nebenkosten!A17="","",INDEX('NK Verteilung'!$AH$5:$AH$64,$J$2))</f>
        <v/>
      </c>
    </row>
    <row r="19">
      <c r="A19" s="40">
        <f>IF(Nebenkosten!A18="","",Nebenkosten!A18)</f>
        <v/>
      </c>
      <c r="B19" s="41">
        <f>IF(Nebenkosten!A18="","",Nebenkosten!B18)</f>
        <v/>
      </c>
      <c r="C19" s="40">
        <f>IF(Nebenkosten!A18="","",Nebenkosten!C18)</f>
        <v/>
      </c>
      <c r="D19" s="40">
        <f>IF(Nebenkosten!A18="","",Nebenkosten!D18)</f>
        <v/>
      </c>
      <c r="E19" s="50">
        <f>IF(Nebenkosten!A18="","",IF(Nebenkosten!C18="Fläche",INDEX('NK Verteilung'!$I$5:$I$64,$J$2),IF(Nebenkosten!C18="Anteil",INDEX('NK Verteilung'!$J$5:$J$64,$J$2),INDEX('NK Verteilung'!$K$5:$K$64,$J$2))))</f>
        <v/>
      </c>
      <c r="F19" s="50">
        <f>IF(Nebenkosten!A18="","",Nebenkosten!E18)</f>
        <v/>
      </c>
      <c r="G19" s="51">
        <f>IF(Nebenkosten!A18="","",IF(Nebenkosten!D18="Heizung",INDEX('NK Verteilung'!$H$5:$H$64,$J$2),INDEX('NK Verteilung'!$G$5:$G$64,$J$2)))</f>
        <v/>
      </c>
      <c r="H19" s="41">
        <f>IF(Nebenkosten!A18="","",INDEX('NK Verteilung'!$AI$5:$AI$64,$J$2))</f>
        <v/>
      </c>
    </row>
    <row r="20">
      <c r="A20" s="40">
        <f>IF(Nebenkosten!A19="","",Nebenkosten!A19)</f>
        <v/>
      </c>
      <c r="B20" s="41">
        <f>IF(Nebenkosten!A19="","",Nebenkosten!B19)</f>
        <v/>
      </c>
      <c r="C20" s="40">
        <f>IF(Nebenkosten!A19="","",Nebenkosten!C19)</f>
        <v/>
      </c>
      <c r="D20" s="40">
        <f>IF(Nebenkosten!A19="","",Nebenkosten!D19)</f>
        <v/>
      </c>
      <c r="E20" s="50">
        <f>IF(Nebenkosten!A19="","",IF(Nebenkosten!C19="Fläche",INDEX('NK Verteilung'!$I$5:$I$64,$J$2),IF(Nebenkosten!C19="Anteil",INDEX('NK Verteilung'!$J$5:$J$64,$J$2),INDEX('NK Verteilung'!$K$5:$K$64,$J$2))))</f>
        <v/>
      </c>
      <c r="F20" s="50">
        <f>IF(Nebenkosten!A19="","",Nebenkosten!E19)</f>
        <v/>
      </c>
      <c r="G20" s="51">
        <f>IF(Nebenkosten!A19="","",IF(Nebenkosten!D19="Heizung",INDEX('NK Verteilung'!$H$5:$H$64,$J$2),INDEX('NK Verteilung'!$G$5:$G$64,$J$2)))</f>
        <v/>
      </c>
      <c r="H20" s="41">
        <f>IF(Nebenkosten!A19="","",INDEX('NK Verteilung'!$AJ$5:$AJ$64,$J$2))</f>
        <v/>
      </c>
    </row>
    <row r="21">
      <c r="A21" s="40">
        <f>IF(Nebenkosten!A20="","",Nebenkosten!A20)</f>
        <v/>
      </c>
      <c r="B21" s="41">
        <f>IF(Nebenkosten!A20="","",Nebenkosten!B20)</f>
        <v/>
      </c>
      <c r="C21" s="40">
        <f>IF(Nebenkosten!A20="","",Nebenkosten!C20)</f>
        <v/>
      </c>
      <c r="D21" s="40">
        <f>IF(Nebenkosten!A20="","",Nebenkosten!D20)</f>
        <v/>
      </c>
      <c r="E21" s="50">
        <f>IF(Nebenkosten!A20="","",IF(Nebenkosten!C20="Fläche",INDEX('NK Verteilung'!$I$5:$I$64,$J$2),IF(Nebenkosten!C20="Anteil",INDEX('NK Verteilung'!$J$5:$J$64,$J$2),INDEX('NK Verteilung'!$K$5:$K$64,$J$2))))</f>
        <v/>
      </c>
      <c r="F21" s="50">
        <f>IF(Nebenkosten!A20="","",Nebenkosten!E20)</f>
        <v/>
      </c>
      <c r="G21" s="51">
        <f>IF(Nebenkosten!A20="","",IF(Nebenkosten!D20="Heizung",INDEX('NK Verteilung'!$H$5:$H$64,$J$2),INDEX('NK Verteilung'!$G$5:$G$64,$J$2)))</f>
        <v/>
      </c>
      <c r="H21" s="41">
        <f>IF(Nebenkosten!A20="","",INDEX('NK Verteilung'!$AK$5:$AK$64,$J$2))</f>
        <v/>
      </c>
    </row>
    <row r="22">
      <c r="A22" s="40">
        <f>IF(Nebenkosten!A21="","",Nebenkosten!A21)</f>
        <v/>
      </c>
      <c r="B22" s="41">
        <f>IF(Nebenkosten!A21="","",Nebenkosten!B21)</f>
        <v/>
      </c>
      <c r="C22" s="40">
        <f>IF(Nebenkosten!A21="","",Nebenkosten!C21)</f>
        <v/>
      </c>
      <c r="D22" s="40">
        <f>IF(Nebenkosten!A21="","",Nebenkosten!D21)</f>
        <v/>
      </c>
      <c r="E22" s="50">
        <f>IF(Nebenkosten!A21="","",IF(Nebenkosten!C21="Fläche",INDEX('NK Verteilung'!$I$5:$I$64,$J$2),IF(Nebenkosten!C21="Anteil",INDEX('NK Verteilung'!$J$5:$J$64,$J$2),INDEX('NK Verteilung'!$K$5:$K$64,$J$2))))</f>
        <v/>
      </c>
      <c r="F22" s="50">
        <f>IF(Nebenkosten!A21="","",Nebenkosten!E21)</f>
        <v/>
      </c>
      <c r="G22" s="51">
        <f>IF(Nebenkosten!A21="","",IF(Nebenkosten!D21="Heizung",INDEX('NK Verteilung'!$H$5:$H$64,$J$2),INDEX('NK Verteilung'!$G$5:$G$64,$J$2)))</f>
        <v/>
      </c>
      <c r="H22" s="41">
        <f>IF(Nebenkosten!A21="","",INDEX('NK Verteilung'!$AL$5:$AL$64,$J$2))</f>
        <v/>
      </c>
    </row>
    <row r="23">
      <c r="A23" s="40">
        <f>IF(Nebenkosten!A22="","",Nebenkosten!A22)</f>
        <v/>
      </c>
      <c r="B23" s="41">
        <f>IF(Nebenkosten!A22="","",Nebenkosten!B22)</f>
        <v/>
      </c>
      <c r="C23" s="40">
        <f>IF(Nebenkosten!A22="","",Nebenkosten!C22)</f>
        <v/>
      </c>
      <c r="D23" s="40">
        <f>IF(Nebenkosten!A22="","",Nebenkosten!D22)</f>
        <v/>
      </c>
      <c r="E23" s="50">
        <f>IF(Nebenkosten!A22="","",IF(Nebenkosten!C22="Fläche",INDEX('NK Verteilung'!$I$5:$I$64,$J$2),IF(Nebenkosten!C22="Anteil",INDEX('NK Verteilung'!$J$5:$J$64,$J$2),INDEX('NK Verteilung'!$K$5:$K$64,$J$2))))</f>
        <v/>
      </c>
      <c r="F23" s="50">
        <f>IF(Nebenkosten!A22="","",Nebenkosten!E22)</f>
        <v/>
      </c>
      <c r="G23" s="51">
        <f>IF(Nebenkosten!A22="","",IF(Nebenkosten!D22="Heizung",INDEX('NK Verteilung'!$H$5:$H$64,$J$2),INDEX('NK Verteilung'!$G$5:$G$64,$J$2)))</f>
        <v/>
      </c>
      <c r="H23" s="41">
        <f>IF(Nebenkosten!A22="","",INDEX('NK Verteilung'!$AM$5:$AM$64,$J$2))</f>
        <v/>
      </c>
    </row>
    <row r="24">
      <c r="A24" s="40">
        <f>IF(Nebenkosten!A23="","",Nebenkosten!A23)</f>
        <v/>
      </c>
      <c r="B24" s="41">
        <f>IF(Nebenkosten!A23="","",Nebenkosten!B23)</f>
        <v/>
      </c>
      <c r="C24" s="40">
        <f>IF(Nebenkosten!A23="","",Nebenkosten!C23)</f>
        <v/>
      </c>
      <c r="D24" s="40">
        <f>IF(Nebenkosten!A23="","",Nebenkosten!D23)</f>
        <v/>
      </c>
      <c r="E24" s="50">
        <f>IF(Nebenkosten!A23="","",IF(Nebenkosten!C23="Fläche",INDEX('NK Verteilung'!$I$5:$I$64,$J$2),IF(Nebenkosten!C23="Anteil",INDEX('NK Verteilung'!$J$5:$J$64,$J$2),INDEX('NK Verteilung'!$K$5:$K$64,$J$2))))</f>
        <v/>
      </c>
      <c r="F24" s="50">
        <f>IF(Nebenkosten!A23="","",Nebenkosten!E23)</f>
        <v/>
      </c>
      <c r="G24" s="51">
        <f>IF(Nebenkosten!A23="","",IF(Nebenkosten!D23="Heizung",INDEX('NK Verteilung'!$H$5:$H$64,$J$2),INDEX('NK Verteilung'!$G$5:$G$64,$J$2)))</f>
        <v/>
      </c>
      <c r="H24" s="41">
        <f>IF(Nebenkosten!A23="","",INDEX('NK Verteilung'!$AN$5:$AN$64,$J$2))</f>
        <v/>
      </c>
    </row>
    <row r="25">
      <c r="A25" s="40">
        <f>IF(Nebenkosten!A24="","",Nebenkosten!A24)</f>
        <v/>
      </c>
      <c r="B25" s="41">
        <f>IF(Nebenkosten!A24="","",Nebenkosten!B24)</f>
        <v/>
      </c>
      <c r="C25" s="40">
        <f>IF(Nebenkosten!A24="","",Nebenkosten!C24)</f>
        <v/>
      </c>
      <c r="D25" s="40">
        <f>IF(Nebenkosten!A24="","",Nebenkosten!D24)</f>
        <v/>
      </c>
      <c r="E25" s="50">
        <f>IF(Nebenkosten!A24="","",IF(Nebenkosten!C24="Fläche",INDEX('NK Verteilung'!$I$5:$I$64,$J$2),IF(Nebenkosten!C24="Anteil",INDEX('NK Verteilung'!$J$5:$J$64,$J$2),INDEX('NK Verteilung'!$K$5:$K$64,$J$2))))</f>
        <v/>
      </c>
      <c r="F25" s="50">
        <f>IF(Nebenkosten!A24="","",Nebenkosten!E24)</f>
        <v/>
      </c>
      <c r="G25" s="51">
        <f>IF(Nebenkosten!A24="","",IF(Nebenkosten!D24="Heizung",INDEX('NK Verteilung'!$H$5:$H$64,$J$2),INDEX('NK Verteilung'!$G$5:$G$64,$J$2)))</f>
        <v/>
      </c>
      <c r="H25" s="41">
        <f>IF(Nebenkosten!A24="","",INDEX('NK Verteilung'!$AO$5:$AO$64,$J$2))</f>
        <v/>
      </c>
    </row>
    <row r="26">
      <c r="A26" s="40">
        <f>IF(Nebenkosten!A25="","",Nebenkosten!A25)</f>
        <v/>
      </c>
      <c r="B26" s="41">
        <f>IF(Nebenkosten!A25="","",Nebenkosten!B25)</f>
        <v/>
      </c>
      <c r="C26" s="40">
        <f>IF(Nebenkosten!A25="","",Nebenkosten!C25)</f>
        <v/>
      </c>
      <c r="D26" s="40">
        <f>IF(Nebenkosten!A25="","",Nebenkosten!D25)</f>
        <v/>
      </c>
      <c r="E26" s="50">
        <f>IF(Nebenkosten!A25="","",IF(Nebenkosten!C25="Fläche",INDEX('NK Verteilung'!$I$5:$I$64,$J$2),IF(Nebenkosten!C25="Anteil",INDEX('NK Verteilung'!$J$5:$J$64,$J$2),INDEX('NK Verteilung'!$K$5:$K$64,$J$2))))</f>
        <v/>
      </c>
      <c r="F26" s="50">
        <f>IF(Nebenkosten!A25="","",Nebenkosten!E25)</f>
        <v/>
      </c>
      <c r="G26" s="51">
        <f>IF(Nebenkosten!A25="","",IF(Nebenkosten!D25="Heizung",INDEX('NK Verteilung'!$H$5:$H$64,$J$2),INDEX('NK Verteilung'!$G$5:$G$64,$J$2)))</f>
        <v/>
      </c>
      <c r="H26" s="41">
        <f>IF(Nebenkosten!A25="","",INDEX('NK Verteilung'!$AP$5:$AP$64,$J$2))</f>
        <v/>
      </c>
    </row>
    <row r="27">
      <c r="A27" s="40">
        <f>IF(Nebenkosten!A26="","",Nebenkosten!A26)</f>
        <v/>
      </c>
      <c r="B27" s="41">
        <f>IF(Nebenkosten!A26="","",Nebenkosten!B26)</f>
        <v/>
      </c>
      <c r="C27" s="40">
        <f>IF(Nebenkosten!A26="","",Nebenkosten!C26)</f>
        <v/>
      </c>
      <c r="D27" s="40">
        <f>IF(Nebenkosten!A26="","",Nebenkosten!D26)</f>
        <v/>
      </c>
      <c r="E27" s="50">
        <f>IF(Nebenkosten!A26="","",IF(Nebenkosten!C26="Fläche",INDEX('NK Verteilung'!$I$5:$I$64,$J$2),IF(Nebenkosten!C26="Anteil",INDEX('NK Verteilung'!$J$5:$J$64,$J$2),INDEX('NK Verteilung'!$K$5:$K$64,$J$2))))</f>
        <v/>
      </c>
      <c r="F27" s="50">
        <f>IF(Nebenkosten!A26="","",Nebenkosten!E26)</f>
        <v/>
      </c>
      <c r="G27" s="51">
        <f>IF(Nebenkosten!A26="","",IF(Nebenkosten!D26="Heizung",INDEX('NK Verteilung'!$H$5:$H$64,$J$2),INDEX('NK Verteilung'!$G$5:$G$64,$J$2)))</f>
        <v/>
      </c>
      <c r="H27" s="41">
        <f>IF(Nebenkosten!A26="","",INDEX('NK Verteilung'!$AQ$5:$AQ$64,$J$2))</f>
        <v/>
      </c>
    </row>
    <row r="28">
      <c r="A28" s="40">
        <f>IF(Nebenkosten!A27="","",Nebenkosten!A27)</f>
        <v/>
      </c>
      <c r="B28" s="41">
        <f>IF(Nebenkosten!A27="","",Nebenkosten!B27)</f>
        <v/>
      </c>
      <c r="C28" s="40">
        <f>IF(Nebenkosten!A27="","",Nebenkosten!C27)</f>
        <v/>
      </c>
      <c r="D28" s="40">
        <f>IF(Nebenkosten!A27="","",Nebenkosten!D27)</f>
        <v/>
      </c>
      <c r="E28" s="50">
        <f>IF(Nebenkosten!A27="","",IF(Nebenkosten!C27="Fläche",INDEX('NK Verteilung'!$I$5:$I$64,$J$2),IF(Nebenkosten!C27="Anteil",INDEX('NK Verteilung'!$J$5:$J$64,$J$2),INDEX('NK Verteilung'!$K$5:$K$64,$J$2))))</f>
        <v/>
      </c>
      <c r="F28" s="50">
        <f>IF(Nebenkosten!A27="","",Nebenkosten!E27)</f>
        <v/>
      </c>
      <c r="G28" s="51">
        <f>IF(Nebenkosten!A27="","",IF(Nebenkosten!D27="Heizung",INDEX('NK Verteilung'!$H$5:$H$64,$J$2),INDEX('NK Verteilung'!$G$5:$G$64,$J$2)))</f>
        <v/>
      </c>
      <c r="H28" s="41">
        <f>IF(Nebenkosten!A27="","",INDEX('NK Verteilung'!$AR$5:$AR$64,$J$2))</f>
        <v/>
      </c>
    </row>
    <row r="29">
      <c r="A29" s="40">
        <f>IF(Nebenkosten!A28="","",Nebenkosten!A28)</f>
        <v/>
      </c>
      <c r="B29" s="41">
        <f>IF(Nebenkosten!A28="","",Nebenkosten!B28)</f>
        <v/>
      </c>
      <c r="C29" s="40">
        <f>IF(Nebenkosten!A28="","",Nebenkosten!C28)</f>
        <v/>
      </c>
      <c r="D29" s="40">
        <f>IF(Nebenkosten!A28="","",Nebenkosten!D28)</f>
        <v/>
      </c>
      <c r="E29" s="50">
        <f>IF(Nebenkosten!A28="","",IF(Nebenkosten!C28="Fläche",INDEX('NK Verteilung'!$I$5:$I$64,$J$2),IF(Nebenkosten!C28="Anteil",INDEX('NK Verteilung'!$J$5:$J$64,$J$2),INDEX('NK Verteilung'!$K$5:$K$64,$J$2))))</f>
        <v/>
      </c>
      <c r="F29" s="50">
        <f>IF(Nebenkosten!A28="","",Nebenkosten!E28)</f>
        <v/>
      </c>
      <c r="G29" s="51">
        <f>IF(Nebenkosten!A28="","",IF(Nebenkosten!D28="Heizung",INDEX('NK Verteilung'!$H$5:$H$64,$J$2),INDEX('NK Verteilung'!$G$5:$G$64,$J$2)))</f>
        <v/>
      </c>
      <c r="H29" s="41">
        <f>IF(Nebenkosten!A28="","",INDEX('NK Verteilung'!$AS$5:$AS$64,$J$2))</f>
        <v/>
      </c>
    </row>
    <row r="30">
      <c r="A30" s="40">
        <f>IF(Nebenkosten!A29="","",Nebenkosten!A29)</f>
        <v/>
      </c>
      <c r="B30" s="41">
        <f>IF(Nebenkosten!A29="","",Nebenkosten!B29)</f>
        <v/>
      </c>
      <c r="C30" s="40">
        <f>IF(Nebenkosten!A29="","",Nebenkosten!C29)</f>
        <v/>
      </c>
      <c r="D30" s="40">
        <f>IF(Nebenkosten!A29="","",Nebenkosten!D29)</f>
        <v/>
      </c>
      <c r="E30" s="50">
        <f>IF(Nebenkosten!A29="","",IF(Nebenkosten!C29="Fläche",INDEX('NK Verteilung'!$I$5:$I$64,$J$2),IF(Nebenkosten!C29="Anteil",INDEX('NK Verteilung'!$J$5:$J$64,$J$2),INDEX('NK Verteilung'!$K$5:$K$64,$J$2))))</f>
        <v/>
      </c>
      <c r="F30" s="50">
        <f>IF(Nebenkosten!A29="","",Nebenkosten!E29)</f>
        <v/>
      </c>
      <c r="G30" s="51">
        <f>IF(Nebenkosten!A29="","",IF(Nebenkosten!D29="Heizung",INDEX('NK Verteilung'!$H$5:$H$64,$J$2),INDEX('NK Verteilung'!$G$5:$G$64,$J$2)))</f>
        <v/>
      </c>
      <c r="H30" s="41">
        <f>IF(Nebenkosten!A29="","",INDEX('NK Verteilung'!$AT$5:$AT$64,$J$2))</f>
        <v/>
      </c>
    </row>
    <row r="31">
      <c r="A31" s="40">
        <f>IF(Nebenkosten!A30="","",Nebenkosten!A30)</f>
        <v/>
      </c>
      <c r="B31" s="41">
        <f>IF(Nebenkosten!A30="","",Nebenkosten!B30)</f>
        <v/>
      </c>
      <c r="C31" s="40">
        <f>IF(Nebenkosten!A30="","",Nebenkosten!C30)</f>
        <v/>
      </c>
      <c r="D31" s="40">
        <f>IF(Nebenkosten!A30="","",Nebenkosten!D30)</f>
        <v/>
      </c>
      <c r="E31" s="50">
        <f>IF(Nebenkosten!A30="","",IF(Nebenkosten!C30="Fläche",INDEX('NK Verteilung'!$I$5:$I$64,$J$2),IF(Nebenkosten!C30="Anteil",INDEX('NK Verteilung'!$J$5:$J$64,$J$2),INDEX('NK Verteilung'!$K$5:$K$64,$J$2))))</f>
        <v/>
      </c>
      <c r="F31" s="50">
        <f>IF(Nebenkosten!A30="","",Nebenkosten!E30)</f>
        <v/>
      </c>
      <c r="G31" s="51">
        <f>IF(Nebenkosten!A30="","",IF(Nebenkosten!D30="Heizung",INDEX('NK Verteilung'!$H$5:$H$64,$J$2),INDEX('NK Verteilung'!$G$5:$G$64,$J$2)))</f>
        <v/>
      </c>
      <c r="H31" s="41">
        <f>IF(Nebenkosten!A30="","",INDEX('NK Verteilung'!$AU$5:$AU$64,$J$2))</f>
        <v/>
      </c>
    </row>
    <row r="32">
      <c r="A32" s="40">
        <f>IF(Nebenkosten!A31="","",Nebenkosten!A31)</f>
        <v/>
      </c>
      <c r="B32" s="41">
        <f>IF(Nebenkosten!A31="","",Nebenkosten!B31)</f>
        <v/>
      </c>
      <c r="C32" s="40">
        <f>IF(Nebenkosten!A31="","",Nebenkosten!C31)</f>
        <v/>
      </c>
      <c r="D32" s="40">
        <f>IF(Nebenkosten!A31="","",Nebenkosten!D31)</f>
        <v/>
      </c>
      <c r="E32" s="50">
        <f>IF(Nebenkosten!A31="","",IF(Nebenkosten!C31="Fläche",INDEX('NK Verteilung'!$I$5:$I$64,$J$2),IF(Nebenkosten!C31="Anteil",INDEX('NK Verteilung'!$J$5:$J$64,$J$2),INDEX('NK Verteilung'!$K$5:$K$64,$J$2))))</f>
        <v/>
      </c>
      <c r="F32" s="50">
        <f>IF(Nebenkosten!A31="","",Nebenkosten!E31)</f>
        <v/>
      </c>
      <c r="G32" s="51">
        <f>IF(Nebenkosten!A31="","",IF(Nebenkosten!D31="Heizung",INDEX('NK Verteilung'!$H$5:$H$64,$J$2),INDEX('NK Verteilung'!$G$5:$G$64,$J$2)))</f>
        <v/>
      </c>
      <c r="H32" s="41">
        <f>IF(Nebenkosten!A31="","",INDEX('NK Verteilung'!$AV$5:$AV$64,$J$2))</f>
        <v/>
      </c>
    </row>
    <row r="33">
      <c r="A33" s="40">
        <f>IF(Nebenkosten!A32="","",Nebenkosten!A32)</f>
        <v/>
      </c>
      <c r="B33" s="41">
        <f>IF(Nebenkosten!A32="","",Nebenkosten!B32)</f>
        <v/>
      </c>
      <c r="C33" s="40">
        <f>IF(Nebenkosten!A32="","",Nebenkosten!C32)</f>
        <v/>
      </c>
      <c r="D33" s="40">
        <f>IF(Nebenkosten!A32="","",Nebenkosten!D32)</f>
        <v/>
      </c>
      <c r="E33" s="50">
        <f>IF(Nebenkosten!A32="","",IF(Nebenkosten!C32="Fläche",INDEX('NK Verteilung'!$I$5:$I$64,$J$2),IF(Nebenkosten!C32="Anteil",INDEX('NK Verteilung'!$J$5:$J$64,$J$2),INDEX('NK Verteilung'!$K$5:$K$64,$J$2))))</f>
        <v/>
      </c>
      <c r="F33" s="50">
        <f>IF(Nebenkosten!A32="","",Nebenkosten!E32)</f>
        <v/>
      </c>
      <c r="G33" s="51">
        <f>IF(Nebenkosten!A32="","",IF(Nebenkosten!D32="Heizung",INDEX('NK Verteilung'!$H$5:$H$64,$J$2),INDEX('NK Verteilung'!$G$5:$G$64,$J$2)))</f>
        <v/>
      </c>
      <c r="H33" s="41">
        <f>IF(Nebenkosten!A32="","",INDEX('NK Verteilung'!$AW$5:$AW$64,$J$2))</f>
        <v/>
      </c>
    </row>
    <row r="34">
      <c r="A34" s="40">
        <f>IF(Nebenkosten!A33="","",Nebenkosten!A33)</f>
        <v/>
      </c>
      <c r="B34" s="41">
        <f>IF(Nebenkosten!A33="","",Nebenkosten!B33)</f>
        <v/>
      </c>
      <c r="C34" s="40">
        <f>IF(Nebenkosten!A33="","",Nebenkosten!C33)</f>
        <v/>
      </c>
      <c r="D34" s="40">
        <f>IF(Nebenkosten!A33="","",Nebenkosten!D33)</f>
        <v/>
      </c>
      <c r="E34" s="50">
        <f>IF(Nebenkosten!A33="","",IF(Nebenkosten!C33="Fläche",INDEX('NK Verteilung'!$I$5:$I$64,$J$2),IF(Nebenkosten!C33="Anteil",INDEX('NK Verteilung'!$J$5:$J$64,$J$2),INDEX('NK Verteilung'!$K$5:$K$64,$J$2))))</f>
        <v/>
      </c>
      <c r="F34" s="50">
        <f>IF(Nebenkosten!A33="","",Nebenkosten!E33)</f>
        <v/>
      </c>
      <c r="G34" s="51">
        <f>IF(Nebenkosten!A33="","",IF(Nebenkosten!D33="Heizung",INDEX('NK Verteilung'!$H$5:$H$64,$J$2),INDEX('NK Verteilung'!$G$5:$G$64,$J$2)))</f>
        <v/>
      </c>
      <c r="H34" s="41">
        <f>IF(Nebenkosten!A33="","",INDEX('NK Verteilung'!$AX$5:$AX$64,$J$2))</f>
        <v/>
      </c>
    </row>
    <row r="35">
      <c r="A35" s="40">
        <f>IF(Nebenkosten!A34="","",Nebenkosten!A34)</f>
        <v/>
      </c>
      <c r="B35" s="41">
        <f>IF(Nebenkosten!A34="","",Nebenkosten!B34)</f>
        <v/>
      </c>
      <c r="C35" s="40">
        <f>IF(Nebenkosten!A34="","",Nebenkosten!C34)</f>
        <v/>
      </c>
      <c r="D35" s="40">
        <f>IF(Nebenkosten!A34="","",Nebenkosten!D34)</f>
        <v/>
      </c>
      <c r="E35" s="50">
        <f>IF(Nebenkosten!A34="","",IF(Nebenkosten!C34="Fläche",INDEX('NK Verteilung'!$I$5:$I$64,$J$2),IF(Nebenkosten!C34="Anteil",INDEX('NK Verteilung'!$J$5:$J$64,$J$2),INDEX('NK Verteilung'!$K$5:$K$64,$J$2))))</f>
        <v/>
      </c>
      <c r="F35" s="50">
        <f>IF(Nebenkosten!A34="","",Nebenkosten!E34)</f>
        <v/>
      </c>
      <c r="G35" s="51">
        <f>IF(Nebenkosten!A34="","",IF(Nebenkosten!D34="Heizung",INDEX('NK Verteilung'!$H$5:$H$64,$J$2),INDEX('NK Verteilung'!$G$5:$G$64,$J$2)))</f>
        <v/>
      </c>
      <c r="H35" s="41">
        <f>IF(Nebenkosten!A34="","",INDEX('NK Verteilung'!$AY$5:$AY$64,$J$2))</f>
        <v/>
      </c>
    </row>
    <row r="37">
      <c r="E37" s="15" t="inlineStr">
        <is>
          <t>Total Ihr Anteil (gerundet auf 5 Rp.)</t>
        </is>
      </c>
      <c r="H37" s="46">
        <f>INDEX('NK Verteilung'!$AZ$5:$AZ$64,$J$2)</f>
        <v/>
      </c>
    </row>
    <row r="38">
      <c r="E38" s="5" t="inlineStr">
        <is>
          <t>abzüglich Akontozahlungen</t>
        </is>
      </c>
      <c r="H38" s="45">
        <f>-INDEX('NK Verteilung'!$BA$5:$BA$64,$J$2)</f>
        <v/>
      </c>
    </row>
    <row r="39">
      <c r="E39" s="52">
        <f>IF(INDEX('NK Verteilung'!$BB$5:$BB$64,$J$2)&gt;=0,"Nachzahlung zu Ihren Lasten","Guthaben zu Ihren Gunsten")</f>
        <v/>
      </c>
      <c r="H39" s="47">
        <f>ABS(INDEX('NK Verteilung'!$BB$5:$BB$64,$J$2))</f>
        <v/>
      </c>
    </row>
    <row r="41">
      <c r="A41" s="38" t="inlineStr">
        <is>
          <t>Die Belege können Sie nach Vereinbarung einsehen (Art. 257b Abs. 2 OR). Einwände bitte innert 30 Tagen schriftlich.</t>
        </is>
      </c>
    </row>
    <row r="42">
      <c r="A42" s="38" t="inlineStr">
        <is>
          <t>Nachzahlung zahlbar innert 30 Tagen. Ein Guthaben wird mit der nächsten Miete verrechnet oder überwiesen.</t>
        </is>
      </c>
    </row>
  </sheetData>
  <sheetProtection selectLockedCells="0" selectUnlockedCells="0" sheet="1" objects="0" insertRows="1" insertHyperlinks="1" autoFilter="1" scenarios="0" formatColumns="0" deleteColumns="1" insertColumns="1" pivotTables="1" deleteRows="1" formatCells="1" formatRows="0" sort="1"/>
  <dataValidations count="1">
    <dataValidation sqref="J2" showDropDown="0" showInputMessage="0" showErrorMessage="0" allowBlank="0" type="whole" operator="between">
      <formula1>1</formula1>
      <formula2>60</formula2>
    </dataValidation>
  </dataValidations>
  <pageMargins left="0.75" right="0.75" top="1" bottom="1" header="0.5" footer="0.5"/>
  <pageSetup fitToHeight="1" fitToWidth="1"/>
</worksheet>
</file>

<file path=xl/worksheets/sheet12.xml><?xml version="1.0" encoding="utf-8"?>
<worksheet xmlns="http://schemas.openxmlformats.org/spreadsheetml/2006/main">
  <sheetPr>
    <outlinePr summaryBelow="1" summaryRight="1"/>
    <pageSetUpPr fitToPage="1"/>
  </sheetPr>
  <dimension ref="A1:Z47"/>
  <sheetViews>
    <sheetView workbookViewId="0">
      <selection activeCell="A1" sqref="A1"/>
    </sheetView>
  </sheetViews>
  <sheetFormatPr baseColWidth="8" defaultRowHeight="15"/>
  <cols>
    <col width="40" customWidth="1" min="1" max="1"/>
    <col width="18" customWidth="1" min="2" max="2"/>
    <col width="50" customWidth="1" min="3" max="3"/>
  </cols>
  <sheetData>
    <row r="1">
      <c r="A1" s="14" t="inlineStr">
        <is>
          <t>Mietzinsrechner</t>
        </is>
      </c>
    </row>
    <row r="2">
      <c r="A2" s="24" t="inlineStr">
        <is>
          <t>START: Mietverhältnis wählen; Basiswerte kommen aus «Mein Haus». Neuen Referenzzinssatz, aktuellen LIK und Stichtag eintragen.</t>
        </is>
      </c>
    </row>
    <row r="3">
      <c r="A3" s="24" t="inlineStr">
        <is>
          <t>BERECHNUNG: Referenzzins nach Art. 13 VMWG, Teuerung zu 40 % (Art. 16 VMWG), pauschale Kostensteigerung pro Jahr.</t>
        </is>
      </c>
    </row>
    <row r="4">
      <c r="A4" s="24" t="inlineStr">
        <is>
          <t>ERGEBNIS: Senkung: Anspruch des Mieters auf Begehren. Erhöhung: nur mit amtlichem Formular, frühestens auf den angezeigten Termin.</t>
        </is>
      </c>
    </row>
    <row r="5">
      <c r="A5" s="24" t="inlineStr">
        <is>
          <t>AUSGABE: Werte für das amtliche Formular bzw. die Antwort auf ein Senkungsbegehren.</t>
        </is>
      </c>
    </row>
    <row r="7">
      <c r="A7" s="15" t="inlineStr">
        <is>
          <t>Mietverhältnis-ID</t>
        </is>
      </c>
      <c r="B7" s="26" t="n">
        <v>4</v>
      </c>
    </row>
    <row r="8">
      <c r="A8" s="5" t="inlineStr">
        <is>
          <t>Mieter</t>
        </is>
      </c>
      <c r="B8" s="23">
        <f>IFERROR(INDEX('Mein Haus'!$C$45:$C$104,$B$7)&amp;"","")</f>
        <v/>
      </c>
    </row>
    <row r="9">
      <c r="A9" s="5" t="inlineStr">
        <is>
          <t>Nettomiete heute / Mt.</t>
        </is>
      </c>
      <c r="B9" s="11">
        <f>IFERROR(N(INDEX('Mein Haus'!$G$45:$G$104,$B$7)),0)</f>
        <v/>
      </c>
    </row>
    <row r="10">
      <c r="A10" s="5" t="inlineStr">
        <is>
          <t>Referenzzins Basis (%)</t>
        </is>
      </c>
      <c r="B10" s="19">
        <f>IFERROR(N(INDEX('Mein Haus'!$K$45:$K$104,$B$7)),0)</f>
        <v/>
      </c>
    </row>
    <row r="11">
      <c r="A11" s="5" t="inlineStr">
        <is>
          <t>LIK Basis</t>
        </is>
      </c>
      <c r="B11" s="35">
        <f>IFERROR(IF(INDEX('Mein Haus'!$L$45:$L$104,$B$7)="","",INDEX('Mein Haus'!$L$45:$L$104,$B$7)),"")</f>
        <v/>
      </c>
    </row>
    <row r="12">
      <c r="A12" s="5" t="inlineStr">
        <is>
          <t>Basis seit</t>
        </is>
      </c>
      <c r="B12" s="21">
        <f>IFERROR(IF(INDEX('Mein Haus'!$M$45:$M$104,$B$7)="","",INDEX('Mein Haus'!$M$45:$M$104,$B$7)),"")</f>
        <v/>
      </c>
    </row>
    <row r="14">
      <c r="A14" s="34" t="inlineStr">
        <is>
          <t>Eingaben</t>
        </is>
      </c>
    </row>
    <row r="15">
      <c r="A15" s="5" t="inlineStr">
        <is>
          <t>Referenzzins neu (%)</t>
        </is>
      </c>
      <c r="B15" s="18" t="n">
        <v>1.25</v>
      </c>
      <c r="C15" s="37" t="inlineStr">
        <is>
          <t>seit 2.9.2025: 1.25 % (BWO); vor jeder Verwendung prüfen</t>
        </is>
      </c>
    </row>
    <row r="16">
      <c r="A16" s="5" t="inlineStr">
        <is>
          <t>LIK aktuell (Punkte)</t>
        </is>
      </c>
      <c r="B16" s="17" t="n">
        <v>107.1</v>
      </c>
      <c r="C16" s="37" t="inlineStr">
        <is>
          <t>Landesindex der Konsumentenpreise, BFS</t>
        </is>
      </c>
    </row>
    <row r="17">
      <c r="A17" s="5" t="inlineStr">
        <is>
          <t>Stichtag der Berechnung</t>
        </is>
      </c>
      <c r="B17" s="20" t="n">
        <v>46296</v>
      </c>
    </row>
    <row r="18">
      <c r="A18" s="5" t="inlineStr">
        <is>
          <t>Allgemeine Kostensteigerung pro Jahr (%)</t>
        </is>
      </c>
      <c r="B18" s="18" t="n">
        <v>0.5</v>
      </c>
      <c r="C18" s="37" t="inlineStr">
        <is>
          <t>Gerichtspraxis, kantonal verschieden; leer = nicht berücksichtigt</t>
        </is>
      </c>
    </row>
    <row r="19">
      <c r="A19" s="5" t="inlineStr">
        <is>
          <t>Mitteilung zugestellt am (nur Erhöhung)</t>
        </is>
      </c>
      <c r="B19" s="20" t="n">
        <v>46310</v>
      </c>
    </row>
    <row r="20">
      <c r="A20" s="5" t="inlineStr">
        <is>
          <t>Kündigungsfrist (Monate)</t>
        </is>
      </c>
      <c r="B20" s="26" t="n">
        <v>3</v>
      </c>
    </row>
    <row r="22">
      <c r="A22" s="34" t="inlineStr">
        <is>
          <t>Berechnung</t>
        </is>
      </c>
    </row>
    <row r="23">
      <c r="A23" s="5" t="inlineStr">
        <is>
          <t>Schritte zu 0.25 Prozentpunkten</t>
        </is>
      </c>
      <c r="B23" s="19">
        <f>ROUND((B15-B10)/0.25,6)</f>
        <v/>
      </c>
    </row>
    <row r="24">
      <c r="A24" s="5" t="inlineStr">
        <is>
          <t>Anpassung Referenzzins</t>
        </is>
      </c>
      <c r="B24" s="53">
        <f>IF(B23&gt;=0,0.03*B23,-(1-1/(1+0.03*-B23)))</f>
        <v/>
      </c>
    </row>
    <row r="25">
      <c r="A25" s="5" t="inlineStr">
        <is>
          <t>Teuerung (40 % der LIK-Veränderung)</t>
        </is>
      </c>
      <c r="B25" s="53">
        <f>IF(OR(B11="",B16="",N(B11)=0),0,(B16/B11-1)*0.4)</f>
        <v/>
      </c>
    </row>
    <row r="26">
      <c r="A26" s="5" t="inlineStr">
        <is>
          <t>Allgemeine Kostensteigerung</t>
        </is>
      </c>
      <c r="B26" s="53">
        <f>IF(OR(B18="",B12="",B17=""),0,B18/100*(B17-B12)/365.25)</f>
        <v/>
      </c>
    </row>
    <row r="27">
      <c r="A27" s="15" t="inlineStr">
        <is>
          <t>Total Anpassung</t>
        </is>
      </c>
      <c r="B27" s="54">
        <f>B24+B25+B26</f>
        <v/>
      </c>
    </row>
    <row r="28">
      <c r="A28" s="15" t="inlineStr">
        <is>
          <t>Neue Nettomiete / Mt.</t>
        </is>
      </c>
      <c r="B28" s="33">
        <f>ROUND(B9*(1+B27)*20,0)/20</f>
        <v/>
      </c>
    </row>
    <row r="29">
      <c r="A29" s="5" t="inlineStr">
        <is>
          <t>Veränderung / Mt.</t>
        </is>
      </c>
      <c r="B29" s="11">
        <f>B28-B9</f>
        <v/>
      </c>
    </row>
    <row r="31">
      <c r="A31" s="15" t="inlineStr">
        <is>
          <t>Ergebnis</t>
        </is>
      </c>
      <c r="B31" s="12">
        <f>IF(B9=0,"Mietverhältnis ohne Nettomiete",IF(B27&lt;0,"Senkung: Der Mieter kann eine Herabsetzung auf diesen Betrag verlangen.",IF(B27&gt;0,"Erhöhung möglich – nur mit amtlichem Formular","Keine Anpassung")))</f>
        <v/>
      </c>
      <c r="C31" s="55" t="n"/>
    </row>
    <row r="32">
      <c r="A32" s="15" t="inlineStr">
        <is>
          <t>Frühestens wirksam ab (Erhöhung)</t>
        </is>
      </c>
      <c r="B32" s="21">
        <f>IF(OR(B27&lt;=0,B19=""),"",IF(COUNT(C40:Z40)=0,"",MIN(C40:Z40)+1))</f>
        <v/>
      </c>
    </row>
    <row r="33">
      <c r="A33" s="15" t="inlineStr">
        <is>
          <t>Prüfen</t>
        </is>
      </c>
      <c r="B33" s="23">
        <f>IF(B9=0,"",IF(ABS(B23-ROUND(B23,0))&gt;0.000001,"Basis-Referenzzins prüfen (keine 0.25-Schritte)",IF(OR(B10&gt;5,B15&gt;5),"Über 5 %: andere Sätze nach Art. 13 VMWG – nicht abgebildet",IF(AND(B25&lt;&gt;0,B11=""),"LIK-Basis fehlt",""))))</f>
        <v/>
      </c>
      <c r="C33" s="55" t="n"/>
    </row>
    <row r="39">
      <c r="A39" s="25" t="inlineStr">
        <is>
          <t>Hilfszeile: mögliche Termine (Mitteilung + 10 Tage vor Beginn der Kündigungsfrist, konservativ)</t>
        </is>
      </c>
    </row>
    <row r="40">
      <c r="C40" s="56">
        <f>IF($B$19="","",IF(OR(COUNTIF(Einstellungen!$B$5:$B$16,"x")=0,INDEX(Einstellungen!$B$5:$B$16,MONTH(EOMONTH($B$19+10,$B$20+0)))="x"),EOMONTH($B$19+10,$B$20+0),""))</f>
        <v/>
      </c>
      <c r="D40" s="56">
        <f>IF($B$19="","",IF(OR(COUNTIF(Einstellungen!$B$5:$B$16,"x")=0,INDEX(Einstellungen!$B$5:$B$16,MONTH(EOMONTH($B$19+10,$B$20+1)))="x"),EOMONTH($B$19+10,$B$20+1),""))</f>
        <v/>
      </c>
      <c r="E40" s="56">
        <f>IF($B$19="","",IF(OR(COUNTIF(Einstellungen!$B$5:$B$16,"x")=0,INDEX(Einstellungen!$B$5:$B$16,MONTH(EOMONTH($B$19+10,$B$20+2)))="x"),EOMONTH($B$19+10,$B$20+2),""))</f>
        <v/>
      </c>
      <c r="F40" s="56">
        <f>IF($B$19="","",IF(OR(COUNTIF(Einstellungen!$B$5:$B$16,"x")=0,INDEX(Einstellungen!$B$5:$B$16,MONTH(EOMONTH($B$19+10,$B$20+3)))="x"),EOMONTH($B$19+10,$B$20+3),""))</f>
        <v/>
      </c>
      <c r="G40" s="56">
        <f>IF($B$19="","",IF(OR(COUNTIF(Einstellungen!$B$5:$B$16,"x")=0,INDEX(Einstellungen!$B$5:$B$16,MONTH(EOMONTH($B$19+10,$B$20+4)))="x"),EOMONTH($B$19+10,$B$20+4),""))</f>
        <v/>
      </c>
      <c r="H40" s="56">
        <f>IF($B$19="","",IF(OR(COUNTIF(Einstellungen!$B$5:$B$16,"x")=0,INDEX(Einstellungen!$B$5:$B$16,MONTH(EOMONTH($B$19+10,$B$20+5)))="x"),EOMONTH($B$19+10,$B$20+5),""))</f>
        <v/>
      </c>
      <c r="I40" s="56">
        <f>IF($B$19="","",IF(OR(COUNTIF(Einstellungen!$B$5:$B$16,"x")=0,INDEX(Einstellungen!$B$5:$B$16,MONTH(EOMONTH($B$19+10,$B$20+6)))="x"),EOMONTH($B$19+10,$B$20+6),""))</f>
        <v/>
      </c>
      <c r="J40" s="56">
        <f>IF($B$19="","",IF(OR(COUNTIF(Einstellungen!$B$5:$B$16,"x")=0,INDEX(Einstellungen!$B$5:$B$16,MONTH(EOMONTH($B$19+10,$B$20+7)))="x"),EOMONTH($B$19+10,$B$20+7),""))</f>
        <v/>
      </c>
      <c r="K40" s="56">
        <f>IF($B$19="","",IF(OR(COUNTIF(Einstellungen!$B$5:$B$16,"x")=0,INDEX(Einstellungen!$B$5:$B$16,MONTH(EOMONTH($B$19+10,$B$20+8)))="x"),EOMONTH($B$19+10,$B$20+8),""))</f>
        <v/>
      </c>
      <c r="L40" s="56">
        <f>IF($B$19="","",IF(OR(COUNTIF(Einstellungen!$B$5:$B$16,"x")=0,INDEX(Einstellungen!$B$5:$B$16,MONTH(EOMONTH($B$19+10,$B$20+9)))="x"),EOMONTH($B$19+10,$B$20+9),""))</f>
        <v/>
      </c>
      <c r="M40" s="56">
        <f>IF($B$19="","",IF(OR(COUNTIF(Einstellungen!$B$5:$B$16,"x")=0,INDEX(Einstellungen!$B$5:$B$16,MONTH(EOMONTH($B$19+10,$B$20+10)))="x"),EOMONTH($B$19+10,$B$20+10),""))</f>
        <v/>
      </c>
      <c r="N40" s="56">
        <f>IF($B$19="","",IF(OR(COUNTIF(Einstellungen!$B$5:$B$16,"x")=0,INDEX(Einstellungen!$B$5:$B$16,MONTH(EOMONTH($B$19+10,$B$20+11)))="x"),EOMONTH($B$19+10,$B$20+11),""))</f>
        <v/>
      </c>
      <c r="O40" s="56">
        <f>IF($B$19="","",IF(OR(COUNTIF(Einstellungen!$B$5:$B$16,"x")=0,INDEX(Einstellungen!$B$5:$B$16,MONTH(EOMONTH($B$19+10,$B$20+12)))="x"),EOMONTH($B$19+10,$B$20+12),""))</f>
        <v/>
      </c>
      <c r="P40" s="56">
        <f>IF($B$19="","",IF(OR(COUNTIF(Einstellungen!$B$5:$B$16,"x")=0,INDEX(Einstellungen!$B$5:$B$16,MONTH(EOMONTH($B$19+10,$B$20+13)))="x"),EOMONTH($B$19+10,$B$20+13),""))</f>
        <v/>
      </c>
      <c r="Q40" s="56">
        <f>IF($B$19="","",IF(OR(COUNTIF(Einstellungen!$B$5:$B$16,"x")=0,INDEX(Einstellungen!$B$5:$B$16,MONTH(EOMONTH($B$19+10,$B$20+14)))="x"),EOMONTH($B$19+10,$B$20+14),""))</f>
        <v/>
      </c>
      <c r="R40" s="56">
        <f>IF($B$19="","",IF(OR(COUNTIF(Einstellungen!$B$5:$B$16,"x")=0,INDEX(Einstellungen!$B$5:$B$16,MONTH(EOMONTH($B$19+10,$B$20+15)))="x"),EOMONTH($B$19+10,$B$20+15),""))</f>
        <v/>
      </c>
      <c r="S40" s="56">
        <f>IF($B$19="","",IF(OR(COUNTIF(Einstellungen!$B$5:$B$16,"x")=0,INDEX(Einstellungen!$B$5:$B$16,MONTH(EOMONTH($B$19+10,$B$20+16)))="x"),EOMONTH($B$19+10,$B$20+16),""))</f>
        <v/>
      </c>
      <c r="T40" s="56">
        <f>IF($B$19="","",IF(OR(COUNTIF(Einstellungen!$B$5:$B$16,"x")=0,INDEX(Einstellungen!$B$5:$B$16,MONTH(EOMONTH($B$19+10,$B$20+17)))="x"),EOMONTH($B$19+10,$B$20+17),""))</f>
        <v/>
      </c>
      <c r="U40" s="56">
        <f>IF($B$19="","",IF(OR(COUNTIF(Einstellungen!$B$5:$B$16,"x")=0,INDEX(Einstellungen!$B$5:$B$16,MONTH(EOMONTH($B$19+10,$B$20+18)))="x"),EOMONTH($B$19+10,$B$20+18),""))</f>
        <v/>
      </c>
      <c r="V40" s="56">
        <f>IF($B$19="","",IF(OR(COUNTIF(Einstellungen!$B$5:$B$16,"x")=0,INDEX(Einstellungen!$B$5:$B$16,MONTH(EOMONTH($B$19+10,$B$20+19)))="x"),EOMONTH($B$19+10,$B$20+19),""))</f>
        <v/>
      </c>
      <c r="W40" s="56">
        <f>IF($B$19="","",IF(OR(COUNTIF(Einstellungen!$B$5:$B$16,"x")=0,INDEX(Einstellungen!$B$5:$B$16,MONTH(EOMONTH($B$19+10,$B$20+20)))="x"),EOMONTH($B$19+10,$B$20+20),""))</f>
        <v/>
      </c>
      <c r="X40" s="56">
        <f>IF($B$19="","",IF(OR(COUNTIF(Einstellungen!$B$5:$B$16,"x")=0,INDEX(Einstellungen!$B$5:$B$16,MONTH(EOMONTH($B$19+10,$B$20+21)))="x"),EOMONTH($B$19+10,$B$20+21),""))</f>
        <v/>
      </c>
      <c r="Y40" s="56">
        <f>IF($B$19="","",IF(OR(COUNTIF(Einstellungen!$B$5:$B$16,"x")=0,INDEX(Einstellungen!$B$5:$B$16,MONTH(EOMONTH($B$19+10,$B$20+22)))="x"),EOMONTH($B$19+10,$B$20+22),""))</f>
        <v/>
      </c>
      <c r="Z40" s="56">
        <f>IF($B$19="","",IF(OR(COUNTIF(Einstellungen!$B$5:$B$16,"x")=0,INDEX(Einstellungen!$B$5:$B$16,MONTH(EOMONTH($B$19+10,$B$20+23)))="x"),EOMONTH($B$19+10,$B$20+23),""))</f>
        <v/>
      </c>
    </row>
    <row r="42" ht="14" customHeight="1">
      <c r="A42" s="57" t="inlineStr">
        <is>
          <t>Rechtliche Hinweise (ohne Gewähr):</t>
        </is>
      </c>
    </row>
    <row r="43" ht="24" customHeight="1">
      <c r="A43" s="58" t="inlineStr">
        <is>
          <t>• Referenzzins unter 5 %: +3 % pro 0.25 Prozentpunkte Erhöhung; Senkung entsprechend 2.91 % pro Schritt (1 − 1/(1 + 3 % × Schritte)).</t>
        </is>
      </c>
    </row>
    <row r="44" ht="24" customHeight="1">
      <c r="A44" s="58" t="inlineStr">
        <is>
          <t>• Teuerung: 40 % der Veränderung des Landesindex seit der letzten Anpassung (Art. 16 VMWG).</t>
        </is>
      </c>
    </row>
    <row r="45" ht="24" customHeight="1">
      <c r="A45" s="58" t="inlineStr">
        <is>
          <t>• Allgemeine Kostensteigerung: Pauschale nach Gerichtspraxis; Höhe kantonal verschieden, im Streitfall Nachweis nötig.</t>
        </is>
      </c>
    </row>
    <row r="46" ht="24" customHeight="1">
      <c r="A46" s="58" t="inlineStr">
        <is>
          <t>• Erhöhungen nur mit amtlichem Formular des Kantons, mindestens 10 Tage vor Beginn der Kündigungsfrist (Art. 269d OR).</t>
        </is>
      </c>
    </row>
    <row r="47" ht="24" customHeight="1">
      <c r="A47" s="58" t="inlineStr">
        <is>
          <t>• Senkungen schuldet der Vermieter auf Begehren des Mieters (Art. 270a OR). Nicht abgebildet: absolute Methode, Mietzinsreserven, wertvermehrende Investitionen.</t>
        </is>
      </c>
    </row>
  </sheetData>
  <sheetProtection selectLockedCells="0" selectUnlockedCells="0" sheet="1" objects="0" insertRows="1" insertHyperlinks="1" autoFilter="1" scenarios="0" formatColumns="0" deleteColumns="1" insertColumns="1" pivotTables="1" deleteRows="1" formatCells="1" formatRows="0" sort="1"/>
  <mergeCells count="12">
    <mergeCell ref="A42:C42"/>
    <mergeCell ref="A44:C44"/>
    <mergeCell ref="A47:C47"/>
    <mergeCell ref="A45:C45"/>
    <mergeCell ref="A46:C46"/>
    <mergeCell ref="B33:C33"/>
    <mergeCell ref="A5:C5"/>
    <mergeCell ref="A3:C3"/>
    <mergeCell ref="B31:C31"/>
    <mergeCell ref="A4:C4"/>
    <mergeCell ref="A43:C43"/>
    <mergeCell ref="A2:C2"/>
  </mergeCells>
  <conditionalFormatting sqref="B33">
    <cfRule type="expression" priority="1" dxfId="0">
      <formula>B33&lt;&gt;""</formula>
    </cfRule>
  </conditionalFormatting>
  <pageMargins left="0.75" right="0.75" top="1" bottom="1" header="0.5" footer="0.5"/>
  <pageSetup fitToHeight="1" fitToWidth="1"/>
</worksheet>
</file>

<file path=xl/worksheets/sheet13.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cols>
    <col width="14" customWidth="1" min="1" max="1"/>
    <col width="12" customWidth="1" min="2" max="2"/>
    <col width="3" customWidth="1" min="3" max="3"/>
    <col width="14" customWidth="1" min="4" max="4"/>
    <col width="6" customWidth="1" min="5" max="5"/>
    <col width="10" customWidth="1" min="6" max="6"/>
  </cols>
  <sheetData>
    <row r="1">
      <c r="A1" s="14" t="inlineStr">
        <is>
          <t>Einstellungen</t>
        </is>
      </c>
    </row>
    <row r="2">
      <c r="A2" s="13" t="inlineStr">
        <is>
          <t>Gilt für alle Teile. Einmal einstellen.</t>
        </is>
      </c>
    </row>
    <row r="3">
      <c r="A3" s="34" t="inlineStr">
        <is>
          <t>Kündigungstermine (Monatsende)</t>
        </is>
      </c>
      <c r="D3" s="34" t="inlineStr">
        <is>
          <t>Feiertage</t>
        </is>
      </c>
      <c r="F3" s="34" t="inlineStr">
        <is>
          <t>Heizung: Monatsgewichte ‰</t>
        </is>
      </c>
    </row>
    <row r="4">
      <c r="A4" s="6" t="inlineStr">
        <is>
          <t>Monat</t>
        </is>
      </c>
      <c r="B4" s="6" t="inlineStr">
        <is>
          <t>Termin? (x)</t>
        </is>
      </c>
      <c r="D4" s="6" t="inlineStr">
        <is>
          <t>Datum</t>
        </is>
      </c>
      <c r="F4" s="6" t="inlineStr">
        <is>
          <t>Gewicht</t>
        </is>
      </c>
    </row>
    <row r="5">
      <c r="A5" s="5" t="inlineStr">
        <is>
          <t>Januar</t>
        </is>
      </c>
      <c r="B5" s="16" t="n"/>
      <c r="D5" s="20" t="n">
        <v>46016</v>
      </c>
      <c r="E5" s="40" t="inlineStr">
        <is>
          <t>Jan</t>
        </is>
      </c>
      <c r="F5" s="26" t="n">
        <v>170</v>
      </c>
    </row>
    <row r="6">
      <c r="A6" s="5" t="inlineStr">
        <is>
          <t>Februar</t>
        </is>
      </c>
      <c r="B6" s="16" t="n"/>
      <c r="D6" s="20" t="n">
        <v>46017</v>
      </c>
      <c r="E6" s="40" t="inlineStr">
        <is>
          <t>Feb</t>
        </is>
      </c>
      <c r="F6" s="26" t="n">
        <v>150</v>
      </c>
    </row>
    <row r="7">
      <c r="A7" s="5" t="inlineStr">
        <is>
          <t>März</t>
        </is>
      </c>
      <c r="B7" s="16" t="inlineStr">
        <is>
          <t>x</t>
        </is>
      </c>
      <c r="D7" s="20" t="n">
        <v>46023</v>
      </c>
      <c r="E7" s="40" t="inlineStr">
        <is>
          <t>Mär</t>
        </is>
      </c>
      <c r="F7" s="26" t="n">
        <v>130</v>
      </c>
    </row>
    <row r="8">
      <c r="A8" s="5" t="inlineStr">
        <is>
          <t>April</t>
        </is>
      </c>
      <c r="B8" s="16" t="n"/>
      <c r="D8" s="20" t="n">
        <v>46024</v>
      </c>
      <c r="E8" s="40" t="inlineStr">
        <is>
          <t>Apr</t>
        </is>
      </c>
      <c r="F8" s="26" t="n">
        <v>90</v>
      </c>
    </row>
    <row r="9">
      <c r="A9" s="5" t="inlineStr">
        <is>
          <t>Mai</t>
        </is>
      </c>
      <c r="B9" s="16" t="n"/>
      <c r="D9" s="20" t="n">
        <v>46381</v>
      </c>
      <c r="E9" s="40" t="inlineStr">
        <is>
          <t>Mai</t>
        </is>
      </c>
      <c r="F9" s="26" t="n">
        <v>40</v>
      </c>
    </row>
    <row r="10">
      <c r="A10" s="5" t="inlineStr">
        <is>
          <t>Juni</t>
        </is>
      </c>
      <c r="B10" s="16" t="inlineStr">
        <is>
          <t>x</t>
        </is>
      </c>
      <c r="D10" s="20" t="n">
        <v>46384</v>
      </c>
      <c r="E10" s="40" t="inlineStr">
        <is>
          <t>Jun</t>
        </is>
      </c>
      <c r="F10" s="26" t="n">
        <v>10</v>
      </c>
    </row>
    <row r="11">
      <c r="A11" s="5" t="inlineStr">
        <is>
          <t>Juli</t>
        </is>
      </c>
      <c r="B11" s="16" t="n"/>
      <c r="D11" s="20" t="n">
        <v>46388</v>
      </c>
      <c r="E11" s="40" t="inlineStr">
        <is>
          <t>Jul</t>
        </is>
      </c>
      <c r="F11" s="26" t="n">
        <v>0</v>
      </c>
    </row>
    <row r="12">
      <c r="A12" s="5" t="inlineStr">
        <is>
          <t>August</t>
        </is>
      </c>
      <c r="B12" s="16" t="n"/>
      <c r="D12" s="20" t="n"/>
      <c r="E12" s="40" t="inlineStr">
        <is>
          <t>Aug</t>
        </is>
      </c>
      <c r="F12" s="26" t="n">
        <v>0</v>
      </c>
    </row>
    <row r="13">
      <c r="A13" s="5" t="inlineStr">
        <is>
          <t>September</t>
        </is>
      </c>
      <c r="B13" s="16" t="inlineStr">
        <is>
          <t>x</t>
        </is>
      </c>
      <c r="D13" s="20" t="n"/>
      <c r="E13" s="40" t="inlineStr">
        <is>
          <t>Sep</t>
        </is>
      </c>
      <c r="F13" s="26" t="n">
        <v>30</v>
      </c>
    </row>
    <row r="14">
      <c r="A14" s="5" t="inlineStr">
        <is>
          <t>Oktober</t>
        </is>
      </c>
      <c r="B14" s="16" t="n"/>
      <c r="D14" s="20" t="n"/>
      <c r="E14" s="40" t="inlineStr">
        <is>
          <t>Okt</t>
        </is>
      </c>
      <c r="F14" s="26" t="n">
        <v>80</v>
      </c>
    </row>
    <row r="15">
      <c r="A15" s="5" t="inlineStr">
        <is>
          <t>November</t>
        </is>
      </c>
      <c r="B15" s="16" t="n"/>
      <c r="D15" s="20" t="n"/>
      <c r="E15" s="40" t="inlineStr">
        <is>
          <t>Nov</t>
        </is>
      </c>
      <c r="F15" s="26" t="n">
        <v>140</v>
      </c>
    </row>
    <row r="16">
      <c r="A16" s="5" t="inlineStr">
        <is>
          <t>Dezember</t>
        </is>
      </c>
      <c r="B16" s="16" t="n"/>
      <c r="D16" s="20" t="n"/>
      <c r="E16" s="40" t="inlineStr">
        <is>
          <t>Dez</t>
        </is>
      </c>
      <c r="F16" s="26" t="n">
        <v>160</v>
      </c>
    </row>
    <row r="17">
      <c r="D17" s="20" t="n"/>
      <c r="E17" s="15" t="inlineStr">
        <is>
          <t>Σ</t>
        </is>
      </c>
      <c r="F17" s="10">
        <f>SUM(F5:F16)</f>
        <v/>
      </c>
    </row>
    <row r="18">
      <c r="A18" s="13" t="inlineStr">
        <is>
          <t>Voreinstellung Ende März, Juni, September. Massgebend sind Gemeinde und Mietvertrag.</t>
        </is>
      </c>
      <c r="D18" s="20" t="n"/>
    </row>
    <row r="19">
      <c r="D19" s="20" t="n"/>
    </row>
    <row r="20">
      <c r="D20" s="20" t="n"/>
    </row>
    <row r="21">
      <c r="D21" s="20" t="n"/>
    </row>
    <row r="22">
      <c r="D22" s="20" t="n"/>
    </row>
    <row r="23">
      <c r="D23" s="20" t="n"/>
    </row>
    <row r="24">
      <c r="D24" s="20" t="n"/>
    </row>
    <row r="25">
      <c r="D25" s="20" t="n"/>
    </row>
    <row r="26">
      <c r="D26" s="20" t="n"/>
    </row>
    <row r="27">
      <c r="D27" s="20" t="n"/>
    </row>
    <row r="28">
      <c r="D28" s="20" t="n"/>
    </row>
    <row r="29">
      <c r="D29" s="20" t="n"/>
    </row>
    <row r="30">
      <c r="D30" s="20" t="n"/>
    </row>
    <row r="31">
      <c r="D31" s="20" t="n"/>
    </row>
    <row r="32">
      <c r="D32" s="20" t="n"/>
    </row>
    <row r="33">
      <c r="D33" s="20" t="n"/>
    </row>
    <row r="34">
      <c r="D34" s="20" t="n"/>
    </row>
  </sheetData>
  <sheetProtection selectLockedCells="0" selectUnlockedCells="0" sheet="1" objects="0" insertRows="1" insertHyperlinks="1" autoFilter="1" scenarios="0" formatColumns="0" deleteColumns="1" insertColumns="1" pivotTables="1" deleteRows="1" formatCells="1" formatRows="0" sor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cols>
    <col width="62" customWidth="1" min="1" max="1"/>
    <col width="12" customWidth="1" min="2" max="2"/>
    <col width="8" customWidth="1" min="3" max="3"/>
    <col width="34" customWidth="1" min="4" max="4"/>
  </cols>
  <sheetData>
    <row r="1">
      <c r="A1" s="14" t="inlineStr">
        <is>
          <t>Kontrolle</t>
        </is>
      </c>
    </row>
    <row r="2">
      <c r="A2" s="13" t="inlineStr">
        <is>
          <t>Jede Zeile muss ihren Sollwert haben. Sonst zeigt die Spalte «Wo» die betroffene Stelle.</t>
        </is>
      </c>
    </row>
    <row r="3">
      <c r="A3" s="6" t="inlineStr">
        <is>
          <t>Prüfung</t>
        </is>
      </c>
      <c r="B3" s="6" t="inlineStr">
        <is>
          <t>Ist</t>
        </is>
      </c>
      <c r="C3" s="6" t="inlineStr">
        <is>
          <t>Soll</t>
        </is>
      </c>
      <c r="D3" s="6" t="inlineStr">
        <is>
          <t>Wo</t>
        </is>
      </c>
    </row>
    <row r="4">
      <c r="A4" s="5" t="inlineStr">
        <is>
          <t>Mietverhältnisse mit Hinweis (Einheit, Ende vor Beginn, Überschneidung)</t>
        </is>
      </c>
      <c r="B4" s="59">
        <f>COUNTIF('Mein Haus'!O45:O104,"?*")</f>
        <v/>
      </c>
      <c r="C4" s="60" t="n">
        <v>0</v>
      </c>
      <c r="D4" s="13" t="inlineStr">
        <is>
          <t>Mein Haus, Spalte «Prüfen»</t>
        </is>
      </c>
    </row>
    <row r="5">
      <c r="A5" s="5" t="inlineStr">
        <is>
          <t>Monatsgewichte Heizung (Summe)</t>
        </is>
      </c>
      <c r="B5" s="59">
        <f>Einstellungen!F17</f>
        <v/>
      </c>
      <c r="C5" s="60" t="n">
        <v>1000</v>
      </c>
      <c r="D5" s="13" t="inlineStr">
        <is>
          <t>Einstellungen</t>
        </is>
      </c>
    </row>
    <row r="6">
      <c r="A6" s="5" t="inlineStr">
        <is>
          <t>Kosten ohne Schlüssel oder Verteilung</t>
        </is>
      </c>
      <c r="B6" s="59">
        <f>SUMPRODUCT((Nebenkosten!B10:B34&lt;&gt;"")*((Nebenkosten!C10:C34="")+(Nebenkosten!D10:D34="")))</f>
        <v/>
      </c>
      <c r="C6" s="60" t="n">
        <v>0</v>
      </c>
      <c r="D6" s="13" t="inlineStr">
        <is>
          <t>Nebenkosten</t>
        </is>
      </c>
    </row>
    <row r="7">
      <c r="A7" s="5" t="inlineStr">
        <is>
          <t>Kostenarten mit Schlüssel-Total 0</t>
        </is>
      </c>
      <c r="B7" s="59">
        <f>SUMPRODUCT((Nebenkosten!B10:B34&lt;&gt;"")*(Nebenkosten!C10:C34&lt;&gt;"")*(Nebenkosten!E10:E34=0))</f>
        <v/>
      </c>
      <c r="C7" s="60" t="n">
        <v>0</v>
      </c>
      <c r="D7" s="13" t="inlineStr">
        <is>
          <t>Nebenkosten / Mein Haus</t>
        </is>
      </c>
    </row>
    <row r="8">
      <c r="A8" s="5" t="inlineStr">
        <is>
          <t>Kosten erfasst, aber kein Periodenbeginn</t>
        </is>
      </c>
      <c r="B8" s="59">
        <f>IF(AND(COUNT(Nebenkosten!B10:B34)&gt;0,Nebenkosten!B7=""),1,0)</f>
        <v/>
      </c>
      <c r="C8" s="60" t="n">
        <v>0</v>
      </c>
      <c r="D8" s="13" t="inlineStr">
        <is>
          <t>Nebenkosten</t>
        </is>
      </c>
    </row>
    <row r="9">
      <c r="A9" s="5" t="inlineStr">
        <is>
          <t>Nebenkosten: verteilt + Leerstand − Total</t>
        </is>
      </c>
      <c r="B9" s="59">
        <f>ROUND(SUM('NK Verteilung'!AA65:AY65)+SUM('NK Verteilung'!AA66:AY66)-Nebenkosten!B35,2)</f>
        <v/>
      </c>
      <c r="C9" s="60" t="n">
        <v>0</v>
      </c>
      <c r="D9" s="13" t="inlineStr">
        <is>
          <t>NK Verteilung</t>
        </is>
      </c>
    </row>
    <row r="10">
      <c r="A10" s="5" t="inlineStr">
        <is>
          <t>Mieterwechsel: ID ohne Mieter oder abweichendes Mietende</t>
        </is>
      </c>
      <c r="B10" s="59">
        <f>COUNTIF(Mieterwechsel!AI9:AI28,"ID*")+COUNTIF(Mieterwechsel!AI9:AI28,"Mietende*")</f>
        <v/>
      </c>
      <c r="C10" s="60" t="n">
        <v>0</v>
      </c>
      <c r="D10" s="13" t="inlineStr">
        <is>
          <t>Mieterwechsel, Spalte «Hinweis»</t>
        </is>
      </c>
    </row>
    <row r="11">
      <c r="A11" s="5" t="inlineStr">
        <is>
          <t>Mietzins: Hinweis</t>
        </is>
      </c>
      <c r="B11" s="59">
        <f>IF(Mietzins!B33="",0,1)</f>
        <v/>
      </c>
      <c r="C11" s="60" t="n">
        <v>0</v>
      </c>
      <c r="D11" s="13" t="inlineStr">
        <is>
          <t>Mietzins, Zeile «Prüfen»</t>
        </is>
      </c>
    </row>
    <row r="12">
      <c r="A12" s="5" t="inlineStr">
        <is>
          <t>Rückgabe: Fälle mit Hinweis</t>
        </is>
      </c>
      <c r="B12" s="59">
        <f>COUNTIF(Rückgabe!W8:W27,"?*")</f>
        <v/>
      </c>
      <c r="C12" s="60" t="n">
        <v>0</v>
      </c>
      <c r="D12" s="13" t="inlineStr">
        <is>
          <t>Rückgabe, Spalte «Prüfen»</t>
        </is>
      </c>
    </row>
    <row r="13">
      <c r="A13" s="5" t="inlineStr">
        <is>
          <t>Rückgabe: Mängel mit Hinweis</t>
        </is>
      </c>
      <c r="B13" s="59">
        <f>COUNTIF(Rückgabe!L32:L131,"?*")</f>
        <v/>
      </c>
      <c r="C13" s="60" t="n">
        <v>0</v>
      </c>
      <c r="D13" s="13" t="inlineStr">
        <is>
          <t>Rückgabe, Mängel «Prüfen»</t>
        </is>
      </c>
    </row>
    <row r="14">
      <c r="A14" s="5" t="inlineStr">
        <is>
          <t>Rückgabe: Kaution aufgeteilt − Kaution</t>
        </is>
      </c>
      <c r="B14" s="59">
        <f>ROUND(SUM(Rückgabe!S8:T27)-SUM(Rückgabe!R8:R27),2)</f>
        <v/>
      </c>
      <c r="C14" s="60" t="n">
        <v>0</v>
      </c>
      <c r="D14" s="13" t="inlineStr">
        <is>
          <t>Rückgabe</t>
        </is>
      </c>
    </row>
    <row r="16">
      <c r="A16" s="61" t="inlineStr">
        <is>
          <t>Status</t>
        </is>
      </c>
      <c r="B16" s="12">
        <f>IF(SUMPRODUCT(--(B4:B14&lt;&gt;C4:C14))=0,"OK","Bitte prüfen")</f>
        <v/>
      </c>
    </row>
  </sheetData>
  <sheetProtection selectLockedCells="0" selectUnlockedCells="0" sheet="1" objects="0" insertRows="1" insertHyperlinks="1" autoFilter="1" scenarios="0" formatColumns="0" deleteColumns="1" insertColumns="1" pivotTables="1" deleteRows="1" formatCells="1" formatRows="0" sort="1"/>
  <conditionalFormatting sqref="B4">
    <cfRule type="expression" priority="1" dxfId="0">
      <formula>B4&lt;&gt;C4</formula>
    </cfRule>
  </conditionalFormatting>
  <conditionalFormatting sqref="B5">
    <cfRule type="expression" priority="2" dxfId="0">
      <formula>B5&lt;&gt;C5</formula>
    </cfRule>
  </conditionalFormatting>
  <conditionalFormatting sqref="B6">
    <cfRule type="expression" priority="3" dxfId="0">
      <formula>B6&lt;&gt;C6</formula>
    </cfRule>
  </conditionalFormatting>
  <conditionalFormatting sqref="B7">
    <cfRule type="expression" priority="4" dxfId="0">
      <formula>B7&lt;&gt;C7</formula>
    </cfRule>
  </conditionalFormatting>
  <conditionalFormatting sqref="B8">
    <cfRule type="expression" priority="5" dxfId="0">
      <formula>B8&lt;&gt;C8</formula>
    </cfRule>
  </conditionalFormatting>
  <conditionalFormatting sqref="B9">
    <cfRule type="expression" priority="6" dxfId="0">
      <formula>B9&lt;&gt;C9</formula>
    </cfRule>
  </conditionalFormatting>
  <conditionalFormatting sqref="B10">
    <cfRule type="expression" priority="7" dxfId="0">
      <formula>B10&lt;&gt;C10</formula>
    </cfRule>
  </conditionalFormatting>
  <conditionalFormatting sqref="B11">
    <cfRule type="expression" priority="8" dxfId="0">
      <formula>B11&lt;&gt;C11</formula>
    </cfRule>
  </conditionalFormatting>
  <conditionalFormatting sqref="B12">
    <cfRule type="expression" priority="9" dxfId="0">
      <formula>B12&lt;&gt;C12</formula>
    </cfRule>
  </conditionalFormatting>
  <conditionalFormatting sqref="B13">
    <cfRule type="expression" priority="10" dxfId="0">
      <formula>B13&lt;&gt;C13</formula>
    </cfRule>
  </conditionalFormatting>
  <conditionalFormatting sqref="B14">
    <cfRule type="expression" priority="11" dxfId="0">
      <formula>B14&lt;&gt;C14</formula>
    </cfRule>
  </conditionalFormatting>
  <conditionalFormatting sqref="B16">
    <cfRule type="expression" priority="12" dxfId="2">
      <formula>B16="OK"</formula>
    </cfRule>
    <cfRule type="expression" priority="13" dxfId="0">
      <formula>B16&lt;&gt;"OK"</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2026-10-07T06:47:15Z</dcterms:created>
  <dcterms:modified xmlns:dcterms="http://purl.org/dc/terms/" xmlns:xsi="http://www.w3.org/2001/XMLSchema-instance" xsi:type="dcterms:W3CDTF">2026-10-07T06:47:16Z</dcterms:modified>
</cp:coreProperties>
</file>