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egenschaft" sheetId="2" state="visible" r:id="rId2"/>
    <sheet xmlns:r="http://schemas.openxmlformats.org/officeDocument/2006/relationships" name="Mieter" sheetId="3" state="visible" r:id="rId3"/>
    <sheet xmlns:r="http://schemas.openxmlformats.org/officeDocument/2006/relationships" name="Kosten" sheetId="4" state="visible" r:id="rId4"/>
    <sheet xmlns:r="http://schemas.openxmlformats.org/officeDocument/2006/relationships" name="Verteilung" sheetId="5" state="visible" r:id="rId5"/>
    <sheet xmlns:r="http://schemas.openxmlformats.org/officeDocument/2006/relationships" name="Abrechnung" sheetId="6" state="visible" r:id="rId6"/>
    <sheet xmlns:r="http://schemas.openxmlformats.org/officeDocument/2006/relationships" name="Mietzins" sheetId="7" state="visible" r:id="rId7"/>
    <sheet xmlns:r="http://schemas.openxmlformats.org/officeDocument/2006/relationships" name="Mieterwechsel" sheetId="8" state="visible" r:id="rId8"/>
    <sheet xmlns:r="http://schemas.openxmlformats.org/officeDocument/2006/relationships" name="Abnahme" sheetId="9" state="visible" r:id="rId9"/>
  </sheets>
  <definedNames>
    <definedName name="_xlnm.Print_Area" localSheetId="5">'Abrechnung'!$B$4:$G$51</definedName>
    <definedName name="_xlnm.Print_Area" localSheetId="6">'Mietzins'!$B$2:$D$30</definedName>
    <definedName name="_xlnm.Print_Area" localSheetId="8">'Abnahme'!$B$2:$G$76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"/>
    <numFmt numFmtId="166" formatCode="0.0"/>
    <numFmt numFmtId="167" formatCode="#,##0.00 &quot;CHF&quot;"/>
    <numFmt numFmtId="168" formatCode="+0.00%;-0.00%;0.00%"/>
  </numFmts>
  <fonts count="23">
    <font>
      <name val="Calibri"/>
      <family val="2"/>
      <color theme="1"/>
      <sz val="11"/>
      <scheme val="minor"/>
    </font>
    <font>
      <name val="Arial"/>
      <b val="1"/>
      <color rgb="001E5F74"/>
      <sz val="16"/>
    </font>
    <font>
      <name val="Arial"/>
      <i val="1"/>
      <color rgb="005A6B72"/>
      <sz val="9"/>
    </font>
    <font>
      <name val="Arial"/>
      <b val="1"/>
      <color rgb="001E5F74"/>
      <sz val="11"/>
    </font>
    <font>
      <name val="Arial"/>
      <color rgb="001F2A30"/>
      <sz val="10"/>
    </font>
    <font>
      <name val="Arial"/>
      <i val="1"/>
      <color rgb="005A6B72"/>
      <sz val="8"/>
    </font>
    <font>
      <name val="Arial"/>
      <b val="1"/>
      <color rgb="001F2A30"/>
      <sz val="9"/>
    </font>
    <font>
      <name val="Arial"/>
      <b val="1"/>
      <color rgb="00FFFFFF"/>
      <sz val="9"/>
    </font>
    <font>
      <name val="Arial"/>
      <b val="1"/>
      <color rgb="001F2A30"/>
      <sz val="10"/>
    </font>
    <font>
      <name val="Arial"/>
      <color rgb="007A8A90"/>
      <sz val="8"/>
    </font>
    <font>
      <name val="Arial"/>
      <i val="1"/>
      <color rgb="007A8A90"/>
      <sz val="8"/>
    </font>
    <font>
      <name val="Arial"/>
      <color rgb="005A6B72"/>
      <sz val="9"/>
    </font>
    <font>
      <name val="Arial"/>
      <color rgb="00FFFFFF"/>
      <sz val="8"/>
    </font>
    <font>
      <name val="Arial"/>
      <b val="1"/>
      <color rgb="001E5F74"/>
      <sz val="9"/>
    </font>
    <font>
      <name val="Arial"/>
      <color rgb="004A5A60"/>
      <sz val="9"/>
    </font>
    <font>
      <name val="Arial"/>
      <b val="1"/>
      <color rgb="00FFFFFF"/>
      <sz val="8"/>
    </font>
    <font>
      <name val="Arial"/>
      <b val="1"/>
      <color rgb="001E5F74"/>
      <sz val="10"/>
    </font>
    <font>
      <name val="Arial"/>
      <b val="1"/>
      <color rgb="001E5F74"/>
      <sz val="15"/>
    </font>
    <font>
      <name val="Arial"/>
      <color rgb="001F2A30"/>
      <sz val="9"/>
    </font>
    <font>
      <name val="Arial"/>
      <b val="1"/>
      <color rgb="001F2A30"/>
      <sz val="11"/>
    </font>
    <font>
      <name val="Arial"/>
      <color rgb="005A6B72"/>
      <sz val="8"/>
    </font>
    <font>
      <name val="Arial"/>
      <i val="1"/>
      <color rgb="001F2A30"/>
      <sz val="8"/>
    </font>
    <font>
      <name val="Arial"/>
      <color rgb="001F2A30"/>
      <sz val="8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E5F74"/>
      </patternFill>
    </fill>
    <fill>
      <patternFill patternType="solid">
        <fgColor rgb="00E8F0F2"/>
      </patternFill>
    </fill>
  </fills>
  <borders count="4">
    <border>
      <left/>
      <right/>
      <top/>
      <bottom/>
      <diagonal/>
    </border>
    <border>
      <left style="thin">
        <color rgb="00C5CFD3"/>
      </left>
      <right style="thin">
        <color rgb="00C5CFD3"/>
      </right>
      <top style="thin">
        <color rgb="00C5CFD3"/>
      </top>
      <bottom style="thin">
        <color rgb="00C5CFD3"/>
      </bottom>
    </border>
    <border>
      <bottom style="hair">
        <color rgb="00C5CFD3"/>
      </bottom>
    </border>
    <border>
      <top style="medium">
        <color rgb="001E5F74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6" fillId="0" borderId="0" pivotButton="0" quotePrefix="0" xfId="0"/>
    <xf numFmtId="1" fontId="4" fillId="0" borderId="1" pivotButton="0" quotePrefix="0" xfId="0"/>
    <xf numFmtId="10" fontId="4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3" borderId="1" applyAlignment="1" pivotButton="0" quotePrefix="0" xfId="0">
      <alignment vertical="center" wrapText="1"/>
    </xf>
    <xf numFmtId="165" fontId="4" fillId="2" borderId="1" applyProtection="1" pivotButton="0" quotePrefix="0" xfId="0">
      <protection locked="0" hidden="0"/>
    </xf>
    <xf numFmtId="0" fontId="0" fillId="0" borderId="1" pivotButton="0" quotePrefix="0" xfId="0"/>
    <xf numFmtId="166" fontId="4" fillId="2" borderId="1" applyProtection="1" pivotButton="0" quotePrefix="0" xfId="0">
      <protection locked="0" hidden="0"/>
    </xf>
    <xf numFmtId="0" fontId="9" fillId="0" borderId="0" pivotButton="0" quotePrefix="0" xfId="0"/>
    <xf numFmtId="164" fontId="9" fillId="0" borderId="0" pivotButton="0" quotePrefix="0" xfId="0"/>
    <xf numFmtId="166" fontId="9" fillId="0" borderId="0" pivotButton="0" quotePrefix="0" xfId="0"/>
    <xf numFmtId="0" fontId="8" fillId="0" borderId="0" pivotButton="0" quotePrefix="0" xfId="0"/>
    <xf numFmtId="165" fontId="8" fillId="0" borderId="1" pivotButton="0" quotePrefix="0" xfId="0"/>
    <xf numFmtId="166" fontId="8" fillId="0" borderId="1" pivotButton="0" quotePrefix="0" xfId="0"/>
    <xf numFmtId="0" fontId="11" fillId="0" borderId="0" pivotButton="0" quotePrefix="0" xfId="0"/>
    <xf numFmtId="167" fontId="4" fillId="2" borderId="1" applyProtection="1" pivotButton="0" quotePrefix="0" xfId="0">
      <protection locked="0" hidden="0"/>
    </xf>
    <xf numFmtId="164" fontId="4" fillId="0" borderId="1" pivotButton="0" quotePrefix="0" xfId="0"/>
    <xf numFmtId="10" fontId="4" fillId="0" borderId="1" pivotButton="0" quotePrefix="0" xfId="0"/>
    <xf numFmtId="0" fontId="4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7" fontId="8" fillId="0" borderId="1" pivotButton="0" quotePrefix="0" xfId="0"/>
    <xf numFmtId="0" fontId="15" fillId="3" borderId="0" applyAlignment="1" pivotButton="0" quotePrefix="0" xfId="0">
      <alignment vertical="center" wrapText="1"/>
    </xf>
    <xf numFmtId="4" fontId="4" fillId="0" borderId="1" pivotButton="0" quotePrefix="0" xfId="0"/>
    <xf numFmtId="4" fontId="8" fillId="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2" pivotButton="0" quotePrefix="0" xfId="0"/>
    <xf numFmtId="4" fontId="18" fillId="0" borderId="2" pivotButton="0" quotePrefix="0" xfId="0"/>
    <xf numFmtId="10" fontId="18" fillId="0" borderId="2" pivotButton="0" quotePrefix="0" xfId="0"/>
    <xf numFmtId="167" fontId="4" fillId="0" borderId="0" pivotButton="0" quotePrefix="0" xfId="0"/>
    <xf numFmtId="0" fontId="19" fillId="0" borderId="0" pivotButton="0" quotePrefix="0" xfId="0"/>
    <xf numFmtId="167" fontId="19" fillId="0" borderId="0" pivotButton="0" quotePrefix="0" xfId="0"/>
    <xf numFmtId="0" fontId="19" fillId="4" borderId="3" pivotButton="0" quotePrefix="0" xfId="0"/>
    <xf numFmtId="0" fontId="0" fillId="4" borderId="3" pivotButton="0" quotePrefix="0" xfId="0"/>
    <xf numFmtId="167" fontId="19" fillId="4" borderId="3" pivotButton="0" quotePrefix="0" xfId="0"/>
    <xf numFmtId="1" fontId="4" fillId="2" borderId="1" applyProtection="1" pivotButton="0" quotePrefix="0" xfId="0">
      <protection locked="0" hidden="0"/>
    </xf>
    <xf numFmtId="168" fontId="4" fillId="0" borderId="1" pivotButton="0" quotePrefix="0" xfId="0"/>
    <xf numFmtId="0" fontId="20" fillId="0" borderId="0" pivotButton="0" quotePrefix="0" xfId="0"/>
    <xf numFmtId="0" fontId="8" fillId="0" borderId="1" pivotButton="0" quotePrefix="0" xfId="0"/>
    <xf numFmtId="168" fontId="8" fillId="0" borderId="1" pivotButton="0" quotePrefix="0" xfId="0"/>
    <xf numFmtId="167" fontId="8" fillId="4" borderId="1" pivotButton="0" quotePrefix="0" xfId="0"/>
    <xf numFmtId="167" fontId="4" fillId="0" borderId="1" pivotButton="0" quotePrefix="0" xfId="0"/>
    <xf numFmtId="0" fontId="0" fillId="0" borderId="0" applyAlignment="1" pivotButton="0" quotePrefix="0" xfId="0">
      <alignment vertical="top" wrapText="1"/>
    </xf>
    <xf numFmtId="164" fontId="8" fillId="0" borderId="1" pivotButton="0" quotePrefix="0" xfId="0"/>
    <xf numFmtId="0" fontId="5" fillId="0" borderId="0" applyAlignment="1" pivotButton="0" quotePrefix="0" xfId="0">
      <alignment vertical="top" wrapText="1"/>
    </xf>
    <xf numFmtId="0" fontId="18" fillId="0" borderId="1" pivotButton="0" quotePrefix="0" xfId="0"/>
    <xf numFmtId="0" fontId="18" fillId="0" borderId="1" applyAlignment="1" pivotButton="0" quotePrefix="0" xfId="0">
      <alignment vertical="top" wrapText="1"/>
    </xf>
    <xf numFmtId="164" fontId="18" fillId="0" borderId="1" pivotButton="0" quotePrefix="0" xfId="0"/>
    <xf numFmtId="0" fontId="6" fillId="0" borderId="1" pivotButton="0" quotePrefix="0" xfId="0"/>
    <xf numFmtId="9" fontId="4" fillId="0" borderId="1" pivotButton="0" quotePrefix="0" xfId="0"/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4E2"/>
        </patternFill>
      </fill>
    </dxf>
    <dxf>
      <fill>
        <patternFill patternType="solid">
          <fgColor rgb="00E4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Vermieter-Toolkit Schweiz</t>
        </is>
      </c>
    </row>
    <row r="3">
      <c r="B3" s="2" t="inlineStr">
        <is>
          <t>Nebenkosten · Mietzinsanpassung · Mieterwechsel · Wohnungsabnahme</t>
        </is>
      </c>
    </row>
    <row r="5">
      <c r="B5" s="3" t="inlineStr">
        <is>
          <t>So gehen Sie vor</t>
        </is>
      </c>
    </row>
    <row r="6">
      <c r="B6" s="4" t="inlineStr">
        <is>
          <t>1.  «Liegenschaft»: Abrechnungsperiode, Wohnungen und Verteilschlüssel erfassen (gelbe Felder).</t>
        </is>
      </c>
    </row>
    <row r="7">
      <c r="B7" s="4" t="inlineStr">
        <is>
          <t>2.  «Mieter»: alle Mietverhältnisse der Periode erfassen – auch Mieterwechsel unterjährig. Leere Daten = ganze Periode.</t>
        </is>
      </c>
    </row>
    <row r="8">
      <c r="B8" s="4" t="inlineStr">
        <is>
          <t>3.  «Kosten»: Rechnungsbeträge erfassen, Art und Schlüssel wählen. Nur im Mietvertrag ausgeschiedene Nebenkosten werden belastet.</t>
        </is>
      </c>
    </row>
    <row r="9">
      <c r="B9" s="4" t="inlineStr">
        <is>
          <t>4.  «Abrechnung»: Mieter-Nr. wählen, prüfen, drucken oder als PDF speichern. Leerstandskosten trägt automatisch der Vermieter.</t>
        </is>
      </c>
    </row>
    <row r="10">
      <c r="B10" s="4" t="inlineStr">
        <is>
          <t>5.  «Mietzins»: Anpassung nach Referenzzinssatz, Teuerung und Kostensteigerung berechnen – inkl. spätestem Zustelltermin.</t>
        </is>
      </c>
    </row>
    <row r="11">
      <c r="B11" s="4" t="inlineStr">
        <is>
          <t>6.  «Mieterwechsel» und «Abnahme»: Checkliste mit Terminen und druckbares Abnahmeprotokoll.</t>
        </is>
      </c>
    </row>
    <row r="12">
      <c r="B12" s="4" t="inlineStr"/>
    </row>
    <row r="13">
      <c r="B13" s="3" t="inlineStr">
        <is>
          <t>Was dieses Toolkit automatisch berücksichtigt</t>
        </is>
      </c>
    </row>
    <row r="14">
      <c r="B14" s="4" t="inlineStr">
        <is>
          <t>•  Heiz- und Warmwasserkosten nach Heizgradtagen gewichtet (Mieterwechsel im Sommer ≠ im Winter). Skala anpassbar.</t>
        </is>
      </c>
    </row>
    <row r="15">
      <c r="B15" s="4" t="inlineStr">
        <is>
          <t>•  Andere Nebenkosten zeitanteilig nach Tagen.</t>
        </is>
      </c>
    </row>
    <row r="16">
      <c r="B16" s="4" t="inlineStr">
        <is>
          <t>•  Kosten leerstehender Wohnungen bleiben beim Vermieter und werden separat ausgewiesen.</t>
        </is>
      </c>
    </row>
    <row r="17">
      <c r="B17" s="4" t="inlineStr">
        <is>
          <t>•  Nicht im Mietvertrag ausgeschiedene oder nicht umlagefähige Positionen werden nicht belastet (Art. 257a OR).</t>
        </is>
      </c>
    </row>
    <row r="18">
      <c r="B18" s="4" t="inlineStr">
        <is>
          <t>•  Kontrollsumme: verteilte Kosten + Vermieteranteil = abrechenbare Gesamtkosten.</t>
        </is>
      </c>
    </row>
    <row r="19">
      <c r="B19" s="4" t="inlineStr"/>
    </row>
    <row r="20">
      <c r="B20" s="3" t="inlineStr">
        <is>
          <t>Wichtig</t>
        </is>
      </c>
    </row>
    <row r="21">
      <c r="B21" s="4" t="inlineStr">
        <is>
          <t>Das Toolkit ist ein Rechenhilfsmittel und ersetzt keine Rechtsberatung. Massgebend sind Mietvertrag, OR und VMWG sowie die</t>
        </is>
      </c>
    </row>
    <row r="22">
      <c r="B22" s="4" t="inlineStr">
        <is>
          <t>kantonale Praxis. Mietzinserhöhungen müssen mit dem amtlichen kantonalen Formular mitgeteilt werden (Art. 269d OR).</t>
        </is>
      </c>
    </row>
    <row r="23">
      <c r="B23" s="4" t="inlineStr">
        <is>
          <t>Gelbe Felder sind Eingaben, alle anderen Felder rechnen automatisch. Blattschutz ohne Passwort – bei Bedarf: Überprüfen › Blatt freigeben.</t>
        </is>
      </c>
    </row>
    <row r="27">
      <c r="B27" s="5" t="inlineStr">
        <is>
          <t>Version 1.0 · Stand Oktober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0" customWidth="1" min="4" max="4"/>
    <col width="12" customWidth="1" min="5" max="5"/>
    <col width="12" customWidth="1" min="6" max="6"/>
    <col width="11" customWidth="1" min="7" max="7"/>
    <col width="3" customWidth="1" min="8" max="8"/>
    <col width="12" customWidth="1" min="9" max="9"/>
    <col width="13" customWidth="1" min="10" max="10"/>
    <col width="3" customWidth="1" min="11" max="11"/>
    <col width="6" customWidth="1" min="12" max="12"/>
    <col width="12" customWidth="1" min="13" max="13"/>
    <col width="12" customWidth="1" min="14" max="14"/>
    <col width="10" customWidth="1" min="15" max="15"/>
  </cols>
  <sheetData>
    <row r="2">
      <c r="B2" s="1" t="inlineStr">
        <is>
          <t>Liegenschaft &amp; Abrechnungsperiode</t>
        </is>
      </c>
    </row>
    <row r="3">
      <c r="B3" s="2" t="inlineStr">
        <is>
          <t>Gelbe Felder ausfüllen. Die Periode muss 12 Monate umfassen und am Monatsersten beginnen.</t>
        </is>
      </c>
    </row>
    <row r="4">
      <c r="B4" s="4" t="inlineStr">
        <is>
          <t>Liegenschaft</t>
        </is>
      </c>
      <c r="C4" s="6" t="n"/>
    </row>
    <row r="5">
      <c r="B5" s="4" t="inlineStr">
        <is>
          <t>Ort</t>
        </is>
      </c>
      <c r="C5" s="6" t="n"/>
    </row>
    <row r="6">
      <c r="B6" s="4" t="inlineStr">
        <is>
          <t>Vermieter/in</t>
        </is>
      </c>
      <c r="C6" s="6" t="n"/>
    </row>
    <row r="7">
      <c r="B7" s="4" t="inlineStr">
        <is>
          <t>Periode von</t>
        </is>
      </c>
      <c r="C7" s="7" t="n"/>
    </row>
    <row r="8">
      <c r="B8" s="4" t="inlineStr">
        <is>
          <t>Periode bis</t>
        </is>
      </c>
      <c r="C8" s="7" t="n"/>
      <c r="D8" s="8">
        <f>IF(OR(C7="",C8=""),"",IF(AND(DAY(C7)=1,C8=DATE(YEAR(C7),MONTH(C7)+12,0)),"✓ 12 Monate","⚠ Periode muss 12 volle Monate ab Monatserstem umfassen"))</f>
        <v/>
      </c>
    </row>
    <row r="9">
      <c r="B9" t="inlineStr">
        <is>
          <t>Tage in Periode</t>
        </is>
      </c>
      <c r="C9" s="9">
        <f>IF(OR(C7="",C8=""),"",C8-C7+1)</f>
        <v/>
      </c>
    </row>
    <row r="10">
      <c r="B10" s="4" t="inlineStr">
        <is>
          <t>Verwaltungshonorar in % der Nebenkosten</t>
        </is>
      </c>
      <c r="C10" s="10" t="n">
        <v>0.03</v>
      </c>
    </row>
    <row r="11">
      <c r="B11" s="4" t="inlineStr">
        <is>
          <t>Honorar im Mietvertrag vereinbart?</t>
        </is>
      </c>
      <c r="C11" s="6" t="inlineStr">
        <is>
          <t>Nein</t>
        </is>
      </c>
    </row>
    <row r="12">
      <c r="L12" s="11" t="inlineStr">
        <is>
          <t>Hilfstabelle (nicht bearbeiten)</t>
        </is>
      </c>
    </row>
    <row r="13">
      <c r="B13" s="12" t="inlineStr">
        <is>
          <t>Wohnung / Einheit</t>
        </is>
      </c>
      <c r="C13" s="12" t="inlineStr">
        <is>
          <t>Fläche m²</t>
        </is>
      </c>
      <c r="D13" s="12" t="inlineStr">
        <is>
          <t>Zimmer</t>
        </is>
      </c>
      <c r="E13" s="12" t="inlineStr">
        <is>
          <t>Wertquote ‰</t>
        </is>
      </c>
      <c r="F13" s="12" t="inlineStr">
        <is>
          <t>Volumen m³</t>
        </is>
      </c>
      <c r="G13" s="12" t="inlineStr">
        <is>
          <t>Einheiten gleich</t>
        </is>
      </c>
      <c r="I13" s="12" t="inlineStr">
        <is>
          <t>Monat</t>
        </is>
      </c>
      <c r="J13" s="12" t="inlineStr">
        <is>
          <t>Heizgradtage %</t>
        </is>
      </c>
      <c r="L13" s="12" t="inlineStr">
        <is>
          <t>Nr</t>
        </is>
      </c>
      <c r="M13" s="12" t="inlineStr">
        <is>
          <t>Beginn</t>
        </is>
      </c>
      <c r="N13" s="12" t="inlineStr">
        <is>
          <t>Ende</t>
        </is>
      </c>
      <c r="O13" s="12" t="inlineStr">
        <is>
          <t>Gewicht</t>
        </is>
      </c>
    </row>
    <row r="14">
      <c r="B14" s="6" t="n"/>
      <c r="C14" s="13" t="n"/>
      <c r="D14" s="13" t="n"/>
      <c r="E14" s="13" t="n"/>
      <c r="F14" s="13" t="n"/>
      <c r="G14" s="9">
        <f>IF(B14="",0,1)</f>
        <v/>
      </c>
      <c r="I14" s="14" t="inlineStr">
        <is>
          <t>Januar</t>
        </is>
      </c>
      <c r="J14" s="15" t="n">
        <v>18</v>
      </c>
      <c r="L14" s="16" t="n">
        <v>1</v>
      </c>
      <c r="M14" s="17">
        <f>IF($C$7="","",DATE(YEAR($C$7),MONTH($C$7)+0,1))</f>
        <v/>
      </c>
      <c r="N14" s="17">
        <f>IF($C$7="","",DATE(YEAR($C$7),MONTH($C$7)+1,0))</f>
        <v/>
      </c>
      <c r="O14" s="18">
        <f>IF($C$7="",0,INDEX($J$14:$J$25,MONTH(M14)))</f>
        <v/>
      </c>
    </row>
    <row r="15">
      <c r="B15" s="6" t="n"/>
      <c r="C15" s="13" t="n"/>
      <c r="D15" s="13" t="n"/>
      <c r="E15" s="13" t="n"/>
      <c r="F15" s="13" t="n"/>
      <c r="G15" s="9">
        <f>IF(B15="",0,1)</f>
        <v/>
      </c>
      <c r="I15" s="14" t="inlineStr">
        <is>
          <t>Februar</t>
        </is>
      </c>
      <c r="J15" s="15" t="n">
        <v>15</v>
      </c>
      <c r="L15" s="16" t="n">
        <v>2</v>
      </c>
      <c r="M15" s="17">
        <f>IF($C$7="","",DATE(YEAR($C$7),MONTH($C$7)+1,1))</f>
        <v/>
      </c>
      <c r="N15" s="17">
        <f>IF($C$7="","",DATE(YEAR($C$7),MONTH($C$7)+2,0))</f>
        <v/>
      </c>
      <c r="O15" s="18">
        <f>IF($C$7="",0,INDEX($J$14:$J$25,MONTH(M15)))</f>
        <v/>
      </c>
    </row>
    <row r="16">
      <c r="B16" s="6" t="n"/>
      <c r="C16" s="13" t="n"/>
      <c r="D16" s="13" t="n"/>
      <c r="E16" s="13" t="n"/>
      <c r="F16" s="13" t="n"/>
      <c r="G16" s="9">
        <f>IF(B16="",0,1)</f>
        <v/>
      </c>
      <c r="I16" s="14" t="inlineStr">
        <is>
          <t>März</t>
        </is>
      </c>
      <c r="J16" s="15" t="n">
        <v>13</v>
      </c>
      <c r="L16" s="16" t="n">
        <v>3</v>
      </c>
      <c r="M16" s="17">
        <f>IF($C$7="","",DATE(YEAR($C$7),MONTH($C$7)+2,1))</f>
        <v/>
      </c>
      <c r="N16" s="17">
        <f>IF($C$7="","",DATE(YEAR($C$7),MONTH($C$7)+3,0))</f>
        <v/>
      </c>
      <c r="O16" s="18">
        <f>IF($C$7="",0,INDEX($J$14:$J$25,MONTH(M16)))</f>
        <v/>
      </c>
    </row>
    <row r="17">
      <c r="B17" s="6" t="n"/>
      <c r="C17" s="13" t="n"/>
      <c r="D17" s="13" t="n"/>
      <c r="E17" s="13" t="n"/>
      <c r="F17" s="13" t="n"/>
      <c r="G17" s="9">
        <f>IF(B17="",0,1)</f>
        <v/>
      </c>
      <c r="I17" s="14" t="inlineStr">
        <is>
          <t>April</t>
        </is>
      </c>
      <c r="J17" s="15" t="n">
        <v>9</v>
      </c>
      <c r="L17" s="16" t="n">
        <v>4</v>
      </c>
      <c r="M17" s="17">
        <f>IF($C$7="","",DATE(YEAR($C$7),MONTH($C$7)+3,1))</f>
        <v/>
      </c>
      <c r="N17" s="17">
        <f>IF($C$7="","",DATE(YEAR($C$7),MONTH($C$7)+4,0))</f>
        <v/>
      </c>
      <c r="O17" s="18">
        <f>IF($C$7="",0,INDEX($J$14:$J$25,MONTH(M17)))</f>
        <v/>
      </c>
    </row>
    <row r="18">
      <c r="B18" s="6" t="n"/>
      <c r="C18" s="13" t="n"/>
      <c r="D18" s="13" t="n"/>
      <c r="E18" s="13" t="n"/>
      <c r="F18" s="13" t="n"/>
      <c r="G18" s="9">
        <f>IF(B18="",0,1)</f>
        <v/>
      </c>
      <c r="I18" s="14" t="inlineStr">
        <is>
          <t>Mai</t>
        </is>
      </c>
      <c r="J18" s="15" t="n">
        <v>4</v>
      </c>
      <c r="L18" s="16" t="n">
        <v>5</v>
      </c>
      <c r="M18" s="17">
        <f>IF($C$7="","",DATE(YEAR($C$7),MONTH($C$7)+4,1))</f>
        <v/>
      </c>
      <c r="N18" s="17">
        <f>IF($C$7="","",DATE(YEAR($C$7),MONTH($C$7)+5,0))</f>
        <v/>
      </c>
      <c r="O18" s="18">
        <f>IF($C$7="",0,INDEX($J$14:$J$25,MONTH(M18)))</f>
        <v/>
      </c>
    </row>
    <row r="19">
      <c r="B19" s="6" t="n"/>
      <c r="C19" s="13" t="n"/>
      <c r="D19" s="13" t="n"/>
      <c r="E19" s="13" t="n"/>
      <c r="F19" s="13" t="n"/>
      <c r="G19" s="9">
        <f>IF(B19="",0,1)</f>
        <v/>
      </c>
      <c r="I19" s="14" t="inlineStr">
        <is>
          <t>Juni</t>
        </is>
      </c>
      <c r="J19" s="15" t="n">
        <v>0</v>
      </c>
      <c r="L19" s="16" t="n">
        <v>6</v>
      </c>
      <c r="M19" s="17">
        <f>IF($C$7="","",DATE(YEAR($C$7),MONTH($C$7)+5,1))</f>
        <v/>
      </c>
      <c r="N19" s="17">
        <f>IF($C$7="","",DATE(YEAR($C$7),MONTH($C$7)+6,0))</f>
        <v/>
      </c>
      <c r="O19" s="18">
        <f>IF($C$7="",0,INDEX($J$14:$J$25,MONTH(M19)))</f>
        <v/>
      </c>
    </row>
    <row r="20">
      <c r="B20" s="6" t="n"/>
      <c r="C20" s="13" t="n"/>
      <c r="D20" s="13" t="n"/>
      <c r="E20" s="13" t="n"/>
      <c r="F20" s="13" t="n"/>
      <c r="G20" s="9">
        <f>IF(B20="",0,1)</f>
        <v/>
      </c>
      <c r="I20" s="14" t="inlineStr">
        <is>
          <t>Juli</t>
        </is>
      </c>
      <c r="J20" s="15" t="n">
        <v>0</v>
      </c>
      <c r="L20" s="16" t="n">
        <v>7</v>
      </c>
      <c r="M20" s="17">
        <f>IF($C$7="","",DATE(YEAR($C$7),MONTH($C$7)+6,1))</f>
        <v/>
      </c>
      <c r="N20" s="17">
        <f>IF($C$7="","",DATE(YEAR($C$7),MONTH($C$7)+7,0))</f>
        <v/>
      </c>
      <c r="O20" s="18">
        <f>IF($C$7="",0,INDEX($J$14:$J$25,MONTH(M20)))</f>
        <v/>
      </c>
    </row>
    <row r="21">
      <c r="B21" s="6" t="n"/>
      <c r="C21" s="13" t="n"/>
      <c r="D21" s="13" t="n"/>
      <c r="E21" s="13" t="n"/>
      <c r="F21" s="13" t="n"/>
      <c r="G21" s="9">
        <f>IF(B21="",0,1)</f>
        <v/>
      </c>
      <c r="I21" s="14" t="inlineStr">
        <is>
          <t>August</t>
        </is>
      </c>
      <c r="J21" s="15" t="n">
        <v>0</v>
      </c>
      <c r="L21" s="16" t="n">
        <v>8</v>
      </c>
      <c r="M21" s="17">
        <f>IF($C$7="","",DATE(YEAR($C$7),MONTH($C$7)+7,1))</f>
        <v/>
      </c>
      <c r="N21" s="17">
        <f>IF($C$7="","",DATE(YEAR($C$7),MONTH($C$7)+8,0))</f>
        <v/>
      </c>
      <c r="O21" s="18">
        <f>IF($C$7="",0,INDEX($J$14:$J$25,MONTH(M21)))</f>
        <v/>
      </c>
    </row>
    <row r="22">
      <c r="B22" s="6" t="n"/>
      <c r="C22" s="13" t="n"/>
      <c r="D22" s="13" t="n"/>
      <c r="E22" s="13" t="n"/>
      <c r="F22" s="13" t="n"/>
      <c r="G22" s="9">
        <f>IF(B22="",0,1)</f>
        <v/>
      </c>
      <c r="I22" s="14" t="inlineStr">
        <is>
          <t>September</t>
        </is>
      </c>
      <c r="J22" s="15" t="n">
        <v>3</v>
      </c>
      <c r="L22" s="16" t="n">
        <v>9</v>
      </c>
      <c r="M22" s="17">
        <f>IF($C$7="","",DATE(YEAR($C$7),MONTH($C$7)+8,1))</f>
        <v/>
      </c>
      <c r="N22" s="17">
        <f>IF($C$7="","",DATE(YEAR($C$7),MONTH($C$7)+9,0))</f>
        <v/>
      </c>
      <c r="O22" s="18">
        <f>IF($C$7="",0,INDEX($J$14:$J$25,MONTH(M22)))</f>
        <v/>
      </c>
    </row>
    <row r="23">
      <c r="B23" s="6" t="n"/>
      <c r="C23" s="13" t="n"/>
      <c r="D23" s="13" t="n"/>
      <c r="E23" s="13" t="n"/>
      <c r="F23" s="13" t="n"/>
      <c r="G23" s="9">
        <f>IF(B23="",0,1)</f>
        <v/>
      </c>
      <c r="I23" s="14" t="inlineStr">
        <is>
          <t>Oktober</t>
        </is>
      </c>
      <c r="J23" s="15" t="n">
        <v>8</v>
      </c>
      <c r="L23" s="16" t="n">
        <v>10</v>
      </c>
      <c r="M23" s="17">
        <f>IF($C$7="","",DATE(YEAR($C$7),MONTH($C$7)+9,1))</f>
        <v/>
      </c>
      <c r="N23" s="17">
        <f>IF($C$7="","",DATE(YEAR($C$7),MONTH($C$7)+10,0))</f>
        <v/>
      </c>
      <c r="O23" s="18">
        <f>IF($C$7="",0,INDEX($J$14:$J$25,MONTH(M23)))</f>
        <v/>
      </c>
    </row>
    <row r="24">
      <c r="B24" s="6" t="n"/>
      <c r="C24" s="13" t="n"/>
      <c r="D24" s="13" t="n"/>
      <c r="E24" s="13" t="n"/>
      <c r="F24" s="13" t="n"/>
      <c r="G24" s="9">
        <f>IF(B24="",0,1)</f>
        <v/>
      </c>
      <c r="I24" s="14" t="inlineStr">
        <is>
          <t>November</t>
        </is>
      </c>
      <c r="J24" s="15" t="n">
        <v>13</v>
      </c>
      <c r="L24" s="16" t="n">
        <v>11</v>
      </c>
      <c r="M24" s="17">
        <f>IF($C$7="","",DATE(YEAR($C$7),MONTH($C$7)+10,1))</f>
        <v/>
      </c>
      <c r="N24" s="17">
        <f>IF($C$7="","",DATE(YEAR($C$7),MONTH($C$7)+11,0))</f>
        <v/>
      </c>
      <c r="O24" s="18">
        <f>IF($C$7="",0,INDEX($J$14:$J$25,MONTH(M24)))</f>
        <v/>
      </c>
    </row>
    <row r="25">
      <c r="B25" s="6" t="n"/>
      <c r="C25" s="13" t="n"/>
      <c r="D25" s="13" t="n"/>
      <c r="E25" s="13" t="n"/>
      <c r="F25" s="13" t="n"/>
      <c r="G25" s="9">
        <f>IF(B25="",0,1)</f>
        <v/>
      </c>
      <c r="I25" s="14" t="inlineStr">
        <is>
          <t>Dezember</t>
        </is>
      </c>
      <c r="J25" s="15" t="n">
        <v>17</v>
      </c>
      <c r="L25" s="16" t="n">
        <v>12</v>
      </c>
      <c r="M25" s="17">
        <f>IF($C$7="","",DATE(YEAR($C$7),MONTH($C$7)+11,1))</f>
        <v/>
      </c>
      <c r="N25" s="17">
        <f>IF($C$7="","",DATE(YEAR($C$7),MONTH($C$7)+12,0))</f>
        <v/>
      </c>
      <c r="O25" s="18">
        <f>IF($C$7="",0,INDEX($J$14:$J$25,MONTH(M25)))</f>
        <v/>
      </c>
    </row>
    <row r="26">
      <c r="B26" s="19" t="inlineStr">
        <is>
          <t>Total</t>
        </is>
      </c>
      <c r="C26" s="20">
        <f>SUM(C14:C25)</f>
        <v/>
      </c>
      <c r="D26" s="20">
        <f>SUM(D14:D25)</f>
        <v/>
      </c>
      <c r="E26" s="20">
        <f>SUM(E14:E25)</f>
        <v/>
      </c>
      <c r="F26" s="20">
        <f>SUM(F14:F25)</f>
        <v/>
      </c>
      <c r="G26" s="20">
        <f>SUM(G14:G25)</f>
        <v/>
      </c>
      <c r="I26" t="inlineStr">
        <is>
          <t>Summe</t>
        </is>
      </c>
      <c r="J26" s="21">
        <f>SUM(J14:J25)</f>
        <v/>
      </c>
    </row>
    <row r="27">
      <c r="I27" s="8">
        <f>IF(ABS(J26-100)&lt;0.01,"✓","⚠ Summe ≠ 100")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11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3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24" customWidth="1" min="4" max="4"/>
    <col width="12" customWidth="1" min="5" max="5"/>
    <col width="12" customWidth="1" min="6" max="6"/>
    <col width="13" customWidth="1" min="7" max="7"/>
    <col width="11" customWidth="1" min="8" max="8"/>
    <col width="11" customWidth="1" min="9" max="9"/>
    <col width="7" customWidth="1" min="10" max="10"/>
    <col width="10" customWidth="1" min="11" max="11"/>
    <col width="10" customWidth="1" min="12" max="12"/>
    <col width="26" customWidth="1" min="13" max="13"/>
  </cols>
  <sheetData>
    <row r="2">
      <c r="B2" s="1" t="inlineStr">
        <is>
          <t>Mietverhältnisse in der Periode</t>
        </is>
      </c>
    </row>
    <row r="3">
      <c r="B3" s="2" t="inlineStr">
        <is>
          <t>Eine Zeile pro Mietverhältnis. Mietbeginn/-ende leer lassen, wenn vor bzw. nach der Periode.</t>
        </is>
      </c>
    </row>
    <row r="5">
      <c r="B5" s="12" t="inlineStr">
        <is>
          <t>Nr</t>
        </is>
      </c>
      <c r="C5" s="12" t="inlineStr">
        <is>
          <t>Wohnung</t>
        </is>
      </c>
      <c r="D5" s="12" t="inlineStr">
        <is>
          <t>Mieter/in</t>
        </is>
      </c>
      <c r="E5" s="12" t="inlineStr">
        <is>
          <t>Mietbeginn</t>
        </is>
      </c>
      <c r="F5" s="12" t="inlineStr">
        <is>
          <t>Mietende</t>
        </is>
      </c>
      <c r="G5" s="12" t="inlineStr">
        <is>
          <t>Akonto bezahlt</t>
        </is>
      </c>
      <c r="H5" s="12" t="inlineStr">
        <is>
          <t>von (eff.)</t>
        </is>
      </c>
      <c r="I5" s="12" t="inlineStr">
        <is>
          <t>bis (eff.)</t>
        </is>
      </c>
      <c r="J5" s="12" t="inlineStr">
        <is>
          <t>Tage</t>
        </is>
      </c>
      <c r="K5" s="12" t="inlineStr">
        <is>
          <t>Zeitanteil</t>
        </is>
      </c>
      <c r="L5" s="12" t="inlineStr">
        <is>
          <t>Heizanteil</t>
        </is>
      </c>
      <c r="M5" s="12" t="inlineStr">
        <is>
          <t>Prüfung</t>
        </is>
      </c>
      <c r="O5" s="11" t="inlineStr">
        <is>
          <t>Hilfsspalten Heizgewichtung (nicht bearbeiten)</t>
        </is>
      </c>
    </row>
    <row r="6">
      <c r="B6" s="22" t="n">
        <v>1</v>
      </c>
      <c r="C6" s="6" t="n"/>
      <c r="D6" s="6" t="n"/>
      <c r="E6" s="7" t="n"/>
      <c r="F6" s="7" t="n"/>
      <c r="G6" s="23" t="n"/>
      <c r="H6" s="24">
        <f>IF(D6="","",MAX(E6,Liegenschaft!$C$7))</f>
        <v/>
      </c>
      <c r="I6" s="24">
        <f>IF(D6="","",IF(F6="",Liegenschaft!$C$8,MIN(F6,Liegenschaft!$C$8)))</f>
        <v/>
      </c>
      <c r="J6" s="9">
        <f>IF(D6="",0,MAX(0,I6-H6+1))</f>
        <v/>
      </c>
      <c r="K6" s="25">
        <f>IF(OR(D6="",Liegenschaft!$C$9=""),0,J6/Liegenschaft!$C$9)</f>
        <v/>
      </c>
      <c r="L6" s="25">
        <f>IF(OR(D6="",Liegenschaft!$J$26=0),0,SUM(O6:Z6)/Liegenschaft!$J$26)</f>
        <v/>
      </c>
      <c r="M6" s="26">
        <f>IF(D6="","",IF(ISNA(MATCH(C6,Liegenschaft!$B$14:$B$25,0)),"⚠ Wohnung unbekannt",IF(J6=0,"⚠ nicht in Periode",IF(SUMPRODUCT(($C$6:$C$35=C6)*($D$6:$D$35&lt;&gt;"")*($J$6:$J$35&gt;0)*($H$6:$H$35&lt;=I6)*($I$6:$I$35&gt;=H6))&gt;1,"⚠ Überschneidung mit anderem Mieter","✓"))))</f>
        <v/>
      </c>
      <c r="O6" s="16">
        <f>IF(OR(D6="",Liegenschaft!$C$7=""),0,MAX(0,MIN(I6,Liegenschaft!$N$14)-MAX(H6,Liegenschaft!$M$14)+1)/DAY(Liegenschaft!$N$14)*Liegenschaft!$O$14)</f>
        <v/>
      </c>
      <c r="P6" s="16">
        <f>IF(OR(D6="",Liegenschaft!$C$7=""),0,MAX(0,MIN(I6,Liegenschaft!$N$15)-MAX(H6,Liegenschaft!$M$15)+1)/DAY(Liegenschaft!$N$15)*Liegenschaft!$O$15)</f>
        <v/>
      </c>
      <c r="Q6" s="16">
        <f>IF(OR(D6="",Liegenschaft!$C$7=""),0,MAX(0,MIN(I6,Liegenschaft!$N$16)-MAX(H6,Liegenschaft!$M$16)+1)/DAY(Liegenschaft!$N$16)*Liegenschaft!$O$16)</f>
        <v/>
      </c>
      <c r="R6" s="16">
        <f>IF(OR(D6="",Liegenschaft!$C$7=""),0,MAX(0,MIN(I6,Liegenschaft!$N$17)-MAX(H6,Liegenschaft!$M$17)+1)/DAY(Liegenschaft!$N$17)*Liegenschaft!$O$17)</f>
        <v/>
      </c>
      <c r="S6" s="16">
        <f>IF(OR(D6="",Liegenschaft!$C$7=""),0,MAX(0,MIN(I6,Liegenschaft!$N$18)-MAX(H6,Liegenschaft!$M$18)+1)/DAY(Liegenschaft!$N$18)*Liegenschaft!$O$18)</f>
        <v/>
      </c>
      <c r="T6" s="16">
        <f>IF(OR(D6="",Liegenschaft!$C$7=""),0,MAX(0,MIN(I6,Liegenschaft!$N$19)-MAX(H6,Liegenschaft!$M$19)+1)/DAY(Liegenschaft!$N$19)*Liegenschaft!$O$19)</f>
        <v/>
      </c>
      <c r="U6" s="16">
        <f>IF(OR(D6="",Liegenschaft!$C$7=""),0,MAX(0,MIN(I6,Liegenschaft!$N$20)-MAX(H6,Liegenschaft!$M$20)+1)/DAY(Liegenschaft!$N$20)*Liegenschaft!$O$20)</f>
        <v/>
      </c>
      <c r="V6" s="16">
        <f>IF(OR(D6="",Liegenschaft!$C$7=""),0,MAX(0,MIN(I6,Liegenschaft!$N$21)-MAX(H6,Liegenschaft!$M$21)+1)/DAY(Liegenschaft!$N$21)*Liegenschaft!$O$21)</f>
        <v/>
      </c>
      <c r="W6" s="16">
        <f>IF(OR(D6="",Liegenschaft!$C$7=""),0,MAX(0,MIN(I6,Liegenschaft!$N$22)-MAX(H6,Liegenschaft!$M$22)+1)/DAY(Liegenschaft!$N$22)*Liegenschaft!$O$22)</f>
        <v/>
      </c>
      <c r="X6" s="16">
        <f>IF(OR(D6="",Liegenschaft!$C$7=""),0,MAX(0,MIN(I6,Liegenschaft!$N$23)-MAX(H6,Liegenschaft!$M$23)+1)/DAY(Liegenschaft!$N$23)*Liegenschaft!$O$23)</f>
        <v/>
      </c>
      <c r="Y6" s="16">
        <f>IF(OR(D6="",Liegenschaft!$C$7=""),0,MAX(0,MIN(I6,Liegenschaft!$N$24)-MAX(H6,Liegenschaft!$M$24)+1)/DAY(Liegenschaft!$N$24)*Liegenschaft!$O$24)</f>
        <v/>
      </c>
      <c r="Z6" s="16">
        <f>IF(OR(D6="",Liegenschaft!$C$7=""),0,MAX(0,MIN(I6,Liegenschaft!$N$25)-MAX(H6,Liegenschaft!$M$25)+1)/DAY(Liegenschaft!$N$25)*Liegenschaft!$O$25)</f>
        <v/>
      </c>
    </row>
    <row r="7">
      <c r="B7" s="22" t="n">
        <v>2</v>
      </c>
      <c r="C7" s="6" t="n"/>
      <c r="D7" s="6" t="n"/>
      <c r="E7" s="7" t="n"/>
      <c r="F7" s="7" t="n"/>
      <c r="G7" s="23" t="n"/>
      <c r="H7" s="24">
        <f>IF(D7="","",MAX(E7,Liegenschaft!$C$7))</f>
        <v/>
      </c>
      <c r="I7" s="24">
        <f>IF(D7="","",IF(F7="",Liegenschaft!$C$8,MIN(F7,Liegenschaft!$C$8)))</f>
        <v/>
      </c>
      <c r="J7" s="9">
        <f>IF(D7="",0,MAX(0,I7-H7+1))</f>
        <v/>
      </c>
      <c r="K7" s="25">
        <f>IF(OR(D7="",Liegenschaft!$C$9=""),0,J7/Liegenschaft!$C$9)</f>
        <v/>
      </c>
      <c r="L7" s="25">
        <f>IF(OR(D7="",Liegenschaft!$J$26=0),0,SUM(O7:Z7)/Liegenschaft!$J$26)</f>
        <v/>
      </c>
      <c r="M7" s="26">
        <f>IF(D7="","",IF(ISNA(MATCH(C7,Liegenschaft!$B$14:$B$25,0)),"⚠ Wohnung unbekannt",IF(J7=0,"⚠ nicht in Periode",IF(SUMPRODUCT(($C$6:$C$35=C7)*($D$6:$D$35&lt;&gt;"")*($J$6:$J$35&gt;0)*($H$6:$H$35&lt;=I7)*($I$6:$I$35&gt;=H7))&gt;1,"⚠ Überschneidung mit anderem Mieter","✓"))))</f>
        <v/>
      </c>
      <c r="O7" s="16">
        <f>IF(OR(D7="",Liegenschaft!$C$7=""),0,MAX(0,MIN(I7,Liegenschaft!$N$14)-MAX(H7,Liegenschaft!$M$14)+1)/DAY(Liegenschaft!$N$14)*Liegenschaft!$O$14)</f>
        <v/>
      </c>
      <c r="P7" s="16">
        <f>IF(OR(D7="",Liegenschaft!$C$7=""),0,MAX(0,MIN(I7,Liegenschaft!$N$15)-MAX(H7,Liegenschaft!$M$15)+1)/DAY(Liegenschaft!$N$15)*Liegenschaft!$O$15)</f>
        <v/>
      </c>
      <c r="Q7" s="16">
        <f>IF(OR(D7="",Liegenschaft!$C$7=""),0,MAX(0,MIN(I7,Liegenschaft!$N$16)-MAX(H7,Liegenschaft!$M$16)+1)/DAY(Liegenschaft!$N$16)*Liegenschaft!$O$16)</f>
        <v/>
      </c>
      <c r="R7" s="16">
        <f>IF(OR(D7="",Liegenschaft!$C$7=""),0,MAX(0,MIN(I7,Liegenschaft!$N$17)-MAX(H7,Liegenschaft!$M$17)+1)/DAY(Liegenschaft!$N$17)*Liegenschaft!$O$17)</f>
        <v/>
      </c>
      <c r="S7" s="16">
        <f>IF(OR(D7="",Liegenschaft!$C$7=""),0,MAX(0,MIN(I7,Liegenschaft!$N$18)-MAX(H7,Liegenschaft!$M$18)+1)/DAY(Liegenschaft!$N$18)*Liegenschaft!$O$18)</f>
        <v/>
      </c>
      <c r="T7" s="16">
        <f>IF(OR(D7="",Liegenschaft!$C$7=""),0,MAX(0,MIN(I7,Liegenschaft!$N$19)-MAX(H7,Liegenschaft!$M$19)+1)/DAY(Liegenschaft!$N$19)*Liegenschaft!$O$19)</f>
        <v/>
      </c>
      <c r="U7" s="16">
        <f>IF(OR(D7="",Liegenschaft!$C$7=""),0,MAX(0,MIN(I7,Liegenschaft!$N$20)-MAX(H7,Liegenschaft!$M$20)+1)/DAY(Liegenschaft!$N$20)*Liegenschaft!$O$20)</f>
        <v/>
      </c>
      <c r="V7" s="16">
        <f>IF(OR(D7="",Liegenschaft!$C$7=""),0,MAX(0,MIN(I7,Liegenschaft!$N$21)-MAX(H7,Liegenschaft!$M$21)+1)/DAY(Liegenschaft!$N$21)*Liegenschaft!$O$21)</f>
        <v/>
      </c>
      <c r="W7" s="16">
        <f>IF(OR(D7="",Liegenschaft!$C$7=""),0,MAX(0,MIN(I7,Liegenschaft!$N$22)-MAX(H7,Liegenschaft!$M$22)+1)/DAY(Liegenschaft!$N$22)*Liegenschaft!$O$22)</f>
        <v/>
      </c>
      <c r="X7" s="16">
        <f>IF(OR(D7="",Liegenschaft!$C$7=""),0,MAX(0,MIN(I7,Liegenschaft!$N$23)-MAX(H7,Liegenschaft!$M$23)+1)/DAY(Liegenschaft!$N$23)*Liegenschaft!$O$23)</f>
        <v/>
      </c>
      <c r="Y7" s="16">
        <f>IF(OR(D7="",Liegenschaft!$C$7=""),0,MAX(0,MIN(I7,Liegenschaft!$N$24)-MAX(H7,Liegenschaft!$M$24)+1)/DAY(Liegenschaft!$N$24)*Liegenschaft!$O$24)</f>
        <v/>
      </c>
      <c r="Z7" s="16">
        <f>IF(OR(D7="",Liegenschaft!$C$7=""),0,MAX(0,MIN(I7,Liegenschaft!$N$25)-MAX(H7,Liegenschaft!$M$25)+1)/DAY(Liegenschaft!$N$25)*Liegenschaft!$O$25)</f>
        <v/>
      </c>
    </row>
    <row r="8">
      <c r="B8" s="22" t="n">
        <v>3</v>
      </c>
      <c r="C8" s="6" t="n"/>
      <c r="D8" s="6" t="n"/>
      <c r="E8" s="7" t="n"/>
      <c r="F8" s="7" t="n"/>
      <c r="G8" s="23" t="n"/>
      <c r="H8" s="24">
        <f>IF(D8="","",MAX(E8,Liegenschaft!$C$7))</f>
        <v/>
      </c>
      <c r="I8" s="24">
        <f>IF(D8="","",IF(F8="",Liegenschaft!$C$8,MIN(F8,Liegenschaft!$C$8)))</f>
        <v/>
      </c>
      <c r="J8" s="9">
        <f>IF(D8="",0,MAX(0,I8-H8+1))</f>
        <v/>
      </c>
      <c r="K8" s="25">
        <f>IF(OR(D8="",Liegenschaft!$C$9=""),0,J8/Liegenschaft!$C$9)</f>
        <v/>
      </c>
      <c r="L8" s="25">
        <f>IF(OR(D8="",Liegenschaft!$J$26=0),0,SUM(O8:Z8)/Liegenschaft!$J$26)</f>
        <v/>
      </c>
      <c r="M8" s="26">
        <f>IF(D8="","",IF(ISNA(MATCH(C8,Liegenschaft!$B$14:$B$25,0)),"⚠ Wohnung unbekannt",IF(J8=0,"⚠ nicht in Periode",IF(SUMPRODUCT(($C$6:$C$35=C8)*($D$6:$D$35&lt;&gt;"")*($J$6:$J$35&gt;0)*($H$6:$H$35&lt;=I8)*($I$6:$I$35&gt;=H8))&gt;1,"⚠ Überschneidung mit anderem Mieter","✓"))))</f>
        <v/>
      </c>
      <c r="O8" s="16">
        <f>IF(OR(D8="",Liegenschaft!$C$7=""),0,MAX(0,MIN(I8,Liegenschaft!$N$14)-MAX(H8,Liegenschaft!$M$14)+1)/DAY(Liegenschaft!$N$14)*Liegenschaft!$O$14)</f>
        <v/>
      </c>
      <c r="P8" s="16">
        <f>IF(OR(D8="",Liegenschaft!$C$7=""),0,MAX(0,MIN(I8,Liegenschaft!$N$15)-MAX(H8,Liegenschaft!$M$15)+1)/DAY(Liegenschaft!$N$15)*Liegenschaft!$O$15)</f>
        <v/>
      </c>
      <c r="Q8" s="16">
        <f>IF(OR(D8="",Liegenschaft!$C$7=""),0,MAX(0,MIN(I8,Liegenschaft!$N$16)-MAX(H8,Liegenschaft!$M$16)+1)/DAY(Liegenschaft!$N$16)*Liegenschaft!$O$16)</f>
        <v/>
      </c>
      <c r="R8" s="16">
        <f>IF(OR(D8="",Liegenschaft!$C$7=""),0,MAX(0,MIN(I8,Liegenschaft!$N$17)-MAX(H8,Liegenschaft!$M$17)+1)/DAY(Liegenschaft!$N$17)*Liegenschaft!$O$17)</f>
        <v/>
      </c>
      <c r="S8" s="16">
        <f>IF(OR(D8="",Liegenschaft!$C$7=""),0,MAX(0,MIN(I8,Liegenschaft!$N$18)-MAX(H8,Liegenschaft!$M$18)+1)/DAY(Liegenschaft!$N$18)*Liegenschaft!$O$18)</f>
        <v/>
      </c>
      <c r="T8" s="16">
        <f>IF(OR(D8="",Liegenschaft!$C$7=""),0,MAX(0,MIN(I8,Liegenschaft!$N$19)-MAX(H8,Liegenschaft!$M$19)+1)/DAY(Liegenschaft!$N$19)*Liegenschaft!$O$19)</f>
        <v/>
      </c>
      <c r="U8" s="16">
        <f>IF(OR(D8="",Liegenschaft!$C$7=""),0,MAX(0,MIN(I8,Liegenschaft!$N$20)-MAX(H8,Liegenschaft!$M$20)+1)/DAY(Liegenschaft!$N$20)*Liegenschaft!$O$20)</f>
        <v/>
      </c>
      <c r="V8" s="16">
        <f>IF(OR(D8="",Liegenschaft!$C$7=""),0,MAX(0,MIN(I8,Liegenschaft!$N$21)-MAX(H8,Liegenschaft!$M$21)+1)/DAY(Liegenschaft!$N$21)*Liegenschaft!$O$21)</f>
        <v/>
      </c>
      <c r="W8" s="16">
        <f>IF(OR(D8="",Liegenschaft!$C$7=""),0,MAX(0,MIN(I8,Liegenschaft!$N$22)-MAX(H8,Liegenschaft!$M$22)+1)/DAY(Liegenschaft!$N$22)*Liegenschaft!$O$22)</f>
        <v/>
      </c>
      <c r="X8" s="16">
        <f>IF(OR(D8="",Liegenschaft!$C$7=""),0,MAX(0,MIN(I8,Liegenschaft!$N$23)-MAX(H8,Liegenschaft!$M$23)+1)/DAY(Liegenschaft!$N$23)*Liegenschaft!$O$23)</f>
        <v/>
      </c>
      <c r="Y8" s="16">
        <f>IF(OR(D8="",Liegenschaft!$C$7=""),0,MAX(0,MIN(I8,Liegenschaft!$N$24)-MAX(H8,Liegenschaft!$M$24)+1)/DAY(Liegenschaft!$N$24)*Liegenschaft!$O$24)</f>
        <v/>
      </c>
      <c r="Z8" s="16">
        <f>IF(OR(D8="",Liegenschaft!$C$7=""),0,MAX(0,MIN(I8,Liegenschaft!$N$25)-MAX(H8,Liegenschaft!$M$25)+1)/DAY(Liegenschaft!$N$25)*Liegenschaft!$O$25)</f>
        <v/>
      </c>
    </row>
    <row r="9">
      <c r="B9" s="22" t="n">
        <v>4</v>
      </c>
      <c r="C9" s="6" t="n"/>
      <c r="D9" s="6" t="n"/>
      <c r="E9" s="7" t="n"/>
      <c r="F9" s="7" t="n"/>
      <c r="G9" s="23" t="n"/>
      <c r="H9" s="24">
        <f>IF(D9="","",MAX(E9,Liegenschaft!$C$7))</f>
        <v/>
      </c>
      <c r="I9" s="24">
        <f>IF(D9="","",IF(F9="",Liegenschaft!$C$8,MIN(F9,Liegenschaft!$C$8)))</f>
        <v/>
      </c>
      <c r="J9" s="9">
        <f>IF(D9="",0,MAX(0,I9-H9+1))</f>
        <v/>
      </c>
      <c r="K9" s="25">
        <f>IF(OR(D9="",Liegenschaft!$C$9=""),0,J9/Liegenschaft!$C$9)</f>
        <v/>
      </c>
      <c r="L9" s="25">
        <f>IF(OR(D9="",Liegenschaft!$J$26=0),0,SUM(O9:Z9)/Liegenschaft!$J$26)</f>
        <v/>
      </c>
      <c r="M9" s="26">
        <f>IF(D9="","",IF(ISNA(MATCH(C9,Liegenschaft!$B$14:$B$25,0)),"⚠ Wohnung unbekannt",IF(J9=0,"⚠ nicht in Periode",IF(SUMPRODUCT(($C$6:$C$35=C9)*($D$6:$D$35&lt;&gt;"")*($J$6:$J$35&gt;0)*($H$6:$H$35&lt;=I9)*($I$6:$I$35&gt;=H9))&gt;1,"⚠ Überschneidung mit anderem Mieter","✓"))))</f>
        <v/>
      </c>
      <c r="O9" s="16">
        <f>IF(OR(D9="",Liegenschaft!$C$7=""),0,MAX(0,MIN(I9,Liegenschaft!$N$14)-MAX(H9,Liegenschaft!$M$14)+1)/DAY(Liegenschaft!$N$14)*Liegenschaft!$O$14)</f>
        <v/>
      </c>
      <c r="P9" s="16">
        <f>IF(OR(D9="",Liegenschaft!$C$7=""),0,MAX(0,MIN(I9,Liegenschaft!$N$15)-MAX(H9,Liegenschaft!$M$15)+1)/DAY(Liegenschaft!$N$15)*Liegenschaft!$O$15)</f>
        <v/>
      </c>
      <c r="Q9" s="16">
        <f>IF(OR(D9="",Liegenschaft!$C$7=""),0,MAX(0,MIN(I9,Liegenschaft!$N$16)-MAX(H9,Liegenschaft!$M$16)+1)/DAY(Liegenschaft!$N$16)*Liegenschaft!$O$16)</f>
        <v/>
      </c>
      <c r="R9" s="16">
        <f>IF(OR(D9="",Liegenschaft!$C$7=""),0,MAX(0,MIN(I9,Liegenschaft!$N$17)-MAX(H9,Liegenschaft!$M$17)+1)/DAY(Liegenschaft!$N$17)*Liegenschaft!$O$17)</f>
        <v/>
      </c>
      <c r="S9" s="16">
        <f>IF(OR(D9="",Liegenschaft!$C$7=""),0,MAX(0,MIN(I9,Liegenschaft!$N$18)-MAX(H9,Liegenschaft!$M$18)+1)/DAY(Liegenschaft!$N$18)*Liegenschaft!$O$18)</f>
        <v/>
      </c>
      <c r="T9" s="16">
        <f>IF(OR(D9="",Liegenschaft!$C$7=""),0,MAX(0,MIN(I9,Liegenschaft!$N$19)-MAX(H9,Liegenschaft!$M$19)+1)/DAY(Liegenschaft!$N$19)*Liegenschaft!$O$19)</f>
        <v/>
      </c>
      <c r="U9" s="16">
        <f>IF(OR(D9="",Liegenschaft!$C$7=""),0,MAX(0,MIN(I9,Liegenschaft!$N$20)-MAX(H9,Liegenschaft!$M$20)+1)/DAY(Liegenschaft!$N$20)*Liegenschaft!$O$20)</f>
        <v/>
      </c>
      <c r="V9" s="16">
        <f>IF(OR(D9="",Liegenschaft!$C$7=""),0,MAX(0,MIN(I9,Liegenschaft!$N$21)-MAX(H9,Liegenschaft!$M$21)+1)/DAY(Liegenschaft!$N$21)*Liegenschaft!$O$21)</f>
        <v/>
      </c>
      <c r="W9" s="16">
        <f>IF(OR(D9="",Liegenschaft!$C$7=""),0,MAX(0,MIN(I9,Liegenschaft!$N$22)-MAX(H9,Liegenschaft!$M$22)+1)/DAY(Liegenschaft!$N$22)*Liegenschaft!$O$22)</f>
        <v/>
      </c>
      <c r="X9" s="16">
        <f>IF(OR(D9="",Liegenschaft!$C$7=""),0,MAX(0,MIN(I9,Liegenschaft!$N$23)-MAX(H9,Liegenschaft!$M$23)+1)/DAY(Liegenschaft!$N$23)*Liegenschaft!$O$23)</f>
        <v/>
      </c>
      <c r="Y9" s="16">
        <f>IF(OR(D9="",Liegenschaft!$C$7=""),0,MAX(0,MIN(I9,Liegenschaft!$N$24)-MAX(H9,Liegenschaft!$M$24)+1)/DAY(Liegenschaft!$N$24)*Liegenschaft!$O$24)</f>
        <v/>
      </c>
      <c r="Z9" s="16">
        <f>IF(OR(D9="",Liegenschaft!$C$7=""),0,MAX(0,MIN(I9,Liegenschaft!$N$25)-MAX(H9,Liegenschaft!$M$25)+1)/DAY(Liegenschaft!$N$25)*Liegenschaft!$O$25)</f>
        <v/>
      </c>
    </row>
    <row r="10">
      <c r="B10" s="22" t="n">
        <v>5</v>
      </c>
      <c r="C10" s="6" t="n"/>
      <c r="D10" s="6" t="n"/>
      <c r="E10" s="7" t="n"/>
      <c r="F10" s="7" t="n"/>
      <c r="G10" s="23" t="n"/>
      <c r="H10" s="24">
        <f>IF(D10="","",MAX(E10,Liegenschaft!$C$7))</f>
        <v/>
      </c>
      <c r="I10" s="24">
        <f>IF(D10="","",IF(F10="",Liegenschaft!$C$8,MIN(F10,Liegenschaft!$C$8)))</f>
        <v/>
      </c>
      <c r="J10" s="9">
        <f>IF(D10="",0,MAX(0,I10-H10+1))</f>
        <v/>
      </c>
      <c r="K10" s="25">
        <f>IF(OR(D10="",Liegenschaft!$C$9=""),0,J10/Liegenschaft!$C$9)</f>
        <v/>
      </c>
      <c r="L10" s="25">
        <f>IF(OR(D10="",Liegenschaft!$J$26=0),0,SUM(O10:Z10)/Liegenschaft!$J$26)</f>
        <v/>
      </c>
      <c r="M10" s="26">
        <f>IF(D10="","",IF(ISNA(MATCH(C10,Liegenschaft!$B$14:$B$25,0)),"⚠ Wohnung unbekannt",IF(J10=0,"⚠ nicht in Periode",IF(SUMPRODUCT(($C$6:$C$35=C10)*($D$6:$D$35&lt;&gt;"")*($J$6:$J$35&gt;0)*($H$6:$H$35&lt;=I10)*($I$6:$I$35&gt;=H10))&gt;1,"⚠ Überschneidung mit anderem Mieter","✓"))))</f>
        <v/>
      </c>
      <c r="O10" s="16">
        <f>IF(OR(D10="",Liegenschaft!$C$7=""),0,MAX(0,MIN(I10,Liegenschaft!$N$14)-MAX(H10,Liegenschaft!$M$14)+1)/DAY(Liegenschaft!$N$14)*Liegenschaft!$O$14)</f>
        <v/>
      </c>
      <c r="P10" s="16">
        <f>IF(OR(D10="",Liegenschaft!$C$7=""),0,MAX(0,MIN(I10,Liegenschaft!$N$15)-MAX(H10,Liegenschaft!$M$15)+1)/DAY(Liegenschaft!$N$15)*Liegenschaft!$O$15)</f>
        <v/>
      </c>
      <c r="Q10" s="16">
        <f>IF(OR(D10="",Liegenschaft!$C$7=""),0,MAX(0,MIN(I10,Liegenschaft!$N$16)-MAX(H10,Liegenschaft!$M$16)+1)/DAY(Liegenschaft!$N$16)*Liegenschaft!$O$16)</f>
        <v/>
      </c>
      <c r="R10" s="16">
        <f>IF(OR(D10="",Liegenschaft!$C$7=""),0,MAX(0,MIN(I10,Liegenschaft!$N$17)-MAX(H10,Liegenschaft!$M$17)+1)/DAY(Liegenschaft!$N$17)*Liegenschaft!$O$17)</f>
        <v/>
      </c>
      <c r="S10" s="16">
        <f>IF(OR(D10="",Liegenschaft!$C$7=""),0,MAX(0,MIN(I10,Liegenschaft!$N$18)-MAX(H10,Liegenschaft!$M$18)+1)/DAY(Liegenschaft!$N$18)*Liegenschaft!$O$18)</f>
        <v/>
      </c>
      <c r="T10" s="16">
        <f>IF(OR(D10="",Liegenschaft!$C$7=""),0,MAX(0,MIN(I10,Liegenschaft!$N$19)-MAX(H10,Liegenschaft!$M$19)+1)/DAY(Liegenschaft!$N$19)*Liegenschaft!$O$19)</f>
        <v/>
      </c>
      <c r="U10" s="16">
        <f>IF(OR(D10="",Liegenschaft!$C$7=""),0,MAX(0,MIN(I10,Liegenschaft!$N$20)-MAX(H10,Liegenschaft!$M$20)+1)/DAY(Liegenschaft!$N$20)*Liegenschaft!$O$20)</f>
        <v/>
      </c>
      <c r="V10" s="16">
        <f>IF(OR(D10="",Liegenschaft!$C$7=""),0,MAX(0,MIN(I10,Liegenschaft!$N$21)-MAX(H10,Liegenschaft!$M$21)+1)/DAY(Liegenschaft!$N$21)*Liegenschaft!$O$21)</f>
        <v/>
      </c>
      <c r="W10" s="16">
        <f>IF(OR(D10="",Liegenschaft!$C$7=""),0,MAX(0,MIN(I10,Liegenschaft!$N$22)-MAX(H10,Liegenschaft!$M$22)+1)/DAY(Liegenschaft!$N$22)*Liegenschaft!$O$22)</f>
        <v/>
      </c>
      <c r="X10" s="16">
        <f>IF(OR(D10="",Liegenschaft!$C$7=""),0,MAX(0,MIN(I10,Liegenschaft!$N$23)-MAX(H10,Liegenschaft!$M$23)+1)/DAY(Liegenschaft!$N$23)*Liegenschaft!$O$23)</f>
        <v/>
      </c>
      <c r="Y10" s="16">
        <f>IF(OR(D10="",Liegenschaft!$C$7=""),0,MAX(0,MIN(I10,Liegenschaft!$N$24)-MAX(H10,Liegenschaft!$M$24)+1)/DAY(Liegenschaft!$N$24)*Liegenschaft!$O$24)</f>
        <v/>
      </c>
      <c r="Z10" s="16">
        <f>IF(OR(D10="",Liegenschaft!$C$7=""),0,MAX(0,MIN(I10,Liegenschaft!$N$25)-MAX(H10,Liegenschaft!$M$25)+1)/DAY(Liegenschaft!$N$25)*Liegenschaft!$O$25)</f>
        <v/>
      </c>
    </row>
    <row r="11">
      <c r="B11" s="22" t="n">
        <v>6</v>
      </c>
      <c r="C11" s="6" t="n"/>
      <c r="D11" s="6" t="n"/>
      <c r="E11" s="7" t="n"/>
      <c r="F11" s="7" t="n"/>
      <c r="G11" s="23" t="n"/>
      <c r="H11" s="24">
        <f>IF(D11="","",MAX(E11,Liegenschaft!$C$7))</f>
        <v/>
      </c>
      <c r="I11" s="24">
        <f>IF(D11="","",IF(F11="",Liegenschaft!$C$8,MIN(F11,Liegenschaft!$C$8)))</f>
        <v/>
      </c>
      <c r="J11" s="9">
        <f>IF(D11="",0,MAX(0,I11-H11+1))</f>
        <v/>
      </c>
      <c r="K11" s="25">
        <f>IF(OR(D11="",Liegenschaft!$C$9=""),0,J11/Liegenschaft!$C$9)</f>
        <v/>
      </c>
      <c r="L11" s="25">
        <f>IF(OR(D11="",Liegenschaft!$J$26=0),0,SUM(O11:Z11)/Liegenschaft!$J$26)</f>
        <v/>
      </c>
      <c r="M11" s="26">
        <f>IF(D11="","",IF(ISNA(MATCH(C11,Liegenschaft!$B$14:$B$25,0)),"⚠ Wohnung unbekannt",IF(J11=0,"⚠ nicht in Periode",IF(SUMPRODUCT(($C$6:$C$35=C11)*($D$6:$D$35&lt;&gt;"")*($J$6:$J$35&gt;0)*($H$6:$H$35&lt;=I11)*($I$6:$I$35&gt;=H11))&gt;1,"⚠ Überschneidung mit anderem Mieter","✓"))))</f>
        <v/>
      </c>
      <c r="O11" s="16">
        <f>IF(OR(D11="",Liegenschaft!$C$7=""),0,MAX(0,MIN(I11,Liegenschaft!$N$14)-MAX(H11,Liegenschaft!$M$14)+1)/DAY(Liegenschaft!$N$14)*Liegenschaft!$O$14)</f>
        <v/>
      </c>
      <c r="P11" s="16">
        <f>IF(OR(D11="",Liegenschaft!$C$7=""),0,MAX(0,MIN(I11,Liegenschaft!$N$15)-MAX(H11,Liegenschaft!$M$15)+1)/DAY(Liegenschaft!$N$15)*Liegenschaft!$O$15)</f>
        <v/>
      </c>
      <c r="Q11" s="16">
        <f>IF(OR(D11="",Liegenschaft!$C$7=""),0,MAX(0,MIN(I11,Liegenschaft!$N$16)-MAX(H11,Liegenschaft!$M$16)+1)/DAY(Liegenschaft!$N$16)*Liegenschaft!$O$16)</f>
        <v/>
      </c>
      <c r="R11" s="16">
        <f>IF(OR(D11="",Liegenschaft!$C$7=""),0,MAX(0,MIN(I11,Liegenschaft!$N$17)-MAX(H11,Liegenschaft!$M$17)+1)/DAY(Liegenschaft!$N$17)*Liegenschaft!$O$17)</f>
        <v/>
      </c>
      <c r="S11" s="16">
        <f>IF(OR(D11="",Liegenschaft!$C$7=""),0,MAX(0,MIN(I11,Liegenschaft!$N$18)-MAX(H11,Liegenschaft!$M$18)+1)/DAY(Liegenschaft!$N$18)*Liegenschaft!$O$18)</f>
        <v/>
      </c>
      <c r="T11" s="16">
        <f>IF(OR(D11="",Liegenschaft!$C$7=""),0,MAX(0,MIN(I11,Liegenschaft!$N$19)-MAX(H11,Liegenschaft!$M$19)+1)/DAY(Liegenschaft!$N$19)*Liegenschaft!$O$19)</f>
        <v/>
      </c>
      <c r="U11" s="16">
        <f>IF(OR(D11="",Liegenschaft!$C$7=""),0,MAX(0,MIN(I11,Liegenschaft!$N$20)-MAX(H11,Liegenschaft!$M$20)+1)/DAY(Liegenschaft!$N$20)*Liegenschaft!$O$20)</f>
        <v/>
      </c>
      <c r="V11" s="16">
        <f>IF(OR(D11="",Liegenschaft!$C$7=""),0,MAX(0,MIN(I11,Liegenschaft!$N$21)-MAX(H11,Liegenschaft!$M$21)+1)/DAY(Liegenschaft!$N$21)*Liegenschaft!$O$21)</f>
        <v/>
      </c>
      <c r="W11" s="16">
        <f>IF(OR(D11="",Liegenschaft!$C$7=""),0,MAX(0,MIN(I11,Liegenschaft!$N$22)-MAX(H11,Liegenschaft!$M$22)+1)/DAY(Liegenschaft!$N$22)*Liegenschaft!$O$22)</f>
        <v/>
      </c>
      <c r="X11" s="16">
        <f>IF(OR(D11="",Liegenschaft!$C$7=""),0,MAX(0,MIN(I11,Liegenschaft!$N$23)-MAX(H11,Liegenschaft!$M$23)+1)/DAY(Liegenschaft!$N$23)*Liegenschaft!$O$23)</f>
        <v/>
      </c>
      <c r="Y11" s="16">
        <f>IF(OR(D11="",Liegenschaft!$C$7=""),0,MAX(0,MIN(I11,Liegenschaft!$N$24)-MAX(H11,Liegenschaft!$M$24)+1)/DAY(Liegenschaft!$N$24)*Liegenschaft!$O$24)</f>
        <v/>
      </c>
      <c r="Z11" s="16">
        <f>IF(OR(D11="",Liegenschaft!$C$7=""),0,MAX(0,MIN(I11,Liegenschaft!$N$25)-MAX(H11,Liegenschaft!$M$25)+1)/DAY(Liegenschaft!$N$25)*Liegenschaft!$O$25)</f>
        <v/>
      </c>
    </row>
    <row r="12">
      <c r="B12" s="22" t="n">
        <v>7</v>
      </c>
      <c r="C12" s="6" t="n"/>
      <c r="D12" s="6" t="n"/>
      <c r="E12" s="7" t="n"/>
      <c r="F12" s="7" t="n"/>
      <c r="G12" s="23" t="n"/>
      <c r="H12" s="24">
        <f>IF(D12="","",MAX(E12,Liegenschaft!$C$7))</f>
        <v/>
      </c>
      <c r="I12" s="24">
        <f>IF(D12="","",IF(F12="",Liegenschaft!$C$8,MIN(F12,Liegenschaft!$C$8)))</f>
        <v/>
      </c>
      <c r="J12" s="9">
        <f>IF(D12="",0,MAX(0,I12-H12+1))</f>
        <v/>
      </c>
      <c r="K12" s="25">
        <f>IF(OR(D12="",Liegenschaft!$C$9=""),0,J12/Liegenschaft!$C$9)</f>
        <v/>
      </c>
      <c r="L12" s="25">
        <f>IF(OR(D12="",Liegenschaft!$J$26=0),0,SUM(O12:Z12)/Liegenschaft!$J$26)</f>
        <v/>
      </c>
      <c r="M12" s="26">
        <f>IF(D12="","",IF(ISNA(MATCH(C12,Liegenschaft!$B$14:$B$25,0)),"⚠ Wohnung unbekannt",IF(J12=0,"⚠ nicht in Periode",IF(SUMPRODUCT(($C$6:$C$35=C12)*($D$6:$D$35&lt;&gt;"")*($J$6:$J$35&gt;0)*($H$6:$H$35&lt;=I12)*($I$6:$I$35&gt;=H12))&gt;1,"⚠ Überschneidung mit anderem Mieter","✓"))))</f>
        <v/>
      </c>
      <c r="O12" s="16">
        <f>IF(OR(D12="",Liegenschaft!$C$7=""),0,MAX(0,MIN(I12,Liegenschaft!$N$14)-MAX(H12,Liegenschaft!$M$14)+1)/DAY(Liegenschaft!$N$14)*Liegenschaft!$O$14)</f>
        <v/>
      </c>
      <c r="P12" s="16">
        <f>IF(OR(D12="",Liegenschaft!$C$7=""),0,MAX(0,MIN(I12,Liegenschaft!$N$15)-MAX(H12,Liegenschaft!$M$15)+1)/DAY(Liegenschaft!$N$15)*Liegenschaft!$O$15)</f>
        <v/>
      </c>
      <c r="Q12" s="16">
        <f>IF(OR(D12="",Liegenschaft!$C$7=""),0,MAX(0,MIN(I12,Liegenschaft!$N$16)-MAX(H12,Liegenschaft!$M$16)+1)/DAY(Liegenschaft!$N$16)*Liegenschaft!$O$16)</f>
        <v/>
      </c>
      <c r="R12" s="16">
        <f>IF(OR(D12="",Liegenschaft!$C$7=""),0,MAX(0,MIN(I12,Liegenschaft!$N$17)-MAX(H12,Liegenschaft!$M$17)+1)/DAY(Liegenschaft!$N$17)*Liegenschaft!$O$17)</f>
        <v/>
      </c>
      <c r="S12" s="16">
        <f>IF(OR(D12="",Liegenschaft!$C$7=""),0,MAX(0,MIN(I12,Liegenschaft!$N$18)-MAX(H12,Liegenschaft!$M$18)+1)/DAY(Liegenschaft!$N$18)*Liegenschaft!$O$18)</f>
        <v/>
      </c>
      <c r="T12" s="16">
        <f>IF(OR(D12="",Liegenschaft!$C$7=""),0,MAX(0,MIN(I12,Liegenschaft!$N$19)-MAX(H12,Liegenschaft!$M$19)+1)/DAY(Liegenschaft!$N$19)*Liegenschaft!$O$19)</f>
        <v/>
      </c>
      <c r="U12" s="16">
        <f>IF(OR(D12="",Liegenschaft!$C$7=""),0,MAX(0,MIN(I12,Liegenschaft!$N$20)-MAX(H12,Liegenschaft!$M$20)+1)/DAY(Liegenschaft!$N$20)*Liegenschaft!$O$20)</f>
        <v/>
      </c>
      <c r="V12" s="16">
        <f>IF(OR(D12="",Liegenschaft!$C$7=""),0,MAX(0,MIN(I12,Liegenschaft!$N$21)-MAX(H12,Liegenschaft!$M$21)+1)/DAY(Liegenschaft!$N$21)*Liegenschaft!$O$21)</f>
        <v/>
      </c>
      <c r="W12" s="16">
        <f>IF(OR(D12="",Liegenschaft!$C$7=""),0,MAX(0,MIN(I12,Liegenschaft!$N$22)-MAX(H12,Liegenschaft!$M$22)+1)/DAY(Liegenschaft!$N$22)*Liegenschaft!$O$22)</f>
        <v/>
      </c>
      <c r="X12" s="16">
        <f>IF(OR(D12="",Liegenschaft!$C$7=""),0,MAX(0,MIN(I12,Liegenschaft!$N$23)-MAX(H12,Liegenschaft!$M$23)+1)/DAY(Liegenschaft!$N$23)*Liegenschaft!$O$23)</f>
        <v/>
      </c>
      <c r="Y12" s="16">
        <f>IF(OR(D12="",Liegenschaft!$C$7=""),0,MAX(0,MIN(I12,Liegenschaft!$N$24)-MAX(H12,Liegenschaft!$M$24)+1)/DAY(Liegenschaft!$N$24)*Liegenschaft!$O$24)</f>
        <v/>
      </c>
      <c r="Z12" s="16">
        <f>IF(OR(D12="",Liegenschaft!$C$7=""),0,MAX(0,MIN(I12,Liegenschaft!$N$25)-MAX(H12,Liegenschaft!$M$25)+1)/DAY(Liegenschaft!$N$25)*Liegenschaft!$O$25)</f>
        <v/>
      </c>
    </row>
    <row r="13">
      <c r="B13" s="22" t="n">
        <v>8</v>
      </c>
      <c r="C13" s="6" t="n"/>
      <c r="D13" s="6" t="n"/>
      <c r="E13" s="7" t="n"/>
      <c r="F13" s="7" t="n"/>
      <c r="G13" s="23" t="n"/>
      <c r="H13" s="24">
        <f>IF(D13="","",MAX(E13,Liegenschaft!$C$7))</f>
        <v/>
      </c>
      <c r="I13" s="24">
        <f>IF(D13="","",IF(F13="",Liegenschaft!$C$8,MIN(F13,Liegenschaft!$C$8)))</f>
        <v/>
      </c>
      <c r="J13" s="9">
        <f>IF(D13="",0,MAX(0,I13-H13+1))</f>
        <v/>
      </c>
      <c r="K13" s="25">
        <f>IF(OR(D13="",Liegenschaft!$C$9=""),0,J13/Liegenschaft!$C$9)</f>
        <v/>
      </c>
      <c r="L13" s="25">
        <f>IF(OR(D13="",Liegenschaft!$J$26=0),0,SUM(O13:Z13)/Liegenschaft!$J$26)</f>
        <v/>
      </c>
      <c r="M13" s="26">
        <f>IF(D13="","",IF(ISNA(MATCH(C13,Liegenschaft!$B$14:$B$25,0)),"⚠ Wohnung unbekannt",IF(J13=0,"⚠ nicht in Periode",IF(SUMPRODUCT(($C$6:$C$35=C13)*($D$6:$D$35&lt;&gt;"")*($J$6:$J$35&gt;0)*($H$6:$H$35&lt;=I13)*($I$6:$I$35&gt;=H13))&gt;1,"⚠ Überschneidung mit anderem Mieter","✓"))))</f>
        <v/>
      </c>
      <c r="O13" s="16">
        <f>IF(OR(D13="",Liegenschaft!$C$7=""),0,MAX(0,MIN(I13,Liegenschaft!$N$14)-MAX(H13,Liegenschaft!$M$14)+1)/DAY(Liegenschaft!$N$14)*Liegenschaft!$O$14)</f>
        <v/>
      </c>
      <c r="P13" s="16">
        <f>IF(OR(D13="",Liegenschaft!$C$7=""),0,MAX(0,MIN(I13,Liegenschaft!$N$15)-MAX(H13,Liegenschaft!$M$15)+1)/DAY(Liegenschaft!$N$15)*Liegenschaft!$O$15)</f>
        <v/>
      </c>
      <c r="Q13" s="16">
        <f>IF(OR(D13="",Liegenschaft!$C$7=""),0,MAX(0,MIN(I13,Liegenschaft!$N$16)-MAX(H13,Liegenschaft!$M$16)+1)/DAY(Liegenschaft!$N$16)*Liegenschaft!$O$16)</f>
        <v/>
      </c>
      <c r="R13" s="16">
        <f>IF(OR(D13="",Liegenschaft!$C$7=""),0,MAX(0,MIN(I13,Liegenschaft!$N$17)-MAX(H13,Liegenschaft!$M$17)+1)/DAY(Liegenschaft!$N$17)*Liegenschaft!$O$17)</f>
        <v/>
      </c>
      <c r="S13" s="16">
        <f>IF(OR(D13="",Liegenschaft!$C$7=""),0,MAX(0,MIN(I13,Liegenschaft!$N$18)-MAX(H13,Liegenschaft!$M$18)+1)/DAY(Liegenschaft!$N$18)*Liegenschaft!$O$18)</f>
        <v/>
      </c>
      <c r="T13" s="16">
        <f>IF(OR(D13="",Liegenschaft!$C$7=""),0,MAX(0,MIN(I13,Liegenschaft!$N$19)-MAX(H13,Liegenschaft!$M$19)+1)/DAY(Liegenschaft!$N$19)*Liegenschaft!$O$19)</f>
        <v/>
      </c>
      <c r="U13" s="16">
        <f>IF(OR(D13="",Liegenschaft!$C$7=""),0,MAX(0,MIN(I13,Liegenschaft!$N$20)-MAX(H13,Liegenschaft!$M$20)+1)/DAY(Liegenschaft!$N$20)*Liegenschaft!$O$20)</f>
        <v/>
      </c>
      <c r="V13" s="16">
        <f>IF(OR(D13="",Liegenschaft!$C$7=""),0,MAX(0,MIN(I13,Liegenschaft!$N$21)-MAX(H13,Liegenschaft!$M$21)+1)/DAY(Liegenschaft!$N$21)*Liegenschaft!$O$21)</f>
        <v/>
      </c>
      <c r="W13" s="16">
        <f>IF(OR(D13="",Liegenschaft!$C$7=""),0,MAX(0,MIN(I13,Liegenschaft!$N$22)-MAX(H13,Liegenschaft!$M$22)+1)/DAY(Liegenschaft!$N$22)*Liegenschaft!$O$22)</f>
        <v/>
      </c>
      <c r="X13" s="16">
        <f>IF(OR(D13="",Liegenschaft!$C$7=""),0,MAX(0,MIN(I13,Liegenschaft!$N$23)-MAX(H13,Liegenschaft!$M$23)+1)/DAY(Liegenschaft!$N$23)*Liegenschaft!$O$23)</f>
        <v/>
      </c>
      <c r="Y13" s="16">
        <f>IF(OR(D13="",Liegenschaft!$C$7=""),0,MAX(0,MIN(I13,Liegenschaft!$N$24)-MAX(H13,Liegenschaft!$M$24)+1)/DAY(Liegenschaft!$N$24)*Liegenschaft!$O$24)</f>
        <v/>
      </c>
      <c r="Z13" s="16">
        <f>IF(OR(D13="",Liegenschaft!$C$7=""),0,MAX(0,MIN(I13,Liegenschaft!$N$25)-MAX(H13,Liegenschaft!$M$25)+1)/DAY(Liegenschaft!$N$25)*Liegenschaft!$O$25)</f>
        <v/>
      </c>
    </row>
    <row r="14">
      <c r="B14" s="22" t="n">
        <v>9</v>
      </c>
      <c r="C14" s="6" t="n"/>
      <c r="D14" s="6" t="n"/>
      <c r="E14" s="7" t="n"/>
      <c r="F14" s="7" t="n"/>
      <c r="G14" s="23" t="n"/>
      <c r="H14" s="24">
        <f>IF(D14="","",MAX(E14,Liegenschaft!$C$7))</f>
        <v/>
      </c>
      <c r="I14" s="24">
        <f>IF(D14="","",IF(F14="",Liegenschaft!$C$8,MIN(F14,Liegenschaft!$C$8)))</f>
        <v/>
      </c>
      <c r="J14" s="9">
        <f>IF(D14="",0,MAX(0,I14-H14+1))</f>
        <v/>
      </c>
      <c r="K14" s="25">
        <f>IF(OR(D14="",Liegenschaft!$C$9=""),0,J14/Liegenschaft!$C$9)</f>
        <v/>
      </c>
      <c r="L14" s="25">
        <f>IF(OR(D14="",Liegenschaft!$J$26=0),0,SUM(O14:Z14)/Liegenschaft!$J$26)</f>
        <v/>
      </c>
      <c r="M14" s="26">
        <f>IF(D14="","",IF(ISNA(MATCH(C14,Liegenschaft!$B$14:$B$25,0)),"⚠ Wohnung unbekannt",IF(J14=0,"⚠ nicht in Periode",IF(SUMPRODUCT(($C$6:$C$35=C14)*($D$6:$D$35&lt;&gt;"")*($J$6:$J$35&gt;0)*($H$6:$H$35&lt;=I14)*($I$6:$I$35&gt;=H14))&gt;1,"⚠ Überschneidung mit anderem Mieter","✓"))))</f>
        <v/>
      </c>
      <c r="O14" s="16">
        <f>IF(OR(D14="",Liegenschaft!$C$7=""),0,MAX(0,MIN(I14,Liegenschaft!$N$14)-MAX(H14,Liegenschaft!$M$14)+1)/DAY(Liegenschaft!$N$14)*Liegenschaft!$O$14)</f>
        <v/>
      </c>
      <c r="P14" s="16">
        <f>IF(OR(D14="",Liegenschaft!$C$7=""),0,MAX(0,MIN(I14,Liegenschaft!$N$15)-MAX(H14,Liegenschaft!$M$15)+1)/DAY(Liegenschaft!$N$15)*Liegenschaft!$O$15)</f>
        <v/>
      </c>
      <c r="Q14" s="16">
        <f>IF(OR(D14="",Liegenschaft!$C$7=""),0,MAX(0,MIN(I14,Liegenschaft!$N$16)-MAX(H14,Liegenschaft!$M$16)+1)/DAY(Liegenschaft!$N$16)*Liegenschaft!$O$16)</f>
        <v/>
      </c>
      <c r="R14" s="16">
        <f>IF(OR(D14="",Liegenschaft!$C$7=""),0,MAX(0,MIN(I14,Liegenschaft!$N$17)-MAX(H14,Liegenschaft!$M$17)+1)/DAY(Liegenschaft!$N$17)*Liegenschaft!$O$17)</f>
        <v/>
      </c>
      <c r="S14" s="16">
        <f>IF(OR(D14="",Liegenschaft!$C$7=""),0,MAX(0,MIN(I14,Liegenschaft!$N$18)-MAX(H14,Liegenschaft!$M$18)+1)/DAY(Liegenschaft!$N$18)*Liegenschaft!$O$18)</f>
        <v/>
      </c>
      <c r="T14" s="16">
        <f>IF(OR(D14="",Liegenschaft!$C$7=""),0,MAX(0,MIN(I14,Liegenschaft!$N$19)-MAX(H14,Liegenschaft!$M$19)+1)/DAY(Liegenschaft!$N$19)*Liegenschaft!$O$19)</f>
        <v/>
      </c>
      <c r="U14" s="16">
        <f>IF(OR(D14="",Liegenschaft!$C$7=""),0,MAX(0,MIN(I14,Liegenschaft!$N$20)-MAX(H14,Liegenschaft!$M$20)+1)/DAY(Liegenschaft!$N$20)*Liegenschaft!$O$20)</f>
        <v/>
      </c>
      <c r="V14" s="16">
        <f>IF(OR(D14="",Liegenschaft!$C$7=""),0,MAX(0,MIN(I14,Liegenschaft!$N$21)-MAX(H14,Liegenschaft!$M$21)+1)/DAY(Liegenschaft!$N$21)*Liegenschaft!$O$21)</f>
        <v/>
      </c>
      <c r="W14" s="16">
        <f>IF(OR(D14="",Liegenschaft!$C$7=""),0,MAX(0,MIN(I14,Liegenschaft!$N$22)-MAX(H14,Liegenschaft!$M$22)+1)/DAY(Liegenschaft!$N$22)*Liegenschaft!$O$22)</f>
        <v/>
      </c>
      <c r="X14" s="16">
        <f>IF(OR(D14="",Liegenschaft!$C$7=""),0,MAX(0,MIN(I14,Liegenschaft!$N$23)-MAX(H14,Liegenschaft!$M$23)+1)/DAY(Liegenschaft!$N$23)*Liegenschaft!$O$23)</f>
        <v/>
      </c>
      <c r="Y14" s="16">
        <f>IF(OR(D14="",Liegenschaft!$C$7=""),0,MAX(0,MIN(I14,Liegenschaft!$N$24)-MAX(H14,Liegenschaft!$M$24)+1)/DAY(Liegenschaft!$N$24)*Liegenschaft!$O$24)</f>
        <v/>
      </c>
      <c r="Z14" s="16">
        <f>IF(OR(D14="",Liegenschaft!$C$7=""),0,MAX(0,MIN(I14,Liegenschaft!$N$25)-MAX(H14,Liegenschaft!$M$25)+1)/DAY(Liegenschaft!$N$25)*Liegenschaft!$O$25)</f>
        <v/>
      </c>
    </row>
    <row r="15">
      <c r="B15" s="22" t="n">
        <v>10</v>
      </c>
      <c r="C15" s="6" t="n"/>
      <c r="D15" s="6" t="n"/>
      <c r="E15" s="7" t="n"/>
      <c r="F15" s="7" t="n"/>
      <c r="G15" s="23" t="n"/>
      <c r="H15" s="24">
        <f>IF(D15="","",MAX(E15,Liegenschaft!$C$7))</f>
        <v/>
      </c>
      <c r="I15" s="24">
        <f>IF(D15="","",IF(F15="",Liegenschaft!$C$8,MIN(F15,Liegenschaft!$C$8)))</f>
        <v/>
      </c>
      <c r="J15" s="9">
        <f>IF(D15="",0,MAX(0,I15-H15+1))</f>
        <v/>
      </c>
      <c r="K15" s="25">
        <f>IF(OR(D15="",Liegenschaft!$C$9=""),0,J15/Liegenschaft!$C$9)</f>
        <v/>
      </c>
      <c r="L15" s="25">
        <f>IF(OR(D15="",Liegenschaft!$J$26=0),0,SUM(O15:Z15)/Liegenschaft!$J$26)</f>
        <v/>
      </c>
      <c r="M15" s="26">
        <f>IF(D15="","",IF(ISNA(MATCH(C15,Liegenschaft!$B$14:$B$25,0)),"⚠ Wohnung unbekannt",IF(J15=0,"⚠ nicht in Periode",IF(SUMPRODUCT(($C$6:$C$35=C15)*($D$6:$D$35&lt;&gt;"")*($J$6:$J$35&gt;0)*($H$6:$H$35&lt;=I15)*($I$6:$I$35&gt;=H15))&gt;1,"⚠ Überschneidung mit anderem Mieter","✓"))))</f>
        <v/>
      </c>
      <c r="O15" s="16">
        <f>IF(OR(D15="",Liegenschaft!$C$7=""),0,MAX(0,MIN(I15,Liegenschaft!$N$14)-MAX(H15,Liegenschaft!$M$14)+1)/DAY(Liegenschaft!$N$14)*Liegenschaft!$O$14)</f>
        <v/>
      </c>
      <c r="P15" s="16">
        <f>IF(OR(D15="",Liegenschaft!$C$7=""),0,MAX(0,MIN(I15,Liegenschaft!$N$15)-MAX(H15,Liegenschaft!$M$15)+1)/DAY(Liegenschaft!$N$15)*Liegenschaft!$O$15)</f>
        <v/>
      </c>
      <c r="Q15" s="16">
        <f>IF(OR(D15="",Liegenschaft!$C$7=""),0,MAX(0,MIN(I15,Liegenschaft!$N$16)-MAX(H15,Liegenschaft!$M$16)+1)/DAY(Liegenschaft!$N$16)*Liegenschaft!$O$16)</f>
        <v/>
      </c>
      <c r="R15" s="16">
        <f>IF(OR(D15="",Liegenschaft!$C$7=""),0,MAX(0,MIN(I15,Liegenschaft!$N$17)-MAX(H15,Liegenschaft!$M$17)+1)/DAY(Liegenschaft!$N$17)*Liegenschaft!$O$17)</f>
        <v/>
      </c>
      <c r="S15" s="16">
        <f>IF(OR(D15="",Liegenschaft!$C$7=""),0,MAX(0,MIN(I15,Liegenschaft!$N$18)-MAX(H15,Liegenschaft!$M$18)+1)/DAY(Liegenschaft!$N$18)*Liegenschaft!$O$18)</f>
        <v/>
      </c>
      <c r="T15" s="16">
        <f>IF(OR(D15="",Liegenschaft!$C$7=""),0,MAX(0,MIN(I15,Liegenschaft!$N$19)-MAX(H15,Liegenschaft!$M$19)+1)/DAY(Liegenschaft!$N$19)*Liegenschaft!$O$19)</f>
        <v/>
      </c>
      <c r="U15" s="16">
        <f>IF(OR(D15="",Liegenschaft!$C$7=""),0,MAX(0,MIN(I15,Liegenschaft!$N$20)-MAX(H15,Liegenschaft!$M$20)+1)/DAY(Liegenschaft!$N$20)*Liegenschaft!$O$20)</f>
        <v/>
      </c>
      <c r="V15" s="16">
        <f>IF(OR(D15="",Liegenschaft!$C$7=""),0,MAX(0,MIN(I15,Liegenschaft!$N$21)-MAX(H15,Liegenschaft!$M$21)+1)/DAY(Liegenschaft!$N$21)*Liegenschaft!$O$21)</f>
        <v/>
      </c>
      <c r="W15" s="16">
        <f>IF(OR(D15="",Liegenschaft!$C$7=""),0,MAX(0,MIN(I15,Liegenschaft!$N$22)-MAX(H15,Liegenschaft!$M$22)+1)/DAY(Liegenschaft!$N$22)*Liegenschaft!$O$22)</f>
        <v/>
      </c>
      <c r="X15" s="16">
        <f>IF(OR(D15="",Liegenschaft!$C$7=""),0,MAX(0,MIN(I15,Liegenschaft!$N$23)-MAX(H15,Liegenschaft!$M$23)+1)/DAY(Liegenschaft!$N$23)*Liegenschaft!$O$23)</f>
        <v/>
      </c>
      <c r="Y15" s="16">
        <f>IF(OR(D15="",Liegenschaft!$C$7=""),0,MAX(0,MIN(I15,Liegenschaft!$N$24)-MAX(H15,Liegenschaft!$M$24)+1)/DAY(Liegenschaft!$N$24)*Liegenschaft!$O$24)</f>
        <v/>
      </c>
      <c r="Z15" s="16">
        <f>IF(OR(D15="",Liegenschaft!$C$7=""),0,MAX(0,MIN(I15,Liegenschaft!$N$25)-MAX(H15,Liegenschaft!$M$25)+1)/DAY(Liegenschaft!$N$25)*Liegenschaft!$O$25)</f>
        <v/>
      </c>
    </row>
    <row r="16">
      <c r="B16" s="22" t="n">
        <v>11</v>
      </c>
      <c r="C16" s="6" t="n"/>
      <c r="D16" s="6" t="n"/>
      <c r="E16" s="7" t="n"/>
      <c r="F16" s="7" t="n"/>
      <c r="G16" s="23" t="n"/>
      <c r="H16" s="24">
        <f>IF(D16="","",MAX(E16,Liegenschaft!$C$7))</f>
        <v/>
      </c>
      <c r="I16" s="24">
        <f>IF(D16="","",IF(F16="",Liegenschaft!$C$8,MIN(F16,Liegenschaft!$C$8)))</f>
        <v/>
      </c>
      <c r="J16" s="9">
        <f>IF(D16="",0,MAX(0,I16-H16+1))</f>
        <v/>
      </c>
      <c r="K16" s="25">
        <f>IF(OR(D16="",Liegenschaft!$C$9=""),0,J16/Liegenschaft!$C$9)</f>
        <v/>
      </c>
      <c r="L16" s="25">
        <f>IF(OR(D16="",Liegenschaft!$J$26=0),0,SUM(O16:Z16)/Liegenschaft!$J$26)</f>
        <v/>
      </c>
      <c r="M16" s="26">
        <f>IF(D16="","",IF(ISNA(MATCH(C16,Liegenschaft!$B$14:$B$25,0)),"⚠ Wohnung unbekannt",IF(J16=0,"⚠ nicht in Periode",IF(SUMPRODUCT(($C$6:$C$35=C16)*($D$6:$D$35&lt;&gt;"")*($J$6:$J$35&gt;0)*($H$6:$H$35&lt;=I16)*($I$6:$I$35&gt;=H16))&gt;1,"⚠ Überschneidung mit anderem Mieter","✓"))))</f>
        <v/>
      </c>
      <c r="O16" s="16">
        <f>IF(OR(D16="",Liegenschaft!$C$7=""),0,MAX(0,MIN(I16,Liegenschaft!$N$14)-MAX(H16,Liegenschaft!$M$14)+1)/DAY(Liegenschaft!$N$14)*Liegenschaft!$O$14)</f>
        <v/>
      </c>
      <c r="P16" s="16">
        <f>IF(OR(D16="",Liegenschaft!$C$7=""),0,MAX(0,MIN(I16,Liegenschaft!$N$15)-MAX(H16,Liegenschaft!$M$15)+1)/DAY(Liegenschaft!$N$15)*Liegenschaft!$O$15)</f>
        <v/>
      </c>
      <c r="Q16" s="16">
        <f>IF(OR(D16="",Liegenschaft!$C$7=""),0,MAX(0,MIN(I16,Liegenschaft!$N$16)-MAX(H16,Liegenschaft!$M$16)+1)/DAY(Liegenschaft!$N$16)*Liegenschaft!$O$16)</f>
        <v/>
      </c>
      <c r="R16" s="16">
        <f>IF(OR(D16="",Liegenschaft!$C$7=""),0,MAX(0,MIN(I16,Liegenschaft!$N$17)-MAX(H16,Liegenschaft!$M$17)+1)/DAY(Liegenschaft!$N$17)*Liegenschaft!$O$17)</f>
        <v/>
      </c>
      <c r="S16" s="16">
        <f>IF(OR(D16="",Liegenschaft!$C$7=""),0,MAX(0,MIN(I16,Liegenschaft!$N$18)-MAX(H16,Liegenschaft!$M$18)+1)/DAY(Liegenschaft!$N$18)*Liegenschaft!$O$18)</f>
        <v/>
      </c>
      <c r="T16" s="16">
        <f>IF(OR(D16="",Liegenschaft!$C$7=""),0,MAX(0,MIN(I16,Liegenschaft!$N$19)-MAX(H16,Liegenschaft!$M$19)+1)/DAY(Liegenschaft!$N$19)*Liegenschaft!$O$19)</f>
        <v/>
      </c>
      <c r="U16" s="16">
        <f>IF(OR(D16="",Liegenschaft!$C$7=""),0,MAX(0,MIN(I16,Liegenschaft!$N$20)-MAX(H16,Liegenschaft!$M$20)+1)/DAY(Liegenschaft!$N$20)*Liegenschaft!$O$20)</f>
        <v/>
      </c>
      <c r="V16" s="16">
        <f>IF(OR(D16="",Liegenschaft!$C$7=""),0,MAX(0,MIN(I16,Liegenschaft!$N$21)-MAX(H16,Liegenschaft!$M$21)+1)/DAY(Liegenschaft!$N$21)*Liegenschaft!$O$21)</f>
        <v/>
      </c>
      <c r="W16" s="16">
        <f>IF(OR(D16="",Liegenschaft!$C$7=""),0,MAX(0,MIN(I16,Liegenschaft!$N$22)-MAX(H16,Liegenschaft!$M$22)+1)/DAY(Liegenschaft!$N$22)*Liegenschaft!$O$22)</f>
        <v/>
      </c>
      <c r="X16" s="16">
        <f>IF(OR(D16="",Liegenschaft!$C$7=""),0,MAX(0,MIN(I16,Liegenschaft!$N$23)-MAX(H16,Liegenschaft!$M$23)+1)/DAY(Liegenschaft!$N$23)*Liegenschaft!$O$23)</f>
        <v/>
      </c>
      <c r="Y16" s="16">
        <f>IF(OR(D16="",Liegenschaft!$C$7=""),0,MAX(0,MIN(I16,Liegenschaft!$N$24)-MAX(H16,Liegenschaft!$M$24)+1)/DAY(Liegenschaft!$N$24)*Liegenschaft!$O$24)</f>
        <v/>
      </c>
      <c r="Z16" s="16">
        <f>IF(OR(D16="",Liegenschaft!$C$7=""),0,MAX(0,MIN(I16,Liegenschaft!$N$25)-MAX(H16,Liegenschaft!$M$25)+1)/DAY(Liegenschaft!$N$25)*Liegenschaft!$O$25)</f>
        <v/>
      </c>
    </row>
    <row r="17">
      <c r="B17" s="22" t="n">
        <v>12</v>
      </c>
      <c r="C17" s="6" t="n"/>
      <c r="D17" s="6" t="n"/>
      <c r="E17" s="7" t="n"/>
      <c r="F17" s="7" t="n"/>
      <c r="G17" s="23" t="n"/>
      <c r="H17" s="24">
        <f>IF(D17="","",MAX(E17,Liegenschaft!$C$7))</f>
        <v/>
      </c>
      <c r="I17" s="24">
        <f>IF(D17="","",IF(F17="",Liegenschaft!$C$8,MIN(F17,Liegenschaft!$C$8)))</f>
        <v/>
      </c>
      <c r="J17" s="9">
        <f>IF(D17="",0,MAX(0,I17-H17+1))</f>
        <v/>
      </c>
      <c r="K17" s="25">
        <f>IF(OR(D17="",Liegenschaft!$C$9=""),0,J17/Liegenschaft!$C$9)</f>
        <v/>
      </c>
      <c r="L17" s="25">
        <f>IF(OR(D17="",Liegenschaft!$J$26=0),0,SUM(O17:Z17)/Liegenschaft!$J$26)</f>
        <v/>
      </c>
      <c r="M17" s="26">
        <f>IF(D17="","",IF(ISNA(MATCH(C17,Liegenschaft!$B$14:$B$25,0)),"⚠ Wohnung unbekannt",IF(J17=0,"⚠ nicht in Periode",IF(SUMPRODUCT(($C$6:$C$35=C17)*($D$6:$D$35&lt;&gt;"")*($J$6:$J$35&gt;0)*($H$6:$H$35&lt;=I17)*($I$6:$I$35&gt;=H17))&gt;1,"⚠ Überschneidung mit anderem Mieter","✓"))))</f>
        <v/>
      </c>
      <c r="O17" s="16">
        <f>IF(OR(D17="",Liegenschaft!$C$7=""),0,MAX(0,MIN(I17,Liegenschaft!$N$14)-MAX(H17,Liegenschaft!$M$14)+1)/DAY(Liegenschaft!$N$14)*Liegenschaft!$O$14)</f>
        <v/>
      </c>
      <c r="P17" s="16">
        <f>IF(OR(D17="",Liegenschaft!$C$7=""),0,MAX(0,MIN(I17,Liegenschaft!$N$15)-MAX(H17,Liegenschaft!$M$15)+1)/DAY(Liegenschaft!$N$15)*Liegenschaft!$O$15)</f>
        <v/>
      </c>
      <c r="Q17" s="16">
        <f>IF(OR(D17="",Liegenschaft!$C$7=""),0,MAX(0,MIN(I17,Liegenschaft!$N$16)-MAX(H17,Liegenschaft!$M$16)+1)/DAY(Liegenschaft!$N$16)*Liegenschaft!$O$16)</f>
        <v/>
      </c>
      <c r="R17" s="16">
        <f>IF(OR(D17="",Liegenschaft!$C$7=""),0,MAX(0,MIN(I17,Liegenschaft!$N$17)-MAX(H17,Liegenschaft!$M$17)+1)/DAY(Liegenschaft!$N$17)*Liegenschaft!$O$17)</f>
        <v/>
      </c>
      <c r="S17" s="16">
        <f>IF(OR(D17="",Liegenschaft!$C$7=""),0,MAX(0,MIN(I17,Liegenschaft!$N$18)-MAX(H17,Liegenschaft!$M$18)+1)/DAY(Liegenschaft!$N$18)*Liegenschaft!$O$18)</f>
        <v/>
      </c>
      <c r="T17" s="16">
        <f>IF(OR(D17="",Liegenschaft!$C$7=""),0,MAX(0,MIN(I17,Liegenschaft!$N$19)-MAX(H17,Liegenschaft!$M$19)+1)/DAY(Liegenschaft!$N$19)*Liegenschaft!$O$19)</f>
        <v/>
      </c>
      <c r="U17" s="16">
        <f>IF(OR(D17="",Liegenschaft!$C$7=""),0,MAX(0,MIN(I17,Liegenschaft!$N$20)-MAX(H17,Liegenschaft!$M$20)+1)/DAY(Liegenschaft!$N$20)*Liegenschaft!$O$20)</f>
        <v/>
      </c>
      <c r="V17" s="16">
        <f>IF(OR(D17="",Liegenschaft!$C$7=""),0,MAX(0,MIN(I17,Liegenschaft!$N$21)-MAX(H17,Liegenschaft!$M$21)+1)/DAY(Liegenschaft!$N$21)*Liegenschaft!$O$21)</f>
        <v/>
      </c>
      <c r="W17" s="16">
        <f>IF(OR(D17="",Liegenschaft!$C$7=""),0,MAX(0,MIN(I17,Liegenschaft!$N$22)-MAX(H17,Liegenschaft!$M$22)+1)/DAY(Liegenschaft!$N$22)*Liegenschaft!$O$22)</f>
        <v/>
      </c>
      <c r="X17" s="16">
        <f>IF(OR(D17="",Liegenschaft!$C$7=""),0,MAX(0,MIN(I17,Liegenschaft!$N$23)-MAX(H17,Liegenschaft!$M$23)+1)/DAY(Liegenschaft!$N$23)*Liegenschaft!$O$23)</f>
        <v/>
      </c>
      <c r="Y17" s="16">
        <f>IF(OR(D17="",Liegenschaft!$C$7=""),0,MAX(0,MIN(I17,Liegenschaft!$N$24)-MAX(H17,Liegenschaft!$M$24)+1)/DAY(Liegenschaft!$N$24)*Liegenschaft!$O$24)</f>
        <v/>
      </c>
      <c r="Z17" s="16">
        <f>IF(OR(D17="",Liegenschaft!$C$7=""),0,MAX(0,MIN(I17,Liegenschaft!$N$25)-MAX(H17,Liegenschaft!$M$25)+1)/DAY(Liegenschaft!$N$25)*Liegenschaft!$O$25)</f>
        <v/>
      </c>
    </row>
    <row r="18">
      <c r="B18" s="22" t="n">
        <v>13</v>
      </c>
      <c r="C18" s="6" t="n"/>
      <c r="D18" s="6" t="n"/>
      <c r="E18" s="7" t="n"/>
      <c r="F18" s="7" t="n"/>
      <c r="G18" s="23" t="n"/>
      <c r="H18" s="24">
        <f>IF(D18="","",MAX(E18,Liegenschaft!$C$7))</f>
        <v/>
      </c>
      <c r="I18" s="24">
        <f>IF(D18="","",IF(F18="",Liegenschaft!$C$8,MIN(F18,Liegenschaft!$C$8)))</f>
        <v/>
      </c>
      <c r="J18" s="9">
        <f>IF(D18="",0,MAX(0,I18-H18+1))</f>
        <v/>
      </c>
      <c r="K18" s="25">
        <f>IF(OR(D18="",Liegenschaft!$C$9=""),0,J18/Liegenschaft!$C$9)</f>
        <v/>
      </c>
      <c r="L18" s="25">
        <f>IF(OR(D18="",Liegenschaft!$J$26=0),0,SUM(O18:Z18)/Liegenschaft!$J$26)</f>
        <v/>
      </c>
      <c r="M18" s="26">
        <f>IF(D18="","",IF(ISNA(MATCH(C18,Liegenschaft!$B$14:$B$25,0)),"⚠ Wohnung unbekannt",IF(J18=0,"⚠ nicht in Periode",IF(SUMPRODUCT(($C$6:$C$35=C18)*($D$6:$D$35&lt;&gt;"")*($J$6:$J$35&gt;0)*($H$6:$H$35&lt;=I18)*($I$6:$I$35&gt;=H18))&gt;1,"⚠ Überschneidung mit anderem Mieter","✓"))))</f>
        <v/>
      </c>
      <c r="O18" s="16">
        <f>IF(OR(D18="",Liegenschaft!$C$7=""),0,MAX(0,MIN(I18,Liegenschaft!$N$14)-MAX(H18,Liegenschaft!$M$14)+1)/DAY(Liegenschaft!$N$14)*Liegenschaft!$O$14)</f>
        <v/>
      </c>
      <c r="P18" s="16">
        <f>IF(OR(D18="",Liegenschaft!$C$7=""),0,MAX(0,MIN(I18,Liegenschaft!$N$15)-MAX(H18,Liegenschaft!$M$15)+1)/DAY(Liegenschaft!$N$15)*Liegenschaft!$O$15)</f>
        <v/>
      </c>
      <c r="Q18" s="16">
        <f>IF(OR(D18="",Liegenschaft!$C$7=""),0,MAX(0,MIN(I18,Liegenschaft!$N$16)-MAX(H18,Liegenschaft!$M$16)+1)/DAY(Liegenschaft!$N$16)*Liegenschaft!$O$16)</f>
        <v/>
      </c>
      <c r="R18" s="16">
        <f>IF(OR(D18="",Liegenschaft!$C$7=""),0,MAX(0,MIN(I18,Liegenschaft!$N$17)-MAX(H18,Liegenschaft!$M$17)+1)/DAY(Liegenschaft!$N$17)*Liegenschaft!$O$17)</f>
        <v/>
      </c>
      <c r="S18" s="16">
        <f>IF(OR(D18="",Liegenschaft!$C$7=""),0,MAX(0,MIN(I18,Liegenschaft!$N$18)-MAX(H18,Liegenschaft!$M$18)+1)/DAY(Liegenschaft!$N$18)*Liegenschaft!$O$18)</f>
        <v/>
      </c>
      <c r="T18" s="16">
        <f>IF(OR(D18="",Liegenschaft!$C$7=""),0,MAX(0,MIN(I18,Liegenschaft!$N$19)-MAX(H18,Liegenschaft!$M$19)+1)/DAY(Liegenschaft!$N$19)*Liegenschaft!$O$19)</f>
        <v/>
      </c>
      <c r="U18" s="16">
        <f>IF(OR(D18="",Liegenschaft!$C$7=""),0,MAX(0,MIN(I18,Liegenschaft!$N$20)-MAX(H18,Liegenschaft!$M$20)+1)/DAY(Liegenschaft!$N$20)*Liegenschaft!$O$20)</f>
        <v/>
      </c>
      <c r="V18" s="16">
        <f>IF(OR(D18="",Liegenschaft!$C$7=""),0,MAX(0,MIN(I18,Liegenschaft!$N$21)-MAX(H18,Liegenschaft!$M$21)+1)/DAY(Liegenschaft!$N$21)*Liegenschaft!$O$21)</f>
        <v/>
      </c>
      <c r="W18" s="16">
        <f>IF(OR(D18="",Liegenschaft!$C$7=""),0,MAX(0,MIN(I18,Liegenschaft!$N$22)-MAX(H18,Liegenschaft!$M$22)+1)/DAY(Liegenschaft!$N$22)*Liegenschaft!$O$22)</f>
        <v/>
      </c>
      <c r="X18" s="16">
        <f>IF(OR(D18="",Liegenschaft!$C$7=""),0,MAX(0,MIN(I18,Liegenschaft!$N$23)-MAX(H18,Liegenschaft!$M$23)+1)/DAY(Liegenschaft!$N$23)*Liegenschaft!$O$23)</f>
        <v/>
      </c>
      <c r="Y18" s="16">
        <f>IF(OR(D18="",Liegenschaft!$C$7=""),0,MAX(0,MIN(I18,Liegenschaft!$N$24)-MAX(H18,Liegenschaft!$M$24)+1)/DAY(Liegenschaft!$N$24)*Liegenschaft!$O$24)</f>
        <v/>
      </c>
      <c r="Z18" s="16">
        <f>IF(OR(D18="",Liegenschaft!$C$7=""),0,MAX(0,MIN(I18,Liegenschaft!$N$25)-MAX(H18,Liegenschaft!$M$25)+1)/DAY(Liegenschaft!$N$25)*Liegenschaft!$O$25)</f>
        <v/>
      </c>
    </row>
    <row r="19">
      <c r="B19" s="22" t="n">
        <v>14</v>
      </c>
      <c r="C19" s="6" t="n"/>
      <c r="D19" s="6" t="n"/>
      <c r="E19" s="7" t="n"/>
      <c r="F19" s="7" t="n"/>
      <c r="G19" s="23" t="n"/>
      <c r="H19" s="24">
        <f>IF(D19="","",MAX(E19,Liegenschaft!$C$7))</f>
        <v/>
      </c>
      <c r="I19" s="24">
        <f>IF(D19="","",IF(F19="",Liegenschaft!$C$8,MIN(F19,Liegenschaft!$C$8)))</f>
        <v/>
      </c>
      <c r="J19" s="9">
        <f>IF(D19="",0,MAX(0,I19-H19+1))</f>
        <v/>
      </c>
      <c r="K19" s="25">
        <f>IF(OR(D19="",Liegenschaft!$C$9=""),0,J19/Liegenschaft!$C$9)</f>
        <v/>
      </c>
      <c r="L19" s="25">
        <f>IF(OR(D19="",Liegenschaft!$J$26=0),0,SUM(O19:Z19)/Liegenschaft!$J$26)</f>
        <v/>
      </c>
      <c r="M19" s="26">
        <f>IF(D19="","",IF(ISNA(MATCH(C19,Liegenschaft!$B$14:$B$25,0)),"⚠ Wohnung unbekannt",IF(J19=0,"⚠ nicht in Periode",IF(SUMPRODUCT(($C$6:$C$35=C19)*($D$6:$D$35&lt;&gt;"")*($J$6:$J$35&gt;0)*($H$6:$H$35&lt;=I19)*($I$6:$I$35&gt;=H19))&gt;1,"⚠ Überschneidung mit anderem Mieter","✓"))))</f>
        <v/>
      </c>
      <c r="O19" s="16">
        <f>IF(OR(D19="",Liegenschaft!$C$7=""),0,MAX(0,MIN(I19,Liegenschaft!$N$14)-MAX(H19,Liegenschaft!$M$14)+1)/DAY(Liegenschaft!$N$14)*Liegenschaft!$O$14)</f>
        <v/>
      </c>
      <c r="P19" s="16">
        <f>IF(OR(D19="",Liegenschaft!$C$7=""),0,MAX(0,MIN(I19,Liegenschaft!$N$15)-MAX(H19,Liegenschaft!$M$15)+1)/DAY(Liegenschaft!$N$15)*Liegenschaft!$O$15)</f>
        <v/>
      </c>
      <c r="Q19" s="16">
        <f>IF(OR(D19="",Liegenschaft!$C$7=""),0,MAX(0,MIN(I19,Liegenschaft!$N$16)-MAX(H19,Liegenschaft!$M$16)+1)/DAY(Liegenschaft!$N$16)*Liegenschaft!$O$16)</f>
        <v/>
      </c>
      <c r="R19" s="16">
        <f>IF(OR(D19="",Liegenschaft!$C$7=""),0,MAX(0,MIN(I19,Liegenschaft!$N$17)-MAX(H19,Liegenschaft!$M$17)+1)/DAY(Liegenschaft!$N$17)*Liegenschaft!$O$17)</f>
        <v/>
      </c>
      <c r="S19" s="16">
        <f>IF(OR(D19="",Liegenschaft!$C$7=""),0,MAX(0,MIN(I19,Liegenschaft!$N$18)-MAX(H19,Liegenschaft!$M$18)+1)/DAY(Liegenschaft!$N$18)*Liegenschaft!$O$18)</f>
        <v/>
      </c>
      <c r="T19" s="16">
        <f>IF(OR(D19="",Liegenschaft!$C$7=""),0,MAX(0,MIN(I19,Liegenschaft!$N$19)-MAX(H19,Liegenschaft!$M$19)+1)/DAY(Liegenschaft!$N$19)*Liegenschaft!$O$19)</f>
        <v/>
      </c>
      <c r="U19" s="16">
        <f>IF(OR(D19="",Liegenschaft!$C$7=""),0,MAX(0,MIN(I19,Liegenschaft!$N$20)-MAX(H19,Liegenschaft!$M$20)+1)/DAY(Liegenschaft!$N$20)*Liegenschaft!$O$20)</f>
        <v/>
      </c>
      <c r="V19" s="16">
        <f>IF(OR(D19="",Liegenschaft!$C$7=""),0,MAX(0,MIN(I19,Liegenschaft!$N$21)-MAX(H19,Liegenschaft!$M$21)+1)/DAY(Liegenschaft!$N$21)*Liegenschaft!$O$21)</f>
        <v/>
      </c>
      <c r="W19" s="16">
        <f>IF(OR(D19="",Liegenschaft!$C$7=""),0,MAX(0,MIN(I19,Liegenschaft!$N$22)-MAX(H19,Liegenschaft!$M$22)+1)/DAY(Liegenschaft!$N$22)*Liegenschaft!$O$22)</f>
        <v/>
      </c>
      <c r="X19" s="16">
        <f>IF(OR(D19="",Liegenschaft!$C$7=""),0,MAX(0,MIN(I19,Liegenschaft!$N$23)-MAX(H19,Liegenschaft!$M$23)+1)/DAY(Liegenschaft!$N$23)*Liegenschaft!$O$23)</f>
        <v/>
      </c>
      <c r="Y19" s="16">
        <f>IF(OR(D19="",Liegenschaft!$C$7=""),0,MAX(0,MIN(I19,Liegenschaft!$N$24)-MAX(H19,Liegenschaft!$M$24)+1)/DAY(Liegenschaft!$N$24)*Liegenschaft!$O$24)</f>
        <v/>
      </c>
      <c r="Z19" s="16">
        <f>IF(OR(D19="",Liegenschaft!$C$7=""),0,MAX(0,MIN(I19,Liegenschaft!$N$25)-MAX(H19,Liegenschaft!$M$25)+1)/DAY(Liegenschaft!$N$25)*Liegenschaft!$O$25)</f>
        <v/>
      </c>
    </row>
    <row r="20">
      <c r="B20" s="22" t="n">
        <v>15</v>
      </c>
      <c r="C20" s="6" t="n"/>
      <c r="D20" s="6" t="n"/>
      <c r="E20" s="7" t="n"/>
      <c r="F20" s="7" t="n"/>
      <c r="G20" s="23" t="n"/>
      <c r="H20" s="24">
        <f>IF(D20="","",MAX(E20,Liegenschaft!$C$7))</f>
        <v/>
      </c>
      <c r="I20" s="24">
        <f>IF(D20="","",IF(F20="",Liegenschaft!$C$8,MIN(F20,Liegenschaft!$C$8)))</f>
        <v/>
      </c>
      <c r="J20" s="9">
        <f>IF(D20="",0,MAX(0,I20-H20+1))</f>
        <v/>
      </c>
      <c r="K20" s="25">
        <f>IF(OR(D20="",Liegenschaft!$C$9=""),0,J20/Liegenschaft!$C$9)</f>
        <v/>
      </c>
      <c r="L20" s="25">
        <f>IF(OR(D20="",Liegenschaft!$J$26=0),0,SUM(O20:Z20)/Liegenschaft!$J$26)</f>
        <v/>
      </c>
      <c r="M20" s="26">
        <f>IF(D20="","",IF(ISNA(MATCH(C20,Liegenschaft!$B$14:$B$25,0)),"⚠ Wohnung unbekannt",IF(J20=0,"⚠ nicht in Periode",IF(SUMPRODUCT(($C$6:$C$35=C20)*($D$6:$D$35&lt;&gt;"")*($J$6:$J$35&gt;0)*($H$6:$H$35&lt;=I20)*($I$6:$I$35&gt;=H20))&gt;1,"⚠ Überschneidung mit anderem Mieter","✓"))))</f>
        <v/>
      </c>
      <c r="O20" s="16">
        <f>IF(OR(D20="",Liegenschaft!$C$7=""),0,MAX(0,MIN(I20,Liegenschaft!$N$14)-MAX(H20,Liegenschaft!$M$14)+1)/DAY(Liegenschaft!$N$14)*Liegenschaft!$O$14)</f>
        <v/>
      </c>
      <c r="P20" s="16">
        <f>IF(OR(D20="",Liegenschaft!$C$7=""),0,MAX(0,MIN(I20,Liegenschaft!$N$15)-MAX(H20,Liegenschaft!$M$15)+1)/DAY(Liegenschaft!$N$15)*Liegenschaft!$O$15)</f>
        <v/>
      </c>
      <c r="Q20" s="16">
        <f>IF(OR(D20="",Liegenschaft!$C$7=""),0,MAX(0,MIN(I20,Liegenschaft!$N$16)-MAX(H20,Liegenschaft!$M$16)+1)/DAY(Liegenschaft!$N$16)*Liegenschaft!$O$16)</f>
        <v/>
      </c>
      <c r="R20" s="16">
        <f>IF(OR(D20="",Liegenschaft!$C$7=""),0,MAX(0,MIN(I20,Liegenschaft!$N$17)-MAX(H20,Liegenschaft!$M$17)+1)/DAY(Liegenschaft!$N$17)*Liegenschaft!$O$17)</f>
        <v/>
      </c>
      <c r="S20" s="16">
        <f>IF(OR(D20="",Liegenschaft!$C$7=""),0,MAX(0,MIN(I20,Liegenschaft!$N$18)-MAX(H20,Liegenschaft!$M$18)+1)/DAY(Liegenschaft!$N$18)*Liegenschaft!$O$18)</f>
        <v/>
      </c>
      <c r="T20" s="16">
        <f>IF(OR(D20="",Liegenschaft!$C$7=""),0,MAX(0,MIN(I20,Liegenschaft!$N$19)-MAX(H20,Liegenschaft!$M$19)+1)/DAY(Liegenschaft!$N$19)*Liegenschaft!$O$19)</f>
        <v/>
      </c>
      <c r="U20" s="16">
        <f>IF(OR(D20="",Liegenschaft!$C$7=""),0,MAX(0,MIN(I20,Liegenschaft!$N$20)-MAX(H20,Liegenschaft!$M$20)+1)/DAY(Liegenschaft!$N$20)*Liegenschaft!$O$20)</f>
        <v/>
      </c>
      <c r="V20" s="16">
        <f>IF(OR(D20="",Liegenschaft!$C$7=""),0,MAX(0,MIN(I20,Liegenschaft!$N$21)-MAX(H20,Liegenschaft!$M$21)+1)/DAY(Liegenschaft!$N$21)*Liegenschaft!$O$21)</f>
        <v/>
      </c>
      <c r="W20" s="16">
        <f>IF(OR(D20="",Liegenschaft!$C$7=""),0,MAX(0,MIN(I20,Liegenschaft!$N$22)-MAX(H20,Liegenschaft!$M$22)+1)/DAY(Liegenschaft!$N$22)*Liegenschaft!$O$22)</f>
        <v/>
      </c>
      <c r="X20" s="16">
        <f>IF(OR(D20="",Liegenschaft!$C$7=""),0,MAX(0,MIN(I20,Liegenschaft!$N$23)-MAX(H20,Liegenschaft!$M$23)+1)/DAY(Liegenschaft!$N$23)*Liegenschaft!$O$23)</f>
        <v/>
      </c>
      <c r="Y20" s="16">
        <f>IF(OR(D20="",Liegenschaft!$C$7=""),0,MAX(0,MIN(I20,Liegenschaft!$N$24)-MAX(H20,Liegenschaft!$M$24)+1)/DAY(Liegenschaft!$N$24)*Liegenschaft!$O$24)</f>
        <v/>
      </c>
      <c r="Z20" s="16">
        <f>IF(OR(D20="",Liegenschaft!$C$7=""),0,MAX(0,MIN(I20,Liegenschaft!$N$25)-MAX(H20,Liegenschaft!$M$25)+1)/DAY(Liegenschaft!$N$25)*Liegenschaft!$O$25)</f>
        <v/>
      </c>
    </row>
    <row r="21">
      <c r="B21" s="22" t="n">
        <v>16</v>
      </c>
      <c r="C21" s="6" t="n"/>
      <c r="D21" s="6" t="n"/>
      <c r="E21" s="7" t="n"/>
      <c r="F21" s="7" t="n"/>
      <c r="G21" s="23" t="n"/>
      <c r="H21" s="24">
        <f>IF(D21="","",MAX(E21,Liegenschaft!$C$7))</f>
        <v/>
      </c>
      <c r="I21" s="24">
        <f>IF(D21="","",IF(F21="",Liegenschaft!$C$8,MIN(F21,Liegenschaft!$C$8)))</f>
        <v/>
      </c>
      <c r="J21" s="9">
        <f>IF(D21="",0,MAX(0,I21-H21+1))</f>
        <v/>
      </c>
      <c r="K21" s="25">
        <f>IF(OR(D21="",Liegenschaft!$C$9=""),0,J21/Liegenschaft!$C$9)</f>
        <v/>
      </c>
      <c r="L21" s="25">
        <f>IF(OR(D21="",Liegenschaft!$J$26=0),0,SUM(O21:Z21)/Liegenschaft!$J$26)</f>
        <v/>
      </c>
      <c r="M21" s="26">
        <f>IF(D21="","",IF(ISNA(MATCH(C21,Liegenschaft!$B$14:$B$25,0)),"⚠ Wohnung unbekannt",IF(J21=0,"⚠ nicht in Periode",IF(SUMPRODUCT(($C$6:$C$35=C21)*($D$6:$D$35&lt;&gt;"")*($J$6:$J$35&gt;0)*($H$6:$H$35&lt;=I21)*($I$6:$I$35&gt;=H21))&gt;1,"⚠ Überschneidung mit anderem Mieter","✓"))))</f>
        <v/>
      </c>
      <c r="O21" s="16">
        <f>IF(OR(D21="",Liegenschaft!$C$7=""),0,MAX(0,MIN(I21,Liegenschaft!$N$14)-MAX(H21,Liegenschaft!$M$14)+1)/DAY(Liegenschaft!$N$14)*Liegenschaft!$O$14)</f>
        <v/>
      </c>
      <c r="P21" s="16">
        <f>IF(OR(D21="",Liegenschaft!$C$7=""),0,MAX(0,MIN(I21,Liegenschaft!$N$15)-MAX(H21,Liegenschaft!$M$15)+1)/DAY(Liegenschaft!$N$15)*Liegenschaft!$O$15)</f>
        <v/>
      </c>
      <c r="Q21" s="16">
        <f>IF(OR(D21="",Liegenschaft!$C$7=""),0,MAX(0,MIN(I21,Liegenschaft!$N$16)-MAX(H21,Liegenschaft!$M$16)+1)/DAY(Liegenschaft!$N$16)*Liegenschaft!$O$16)</f>
        <v/>
      </c>
      <c r="R21" s="16">
        <f>IF(OR(D21="",Liegenschaft!$C$7=""),0,MAX(0,MIN(I21,Liegenschaft!$N$17)-MAX(H21,Liegenschaft!$M$17)+1)/DAY(Liegenschaft!$N$17)*Liegenschaft!$O$17)</f>
        <v/>
      </c>
      <c r="S21" s="16">
        <f>IF(OR(D21="",Liegenschaft!$C$7=""),0,MAX(0,MIN(I21,Liegenschaft!$N$18)-MAX(H21,Liegenschaft!$M$18)+1)/DAY(Liegenschaft!$N$18)*Liegenschaft!$O$18)</f>
        <v/>
      </c>
      <c r="T21" s="16">
        <f>IF(OR(D21="",Liegenschaft!$C$7=""),0,MAX(0,MIN(I21,Liegenschaft!$N$19)-MAX(H21,Liegenschaft!$M$19)+1)/DAY(Liegenschaft!$N$19)*Liegenschaft!$O$19)</f>
        <v/>
      </c>
      <c r="U21" s="16">
        <f>IF(OR(D21="",Liegenschaft!$C$7=""),0,MAX(0,MIN(I21,Liegenschaft!$N$20)-MAX(H21,Liegenschaft!$M$20)+1)/DAY(Liegenschaft!$N$20)*Liegenschaft!$O$20)</f>
        <v/>
      </c>
      <c r="V21" s="16">
        <f>IF(OR(D21="",Liegenschaft!$C$7=""),0,MAX(0,MIN(I21,Liegenschaft!$N$21)-MAX(H21,Liegenschaft!$M$21)+1)/DAY(Liegenschaft!$N$21)*Liegenschaft!$O$21)</f>
        <v/>
      </c>
      <c r="W21" s="16">
        <f>IF(OR(D21="",Liegenschaft!$C$7=""),0,MAX(0,MIN(I21,Liegenschaft!$N$22)-MAX(H21,Liegenschaft!$M$22)+1)/DAY(Liegenschaft!$N$22)*Liegenschaft!$O$22)</f>
        <v/>
      </c>
      <c r="X21" s="16">
        <f>IF(OR(D21="",Liegenschaft!$C$7=""),0,MAX(0,MIN(I21,Liegenschaft!$N$23)-MAX(H21,Liegenschaft!$M$23)+1)/DAY(Liegenschaft!$N$23)*Liegenschaft!$O$23)</f>
        <v/>
      </c>
      <c r="Y21" s="16">
        <f>IF(OR(D21="",Liegenschaft!$C$7=""),0,MAX(0,MIN(I21,Liegenschaft!$N$24)-MAX(H21,Liegenschaft!$M$24)+1)/DAY(Liegenschaft!$N$24)*Liegenschaft!$O$24)</f>
        <v/>
      </c>
      <c r="Z21" s="16">
        <f>IF(OR(D21="",Liegenschaft!$C$7=""),0,MAX(0,MIN(I21,Liegenschaft!$N$25)-MAX(H21,Liegenschaft!$M$25)+1)/DAY(Liegenschaft!$N$25)*Liegenschaft!$O$25)</f>
        <v/>
      </c>
    </row>
    <row r="22">
      <c r="B22" s="22" t="n">
        <v>17</v>
      </c>
      <c r="C22" s="6" t="n"/>
      <c r="D22" s="6" t="n"/>
      <c r="E22" s="7" t="n"/>
      <c r="F22" s="7" t="n"/>
      <c r="G22" s="23" t="n"/>
      <c r="H22" s="24">
        <f>IF(D22="","",MAX(E22,Liegenschaft!$C$7))</f>
        <v/>
      </c>
      <c r="I22" s="24">
        <f>IF(D22="","",IF(F22="",Liegenschaft!$C$8,MIN(F22,Liegenschaft!$C$8)))</f>
        <v/>
      </c>
      <c r="J22" s="9">
        <f>IF(D22="",0,MAX(0,I22-H22+1))</f>
        <v/>
      </c>
      <c r="K22" s="25">
        <f>IF(OR(D22="",Liegenschaft!$C$9=""),0,J22/Liegenschaft!$C$9)</f>
        <v/>
      </c>
      <c r="L22" s="25">
        <f>IF(OR(D22="",Liegenschaft!$J$26=0),0,SUM(O22:Z22)/Liegenschaft!$J$26)</f>
        <v/>
      </c>
      <c r="M22" s="26">
        <f>IF(D22="","",IF(ISNA(MATCH(C22,Liegenschaft!$B$14:$B$25,0)),"⚠ Wohnung unbekannt",IF(J22=0,"⚠ nicht in Periode",IF(SUMPRODUCT(($C$6:$C$35=C22)*($D$6:$D$35&lt;&gt;"")*($J$6:$J$35&gt;0)*($H$6:$H$35&lt;=I22)*($I$6:$I$35&gt;=H22))&gt;1,"⚠ Überschneidung mit anderem Mieter","✓"))))</f>
        <v/>
      </c>
      <c r="O22" s="16">
        <f>IF(OR(D22="",Liegenschaft!$C$7=""),0,MAX(0,MIN(I22,Liegenschaft!$N$14)-MAX(H22,Liegenschaft!$M$14)+1)/DAY(Liegenschaft!$N$14)*Liegenschaft!$O$14)</f>
        <v/>
      </c>
      <c r="P22" s="16">
        <f>IF(OR(D22="",Liegenschaft!$C$7=""),0,MAX(0,MIN(I22,Liegenschaft!$N$15)-MAX(H22,Liegenschaft!$M$15)+1)/DAY(Liegenschaft!$N$15)*Liegenschaft!$O$15)</f>
        <v/>
      </c>
      <c r="Q22" s="16">
        <f>IF(OR(D22="",Liegenschaft!$C$7=""),0,MAX(0,MIN(I22,Liegenschaft!$N$16)-MAX(H22,Liegenschaft!$M$16)+1)/DAY(Liegenschaft!$N$16)*Liegenschaft!$O$16)</f>
        <v/>
      </c>
      <c r="R22" s="16">
        <f>IF(OR(D22="",Liegenschaft!$C$7=""),0,MAX(0,MIN(I22,Liegenschaft!$N$17)-MAX(H22,Liegenschaft!$M$17)+1)/DAY(Liegenschaft!$N$17)*Liegenschaft!$O$17)</f>
        <v/>
      </c>
      <c r="S22" s="16">
        <f>IF(OR(D22="",Liegenschaft!$C$7=""),0,MAX(0,MIN(I22,Liegenschaft!$N$18)-MAX(H22,Liegenschaft!$M$18)+1)/DAY(Liegenschaft!$N$18)*Liegenschaft!$O$18)</f>
        <v/>
      </c>
      <c r="T22" s="16">
        <f>IF(OR(D22="",Liegenschaft!$C$7=""),0,MAX(0,MIN(I22,Liegenschaft!$N$19)-MAX(H22,Liegenschaft!$M$19)+1)/DAY(Liegenschaft!$N$19)*Liegenschaft!$O$19)</f>
        <v/>
      </c>
      <c r="U22" s="16">
        <f>IF(OR(D22="",Liegenschaft!$C$7=""),0,MAX(0,MIN(I22,Liegenschaft!$N$20)-MAX(H22,Liegenschaft!$M$20)+1)/DAY(Liegenschaft!$N$20)*Liegenschaft!$O$20)</f>
        <v/>
      </c>
      <c r="V22" s="16">
        <f>IF(OR(D22="",Liegenschaft!$C$7=""),0,MAX(0,MIN(I22,Liegenschaft!$N$21)-MAX(H22,Liegenschaft!$M$21)+1)/DAY(Liegenschaft!$N$21)*Liegenschaft!$O$21)</f>
        <v/>
      </c>
      <c r="W22" s="16">
        <f>IF(OR(D22="",Liegenschaft!$C$7=""),0,MAX(0,MIN(I22,Liegenschaft!$N$22)-MAX(H22,Liegenschaft!$M$22)+1)/DAY(Liegenschaft!$N$22)*Liegenschaft!$O$22)</f>
        <v/>
      </c>
      <c r="X22" s="16">
        <f>IF(OR(D22="",Liegenschaft!$C$7=""),0,MAX(0,MIN(I22,Liegenschaft!$N$23)-MAX(H22,Liegenschaft!$M$23)+1)/DAY(Liegenschaft!$N$23)*Liegenschaft!$O$23)</f>
        <v/>
      </c>
      <c r="Y22" s="16">
        <f>IF(OR(D22="",Liegenschaft!$C$7=""),0,MAX(0,MIN(I22,Liegenschaft!$N$24)-MAX(H22,Liegenschaft!$M$24)+1)/DAY(Liegenschaft!$N$24)*Liegenschaft!$O$24)</f>
        <v/>
      </c>
      <c r="Z22" s="16">
        <f>IF(OR(D22="",Liegenschaft!$C$7=""),0,MAX(0,MIN(I22,Liegenschaft!$N$25)-MAX(H22,Liegenschaft!$M$25)+1)/DAY(Liegenschaft!$N$25)*Liegenschaft!$O$25)</f>
        <v/>
      </c>
    </row>
    <row r="23">
      <c r="B23" s="22" t="n">
        <v>18</v>
      </c>
      <c r="C23" s="6" t="n"/>
      <c r="D23" s="6" t="n"/>
      <c r="E23" s="7" t="n"/>
      <c r="F23" s="7" t="n"/>
      <c r="G23" s="23" t="n"/>
      <c r="H23" s="24">
        <f>IF(D23="","",MAX(E23,Liegenschaft!$C$7))</f>
        <v/>
      </c>
      <c r="I23" s="24">
        <f>IF(D23="","",IF(F23="",Liegenschaft!$C$8,MIN(F23,Liegenschaft!$C$8)))</f>
        <v/>
      </c>
      <c r="J23" s="9">
        <f>IF(D23="",0,MAX(0,I23-H23+1))</f>
        <v/>
      </c>
      <c r="K23" s="25">
        <f>IF(OR(D23="",Liegenschaft!$C$9=""),0,J23/Liegenschaft!$C$9)</f>
        <v/>
      </c>
      <c r="L23" s="25">
        <f>IF(OR(D23="",Liegenschaft!$J$26=0),0,SUM(O23:Z23)/Liegenschaft!$J$26)</f>
        <v/>
      </c>
      <c r="M23" s="26">
        <f>IF(D23="","",IF(ISNA(MATCH(C23,Liegenschaft!$B$14:$B$25,0)),"⚠ Wohnung unbekannt",IF(J23=0,"⚠ nicht in Periode",IF(SUMPRODUCT(($C$6:$C$35=C23)*($D$6:$D$35&lt;&gt;"")*($J$6:$J$35&gt;0)*($H$6:$H$35&lt;=I23)*($I$6:$I$35&gt;=H23))&gt;1,"⚠ Überschneidung mit anderem Mieter","✓"))))</f>
        <v/>
      </c>
      <c r="O23" s="16">
        <f>IF(OR(D23="",Liegenschaft!$C$7=""),0,MAX(0,MIN(I23,Liegenschaft!$N$14)-MAX(H23,Liegenschaft!$M$14)+1)/DAY(Liegenschaft!$N$14)*Liegenschaft!$O$14)</f>
        <v/>
      </c>
      <c r="P23" s="16">
        <f>IF(OR(D23="",Liegenschaft!$C$7=""),0,MAX(0,MIN(I23,Liegenschaft!$N$15)-MAX(H23,Liegenschaft!$M$15)+1)/DAY(Liegenschaft!$N$15)*Liegenschaft!$O$15)</f>
        <v/>
      </c>
      <c r="Q23" s="16">
        <f>IF(OR(D23="",Liegenschaft!$C$7=""),0,MAX(0,MIN(I23,Liegenschaft!$N$16)-MAX(H23,Liegenschaft!$M$16)+1)/DAY(Liegenschaft!$N$16)*Liegenschaft!$O$16)</f>
        <v/>
      </c>
      <c r="R23" s="16">
        <f>IF(OR(D23="",Liegenschaft!$C$7=""),0,MAX(0,MIN(I23,Liegenschaft!$N$17)-MAX(H23,Liegenschaft!$M$17)+1)/DAY(Liegenschaft!$N$17)*Liegenschaft!$O$17)</f>
        <v/>
      </c>
      <c r="S23" s="16">
        <f>IF(OR(D23="",Liegenschaft!$C$7=""),0,MAX(0,MIN(I23,Liegenschaft!$N$18)-MAX(H23,Liegenschaft!$M$18)+1)/DAY(Liegenschaft!$N$18)*Liegenschaft!$O$18)</f>
        <v/>
      </c>
      <c r="T23" s="16">
        <f>IF(OR(D23="",Liegenschaft!$C$7=""),0,MAX(0,MIN(I23,Liegenschaft!$N$19)-MAX(H23,Liegenschaft!$M$19)+1)/DAY(Liegenschaft!$N$19)*Liegenschaft!$O$19)</f>
        <v/>
      </c>
      <c r="U23" s="16">
        <f>IF(OR(D23="",Liegenschaft!$C$7=""),0,MAX(0,MIN(I23,Liegenschaft!$N$20)-MAX(H23,Liegenschaft!$M$20)+1)/DAY(Liegenschaft!$N$20)*Liegenschaft!$O$20)</f>
        <v/>
      </c>
      <c r="V23" s="16">
        <f>IF(OR(D23="",Liegenschaft!$C$7=""),0,MAX(0,MIN(I23,Liegenschaft!$N$21)-MAX(H23,Liegenschaft!$M$21)+1)/DAY(Liegenschaft!$N$21)*Liegenschaft!$O$21)</f>
        <v/>
      </c>
      <c r="W23" s="16">
        <f>IF(OR(D23="",Liegenschaft!$C$7=""),0,MAX(0,MIN(I23,Liegenschaft!$N$22)-MAX(H23,Liegenschaft!$M$22)+1)/DAY(Liegenschaft!$N$22)*Liegenschaft!$O$22)</f>
        <v/>
      </c>
      <c r="X23" s="16">
        <f>IF(OR(D23="",Liegenschaft!$C$7=""),0,MAX(0,MIN(I23,Liegenschaft!$N$23)-MAX(H23,Liegenschaft!$M$23)+1)/DAY(Liegenschaft!$N$23)*Liegenschaft!$O$23)</f>
        <v/>
      </c>
      <c r="Y23" s="16">
        <f>IF(OR(D23="",Liegenschaft!$C$7=""),0,MAX(0,MIN(I23,Liegenschaft!$N$24)-MAX(H23,Liegenschaft!$M$24)+1)/DAY(Liegenschaft!$N$24)*Liegenschaft!$O$24)</f>
        <v/>
      </c>
      <c r="Z23" s="16">
        <f>IF(OR(D23="",Liegenschaft!$C$7=""),0,MAX(0,MIN(I23,Liegenschaft!$N$25)-MAX(H23,Liegenschaft!$M$25)+1)/DAY(Liegenschaft!$N$25)*Liegenschaft!$O$25)</f>
        <v/>
      </c>
    </row>
    <row r="24">
      <c r="B24" s="22" t="n">
        <v>19</v>
      </c>
      <c r="C24" s="6" t="n"/>
      <c r="D24" s="6" t="n"/>
      <c r="E24" s="7" t="n"/>
      <c r="F24" s="7" t="n"/>
      <c r="G24" s="23" t="n"/>
      <c r="H24" s="24">
        <f>IF(D24="","",MAX(E24,Liegenschaft!$C$7))</f>
        <v/>
      </c>
      <c r="I24" s="24">
        <f>IF(D24="","",IF(F24="",Liegenschaft!$C$8,MIN(F24,Liegenschaft!$C$8)))</f>
        <v/>
      </c>
      <c r="J24" s="9">
        <f>IF(D24="",0,MAX(0,I24-H24+1))</f>
        <v/>
      </c>
      <c r="K24" s="25">
        <f>IF(OR(D24="",Liegenschaft!$C$9=""),0,J24/Liegenschaft!$C$9)</f>
        <v/>
      </c>
      <c r="L24" s="25">
        <f>IF(OR(D24="",Liegenschaft!$J$26=0),0,SUM(O24:Z24)/Liegenschaft!$J$26)</f>
        <v/>
      </c>
      <c r="M24" s="26">
        <f>IF(D24="","",IF(ISNA(MATCH(C24,Liegenschaft!$B$14:$B$25,0)),"⚠ Wohnung unbekannt",IF(J24=0,"⚠ nicht in Periode",IF(SUMPRODUCT(($C$6:$C$35=C24)*($D$6:$D$35&lt;&gt;"")*($J$6:$J$35&gt;0)*($H$6:$H$35&lt;=I24)*($I$6:$I$35&gt;=H24))&gt;1,"⚠ Überschneidung mit anderem Mieter","✓"))))</f>
        <v/>
      </c>
      <c r="O24" s="16">
        <f>IF(OR(D24="",Liegenschaft!$C$7=""),0,MAX(0,MIN(I24,Liegenschaft!$N$14)-MAX(H24,Liegenschaft!$M$14)+1)/DAY(Liegenschaft!$N$14)*Liegenschaft!$O$14)</f>
        <v/>
      </c>
      <c r="P24" s="16">
        <f>IF(OR(D24="",Liegenschaft!$C$7=""),0,MAX(0,MIN(I24,Liegenschaft!$N$15)-MAX(H24,Liegenschaft!$M$15)+1)/DAY(Liegenschaft!$N$15)*Liegenschaft!$O$15)</f>
        <v/>
      </c>
      <c r="Q24" s="16">
        <f>IF(OR(D24="",Liegenschaft!$C$7=""),0,MAX(0,MIN(I24,Liegenschaft!$N$16)-MAX(H24,Liegenschaft!$M$16)+1)/DAY(Liegenschaft!$N$16)*Liegenschaft!$O$16)</f>
        <v/>
      </c>
      <c r="R24" s="16">
        <f>IF(OR(D24="",Liegenschaft!$C$7=""),0,MAX(0,MIN(I24,Liegenschaft!$N$17)-MAX(H24,Liegenschaft!$M$17)+1)/DAY(Liegenschaft!$N$17)*Liegenschaft!$O$17)</f>
        <v/>
      </c>
      <c r="S24" s="16">
        <f>IF(OR(D24="",Liegenschaft!$C$7=""),0,MAX(0,MIN(I24,Liegenschaft!$N$18)-MAX(H24,Liegenschaft!$M$18)+1)/DAY(Liegenschaft!$N$18)*Liegenschaft!$O$18)</f>
        <v/>
      </c>
      <c r="T24" s="16">
        <f>IF(OR(D24="",Liegenschaft!$C$7=""),0,MAX(0,MIN(I24,Liegenschaft!$N$19)-MAX(H24,Liegenschaft!$M$19)+1)/DAY(Liegenschaft!$N$19)*Liegenschaft!$O$19)</f>
        <v/>
      </c>
      <c r="U24" s="16">
        <f>IF(OR(D24="",Liegenschaft!$C$7=""),0,MAX(0,MIN(I24,Liegenschaft!$N$20)-MAX(H24,Liegenschaft!$M$20)+1)/DAY(Liegenschaft!$N$20)*Liegenschaft!$O$20)</f>
        <v/>
      </c>
      <c r="V24" s="16">
        <f>IF(OR(D24="",Liegenschaft!$C$7=""),0,MAX(0,MIN(I24,Liegenschaft!$N$21)-MAX(H24,Liegenschaft!$M$21)+1)/DAY(Liegenschaft!$N$21)*Liegenschaft!$O$21)</f>
        <v/>
      </c>
      <c r="W24" s="16">
        <f>IF(OR(D24="",Liegenschaft!$C$7=""),0,MAX(0,MIN(I24,Liegenschaft!$N$22)-MAX(H24,Liegenschaft!$M$22)+1)/DAY(Liegenschaft!$N$22)*Liegenschaft!$O$22)</f>
        <v/>
      </c>
      <c r="X24" s="16">
        <f>IF(OR(D24="",Liegenschaft!$C$7=""),0,MAX(0,MIN(I24,Liegenschaft!$N$23)-MAX(H24,Liegenschaft!$M$23)+1)/DAY(Liegenschaft!$N$23)*Liegenschaft!$O$23)</f>
        <v/>
      </c>
      <c r="Y24" s="16">
        <f>IF(OR(D24="",Liegenschaft!$C$7=""),0,MAX(0,MIN(I24,Liegenschaft!$N$24)-MAX(H24,Liegenschaft!$M$24)+1)/DAY(Liegenschaft!$N$24)*Liegenschaft!$O$24)</f>
        <v/>
      </c>
      <c r="Z24" s="16">
        <f>IF(OR(D24="",Liegenschaft!$C$7=""),0,MAX(0,MIN(I24,Liegenschaft!$N$25)-MAX(H24,Liegenschaft!$M$25)+1)/DAY(Liegenschaft!$N$25)*Liegenschaft!$O$25)</f>
        <v/>
      </c>
    </row>
    <row r="25">
      <c r="B25" s="22" t="n">
        <v>20</v>
      </c>
      <c r="C25" s="6" t="n"/>
      <c r="D25" s="6" t="n"/>
      <c r="E25" s="7" t="n"/>
      <c r="F25" s="7" t="n"/>
      <c r="G25" s="23" t="n"/>
      <c r="H25" s="24">
        <f>IF(D25="","",MAX(E25,Liegenschaft!$C$7))</f>
        <v/>
      </c>
      <c r="I25" s="24">
        <f>IF(D25="","",IF(F25="",Liegenschaft!$C$8,MIN(F25,Liegenschaft!$C$8)))</f>
        <v/>
      </c>
      <c r="J25" s="9">
        <f>IF(D25="",0,MAX(0,I25-H25+1))</f>
        <v/>
      </c>
      <c r="K25" s="25">
        <f>IF(OR(D25="",Liegenschaft!$C$9=""),0,J25/Liegenschaft!$C$9)</f>
        <v/>
      </c>
      <c r="L25" s="25">
        <f>IF(OR(D25="",Liegenschaft!$J$26=0),0,SUM(O25:Z25)/Liegenschaft!$J$26)</f>
        <v/>
      </c>
      <c r="M25" s="26">
        <f>IF(D25="","",IF(ISNA(MATCH(C25,Liegenschaft!$B$14:$B$25,0)),"⚠ Wohnung unbekannt",IF(J25=0,"⚠ nicht in Periode",IF(SUMPRODUCT(($C$6:$C$35=C25)*($D$6:$D$35&lt;&gt;"")*($J$6:$J$35&gt;0)*($H$6:$H$35&lt;=I25)*($I$6:$I$35&gt;=H25))&gt;1,"⚠ Überschneidung mit anderem Mieter","✓"))))</f>
        <v/>
      </c>
      <c r="O25" s="16">
        <f>IF(OR(D25="",Liegenschaft!$C$7=""),0,MAX(0,MIN(I25,Liegenschaft!$N$14)-MAX(H25,Liegenschaft!$M$14)+1)/DAY(Liegenschaft!$N$14)*Liegenschaft!$O$14)</f>
        <v/>
      </c>
      <c r="P25" s="16">
        <f>IF(OR(D25="",Liegenschaft!$C$7=""),0,MAX(0,MIN(I25,Liegenschaft!$N$15)-MAX(H25,Liegenschaft!$M$15)+1)/DAY(Liegenschaft!$N$15)*Liegenschaft!$O$15)</f>
        <v/>
      </c>
      <c r="Q25" s="16">
        <f>IF(OR(D25="",Liegenschaft!$C$7=""),0,MAX(0,MIN(I25,Liegenschaft!$N$16)-MAX(H25,Liegenschaft!$M$16)+1)/DAY(Liegenschaft!$N$16)*Liegenschaft!$O$16)</f>
        <v/>
      </c>
      <c r="R25" s="16">
        <f>IF(OR(D25="",Liegenschaft!$C$7=""),0,MAX(0,MIN(I25,Liegenschaft!$N$17)-MAX(H25,Liegenschaft!$M$17)+1)/DAY(Liegenschaft!$N$17)*Liegenschaft!$O$17)</f>
        <v/>
      </c>
      <c r="S25" s="16">
        <f>IF(OR(D25="",Liegenschaft!$C$7=""),0,MAX(0,MIN(I25,Liegenschaft!$N$18)-MAX(H25,Liegenschaft!$M$18)+1)/DAY(Liegenschaft!$N$18)*Liegenschaft!$O$18)</f>
        <v/>
      </c>
      <c r="T25" s="16">
        <f>IF(OR(D25="",Liegenschaft!$C$7=""),0,MAX(0,MIN(I25,Liegenschaft!$N$19)-MAX(H25,Liegenschaft!$M$19)+1)/DAY(Liegenschaft!$N$19)*Liegenschaft!$O$19)</f>
        <v/>
      </c>
      <c r="U25" s="16">
        <f>IF(OR(D25="",Liegenschaft!$C$7=""),0,MAX(0,MIN(I25,Liegenschaft!$N$20)-MAX(H25,Liegenschaft!$M$20)+1)/DAY(Liegenschaft!$N$20)*Liegenschaft!$O$20)</f>
        <v/>
      </c>
      <c r="V25" s="16">
        <f>IF(OR(D25="",Liegenschaft!$C$7=""),0,MAX(0,MIN(I25,Liegenschaft!$N$21)-MAX(H25,Liegenschaft!$M$21)+1)/DAY(Liegenschaft!$N$21)*Liegenschaft!$O$21)</f>
        <v/>
      </c>
      <c r="W25" s="16">
        <f>IF(OR(D25="",Liegenschaft!$C$7=""),0,MAX(0,MIN(I25,Liegenschaft!$N$22)-MAX(H25,Liegenschaft!$M$22)+1)/DAY(Liegenschaft!$N$22)*Liegenschaft!$O$22)</f>
        <v/>
      </c>
      <c r="X25" s="16">
        <f>IF(OR(D25="",Liegenschaft!$C$7=""),0,MAX(0,MIN(I25,Liegenschaft!$N$23)-MAX(H25,Liegenschaft!$M$23)+1)/DAY(Liegenschaft!$N$23)*Liegenschaft!$O$23)</f>
        <v/>
      </c>
      <c r="Y25" s="16">
        <f>IF(OR(D25="",Liegenschaft!$C$7=""),0,MAX(0,MIN(I25,Liegenschaft!$N$24)-MAX(H25,Liegenschaft!$M$24)+1)/DAY(Liegenschaft!$N$24)*Liegenschaft!$O$24)</f>
        <v/>
      </c>
      <c r="Z25" s="16">
        <f>IF(OR(D25="",Liegenschaft!$C$7=""),0,MAX(0,MIN(I25,Liegenschaft!$N$25)-MAX(H25,Liegenschaft!$M$25)+1)/DAY(Liegenschaft!$N$25)*Liegenschaft!$O$25)</f>
        <v/>
      </c>
    </row>
    <row r="26">
      <c r="B26" s="22" t="n">
        <v>21</v>
      </c>
      <c r="C26" s="6" t="n"/>
      <c r="D26" s="6" t="n"/>
      <c r="E26" s="7" t="n"/>
      <c r="F26" s="7" t="n"/>
      <c r="G26" s="23" t="n"/>
      <c r="H26" s="24">
        <f>IF(D26="","",MAX(E26,Liegenschaft!$C$7))</f>
        <v/>
      </c>
      <c r="I26" s="24">
        <f>IF(D26="","",IF(F26="",Liegenschaft!$C$8,MIN(F26,Liegenschaft!$C$8)))</f>
        <v/>
      </c>
      <c r="J26" s="9">
        <f>IF(D26="",0,MAX(0,I26-H26+1))</f>
        <v/>
      </c>
      <c r="K26" s="25">
        <f>IF(OR(D26="",Liegenschaft!$C$9=""),0,J26/Liegenschaft!$C$9)</f>
        <v/>
      </c>
      <c r="L26" s="25">
        <f>IF(OR(D26="",Liegenschaft!$J$26=0),0,SUM(O26:Z26)/Liegenschaft!$J$26)</f>
        <v/>
      </c>
      <c r="M26" s="26">
        <f>IF(D26="","",IF(ISNA(MATCH(C26,Liegenschaft!$B$14:$B$25,0)),"⚠ Wohnung unbekannt",IF(J26=0,"⚠ nicht in Periode",IF(SUMPRODUCT(($C$6:$C$35=C26)*($D$6:$D$35&lt;&gt;"")*($J$6:$J$35&gt;0)*($H$6:$H$35&lt;=I26)*($I$6:$I$35&gt;=H26))&gt;1,"⚠ Überschneidung mit anderem Mieter","✓"))))</f>
        <v/>
      </c>
      <c r="O26" s="16">
        <f>IF(OR(D26="",Liegenschaft!$C$7=""),0,MAX(0,MIN(I26,Liegenschaft!$N$14)-MAX(H26,Liegenschaft!$M$14)+1)/DAY(Liegenschaft!$N$14)*Liegenschaft!$O$14)</f>
        <v/>
      </c>
      <c r="P26" s="16">
        <f>IF(OR(D26="",Liegenschaft!$C$7=""),0,MAX(0,MIN(I26,Liegenschaft!$N$15)-MAX(H26,Liegenschaft!$M$15)+1)/DAY(Liegenschaft!$N$15)*Liegenschaft!$O$15)</f>
        <v/>
      </c>
      <c r="Q26" s="16">
        <f>IF(OR(D26="",Liegenschaft!$C$7=""),0,MAX(0,MIN(I26,Liegenschaft!$N$16)-MAX(H26,Liegenschaft!$M$16)+1)/DAY(Liegenschaft!$N$16)*Liegenschaft!$O$16)</f>
        <v/>
      </c>
      <c r="R26" s="16">
        <f>IF(OR(D26="",Liegenschaft!$C$7=""),0,MAX(0,MIN(I26,Liegenschaft!$N$17)-MAX(H26,Liegenschaft!$M$17)+1)/DAY(Liegenschaft!$N$17)*Liegenschaft!$O$17)</f>
        <v/>
      </c>
      <c r="S26" s="16">
        <f>IF(OR(D26="",Liegenschaft!$C$7=""),0,MAX(0,MIN(I26,Liegenschaft!$N$18)-MAX(H26,Liegenschaft!$M$18)+1)/DAY(Liegenschaft!$N$18)*Liegenschaft!$O$18)</f>
        <v/>
      </c>
      <c r="T26" s="16">
        <f>IF(OR(D26="",Liegenschaft!$C$7=""),0,MAX(0,MIN(I26,Liegenschaft!$N$19)-MAX(H26,Liegenschaft!$M$19)+1)/DAY(Liegenschaft!$N$19)*Liegenschaft!$O$19)</f>
        <v/>
      </c>
      <c r="U26" s="16">
        <f>IF(OR(D26="",Liegenschaft!$C$7=""),0,MAX(0,MIN(I26,Liegenschaft!$N$20)-MAX(H26,Liegenschaft!$M$20)+1)/DAY(Liegenschaft!$N$20)*Liegenschaft!$O$20)</f>
        <v/>
      </c>
      <c r="V26" s="16">
        <f>IF(OR(D26="",Liegenschaft!$C$7=""),0,MAX(0,MIN(I26,Liegenschaft!$N$21)-MAX(H26,Liegenschaft!$M$21)+1)/DAY(Liegenschaft!$N$21)*Liegenschaft!$O$21)</f>
        <v/>
      </c>
      <c r="W26" s="16">
        <f>IF(OR(D26="",Liegenschaft!$C$7=""),0,MAX(0,MIN(I26,Liegenschaft!$N$22)-MAX(H26,Liegenschaft!$M$22)+1)/DAY(Liegenschaft!$N$22)*Liegenschaft!$O$22)</f>
        <v/>
      </c>
      <c r="X26" s="16">
        <f>IF(OR(D26="",Liegenschaft!$C$7=""),0,MAX(0,MIN(I26,Liegenschaft!$N$23)-MAX(H26,Liegenschaft!$M$23)+1)/DAY(Liegenschaft!$N$23)*Liegenschaft!$O$23)</f>
        <v/>
      </c>
      <c r="Y26" s="16">
        <f>IF(OR(D26="",Liegenschaft!$C$7=""),0,MAX(0,MIN(I26,Liegenschaft!$N$24)-MAX(H26,Liegenschaft!$M$24)+1)/DAY(Liegenschaft!$N$24)*Liegenschaft!$O$24)</f>
        <v/>
      </c>
      <c r="Z26" s="16">
        <f>IF(OR(D26="",Liegenschaft!$C$7=""),0,MAX(0,MIN(I26,Liegenschaft!$N$25)-MAX(H26,Liegenschaft!$M$25)+1)/DAY(Liegenschaft!$N$25)*Liegenschaft!$O$25)</f>
        <v/>
      </c>
    </row>
    <row r="27">
      <c r="B27" s="22" t="n">
        <v>22</v>
      </c>
      <c r="C27" s="6" t="n"/>
      <c r="D27" s="6" t="n"/>
      <c r="E27" s="7" t="n"/>
      <c r="F27" s="7" t="n"/>
      <c r="G27" s="23" t="n"/>
      <c r="H27" s="24">
        <f>IF(D27="","",MAX(E27,Liegenschaft!$C$7))</f>
        <v/>
      </c>
      <c r="I27" s="24">
        <f>IF(D27="","",IF(F27="",Liegenschaft!$C$8,MIN(F27,Liegenschaft!$C$8)))</f>
        <v/>
      </c>
      <c r="J27" s="9">
        <f>IF(D27="",0,MAX(0,I27-H27+1))</f>
        <v/>
      </c>
      <c r="K27" s="25">
        <f>IF(OR(D27="",Liegenschaft!$C$9=""),0,J27/Liegenschaft!$C$9)</f>
        <v/>
      </c>
      <c r="L27" s="25">
        <f>IF(OR(D27="",Liegenschaft!$J$26=0),0,SUM(O27:Z27)/Liegenschaft!$J$26)</f>
        <v/>
      </c>
      <c r="M27" s="26">
        <f>IF(D27="","",IF(ISNA(MATCH(C27,Liegenschaft!$B$14:$B$25,0)),"⚠ Wohnung unbekannt",IF(J27=0,"⚠ nicht in Periode",IF(SUMPRODUCT(($C$6:$C$35=C27)*($D$6:$D$35&lt;&gt;"")*($J$6:$J$35&gt;0)*($H$6:$H$35&lt;=I27)*($I$6:$I$35&gt;=H27))&gt;1,"⚠ Überschneidung mit anderem Mieter","✓"))))</f>
        <v/>
      </c>
      <c r="O27" s="16">
        <f>IF(OR(D27="",Liegenschaft!$C$7=""),0,MAX(0,MIN(I27,Liegenschaft!$N$14)-MAX(H27,Liegenschaft!$M$14)+1)/DAY(Liegenschaft!$N$14)*Liegenschaft!$O$14)</f>
        <v/>
      </c>
      <c r="P27" s="16">
        <f>IF(OR(D27="",Liegenschaft!$C$7=""),0,MAX(0,MIN(I27,Liegenschaft!$N$15)-MAX(H27,Liegenschaft!$M$15)+1)/DAY(Liegenschaft!$N$15)*Liegenschaft!$O$15)</f>
        <v/>
      </c>
      <c r="Q27" s="16">
        <f>IF(OR(D27="",Liegenschaft!$C$7=""),0,MAX(0,MIN(I27,Liegenschaft!$N$16)-MAX(H27,Liegenschaft!$M$16)+1)/DAY(Liegenschaft!$N$16)*Liegenschaft!$O$16)</f>
        <v/>
      </c>
      <c r="R27" s="16">
        <f>IF(OR(D27="",Liegenschaft!$C$7=""),0,MAX(0,MIN(I27,Liegenschaft!$N$17)-MAX(H27,Liegenschaft!$M$17)+1)/DAY(Liegenschaft!$N$17)*Liegenschaft!$O$17)</f>
        <v/>
      </c>
      <c r="S27" s="16">
        <f>IF(OR(D27="",Liegenschaft!$C$7=""),0,MAX(0,MIN(I27,Liegenschaft!$N$18)-MAX(H27,Liegenschaft!$M$18)+1)/DAY(Liegenschaft!$N$18)*Liegenschaft!$O$18)</f>
        <v/>
      </c>
      <c r="T27" s="16">
        <f>IF(OR(D27="",Liegenschaft!$C$7=""),0,MAX(0,MIN(I27,Liegenschaft!$N$19)-MAX(H27,Liegenschaft!$M$19)+1)/DAY(Liegenschaft!$N$19)*Liegenschaft!$O$19)</f>
        <v/>
      </c>
      <c r="U27" s="16">
        <f>IF(OR(D27="",Liegenschaft!$C$7=""),0,MAX(0,MIN(I27,Liegenschaft!$N$20)-MAX(H27,Liegenschaft!$M$20)+1)/DAY(Liegenschaft!$N$20)*Liegenschaft!$O$20)</f>
        <v/>
      </c>
      <c r="V27" s="16">
        <f>IF(OR(D27="",Liegenschaft!$C$7=""),0,MAX(0,MIN(I27,Liegenschaft!$N$21)-MAX(H27,Liegenschaft!$M$21)+1)/DAY(Liegenschaft!$N$21)*Liegenschaft!$O$21)</f>
        <v/>
      </c>
      <c r="W27" s="16">
        <f>IF(OR(D27="",Liegenschaft!$C$7=""),0,MAX(0,MIN(I27,Liegenschaft!$N$22)-MAX(H27,Liegenschaft!$M$22)+1)/DAY(Liegenschaft!$N$22)*Liegenschaft!$O$22)</f>
        <v/>
      </c>
      <c r="X27" s="16">
        <f>IF(OR(D27="",Liegenschaft!$C$7=""),0,MAX(0,MIN(I27,Liegenschaft!$N$23)-MAX(H27,Liegenschaft!$M$23)+1)/DAY(Liegenschaft!$N$23)*Liegenschaft!$O$23)</f>
        <v/>
      </c>
      <c r="Y27" s="16">
        <f>IF(OR(D27="",Liegenschaft!$C$7=""),0,MAX(0,MIN(I27,Liegenschaft!$N$24)-MAX(H27,Liegenschaft!$M$24)+1)/DAY(Liegenschaft!$N$24)*Liegenschaft!$O$24)</f>
        <v/>
      </c>
      <c r="Z27" s="16">
        <f>IF(OR(D27="",Liegenschaft!$C$7=""),0,MAX(0,MIN(I27,Liegenschaft!$N$25)-MAX(H27,Liegenschaft!$M$25)+1)/DAY(Liegenschaft!$N$25)*Liegenschaft!$O$25)</f>
        <v/>
      </c>
    </row>
    <row r="28">
      <c r="B28" s="22" t="n">
        <v>23</v>
      </c>
      <c r="C28" s="6" t="n"/>
      <c r="D28" s="6" t="n"/>
      <c r="E28" s="7" t="n"/>
      <c r="F28" s="7" t="n"/>
      <c r="G28" s="23" t="n"/>
      <c r="H28" s="24">
        <f>IF(D28="","",MAX(E28,Liegenschaft!$C$7))</f>
        <v/>
      </c>
      <c r="I28" s="24">
        <f>IF(D28="","",IF(F28="",Liegenschaft!$C$8,MIN(F28,Liegenschaft!$C$8)))</f>
        <v/>
      </c>
      <c r="J28" s="9">
        <f>IF(D28="",0,MAX(0,I28-H28+1))</f>
        <v/>
      </c>
      <c r="K28" s="25">
        <f>IF(OR(D28="",Liegenschaft!$C$9=""),0,J28/Liegenschaft!$C$9)</f>
        <v/>
      </c>
      <c r="L28" s="25">
        <f>IF(OR(D28="",Liegenschaft!$J$26=0),0,SUM(O28:Z28)/Liegenschaft!$J$26)</f>
        <v/>
      </c>
      <c r="M28" s="26">
        <f>IF(D28="","",IF(ISNA(MATCH(C28,Liegenschaft!$B$14:$B$25,0)),"⚠ Wohnung unbekannt",IF(J28=0,"⚠ nicht in Periode",IF(SUMPRODUCT(($C$6:$C$35=C28)*($D$6:$D$35&lt;&gt;"")*($J$6:$J$35&gt;0)*($H$6:$H$35&lt;=I28)*($I$6:$I$35&gt;=H28))&gt;1,"⚠ Überschneidung mit anderem Mieter","✓"))))</f>
        <v/>
      </c>
      <c r="O28" s="16">
        <f>IF(OR(D28="",Liegenschaft!$C$7=""),0,MAX(0,MIN(I28,Liegenschaft!$N$14)-MAX(H28,Liegenschaft!$M$14)+1)/DAY(Liegenschaft!$N$14)*Liegenschaft!$O$14)</f>
        <v/>
      </c>
      <c r="P28" s="16">
        <f>IF(OR(D28="",Liegenschaft!$C$7=""),0,MAX(0,MIN(I28,Liegenschaft!$N$15)-MAX(H28,Liegenschaft!$M$15)+1)/DAY(Liegenschaft!$N$15)*Liegenschaft!$O$15)</f>
        <v/>
      </c>
      <c r="Q28" s="16">
        <f>IF(OR(D28="",Liegenschaft!$C$7=""),0,MAX(0,MIN(I28,Liegenschaft!$N$16)-MAX(H28,Liegenschaft!$M$16)+1)/DAY(Liegenschaft!$N$16)*Liegenschaft!$O$16)</f>
        <v/>
      </c>
      <c r="R28" s="16">
        <f>IF(OR(D28="",Liegenschaft!$C$7=""),0,MAX(0,MIN(I28,Liegenschaft!$N$17)-MAX(H28,Liegenschaft!$M$17)+1)/DAY(Liegenschaft!$N$17)*Liegenschaft!$O$17)</f>
        <v/>
      </c>
      <c r="S28" s="16">
        <f>IF(OR(D28="",Liegenschaft!$C$7=""),0,MAX(0,MIN(I28,Liegenschaft!$N$18)-MAX(H28,Liegenschaft!$M$18)+1)/DAY(Liegenschaft!$N$18)*Liegenschaft!$O$18)</f>
        <v/>
      </c>
      <c r="T28" s="16">
        <f>IF(OR(D28="",Liegenschaft!$C$7=""),0,MAX(0,MIN(I28,Liegenschaft!$N$19)-MAX(H28,Liegenschaft!$M$19)+1)/DAY(Liegenschaft!$N$19)*Liegenschaft!$O$19)</f>
        <v/>
      </c>
      <c r="U28" s="16">
        <f>IF(OR(D28="",Liegenschaft!$C$7=""),0,MAX(0,MIN(I28,Liegenschaft!$N$20)-MAX(H28,Liegenschaft!$M$20)+1)/DAY(Liegenschaft!$N$20)*Liegenschaft!$O$20)</f>
        <v/>
      </c>
      <c r="V28" s="16">
        <f>IF(OR(D28="",Liegenschaft!$C$7=""),0,MAX(0,MIN(I28,Liegenschaft!$N$21)-MAX(H28,Liegenschaft!$M$21)+1)/DAY(Liegenschaft!$N$21)*Liegenschaft!$O$21)</f>
        <v/>
      </c>
      <c r="W28" s="16">
        <f>IF(OR(D28="",Liegenschaft!$C$7=""),0,MAX(0,MIN(I28,Liegenschaft!$N$22)-MAX(H28,Liegenschaft!$M$22)+1)/DAY(Liegenschaft!$N$22)*Liegenschaft!$O$22)</f>
        <v/>
      </c>
      <c r="X28" s="16">
        <f>IF(OR(D28="",Liegenschaft!$C$7=""),0,MAX(0,MIN(I28,Liegenschaft!$N$23)-MAX(H28,Liegenschaft!$M$23)+1)/DAY(Liegenschaft!$N$23)*Liegenschaft!$O$23)</f>
        <v/>
      </c>
      <c r="Y28" s="16">
        <f>IF(OR(D28="",Liegenschaft!$C$7=""),0,MAX(0,MIN(I28,Liegenschaft!$N$24)-MAX(H28,Liegenschaft!$M$24)+1)/DAY(Liegenschaft!$N$24)*Liegenschaft!$O$24)</f>
        <v/>
      </c>
      <c r="Z28" s="16">
        <f>IF(OR(D28="",Liegenschaft!$C$7=""),0,MAX(0,MIN(I28,Liegenschaft!$N$25)-MAX(H28,Liegenschaft!$M$25)+1)/DAY(Liegenschaft!$N$25)*Liegenschaft!$O$25)</f>
        <v/>
      </c>
    </row>
    <row r="29">
      <c r="B29" s="22" t="n">
        <v>24</v>
      </c>
      <c r="C29" s="6" t="n"/>
      <c r="D29" s="6" t="n"/>
      <c r="E29" s="7" t="n"/>
      <c r="F29" s="7" t="n"/>
      <c r="G29" s="23" t="n"/>
      <c r="H29" s="24">
        <f>IF(D29="","",MAX(E29,Liegenschaft!$C$7))</f>
        <v/>
      </c>
      <c r="I29" s="24">
        <f>IF(D29="","",IF(F29="",Liegenschaft!$C$8,MIN(F29,Liegenschaft!$C$8)))</f>
        <v/>
      </c>
      <c r="J29" s="9">
        <f>IF(D29="",0,MAX(0,I29-H29+1))</f>
        <v/>
      </c>
      <c r="K29" s="25">
        <f>IF(OR(D29="",Liegenschaft!$C$9=""),0,J29/Liegenschaft!$C$9)</f>
        <v/>
      </c>
      <c r="L29" s="25">
        <f>IF(OR(D29="",Liegenschaft!$J$26=0),0,SUM(O29:Z29)/Liegenschaft!$J$26)</f>
        <v/>
      </c>
      <c r="M29" s="26">
        <f>IF(D29="","",IF(ISNA(MATCH(C29,Liegenschaft!$B$14:$B$25,0)),"⚠ Wohnung unbekannt",IF(J29=0,"⚠ nicht in Periode",IF(SUMPRODUCT(($C$6:$C$35=C29)*($D$6:$D$35&lt;&gt;"")*($J$6:$J$35&gt;0)*($H$6:$H$35&lt;=I29)*($I$6:$I$35&gt;=H29))&gt;1,"⚠ Überschneidung mit anderem Mieter","✓"))))</f>
        <v/>
      </c>
      <c r="O29" s="16">
        <f>IF(OR(D29="",Liegenschaft!$C$7=""),0,MAX(0,MIN(I29,Liegenschaft!$N$14)-MAX(H29,Liegenschaft!$M$14)+1)/DAY(Liegenschaft!$N$14)*Liegenschaft!$O$14)</f>
        <v/>
      </c>
      <c r="P29" s="16">
        <f>IF(OR(D29="",Liegenschaft!$C$7=""),0,MAX(0,MIN(I29,Liegenschaft!$N$15)-MAX(H29,Liegenschaft!$M$15)+1)/DAY(Liegenschaft!$N$15)*Liegenschaft!$O$15)</f>
        <v/>
      </c>
      <c r="Q29" s="16">
        <f>IF(OR(D29="",Liegenschaft!$C$7=""),0,MAX(0,MIN(I29,Liegenschaft!$N$16)-MAX(H29,Liegenschaft!$M$16)+1)/DAY(Liegenschaft!$N$16)*Liegenschaft!$O$16)</f>
        <v/>
      </c>
      <c r="R29" s="16">
        <f>IF(OR(D29="",Liegenschaft!$C$7=""),0,MAX(0,MIN(I29,Liegenschaft!$N$17)-MAX(H29,Liegenschaft!$M$17)+1)/DAY(Liegenschaft!$N$17)*Liegenschaft!$O$17)</f>
        <v/>
      </c>
      <c r="S29" s="16">
        <f>IF(OR(D29="",Liegenschaft!$C$7=""),0,MAX(0,MIN(I29,Liegenschaft!$N$18)-MAX(H29,Liegenschaft!$M$18)+1)/DAY(Liegenschaft!$N$18)*Liegenschaft!$O$18)</f>
        <v/>
      </c>
      <c r="T29" s="16">
        <f>IF(OR(D29="",Liegenschaft!$C$7=""),0,MAX(0,MIN(I29,Liegenschaft!$N$19)-MAX(H29,Liegenschaft!$M$19)+1)/DAY(Liegenschaft!$N$19)*Liegenschaft!$O$19)</f>
        <v/>
      </c>
      <c r="U29" s="16">
        <f>IF(OR(D29="",Liegenschaft!$C$7=""),0,MAX(0,MIN(I29,Liegenschaft!$N$20)-MAX(H29,Liegenschaft!$M$20)+1)/DAY(Liegenschaft!$N$20)*Liegenschaft!$O$20)</f>
        <v/>
      </c>
      <c r="V29" s="16">
        <f>IF(OR(D29="",Liegenschaft!$C$7=""),0,MAX(0,MIN(I29,Liegenschaft!$N$21)-MAX(H29,Liegenschaft!$M$21)+1)/DAY(Liegenschaft!$N$21)*Liegenschaft!$O$21)</f>
        <v/>
      </c>
      <c r="W29" s="16">
        <f>IF(OR(D29="",Liegenschaft!$C$7=""),0,MAX(0,MIN(I29,Liegenschaft!$N$22)-MAX(H29,Liegenschaft!$M$22)+1)/DAY(Liegenschaft!$N$22)*Liegenschaft!$O$22)</f>
        <v/>
      </c>
      <c r="X29" s="16">
        <f>IF(OR(D29="",Liegenschaft!$C$7=""),0,MAX(0,MIN(I29,Liegenschaft!$N$23)-MAX(H29,Liegenschaft!$M$23)+1)/DAY(Liegenschaft!$N$23)*Liegenschaft!$O$23)</f>
        <v/>
      </c>
      <c r="Y29" s="16">
        <f>IF(OR(D29="",Liegenschaft!$C$7=""),0,MAX(0,MIN(I29,Liegenschaft!$N$24)-MAX(H29,Liegenschaft!$M$24)+1)/DAY(Liegenschaft!$N$24)*Liegenschaft!$O$24)</f>
        <v/>
      </c>
      <c r="Z29" s="16">
        <f>IF(OR(D29="",Liegenschaft!$C$7=""),0,MAX(0,MIN(I29,Liegenschaft!$N$25)-MAX(H29,Liegenschaft!$M$25)+1)/DAY(Liegenschaft!$N$25)*Liegenschaft!$O$25)</f>
        <v/>
      </c>
    </row>
    <row r="30">
      <c r="B30" s="22" t="n">
        <v>25</v>
      </c>
      <c r="C30" s="6" t="n"/>
      <c r="D30" s="6" t="n"/>
      <c r="E30" s="7" t="n"/>
      <c r="F30" s="7" t="n"/>
      <c r="G30" s="23" t="n"/>
      <c r="H30" s="24">
        <f>IF(D30="","",MAX(E30,Liegenschaft!$C$7))</f>
        <v/>
      </c>
      <c r="I30" s="24">
        <f>IF(D30="","",IF(F30="",Liegenschaft!$C$8,MIN(F30,Liegenschaft!$C$8)))</f>
        <v/>
      </c>
      <c r="J30" s="9">
        <f>IF(D30="",0,MAX(0,I30-H30+1))</f>
        <v/>
      </c>
      <c r="K30" s="25">
        <f>IF(OR(D30="",Liegenschaft!$C$9=""),0,J30/Liegenschaft!$C$9)</f>
        <v/>
      </c>
      <c r="L30" s="25">
        <f>IF(OR(D30="",Liegenschaft!$J$26=0),0,SUM(O30:Z30)/Liegenschaft!$J$26)</f>
        <v/>
      </c>
      <c r="M30" s="26">
        <f>IF(D30="","",IF(ISNA(MATCH(C30,Liegenschaft!$B$14:$B$25,0)),"⚠ Wohnung unbekannt",IF(J30=0,"⚠ nicht in Periode",IF(SUMPRODUCT(($C$6:$C$35=C30)*($D$6:$D$35&lt;&gt;"")*($J$6:$J$35&gt;0)*($H$6:$H$35&lt;=I30)*($I$6:$I$35&gt;=H30))&gt;1,"⚠ Überschneidung mit anderem Mieter","✓"))))</f>
        <v/>
      </c>
      <c r="O30" s="16">
        <f>IF(OR(D30="",Liegenschaft!$C$7=""),0,MAX(0,MIN(I30,Liegenschaft!$N$14)-MAX(H30,Liegenschaft!$M$14)+1)/DAY(Liegenschaft!$N$14)*Liegenschaft!$O$14)</f>
        <v/>
      </c>
      <c r="P30" s="16">
        <f>IF(OR(D30="",Liegenschaft!$C$7=""),0,MAX(0,MIN(I30,Liegenschaft!$N$15)-MAX(H30,Liegenschaft!$M$15)+1)/DAY(Liegenschaft!$N$15)*Liegenschaft!$O$15)</f>
        <v/>
      </c>
      <c r="Q30" s="16">
        <f>IF(OR(D30="",Liegenschaft!$C$7=""),0,MAX(0,MIN(I30,Liegenschaft!$N$16)-MAX(H30,Liegenschaft!$M$16)+1)/DAY(Liegenschaft!$N$16)*Liegenschaft!$O$16)</f>
        <v/>
      </c>
      <c r="R30" s="16">
        <f>IF(OR(D30="",Liegenschaft!$C$7=""),0,MAX(0,MIN(I30,Liegenschaft!$N$17)-MAX(H30,Liegenschaft!$M$17)+1)/DAY(Liegenschaft!$N$17)*Liegenschaft!$O$17)</f>
        <v/>
      </c>
      <c r="S30" s="16">
        <f>IF(OR(D30="",Liegenschaft!$C$7=""),0,MAX(0,MIN(I30,Liegenschaft!$N$18)-MAX(H30,Liegenschaft!$M$18)+1)/DAY(Liegenschaft!$N$18)*Liegenschaft!$O$18)</f>
        <v/>
      </c>
      <c r="T30" s="16">
        <f>IF(OR(D30="",Liegenschaft!$C$7=""),0,MAX(0,MIN(I30,Liegenschaft!$N$19)-MAX(H30,Liegenschaft!$M$19)+1)/DAY(Liegenschaft!$N$19)*Liegenschaft!$O$19)</f>
        <v/>
      </c>
      <c r="U30" s="16">
        <f>IF(OR(D30="",Liegenschaft!$C$7=""),0,MAX(0,MIN(I30,Liegenschaft!$N$20)-MAX(H30,Liegenschaft!$M$20)+1)/DAY(Liegenschaft!$N$20)*Liegenschaft!$O$20)</f>
        <v/>
      </c>
      <c r="V30" s="16">
        <f>IF(OR(D30="",Liegenschaft!$C$7=""),0,MAX(0,MIN(I30,Liegenschaft!$N$21)-MAX(H30,Liegenschaft!$M$21)+1)/DAY(Liegenschaft!$N$21)*Liegenschaft!$O$21)</f>
        <v/>
      </c>
      <c r="W30" s="16">
        <f>IF(OR(D30="",Liegenschaft!$C$7=""),0,MAX(0,MIN(I30,Liegenschaft!$N$22)-MAX(H30,Liegenschaft!$M$22)+1)/DAY(Liegenschaft!$N$22)*Liegenschaft!$O$22)</f>
        <v/>
      </c>
      <c r="X30" s="16">
        <f>IF(OR(D30="",Liegenschaft!$C$7=""),0,MAX(0,MIN(I30,Liegenschaft!$N$23)-MAX(H30,Liegenschaft!$M$23)+1)/DAY(Liegenschaft!$N$23)*Liegenschaft!$O$23)</f>
        <v/>
      </c>
      <c r="Y30" s="16">
        <f>IF(OR(D30="",Liegenschaft!$C$7=""),0,MAX(0,MIN(I30,Liegenschaft!$N$24)-MAX(H30,Liegenschaft!$M$24)+1)/DAY(Liegenschaft!$N$24)*Liegenschaft!$O$24)</f>
        <v/>
      </c>
      <c r="Z30" s="16">
        <f>IF(OR(D30="",Liegenschaft!$C$7=""),0,MAX(0,MIN(I30,Liegenschaft!$N$25)-MAX(H30,Liegenschaft!$M$25)+1)/DAY(Liegenschaft!$N$25)*Liegenschaft!$O$25)</f>
        <v/>
      </c>
    </row>
    <row r="31">
      <c r="B31" s="22" t="n">
        <v>26</v>
      </c>
      <c r="C31" s="6" t="n"/>
      <c r="D31" s="6" t="n"/>
      <c r="E31" s="7" t="n"/>
      <c r="F31" s="7" t="n"/>
      <c r="G31" s="23" t="n"/>
      <c r="H31" s="24">
        <f>IF(D31="","",MAX(E31,Liegenschaft!$C$7))</f>
        <v/>
      </c>
      <c r="I31" s="24">
        <f>IF(D31="","",IF(F31="",Liegenschaft!$C$8,MIN(F31,Liegenschaft!$C$8)))</f>
        <v/>
      </c>
      <c r="J31" s="9">
        <f>IF(D31="",0,MAX(0,I31-H31+1))</f>
        <v/>
      </c>
      <c r="K31" s="25">
        <f>IF(OR(D31="",Liegenschaft!$C$9=""),0,J31/Liegenschaft!$C$9)</f>
        <v/>
      </c>
      <c r="L31" s="25">
        <f>IF(OR(D31="",Liegenschaft!$J$26=0),0,SUM(O31:Z31)/Liegenschaft!$J$26)</f>
        <v/>
      </c>
      <c r="M31" s="26">
        <f>IF(D31="","",IF(ISNA(MATCH(C31,Liegenschaft!$B$14:$B$25,0)),"⚠ Wohnung unbekannt",IF(J31=0,"⚠ nicht in Periode",IF(SUMPRODUCT(($C$6:$C$35=C31)*($D$6:$D$35&lt;&gt;"")*($J$6:$J$35&gt;0)*($H$6:$H$35&lt;=I31)*($I$6:$I$35&gt;=H31))&gt;1,"⚠ Überschneidung mit anderem Mieter","✓"))))</f>
        <v/>
      </c>
      <c r="O31" s="16">
        <f>IF(OR(D31="",Liegenschaft!$C$7=""),0,MAX(0,MIN(I31,Liegenschaft!$N$14)-MAX(H31,Liegenschaft!$M$14)+1)/DAY(Liegenschaft!$N$14)*Liegenschaft!$O$14)</f>
        <v/>
      </c>
      <c r="P31" s="16">
        <f>IF(OR(D31="",Liegenschaft!$C$7=""),0,MAX(0,MIN(I31,Liegenschaft!$N$15)-MAX(H31,Liegenschaft!$M$15)+1)/DAY(Liegenschaft!$N$15)*Liegenschaft!$O$15)</f>
        <v/>
      </c>
      <c r="Q31" s="16">
        <f>IF(OR(D31="",Liegenschaft!$C$7=""),0,MAX(0,MIN(I31,Liegenschaft!$N$16)-MAX(H31,Liegenschaft!$M$16)+1)/DAY(Liegenschaft!$N$16)*Liegenschaft!$O$16)</f>
        <v/>
      </c>
      <c r="R31" s="16">
        <f>IF(OR(D31="",Liegenschaft!$C$7=""),0,MAX(0,MIN(I31,Liegenschaft!$N$17)-MAX(H31,Liegenschaft!$M$17)+1)/DAY(Liegenschaft!$N$17)*Liegenschaft!$O$17)</f>
        <v/>
      </c>
      <c r="S31" s="16">
        <f>IF(OR(D31="",Liegenschaft!$C$7=""),0,MAX(0,MIN(I31,Liegenschaft!$N$18)-MAX(H31,Liegenschaft!$M$18)+1)/DAY(Liegenschaft!$N$18)*Liegenschaft!$O$18)</f>
        <v/>
      </c>
      <c r="T31" s="16">
        <f>IF(OR(D31="",Liegenschaft!$C$7=""),0,MAX(0,MIN(I31,Liegenschaft!$N$19)-MAX(H31,Liegenschaft!$M$19)+1)/DAY(Liegenschaft!$N$19)*Liegenschaft!$O$19)</f>
        <v/>
      </c>
      <c r="U31" s="16">
        <f>IF(OR(D31="",Liegenschaft!$C$7=""),0,MAX(0,MIN(I31,Liegenschaft!$N$20)-MAX(H31,Liegenschaft!$M$20)+1)/DAY(Liegenschaft!$N$20)*Liegenschaft!$O$20)</f>
        <v/>
      </c>
      <c r="V31" s="16">
        <f>IF(OR(D31="",Liegenschaft!$C$7=""),0,MAX(0,MIN(I31,Liegenschaft!$N$21)-MAX(H31,Liegenschaft!$M$21)+1)/DAY(Liegenschaft!$N$21)*Liegenschaft!$O$21)</f>
        <v/>
      </c>
      <c r="W31" s="16">
        <f>IF(OR(D31="",Liegenschaft!$C$7=""),0,MAX(0,MIN(I31,Liegenschaft!$N$22)-MAX(H31,Liegenschaft!$M$22)+1)/DAY(Liegenschaft!$N$22)*Liegenschaft!$O$22)</f>
        <v/>
      </c>
      <c r="X31" s="16">
        <f>IF(OR(D31="",Liegenschaft!$C$7=""),0,MAX(0,MIN(I31,Liegenschaft!$N$23)-MAX(H31,Liegenschaft!$M$23)+1)/DAY(Liegenschaft!$N$23)*Liegenschaft!$O$23)</f>
        <v/>
      </c>
      <c r="Y31" s="16">
        <f>IF(OR(D31="",Liegenschaft!$C$7=""),0,MAX(0,MIN(I31,Liegenschaft!$N$24)-MAX(H31,Liegenschaft!$M$24)+1)/DAY(Liegenschaft!$N$24)*Liegenschaft!$O$24)</f>
        <v/>
      </c>
      <c r="Z31" s="16">
        <f>IF(OR(D31="",Liegenschaft!$C$7=""),0,MAX(0,MIN(I31,Liegenschaft!$N$25)-MAX(H31,Liegenschaft!$M$25)+1)/DAY(Liegenschaft!$N$25)*Liegenschaft!$O$25)</f>
        <v/>
      </c>
    </row>
    <row r="32">
      <c r="B32" s="22" t="n">
        <v>27</v>
      </c>
      <c r="C32" s="6" t="n"/>
      <c r="D32" s="6" t="n"/>
      <c r="E32" s="7" t="n"/>
      <c r="F32" s="7" t="n"/>
      <c r="G32" s="23" t="n"/>
      <c r="H32" s="24">
        <f>IF(D32="","",MAX(E32,Liegenschaft!$C$7))</f>
        <v/>
      </c>
      <c r="I32" s="24">
        <f>IF(D32="","",IF(F32="",Liegenschaft!$C$8,MIN(F32,Liegenschaft!$C$8)))</f>
        <v/>
      </c>
      <c r="J32" s="9">
        <f>IF(D32="",0,MAX(0,I32-H32+1))</f>
        <v/>
      </c>
      <c r="K32" s="25">
        <f>IF(OR(D32="",Liegenschaft!$C$9=""),0,J32/Liegenschaft!$C$9)</f>
        <v/>
      </c>
      <c r="L32" s="25">
        <f>IF(OR(D32="",Liegenschaft!$J$26=0),0,SUM(O32:Z32)/Liegenschaft!$J$26)</f>
        <v/>
      </c>
      <c r="M32" s="26">
        <f>IF(D32="","",IF(ISNA(MATCH(C32,Liegenschaft!$B$14:$B$25,0)),"⚠ Wohnung unbekannt",IF(J32=0,"⚠ nicht in Periode",IF(SUMPRODUCT(($C$6:$C$35=C32)*($D$6:$D$35&lt;&gt;"")*($J$6:$J$35&gt;0)*($H$6:$H$35&lt;=I32)*($I$6:$I$35&gt;=H32))&gt;1,"⚠ Überschneidung mit anderem Mieter","✓"))))</f>
        <v/>
      </c>
      <c r="O32" s="16">
        <f>IF(OR(D32="",Liegenschaft!$C$7=""),0,MAX(0,MIN(I32,Liegenschaft!$N$14)-MAX(H32,Liegenschaft!$M$14)+1)/DAY(Liegenschaft!$N$14)*Liegenschaft!$O$14)</f>
        <v/>
      </c>
      <c r="P32" s="16">
        <f>IF(OR(D32="",Liegenschaft!$C$7=""),0,MAX(0,MIN(I32,Liegenschaft!$N$15)-MAX(H32,Liegenschaft!$M$15)+1)/DAY(Liegenschaft!$N$15)*Liegenschaft!$O$15)</f>
        <v/>
      </c>
      <c r="Q32" s="16">
        <f>IF(OR(D32="",Liegenschaft!$C$7=""),0,MAX(0,MIN(I32,Liegenschaft!$N$16)-MAX(H32,Liegenschaft!$M$16)+1)/DAY(Liegenschaft!$N$16)*Liegenschaft!$O$16)</f>
        <v/>
      </c>
      <c r="R32" s="16">
        <f>IF(OR(D32="",Liegenschaft!$C$7=""),0,MAX(0,MIN(I32,Liegenschaft!$N$17)-MAX(H32,Liegenschaft!$M$17)+1)/DAY(Liegenschaft!$N$17)*Liegenschaft!$O$17)</f>
        <v/>
      </c>
      <c r="S32" s="16">
        <f>IF(OR(D32="",Liegenschaft!$C$7=""),0,MAX(0,MIN(I32,Liegenschaft!$N$18)-MAX(H32,Liegenschaft!$M$18)+1)/DAY(Liegenschaft!$N$18)*Liegenschaft!$O$18)</f>
        <v/>
      </c>
      <c r="T32" s="16">
        <f>IF(OR(D32="",Liegenschaft!$C$7=""),0,MAX(0,MIN(I32,Liegenschaft!$N$19)-MAX(H32,Liegenschaft!$M$19)+1)/DAY(Liegenschaft!$N$19)*Liegenschaft!$O$19)</f>
        <v/>
      </c>
      <c r="U32" s="16">
        <f>IF(OR(D32="",Liegenschaft!$C$7=""),0,MAX(0,MIN(I32,Liegenschaft!$N$20)-MAX(H32,Liegenschaft!$M$20)+1)/DAY(Liegenschaft!$N$20)*Liegenschaft!$O$20)</f>
        <v/>
      </c>
      <c r="V32" s="16">
        <f>IF(OR(D32="",Liegenschaft!$C$7=""),0,MAX(0,MIN(I32,Liegenschaft!$N$21)-MAX(H32,Liegenschaft!$M$21)+1)/DAY(Liegenschaft!$N$21)*Liegenschaft!$O$21)</f>
        <v/>
      </c>
      <c r="W32" s="16">
        <f>IF(OR(D32="",Liegenschaft!$C$7=""),0,MAX(0,MIN(I32,Liegenschaft!$N$22)-MAX(H32,Liegenschaft!$M$22)+1)/DAY(Liegenschaft!$N$22)*Liegenschaft!$O$22)</f>
        <v/>
      </c>
      <c r="X32" s="16">
        <f>IF(OR(D32="",Liegenschaft!$C$7=""),0,MAX(0,MIN(I32,Liegenschaft!$N$23)-MAX(H32,Liegenschaft!$M$23)+1)/DAY(Liegenschaft!$N$23)*Liegenschaft!$O$23)</f>
        <v/>
      </c>
      <c r="Y32" s="16">
        <f>IF(OR(D32="",Liegenschaft!$C$7=""),0,MAX(0,MIN(I32,Liegenschaft!$N$24)-MAX(H32,Liegenschaft!$M$24)+1)/DAY(Liegenschaft!$N$24)*Liegenschaft!$O$24)</f>
        <v/>
      </c>
      <c r="Z32" s="16">
        <f>IF(OR(D32="",Liegenschaft!$C$7=""),0,MAX(0,MIN(I32,Liegenschaft!$N$25)-MAX(H32,Liegenschaft!$M$25)+1)/DAY(Liegenschaft!$N$25)*Liegenschaft!$O$25)</f>
        <v/>
      </c>
    </row>
    <row r="33">
      <c r="B33" s="22" t="n">
        <v>28</v>
      </c>
      <c r="C33" s="6" t="n"/>
      <c r="D33" s="6" t="n"/>
      <c r="E33" s="7" t="n"/>
      <c r="F33" s="7" t="n"/>
      <c r="G33" s="23" t="n"/>
      <c r="H33" s="24">
        <f>IF(D33="","",MAX(E33,Liegenschaft!$C$7))</f>
        <v/>
      </c>
      <c r="I33" s="24">
        <f>IF(D33="","",IF(F33="",Liegenschaft!$C$8,MIN(F33,Liegenschaft!$C$8)))</f>
        <v/>
      </c>
      <c r="J33" s="9">
        <f>IF(D33="",0,MAX(0,I33-H33+1))</f>
        <v/>
      </c>
      <c r="K33" s="25">
        <f>IF(OR(D33="",Liegenschaft!$C$9=""),0,J33/Liegenschaft!$C$9)</f>
        <v/>
      </c>
      <c r="L33" s="25">
        <f>IF(OR(D33="",Liegenschaft!$J$26=0),0,SUM(O33:Z33)/Liegenschaft!$J$26)</f>
        <v/>
      </c>
      <c r="M33" s="26">
        <f>IF(D33="","",IF(ISNA(MATCH(C33,Liegenschaft!$B$14:$B$25,0)),"⚠ Wohnung unbekannt",IF(J33=0,"⚠ nicht in Periode",IF(SUMPRODUCT(($C$6:$C$35=C33)*($D$6:$D$35&lt;&gt;"")*($J$6:$J$35&gt;0)*($H$6:$H$35&lt;=I33)*($I$6:$I$35&gt;=H33))&gt;1,"⚠ Überschneidung mit anderem Mieter","✓"))))</f>
        <v/>
      </c>
      <c r="O33" s="16">
        <f>IF(OR(D33="",Liegenschaft!$C$7=""),0,MAX(0,MIN(I33,Liegenschaft!$N$14)-MAX(H33,Liegenschaft!$M$14)+1)/DAY(Liegenschaft!$N$14)*Liegenschaft!$O$14)</f>
        <v/>
      </c>
      <c r="P33" s="16">
        <f>IF(OR(D33="",Liegenschaft!$C$7=""),0,MAX(0,MIN(I33,Liegenschaft!$N$15)-MAX(H33,Liegenschaft!$M$15)+1)/DAY(Liegenschaft!$N$15)*Liegenschaft!$O$15)</f>
        <v/>
      </c>
      <c r="Q33" s="16">
        <f>IF(OR(D33="",Liegenschaft!$C$7=""),0,MAX(0,MIN(I33,Liegenschaft!$N$16)-MAX(H33,Liegenschaft!$M$16)+1)/DAY(Liegenschaft!$N$16)*Liegenschaft!$O$16)</f>
        <v/>
      </c>
      <c r="R33" s="16">
        <f>IF(OR(D33="",Liegenschaft!$C$7=""),0,MAX(0,MIN(I33,Liegenschaft!$N$17)-MAX(H33,Liegenschaft!$M$17)+1)/DAY(Liegenschaft!$N$17)*Liegenschaft!$O$17)</f>
        <v/>
      </c>
      <c r="S33" s="16">
        <f>IF(OR(D33="",Liegenschaft!$C$7=""),0,MAX(0,MIN(I33,Liegenschaft!$N$18)-MAX(H33,Liegenschaft!$M$18)+1)/DAY(Liegenschaft!$N$18)*Liegenschaft!$O$18)</f>
        <v/>
      </c>
      <c r="T33" s="16">
        <f>IF(OR(D33="",Liegenschaft!$C$7=""),0,MAX(0,MIN(I33,Liegenschaft!$N$19)-MAX(H33,Liegenschaft!$M$19)+1)/DAY(Liegenschaft!$N$19)*Liegenschaft!$O$19)</f>
        <v/>
      </c>
      <c r="U33" s="16">
        <f>IF(OR(D33="",Liegenschaft!$C$7=""),0,MAX(0,MIN(I33,Liegenschaft!$N$20)-MAX(H33,Liegenschaft!$M$20)+1)/DAY(Liegenschaft!$N$20)*Liegenschaft!$O$20)</f>
        <v/>
      </c>
      <c r="V33" s="16">
        <f>IF(OR(D33="",Liegenschaft!$C$7=""),0,MAX(0,MIN(I33,Liegenschaft!$N$21)-MAX(H33,Liegenschaft!$M$21)+1)/DAY(Liegenschaft!$N$21)*Liegenschaft!$O$21)</f>
        <v/>
      </c>
      <c r="W33" s="16">
        <f>IF(OR(D33="",Liegenschaft!$C$7=""),0,MAX(0,MIN(I33,Liegenschaft!$N$22)-MAX(H33,Liegenschaft!$M$22)+1)/DAY(Liegenschaft!$N$22)*Liegenschaft!$O$22)</f>
        <v/>
      </c>
      <c r="X33" s="16">
        <f>IF(OR(D33="",Liegenschaft!$C$7=""),0,MAX(0,MIN(I33,Liegenschaft!$N$23)-MAX(H33,Liegenschaft!$M$23)+1)/DAY(Liegenschaft!$N$23)*Liegenschaft!$O$23)</f>
        <v/>
      </c>
      <c r="Y33" s="16">
        <f>IF(OR(D33="",Liegenschaft!$C$7=""),0,MAX(0,MIN(I33,Liegenschaft!$N$24)-MAX(H33,Liegenschaft!$M$24)+1)/DAY(Liegenschaft!$N$24)*Liegenschaft!$O$24)</f>
        <v/>
      </c>
      <c r="Z33" s="16">
        <f>IF(OR(D33="",Liegenschaft!$C$7=""),0,MAX(0,MIN(I33,Liegenschaft!$N$25)-MAX(H33,Liegenschaft!$M$25)+1)/DAY(Liegenschaft!$N$25)*Liegenschaft!$O$25)</f>
        <v/>
      </c>
    </row>
    <row r="34">
      <c r="B34" s="22" t="n">
        <v>29</v>
      </c>
      <c r="C34" s="6" t="n"/>
      <c r="D34" s="6" t="n"/>
      <c r="E34" s="7" t="n"/>
      <c r="F34" s="7" t="n"/>
      <c r="G34" s="23" t="n"/>
      <c r="H34" s="24">
        <f>IF(D34="","",MAX(E34,Liegenschaft!$C$7))</f>
        <v/>
      </c>
      <c r="I34" s="24">
        <f>IF(D34="","",IF(F34="",Liegenschaft!$C$8,MIN(F34,Liegenschaft!$C$8)))</f>
        <v/>
      </c>
      <c r="J34" s="9">
        <f>IF(D34="",0,MAX(0,I34-H34+1))</f>
        <v/>
      </c>
      <c r="K34" s="25">
        <f>IF(OR(D34="",Liegenschaft!$C$9=""),0,J34/Liegenschaft!$C$9)</f>
        <v/>
      </c>
      <c r="L34" s="25">
        <f>IF(OR(D34="",Liegenschaft!$J$26=0),0,SUM(O34:Z34)/Liegenschaft!$J$26)</f>
        <v/>
      </c>
      <c r="M34" s="26">
        <f>IF(D34="","",IF(ISNA(MATCH(C34,Liegenschaft!$B$14:$B$25,0)),"⚠ Wohnung unbekannt",IF(J34=0,"⚠ nicht in Periode",IF(SUMPRODUCT(($C$6:$C$35=C34)*($D$6:$D$35&lt;&gt;"")*($J$6:$J$35&gt;0)*($H$6:$H$35&lt;=I34)*($I$6:$I$35&gt;=H34))&gt;1,"⚠ Überschneidung mit anderem Mieter","✓"))))</f>
        <v/>
      </c>
      <c r="O34" s="16">
        <f>IF(OR(D34="",Liegenschaft!$C$7=""),0,MAX(0,MIN(I34,Liegenschaft!$N$14)-MAX(H34,Liegenschaft!$M$14)+1)/DAY(Liegenschaft!$N$14)*Liegenschaft!$O$14)</f>
        <v/>
      </c>
      <c r="P34" s="16">
        <f>IF(OR(D34="",Liegenschaft!$C$7=""),0,MAX(0,MIN(I34,Liegenschaft!$N$15)-MAX(H34,Liegenschaft!$M$15)+1)/DAY(Liegenschaft!$N$15)*Liegenschaft!$O$15)</f>
        <v/>
      </c>
      <c r="Q34" s="16">
        <f>IF(OR(D34="",Liegenschaft!$C$7=""),0,MAX(0,MIN(I34,Liegenschaft!$N$16)-MAX(H34,Liegenschaft!$M$16)+1)/DAY(Liegenschaft!$N$16)*Liegenschaft!$O$16)</f>
        <v/>
      </c>
      <c r="R34" s="16">
        <f>IF(OR(D34="",Liegenschaft!$C$7=""),0,MAX(0,MIN(I34,Liegenschaft!$N$17)-MAX(H34,Liegenschaft!$M$17)+1)/DAY(Liegenschaft!$N$17)*Liegenschaft!$O$17)</f>
        <v/>
      </c>
      <c r="S34" s="16">
        <f>IF(OR(D34="",Liegenschaft!$C$7=""),0,MAX(0,MIN(I34,Liegenschaft!$N$18)-MAX(H34,Liegenschaft!$M$18)+1)/DAY(Liegenschaft!$N$18)*Liegenschaft!$O$18)</f>
        <v/>
      </c>
      <c r="T34" s="16">
        <f>IF(OR(D34="",Liegenschaft!$C$7=""),0,MAX(0,MIN(I34,Liegenschaft!$N$19)-MAX(H34,Liegenschaft!$M$19)+1)/DAY(Liegenschaft!$N$19)*Liegenschaft!$O$19)</f>
        <v/>
      </c>
      <c r="U34" s="16">
        <f>IF(OR(D34="",Liegenschaft!$C$7=""),0,MAX(0,MIN(I34,Liegenschaft!$N$20)-MAX(H34,Liegenschaft!$M$20)+1)/DAY(Liegenschaft!$N$20)*Liegenschaft!$O$20)</f>
        <v/>
      </c>
      <c r="V34" s="16">
        <f>IF(OR(D34="",Liegenschaft!$C$7=""),0,MAX(0,MIN(I34,Liegenschaft!$N$21)-MAX(H34,Liegenschaft!$M$21)+1)/DAY(Liegenschaft!$N$21)*Liegenschaft!$O$21)</f>
        <v/>
      </c>
      <c r="W34" s="16">
        <f>IF(OR(D34="",Liegenschaft!$C$7=""),0,MAX(0,MIN(I34,Liegenschaft!$N$22)-MAX(H34,Liegenschaft!$M$22)+1)/DAY(Liegenschaft!$N$22)*Liegenschaft!$O$22)</f>
        <v/>
      </c>
      <c r="X34" s="16">
        <f>IF(OR(D34="",Liegenschaft!$C$7=""),0,MAX(0,MIN(I34,Liegenschaft!$N$23)-MAX(H34,Liegenschaft!$M$23)+1)/DAY(Liegenschaft!$N$23)*Liegenschaft!$O$23)</f>
        <v/>
      </c>
      <c r="Y34" s="16">
        <f>IF(OR(D34="",Liegenschaft!$C$7=""),0,MAX(0,MIN(I34,Liegenschaft!$N$24)-MAX(H34,Liegenschaft!$M$24)+1)/DAY(Liegenschaft!$N$24)*Liegenschaft!$O$24)</f>
        <v/>
      </c>
      <c r="Z34" s="16">
        <f>IF(OR(D34="",Liegenschaft!$C$7=""),0,MAX(0,MIN(I34,Liegenschaft!$N$25)-MAX(H34,Liegenschaft!$M$25)+1)/DAY(Liegenschaft!$N$25)*Liegenschaft!$O$25)</f>
        <v/>
      </c>
    </row>
    <row r="35">
      <c r="B35" s="22" t="n">
        <v>30</v>
      </c>
      <c r="C35" s="6" t="n"/>
      <c r="D35" s="6" t="n"/>
      <c r="E35" s="7" t="n"/>
      <c r="F35" s="7" t="n"/>
      <c r="G35" s="23" t="n"/>
      <c r="H35" s="24">
        <f>IF(D35="","",MAX(E35,Liegenschaft!$C$7))</f>
        <v/>
      </c>
      <c r="I35" s="24">
        <f>IF(D35="","",IF(F35="",Liegenschaft!$C$8,MIN(F35,Liegenschaft!$C$8)))</f>
        <v/>
      </c>
      <c r="J35" s="9">
        <f>IF(D35="",0,MAX(0,I35-H35+1))</f>
        <v/>
      </c>
      <c r="K35" s="25">
        <f>IF(OR(D35="",Liegenschaft!$C$9=""),0,J35/Liegenschaft!$C$9)</f>
        <v/>
      </c>
      <c r="L35" s="25">
        <f>IF(OR(D35="",Liegenschaft!$J$26=0),0,SUM(O35:Z35)/Liegenschaft!$J$26)</f>
        <v/>
      </c>
      <c r="M35" s="26">
        <f>IF(D35="","",IF(ISNA(MATCH(C35,Liegenschaft!$B$14:$B$25,0)),"⚠ Wohnung unbekannt",IF(J35=0,"⚠ nicht in Periode",IF(SUMPRODUCT(($C$6:$C$35=C35)*($D$6:$D$35&lt;&gt;"")*($J$6:$J$35&gt;0)*($H$6:$H$35&lt;=I35)*($I$6:$I$35&gt;=H35))&gt;1,"⚠ Überschneidung mit anderem Mieter","✓"))))</f>
        <v/>
      </c>
      <c r="O35" s="16">
        <f>IF(OR(D35="",Liegenschaft!$C$7=""),0,MAX(0,MIN(I35,Liegenschaft!$N$14)-MAX(H35,Liegenschaft!$M$14)+1)/DAY(Liegenschaft!$N$14)*Liegenschaft!$O$14)</f>
        <v/>
      </c>
      <c r="P35" s="16">
        <f>IF(OR(D35="",Liegenschaft!$C$7=""),0,MAX(0,MIN(I35,Liegenschaft!$N$15)-MAX(H35,Liegenschaft!$M$15)+1)/DAY(Liegenschaft!$N$15)*Liegenschaft!$O$15)</f>
        <v/>
      </c>
      <c r="Q35" s="16">
        <f>IF(OR(D35="",Liegenschaft!$C$7=""),0,MAX(0,MIN(I35,Liegenschaft!$N$16)-MAX(H35,Liegenschaft!$M$16)+1)/DAY(Liegenschaft!$N$16)*Liegenschaft!$O$16)</f>
        <v/>
      </c>
      <c r="R35" s="16">
        <f>IF(OR(D35="",Liegenschaft!$C$7=""),0,MAX(0,MIN(I35,Liegenschaft!$N$17)-MAX(H35,Liegenschaft!$M$17)+1)/DAY(Liegenschaft!$N$17)*Liegenschaft!$O$17)</f>
        <v/>
      </c>
      <c r="S35" s="16">
        <f>IF(OR(D35="",Liegenschaft!$C$7=""),0,MAX(0,MIN(I35,Liegenschaft!$N$18)-MAX(H35,Liegenschaft!$M$18)+1)/DAY(Liegenschaft!$N$18)*Liegenschaft!$O$18)</f>
        <v/>
      </c>
      <c r="T35" s="16">
        <f>IF(OR(D35="",Liegenschaft!$C$7=""),0,MAX(0,MIN(I35,Liegenschaft!$N$19)-MAX(H35,Liegenschaft!$M$19)+1)/DAY(Liegenschaft!$N$19)*Liegenschaft!$O$19)</f>
        <v/>
      </c>
      <c r="U35" s="16">
        <f>IF(OR(D35="",Liegenschaft!$C$7=""),0,MAX(0,MIN(I35,Liegenschaft!$N$20)-MAX(H35,Liegenschaft!$M$20)+1)/DAY(Liegenschaft!$N$20)*Liegenschaft!$O$20)</f>
        <v/>
      </c>
      <c r="V35" s="16">
        <f>IF(OR(D35="",Liegenschaft!$C$7=""),0,MAX(0,MIN(I35,Liegenschaft!$N$21)-MAX(H35,Liegenschaft!$M$21)+1)/DAY(Liegenschaft!$N$21)*Liegenschaft!$O$21)</f>
        <v/>
      </c>
      <c r="W35" s="16">
        <f>IF(OR(D35="",Liegenschaft!$C$7=""),0,MAX(0,MIN(I35,Liegenschaft!$N$22)-MAX(H35,Liegenschaft!$M$22)+1)/DAY(Liegenschaft!$N$22)*Liegenschaft!$O$22)</f>
        <v/>
      </c>
      <c r="X35" s="16">
        <f>IF(OR(D35="",Liegenschaft!$C$7=""),0,MAX(0,MIN(I35,Liegenschaft!$N$23)-MAX(H35,Liegenschaft!$M$23)+1)/DAY(Liegenschaft!$N$23)*Liegenschaft!$O$23)</f>
        <v/>
      </c>
      <c r="Y35" s="16">
        <f>IF(OR(D35="",Liegenschaft!$C$7=""),0,MAX(0,MIN(I35,Liegenschaft!$N$24)-MAX(H35,Liegenschaft!$M$24)+1)/DAY(Liegenschaft!$N$24)*Liegenschaft!$O$24)</f>
        <v/>
      </c>
      <c r="Z35" s="16">
        <f>IF(OR(D35="",Liegenschaft!$C$7=""),0,MAX(0,MIN(I35,Liegenschaft!$N$25)-MAX(H35,Liegenschaft!$M$25)+1)/DAY(Liegenschaft!$N$25)*Liegenschaft!$O$25)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6:C35" showDropDown="0" showInputMessage="0" showErrorMessage="0" allowBlank="1" type="list">
      <formula1>Liegenschaft!$B$14:$B$25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18" customWidth="1" min="5" max="5"/>
    <col width="15" customWidth="1" min="6" max="6"/>
    <col width="13" customWidth="1" min="7" max="7"/>
    <col width="12" customWidth="1" min="8" max="8"/>
    <col width="3" customWidth="1" min="9" max="9"/>
    <col width="60" customWidth="1" min="10" max="10"/>
  </cols>
  <sheetData>
    <row r="2">
      <c r="B2" s="1" t="inlineStr">
        <is>
          <t>Nebenkosten der Periode</t>
        </is>
      </c>
    </row>
    <row r="3">
      <c r="B3" s="2" t="inlineStr">
        <is>
          <t>Rechnungsbeträge der ganzen Liegenschaft erfassen. Nur Positionen mit «Ja» / «Ja» werden den Mietern belastet.</t>
        </is>
      </c>
    </row>
    <row r="5">
      <c r="B5" s="12" t="inlineStr">
        <is>
          <t>Kostenposition</t>
        </is>
      </c>
      <c r="C5" s="12" t="inlineStr">
        <is>
          <t>Betrag CHF</t>
        </is>
      </c>
      <c r="D5" s="12" t="inlineStr">
        <is>
          <t>Art</t>
        </is>
      </c>
      <c r="E5" s="12" t="inlineStr">
        <is>
          <t>Verteilschlüssel</t>
        </is>
      </c>
      <c r="F5" s="12" t="inlineStr">
        <is>
          <t>Im Mietvertrag ausgeschieden?</t>
        </is>
      </c>
      <c r="G5" s="12" t="inlineStr">
        <is>
          <t>Umlagefähig?</t>
        </is>
      </c>
      <c r="H5" s="12" t="inlineStr">
        <is>
          <t>Abrechenbar</t>
        </is>
      </c>
      <c r="I5" s="12" t="inlineStr"/>
    </row>
    <row r="6">
      <c r="B6" s="6" t="n"/>
      <c r="C6" s="23" t="n"/>
      <c r="D6" s="6" t="n"/>
      <c r="E6" s="6" t="n"/>
      <c r="F6" s="6" t="n"/>
      <c r="G6" s="6" t="n"/>
      <c r="H6" s="26">
        <f>IF(OR(B6="",C6=""),"",IF(AND(F6="Ja",G6="Ja",D6&lt;&gt;"",E6&lt;&gt;""),"Ja","Nein"))</f>
        <v/>
      </c>
      <c r="I6" s="27">
        <f>IF(E6="",1,MATCH(E6,{"Fläche m²","Zimmer","Wertquote","Volumen m³","pro Einheit gleich"},0))</f>
        <v/>
      </c>
      <c r="J6" s="28" t="inlineStr">
        <is>
          <t>Hinweise</t>
        </is>
      </c>
    </row>
    <row r="7">
      <c r="B7" s="6" t="n"/>
      <c r="C7" s="23" t="n"/>
      <c r="D7" s="6" t="n"/>
      <c r="E7" s="6" t="n"/>
      <c r="F7" s="6" t="n"/>
      <c r="G7" s="6" t="n"/>
      <c r="H7" s="26">
        <f>IF(OR(B7="",C7=""),"",IF(AND(F7="Ja",G7="Ja",D7&lt;&gt;"",E7&lt;&gt;""),"Ja","Nein"))</f>
        <v/>
      </c>
      <c r="I7" s="27">
        <f>IF(E7="",1,MATCH(E7,{"Fläche m²","Zimmer","Wertquote","Volumen m³","pro Einheit gleich"},0))</f>
        <v/>
      </c>
      <c r="J7" s="29" t="inlineStr">
        <is>
          <t>Umlagefähig sind nur Betriebskosten (Heizung, Warmwasser, Wasser, Abwasser, Allgemeinstrom, Hauswart, Kehricht, Lift-Service …).</t>
        </is>
      </c>
    </row>
    <row r="8">
      <c r="B8" s="6" t="n"/>
      <c r="C8" s="23" t="n"/>
      <c r="D8" s="6" t="n"/>
      <c r="E8" s="6" t="n"/>
      <c r="F8" s="6" t="n"/>
      <c r="G8" s="6" t="n"/>
      <c r="H8" s="26">
        <f>IF(OR(B8="",C8=""),"",IF(AND(F8="Ja",G8="Ja",D8&lt;&gt;"",E8&lt;&gt;""),"Ja","Nein"))</f>
        <v/>
      </c>
      <c r="I8" s="27">
        <f>IF(E8="",1,MATCH(E8,{"Fläche m²","Zimmer","Wertquote","Volumen m³","pro Einheit gleich"},0))</f>
        <v/>
      </c>
      <c r="J8" s="29" t="inlineStr">
        <is>
          <t>NICHT umlagefähig: Reparaturen, Unterhalt, Erneuerungen, Hypothekarzinsen, Gebäudeversicherung (Praxis), Abschreibungen.</t>
        </is>
      </c>
    </row>
    <row r="9">
      <c r="B9" s="6" t="n"/>
      <c r="C9" s="23" t="n"/>
      <c r="D9" s="6" t="n"/>
      <c r="E9" s="6" t="n"/>
      <c r="F9" s="6" t="n"/>
      <c r="G9" s="6" t="n"/>
      <c r="H9" s="26">
        <f>IF(OR(B9="",C9=""),"",IF(AND(F9="Ja",G9="Ja",D9&lt;&gt;"",E9&lt;&gt;""),"Ja","Nein"))</f>
        <v/>
      </c>
      <c r="I9" s="27">
        <f>IF(E9="",1,MATCH(E9,{"Fläche m²","Zimmer","Wertquote","Volumen m³","pro Einheit gleich"},0))</f>
        <v/>
      </c>
      <c r="J9" s="29" t="inlineStr">
        <is>
          <t>Nebenkosten dürfen nur belastet werden, wenn sie im Mietvertrag einzeln ausgeschieden sind (Art. 257a Abs. 2 OR).</t>
        </is>
      </c>
    </row>
    <row r="10">
      <c r="B10" s="6" t="n"/>
      <c r="C10" s="23" t="n"/>
      <c r="D10" s="6" t="n"/>
      <c r="E10" s="6" t="n"/>
      <c r="F10" s="6" t="n"/>
      <c r="G10" s="6" t="n"/>
      <c r="H10" s="26">
        <f>IF(OR(B10="",C10=""),"",IF(AND(F10="Ja",G10="Ja",D10&lt;&gt;"",E10&lt;&gt;""),"Ja","Nein"))</f>
        <v/>
      </c>
      <c r="I10" s="27">
        <f>IF(E10="",1,MATCH(E10,{"Fläche m²","Zimmer","Wertquote","Volumen m³","pro Einheit gleich"},0))</f>
        <v/>
      </c>
      <c r="J10" s="29" t="inlineStr">
        <is>
          <t>Heizung/Warmwasser wird nach Heizgradtagen verteilt, alles andere zeitanteilig nach Tagen.</t>
        </is>
      </c>
    </row>
    <row r="11">
      <c r="B11" s="6" t="n"/>
      <c r="C11" s="23" t="n"/>
      <c r="D11" s="6" t="n"/>
      <c r="E11" s="6" t="n"/>
      <c r="F11" s="6" t="n"/>
      <c r="G11" s="6" t="n"/>
      <c r="H11" s="26">
        <f>IF(OR(B11="",C11=""),"",IF(AND(F11="Ja",G11="Ja",D11&lt;&gt;"",E11&lt;&gt;""),"Ja","Nein"))</f>
        <v/>
      </c>
      <c r="I11" s="27">
        <f>IF(E11="",1,MATCH(E11,{"Fläche m²","Zimmer","Wertquote","Volumen m³","pro Einheit gleich"},0))</f>
        <v/>
      </c>
    </row>
    <row r="12">
      <c r="B12" s="6" t="n"/>
      <c r="C12" s="23" t="n"/>
      <c r="D12" s="6" t="n"/>
      <c r="E12" s="6" t="n"/>
      <c r="F12" s="6" t="n"/>
      <c r="G12" s="6" t="n"/>
      <c r="H12" s="26">
        <f>IF(OR(B12="",C12=""),"",IF(AND(F12="Ja",G12="Ja",D12&lt;&gt;"",E12&lt;&gt;""),"Ja","Nein"))</f>
        <v/>
      </c>
      <c r="I12" s="27">
        <f>IF(E12="",1,MATCH(E12,{"Fläche m²","Zimmer","Wertquote","Volumen m³","pro Einheit gleich"},0))</f>
        <v/>
      </c>
    </row>
    <row r="13">
      <c r="B13" s="6" t="n"/>
      <c r="C13" s="23" t="n"/>
      <c r="D13" s="6" t="n"/>
      <c r="E13" s="6" t="n"/>
      <c r="F13" s="6" t="n"/>
      <c r="G13" s="6" t="n"/>
      <c r="H13" s="26">
        <f>IF(OR(B13="",C13=""),"",IF(AND(F13="Ja",G13="Ja",D13&lt;&gt;"",E13&lt;&gt;""),"Ja","Nein"))</f>
        <v/>
      </c>
      <c r="I13" s="27">
        <f>IF(E13="",1,MATCH(E13,{"Fläche m²","Zimmer","Wertquote","Volumen m³","pro Einheit gleich"},0))</f>
        <v/>
      </c>
    </row>
    <row r="14">
      <c r="B14" s="6" t="n"/>
      <c r="C14" s="23" t="n"/>
      <c r="D14" s="6" t="n"/>
      <c r="E14" s="6" t="n"/>
      <c r="F14" s="6" t="n"/>
      <c r="G14" s="6" t="n"/>
      <c r="H14" s="26">
        <f>IF(OR(B14="",C14=""),"",IF(AND(F14="Ja",G14="Ja",D14&lt;&gt;"",E14&lt;&gt;""),"Ja","Nein"))</f>
        <v/>
      </c>
      <c r="I14" s="27">
        <f>IF(E14="",1,MATCH(E14,{"Fläche m²","Zimmer","Wertquote","Volumen m³","pro Einheit gleich"},0))</f>
        <v/>
      </c>
    </row>
    <row r="15">
      <c r="B15" s="6" t="n"/>
      <c r="C15" s="23" t="n"/>
      <c r="D15" s="6" t="n"/>
      <c r="E15" s="6" t="n"/>
      <c r="F15" s="6" t="n"/>
      <c r="G15" s="6" t="n"/>
      <c r="H15" s="26">
        <f>IF(OR(B15="",C15=""),"",IF(AND(F15="Ja",G15="Ja",D15&lt;&gt;"",E15&lt;&gt;""),"Ja","Nein"))</f>
        <v/>
      </c>
      <c r="I15" s="27">
        <f>IF(E15="",1,MATCH(E15,{"Fläche m²","Zimmer","Wertquote","Volumen m³","pro Einheit gleich"},0))</f>
        <v/>
      </c>
    </row>
    <row r="16">
      <c r="B16" s="6" t="n"/>
      <c r="C16" s="23" t="n"/>
      <c r="D16" s="6" t="n"/>
      <c r="E16" s="6" t="n"/>
      <c r="F16" s="6" t="n"/>
      <c r="G16" s="6" t="n"/>
      <c r="H16" s="26">
        <f>IF(OR(B16="",C16=""),"",IF(AND(F16="Ja",G16="Ja",D16&lt;&gt;"",E16&lt;&gt;""),"Ja","Nein"))</f>
        <v/>
      </c>
      <c r="I16" s="27">
        <f>IF(E16="",1,MATCH(E16,{"Fläche m²","Zimmer","Wertquote","Volumen m³","pro Einheit gleich"},0))</f>
        <v/>
      </c>
    </row>
    <row r="17">
      <c r="B17" s="6" t="n"/>
      <c r="C17" s="23" t="n"/>
      <c r="D17" s="6" t="n"/>
      <c r="E17" s="6" t="n"/>
      <c r="F17" s="6" t="n"/>
      <c r="G17" s="6" t="n"/>
      <c r="H17" s="26">
        <f>IF(OR(B17="",C17=""),"",IF(AND(F17="Ja",G17="Ja",D17&lt;&gt;"",E17&lt;&gt;""),"Ja","Nein"))</f>
        <v/>
      </c>
      <c r="I17" s="27">
        <f>IF(E17="",1,MATCH(E17,{"Fläche m²","Zimmer","Wertquote","Volumen m³","pro Einheit gleich"},0))</f>
        <v/>
      </c>
    </row>
    <row r="18">
      <c r="B18" s="6" t="n"/>
      <c r="C18" s="23" t="n"/>
      <c r="D18" s="6" t="n"/>
      <c r="E18" s="6" t="n"/>
      <c r="F18" s="6" t="n"/>
      <c r="G18" s="6" t="n"/>
      <c r="H18" s="26">
        <f>IF(OR(B18="",C18=""),"",IF(AND(F18="Ja",G18="Ja",D18&lt;&gt;"",E18&lt;&gt;""),"Ja","Nein"))</f>
        <v/>
      </c>
      <c r="I18" s="27">
        <f>IF(E18="",1,MATCH(E18,{"Fläche m²","Zimmer","Wertquote","Volumen m³","pro Einheit gleich"},0))</f>
        <v/>
      </c>
    </row>
    <row r="19">
      <c r="B19" s="6" t="n"/>
      <c r="C19" s="23" t="n"/>
      <c r="D19" s="6" t="n"/>
      <c r="E19" s="6" t="n"/>
      <c r="F19" s="6" t="n"/>
      <c r="G19" s="6" t="n"/>
      <c r="H19" s="26">
        <f>IF(OR(B19="",C19=""),"",IF(AND(F19="Ja",G19="Ja",D19&lt;&gt;"",E19&lt;&gt;""),"Ja","Nein"))</f>
        <v/>
      </c>
      <c r="I19" s="27">
        <f>IF(E19="",1,MATCH(E19,{"Fläche m²","Zimmer","Wertquote","Volumen m³","pro Einheit gleich"},0))</f>
        <v/>
      </c>
    </row>
    <row r="20">
      <c r="B20" s="6" t="n"/>
      <c r="C20" s="23" t="n"/>
      <c r="D20" s="6" t="n"/>
      <c r="E20" s="6" t="n"/>
      <c r="F20" s="6" t="n"/>
      <c r="G20" s="6" t="n"/>
      <c r="H20" s="26">
        <f>IF(OR(B20="",C20=""),"",IF(AND(F20="Ja",G20="Ja",D20&lt;&gt;"",E20&lt;&gt;""),"Ja","Nein"))</f>
        <v/>
      </c>
      <c r="I20" s="27">
        <f>IF(E20="",1,MATCH(E20,{"Fläche m²","Zimmer","Wertquote","Volumen m³","pro Einheit gleich"},0))</f>
        <v/>
      </c>
    </row>
    <row r="21">
      <c r="B21" s="6" t="n"/>
      <c r="C21" s="23" t="n"/>
      <c r="D21" s="6" t="n"/>
      <c r="E21" s="6" t="n"/>
      <c r="F21" s="6" t="n"/>
      <c r="G21" s="6" t="n"/>
      <c r="H21" s="26">
        <f>IF(OR(B21="",C21=""),"",IF(AND(F21="Ja",G21="Ja",D21&lt;&gt;"",E21&lt;&gt;""),"Ja","Nein"))</f>
        <v/>
      </c>
      <c r="I21" s="27">
        <f>IF(E21="",1,MATCH(E21,{"Fläche m²","Zimmer","Wertquote","Volumen m³","pro Einheit gleich"},0))</f>
        <v/>
      </c>
    </row>
    <row r="22">
      <c r="B22" s="6" t="n"/>
      <c r="C22" s="23" t="n"/>
      <c r="D22" s="6" t="n"/>
      <c r="E22" s="6" t="n"/>
      <c r="F22" s="6" t="n"/>
      <c r="G22" s="6" t="n"/>
      <c r="H22" s="26">
        <f>IF(OR(B22="",C22=""),"",IF(AND(F22="Ja",G22="Ja",D22&lt;&gt;"",E22&lt;&gt;""),"Ja","Nein"))</f>
        <v/>
      </c>
      <c r="I22" s="27">
        <f>IF(E22="",1,MATCH(E22,{"Fläche m²","Zimmer","Wertquote","Volumen m³","pro Einheit gleich"},0))</f>
        <v/>
      </c>
    </row>
    <row r="23">
      <c r="B23" s="6" t="n"/>
      <c r="C23" s="23" t="n"/>
      <c r="D23" s="6" t="n"/>
      <c r="E23" s="6" t="n"/>
      <c r="F23" s="6" t="n"/>
      <c r="G23" s="6" t="n"/>
      <c r="H23" s="26">
        <f>IF(OR(B23="",C23=""),"",IF(AND(F23="Ja",G23="Ja",D23&lt;&gt;"",E23&lt;&gt;""),"Ja","Nein"))</f>
        <v/>
      </c>
      <c r="I23" s="27">
        <f>IF(E23="",1,MATCH(E23,{"Fläche m²","Zimmer","Wertquote","Volumen m³","pro Einheit gleich"},0))</f>
        <v/>
      </c>
    </row>
    <row r="24">
      <c r="B24" s="6" t="n"/>
      <c r="C24" s="23" t="n"/>
      <c r="D24" s="6" t="n"/>
      <c r="E24" s="6" t="n"/>
      <c r="F24" s="6" t="n"/>
      <c r="G24" s="6" t="n"/>
      <c r="H24" s="26">
        <f>IF(OR(B24="",C24=""),"",IF(AND(F24="Ja",G24="Ja",D24&lt;&gt;"",E24&lt;&gt;""),"Ja","Nein"))</f>
        <v/>
      </c>
      <c r="I24" s="27">
        <f>IF(E24="",1,MATCH(E24,{"Fläche m²","Zimmer","Wertquote","Volumen m³","pro Einheit gleich"},0))</f>
        <v/>
      </c>
    </row>
    <row r="25">
      <c r="B25" s="6" t="n"/>
      <c r="C25" s="23" t="n"/>
      <c r="D25" s="6" t="n"/>
      <c r="E25" s="6" t="n"/>
      <c r="F25" s="6" t="n"/>
      <c r="G25" s="6" t="n"/>
      <c r="H25" s="26">
        <f>IF(OR(B25="",C25=""),"",IF(AND(F25="Ja",G25="Ja",D25&lt;&gt;"",E25&lt;&gt;""),"Ja","Nein"))</f>
        <v/>
      </c>
      <c r="I25" s="27">
        <f>IF(E25="",1,MATCH(E25,{"Fläche m²","Zimmer","Wertquote","Volumen m³","pro Einheit gleich"},0))</f>
        <v/>
      </c>
    </row>
    <row r="26">
      <c r="B26" s="19" t="inlineStr">
        <is>
          <t>Total erfasste Kosten</t>
        </is>
      </c>
      <c r="C26" s="30">
        <f>SUM(C6:C25)</f>
        <v/>
      </c>
    </row>
    <row r="27">
      <c r="B27" s="19" t="inlineStr">
        <is>
          <t>davon abrechenbar</t>
        </is>
      </c>
      <c r="C27" s="30">
        <f>SUMIF(H6:H25,"Ja",C6:C25)</f>
        <v/>
      </c>
    </row>
    <row r="28">
      <c r="B28" s="19" t="inlineStr">
        <is>
          <t>nicht abrechenbar (trägt Vermieter)</t>
        </is>
      </c>
      <c r="C28" s="30">
        <f>C26-C27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D6:D25" showDropDown="0" showInputMessage="0" showErrorMessage="0" allowBlank="1" type="list">
      <formula1>"Heizung/Warmwasser,Übrige Nebenkosten"</formula1>
    </dataValidation>
    <dataValidation sqref="E6:E25" showDropDown="0" showInputMessage="0" showErrorMessage="0" allowBlank="1" type="list">
      <formula1>"Fläche m²,Zimmer,Wertquote,Volumen m³,pro Einheit gleich"</formula1>
    </dataValidation>
    <dataValidation sqref="F6:G25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B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2">
      <c r="B2" s="1" t="inlineStr">
        <is>
          <t>Verteilung auf die Mietverhältnisse</t>
        </is>
      </c>
    </row>
    <row r="3">
      <c r="B3" s="2" t="inlineStr">
        <is>
          <t>Wird automatisch berechnet. Zeilen = Mieter (wie Blatt «Mieter»), Spalten = Kostenpositionen.</t>
        </is>
      </c>
    </row>
    <row r="5" ht="42" customHeight="1">
      <c r="B5" s="12" t="inlineStr">
        <is>
          <t>Nr</t>
        </is>
      </c>
      <c r="C5" s="12" t="inlineStr">
        <is>
          <t>Mieter/in</t>
        </is>
      </c>
      <c r="D5" s="31">
        <f>IF(Kosten!B6="","Pos. 1",Kosten!B6)</f>
        <v/>
      </c>
      <c r="E5" s="31">
        <f>IF(Kosten!B7="","Pos. 2",Kosten!B7)</f>
        <v/>
      </c>
      <c r="F5" s="31">
        <f>IF(Kosten!B8="","Pos. 3",Kosten!B8)</f>
        <v/>
      </c>
      <c r="G5" s="31">
        <f>IF(Kosten!B9="","Pos. 4",Kosten!B9)</f>
        <v/>
      </c>
      <c r="H5" s="31">
        <f>IF(Kosten!B10="","Pos. 5",Kosten!B10)</f>
        <v/>
      </c>
      <c r="I5" s="31">
        <f>IF(Kosten!B11="","Pos. 6",Kosten!B11)</f>
        <v/>
      </c>
      <c r="J5" s="31">
        <f>IF(Kosten!B12="","Pos. 7",Kosten!B12)</f>
        <v/>
      </c>
      <c r="K5" s="31">
        <f>IF(Kosten!B13="","Pos. 8",Kosten!B13)</f>
        <v/>
      </c>
      <c r="L5" s="31">
        <f>IF(Kosten!B14="","Pos. 9",Kosten!B14)</f>
        <v/>
      </c>
      <c r="M5" s="31">
        <f>IF(Kosten!B15="","Pos. 10",Kosten!B15)</f>
        <v/>
      </c>
      <c r="N5" s="31">
        <f>IF(Kosten!B16="","Pos. 11",Kosten!B16)</f>
        <v/>
      </c>
      <c r="O5" s="31">
        <f>IF(Kosten!B17="","Pos. 12",Kosten!B17)</f>
        <v/>
      </c>
      <c r="P5" s="31">
        <f>IF(Kosten!B18="","Pos. 13",Kosten!B18)</f>
        <v/>
      </c>
      <c r="Q5" s="31">
        <f>IF(Kosten!B19="","Pos. 14",Kosten!B19)</f>
        <v/>
      </c>
      <c r="R5" s="31">
        <f>IF(Kosten!B20="","Pos. 15",Kosten!B20)</f>
        <v/>
      </c>
      <c r="S5" s="31">
        <f>IF(Kosten!B21="","Pos. 16",Kosten!B21)</f>
        <v/>
      </c>
      <c r="T5" s="31">
        <f>IF(Kosten!B22="","Pos. 17",Kosten!B22)</f>
        <v/>
      </c>
      <c r="U5" s="31">
        <f>IF(Kosten!B23="","Pos. 18",Kosten!B23)</f>
        <v/>
      </c>
      <c r="V5" s="31">
        <f>IF(Kosten!B24="","Pos. 19",Kosten!B24)</f>
        <v/>
      </c>
      <c r="W5" s="31">
        <f>IF(Kosten!B25="","Pos. 20",Kosten!B25)</f>
        <v/>
      </c>
      <c r="X5" s="12" t="inlineStr">
        <is>
          <t>Nebenkosten</t>
        </is>
      </c>
      <c r="Y5" s="12" t="inlineStr">
        <is>
          <t>Verwaltungs-honorar</t>
        </is>
      </c>
      <c r="Z5" s="12" t="inlineStr">
        <is>
          <t>Total Anteil</t>
        </is>
      </c>
      <c r="AA5" s="12" t="inlineStr">
        <is>
          <t>Akonto bezahlt</t>
        </is>
      </c>
      <c r="AB5" s="12" t="inlineStr">
        <is>
          <t>Saldo (+ Nachzahlung / − Guthaben)</t>
        </is>
      </c>
    </row>
    <row r="6">
      <c r="B6" t="n">
        <v>1</v>
      </c>
      <c r="C6">
        <f>IF(Mieter!D6="","",Mieter!D6)</f>
        <v/>
      </c>
      <c r="D6" s="32">
        <f>IF(OR(Mieter!$D6="",Kosten!$H$6&lt;&gt;"Ja"),0,IFERROR(Kosten!$C$6*INDEX(Liegenschaft!$C$14:$G$25,MATCH(Mieter!$C6,Liegenschaft!$B$14:$B$25,0),Kosten!$I$6)/INDEX(Liegenschaft!$C$26:$G$26,1,Kosten!$I$6)*IF(Kosten!$D$6="Heizung/Warmwasser",Mieter!$L6,Mieter!$K6),0))</f>
        <v/>
      </c>
      <c r="E6" s="32">
        <f>IF(OR(Mieter!$D6="",Kosten!$H$7&lt;&gt;"Ja"),0,IFERROR(Kosten!$C$7*INDEX(Liegenschaft!$C$14:$G$25,MATCH(Mieter!$C6,Liegenschaft!$B$14:$B$25,0),Kosten!$I$7)/INDEX(Liegenschaft!$C$26:$G$26,1,Kosten!$I$7)*IF(Kosten!$D$7="Heizung/Warmwasser",Mieter!$L6,Mieter!$K6),0))</f>
        <v/>
      </c>
      <c r="F6" s="32">
        <f>IF(OR(Mieter!$D6="",Kosten!$H$8&lt;&gt;"Ja"),0,IFERROR(Kosten!$C$8*INDEX(Liegenschaft!$C$14:$G$25,MATCH(Mieter!$C6,Liegenschaft!$B$14:$B$25,0),Kosten!$I$8)/INDEX(Liegenschaft!$C$26:$G$26,1,Kosten!$I$8)*IF(Kosten!$D$8="Heizung/Warmwasser",Mieter!$L6,Mieter!$K6),0))</f>
        <v/>
      </c>
      <c r="G6" s="32">
        <f>IF(OR(Mieter!$D6="",Kosten!$H$9&lt;&gt;"Ja"),0,IFERROR(Kosten!$C$9*INDEX(Liegenschaft!$C$14:$G$25,MATCH(Mieter!$C6,Liegenschaft!$B$14:$B$25,0),Kosten!$I$9)/INDEX(Liegenschaft!$C$26:$G$26,1,Kosten!$I$9)*IF(Kosten!$D$9="Heizung/Warmwasser",Mieter!$L6,Mieter!$K6),0))</f>
        <v/>
      </c>
      <c r="H6" s="32">
        <f>IF(OR(Mieter!$D6="",Kosten!$H$10&lt;&gt;"Ja"),0,IFERROR(Kosten!$C$10*INDEX(Liegenschaft!$C$14:$G$25,MATCH(Mieter!$C6,Liegenschaft!$B$14:$B$25,0),Kosten!$I$10)/INDEX(Liegenschaft!$C$26:$G$26,1,Kosten!$I$10)*IF(Kosten!$D$10="Heizung/Warmwasser",Mieter!$L6,Mieter!$K6),0))</f>
        <v/>
      </c>
      <c r="I6" s="32">
        <f>IF(OR(Mieter!$D6="",Kosten!$H$11&lt;&gt;"Ja"),0,IFERROR(Kosten!$C$11*INDEX(Liegenschaft!$C$14:$G$25,MATCH(Mieter!$C6,Liegenschaft!$B$14:$B$25,0),Kosten!$I$11)/INDEX(Liegenschaft!$C$26:$G$26,1,Kosten!$I$11)*IF(Kosten!$D$11="Heizung/Warmwasser",Mieter!$L6,Mieter!$K6),0))</f>
        <v/>
      </c>
      <c r="J6" s="32">
        <f>IF(OR(Mieter!$D6="",Kosten!$H$12&lt;&gt;"Ja"),0,IFERROR(Kosten!$C$12*INDEX(Liegenschaft!$C$14:$G$25,MATCH(Mieter!$C6,Liegenschaft!$B$14:$B$25,0),Kosten!$I$12)/INDEX(Liegenschaft!$C$26:$G$26,1,Kosten!$I$12)*IF(Kosten!$D$12="Heizung/Warmwasser",Mieter!$L6,Mieter!$K6),0))</f>
        <v/>
      </c>
      <c r="K6" s="32">
        <f>IF(OR(Mieter!$D6="",Kosten!$H$13&lt;&gt;"Ja"),0,IFERROR(Kosten!$C$13*INDEX(Liegenschaft!$C$14:$G$25,MATCH(Mieter!$C6,Liegenschaft!$B$14:$B$25,0),Kosten!$I$13)/INDEX(Liegenschaft!$C$26:$G$26,1,Kosten!$I$13)*IF(Kosten!$D$13="Heizung/Warmwasser",Mieter!$L6,Mieter!$K6),0))</f>
        <v/>
      </c>
      <c r="L6" s="32">
        <f>IF(OR(Mieter!$D6="",Kosten!$H$14&lt;&gt;"Ja"),0,IFERROR(Kosten!$C$14*INDEX(Liegenschaft!$C$14:$G$25,MATCH(Mieter!$C6,Liegenschaft!$B$14:$B$25,0),Kosten!$I$14)/INDEX(Liegenschaft!$C$26:$G$26,1,Kosten!$I$14)*IF(Kosten!$D$14="Heizung/Warmwasser",Mieter!$L6,Mieter!$K6),0))</f>
        <v/>
      </c>
      <c r="M6" s="32">
        <f>IF(OR(Mieter!$D6="",Kosten!$H$15&lt;&gt;"Ja"),0,IFERROR(Kosten!$C$15*INDEX(Liegenschaft!$C$14:$G$25,MATCH(Mieter!$C6,Liegenschaft!$B$14:$B$25,0),Kosten!$I$15)/INDEX(Liegenschaft!$C$26:$G$26,1,Kosten!$I$15)*IF(Kosten!$D$15="Heizung/Warmwasser",Mieter!$L6,Mieter!$K6),0))</f>
        <v/>
      </c>
      <c r="N6" s="32">
        <f>IF(OR(Mieter!$D6="",Kosten!$H$16&lt;&gt;"Ja"),0,IFERROR(Kosten!$C$16*INDEX(Liegenschaft!$C$14:$G$25,MATCH(Mieter!$C6,Liegenschaft!$B$14:$B$25,0),Kosten!$I$16)/INDEX(Liegenschaft!$C$26:$G$26,1,Kosten!$I$16)*IF(Kosten!$D$16="Heizung/Warmwasser",Mieter!$L6,Mieter!$K6),0))</f>
        <v/>
      </c>
      <c r="O6" s="32">
        <f>IF(OR(Mieter!$D6="",Kosten!$H$17&lt;&gt;"Ja"),0,IFERROR(Kosten!$C$17*INDEX(Liegenschaft!$C$14:$G$25,MATCH(Mieter!$C6,Liegenschaft!$B$14:$B$25,0),Kosten!$I$17)/INDEX(Liegenschaft!$C$26:$G$26,1,Kosten!$I$17)*IF(Kosten!$D$17="Heizung/Warmwasser",Mieter!$L6,Mieter!$K6),0))</f>
        <v/>
      </c>
      <c r="P6" s="32">
        <f>IF(OR(Mieter!$D6="",Kosten!$H$18&lt;&gt;"Ja"),0,IFERROR(Kosten!$C$18*INDEX(Liegenschaft!$C$14:$G$25,MATCH(Mieter!$C6,Liegenschaft!$B$14:$B$25,0),Kosten!$I$18)/INDEX(Liegenschaft!$C$26:$G$26,1,Kosten!$I$18)*IF(Kosten!$D$18="Heizung/Warmwasser",Mieter!$L6,Mieter!$K6),0))</f>
        <v/>
      </c>
      <c r="Q6" s="32">
        <f>IF(OR(Mieter!$D6="",Kosten!$H$19&lt;&gt;"Ja"),0,IFERROR(Kosten!$C$19*INDEX(Liegenschaft!$C$14:$G$25,MATCH(Mieter!$C6,Liegenschaft!$B$14:$B$25,0),Kosten!$I$19)/INDEX(Liegenschaft!$C$26:$G$26,1,Kosten!$I$19)*IF(Kosten!$D$19="Heizung/Warmwasser",Mieter!$L6,Mieter!$K6),0))</f>
        <v/>
      </c>
      <c r="R6" s="32">
        <f>IF(OR(Mieter!$D6="",Kosten!$H$20&lt;&gt;"Ja"),0,IFERROR(Kosten!$C$20*INDEX(Liegenschaft!$C$14:$G$25,MATCH(Mieter!$C6,Liegenschaft!$B$14:$B$25,0),Kosten!$I$20)/INDEX(Liegenschaft!$C$26:$G$26,1,Kosten!$I$20)*IF(Kosten!$D$20="Heizung/Warmwasser",Mieter!$L6,Mieter!$K6),0))</f>
        <v/>
      </c>
      <c r="S6" s="32">
        <f>IF(OR(Mieter!$D6="",Kosten!$H$21&lt;&gt;"Ja"),0,IFERROR(Kosten!$C$21*INDEX(Liegenschaft!$C$14:$G$25,MATCH(Mieter!$C6,Liegenschaft!$B$14:$B$25,0),Kosten!$I$21)/INDEX(Liegenschaft!$C$26:$G$26,1,Kosten!$I$21)*IF(Kosten!$D$21="Heizung/Warmwasser",Mieter!$L6,Mieter!$K6),0))</f>
        <v/>
      </c>
      <c r="T6" s="32">
        <f>IF(OR(Mieter!$D6="",Kosten!$H$22&lt;&gt;"Ja"),0,IFERROR(Kosten!$C$22*INDEX(Liegenschaft!$C$14:$G$25,MATCH(Mieter!$C6,Liegenschaft!$B$14:$B$25,0),Kosten!$I$22)/INDEX(Liegenschaft!$C$26:$G$26,1,Kosten!$I$22)*IF(Kosten!$D$22="Heizung/Warmwasser",Mieter!$L6,Mieter!$K6),0))</f>
        <v/>
      </c>
      <c r="U6" s="32">
        <f>IF(OR(Mieter!$D6="",Kosten!$H$23&lt;&gt;"Ja"),0,IFERROR(Kosten!$C$23*INDEX(Liegenschaft!$C$14:$G$25,MATCH(Mieter!$C6,Liegenschaft!$B$14:$B$25,0),Kosten!$I$23)/INDEX(Liegenschaft!$C$26:$G$26,1,Kosten!$I$23)*IF(Kosten!$D$23="Heizung/Warmwasser",Mieter!$L6,Mieter!$K6),0))</f>
        <v/>
      </c>
      <c r="V6" s="32">
        <f>IF(OR(Mieter!$D6="",Kosten!$H$24&lt;&gt;"Ja"),0,IFERROR(Kosten!$C$24*INDEX(Liegenschaft!$C$14:$G$25,MATCH(Mieter!$C6,Liegenschaft!$B$14:$B$25,0),Kosten!$I$24)/INDEX(Liegenschaft!$C$26:$G$26,1,Kosten!$I$24)*IF(Kosten!$D$24="Heizung/Warmwasser",Mieter!$L6,Mieter!$K6),0))</f>
        <v/>
      </c>
      <c r="W6" s="32">
        <f>IF(OR(Mieter!$D6="",Kosten!$H$25&lt;&gt;"Ja"),0,IFERROR(Kosten!$C$25*INDEX(Liegenschaft!$C$14:$G$25,MATCH(Mieter!$C6,Liegenschaft!$B$14:$B$25,0),Kosten!$I$25)/INDEX(Liegenschaft!$C$26:$G$26,1,Kosten!$I$25)*IF(Kosten!$D$25="Heizung/Warmwasser",Mieter!$L6,Mieter!$K6),0))</f>
        <v/>
      </c>
      <c r="X6" s="32">
        <f>SUM(D6:W6)</f>
        <v/>
      </c>
      <c r="Y6" s="32">
        <f>IF(Liegenschaft!$C$11="Ja",ROUND(X6*Liegenschaft!$C$10,2),0)</f>
        <v/>
      </c>
      <c r="Z6" s="32">
        <f>ROUND(X6+Y6,2)</f>
        <v/>
      </c>
      <c r="AA6" s="32">
        <f>N(Mieter!G6)</f>
        <v/>
      </c>
      <c r="AB6" s="33">
        <f>IF(C6="",0,Z6-AA6)</f>
        <v/>
      </c>
    </row>
    <row r="7">
      <c r="B7" t="n">
        <v>2</v>
      </c>
      <c r="C7">
        <f>IF(Mieter!D7="","",Mieter!D7)</f>
        <v/>
      </c>
      <c r="D7" s="32">
        <f>IF(OR(Mieter!$D7="",Kosten!$H$6&lt;&gt;"Ja"),0,IFERROR(Kosten!$C$6*INDEX(Liegenschaft!$C$14:$G$25,MATCH(Mieter!$C7,Liegenschaft!$B$14:$B$25,0),Kosten!$I$6)/INDEX(Liegenschaft!$C$26:$G$26,1,Kosten!$I$6)*IF(Kosten!$D$6="Heizung/Warmwasser",Mieter!$L7,Mieter!$K7),0))</f>
        <v/>
      </c>
      <c r="E7" s="32">
        <f>IF(OR(Mieter!$D7="",Kosten!$H$7&lt;&gt;"Ja"),0,IFERROR(Kosten!$C$7*INDEX(Liegenschaft!$C$14:$G$25,MATCH(Mieter!$C7,Liegenschaft!$B$14:$B$25,0),Kosten!$I$7)/INDEX(Liegenschaft!$C$26:$G$26,1,Kosten!$I$7)*IF(Kosten!$D$7="Heizung/Warmwasser",Mieter!$L7,Mieter!$K7),0))</f>
        <v/>
      </c>
      <c r="F7" s="32">
        <f>IF(OR(Mieter!$D7="",Kosten!$H$8&lt;&gt;"Ja"),0,IFERROR(Kosten!$C$8*INDEX(Liegenschaft!$C$14:$G$25,MATCH(Mieter!$C7,Liegenschaft!$B$14:$B$25,0),Kosten!$I$8)/INDEX(Liegenschaft!$C$26:$G$26,1,Kosten!$I$8)*IF(Kosten!$D$8="Heizung/Warmwasser",Mieter!$L7,Mieter!$K7),0))</f>
        <v/>
      </c>
      <c r="G7" s="32">
        <f>IF(OR(Mieter!$D7="",Kosten!$H$9&lt;&gt;"Ja"),0,IFERROR(Kosten!$C$9*INDEX(Liegenschaft!$C$14:$G$25,MATCH(Mieter!$C7,Liegenschaft!$B$14:$B$25,0),Kosten!$I$9)/INDEX(Liegenschaft!$C$26:$G$26,1,Kosten!$I$9)*IF(Kosten!$D$9="Heizung/Warmwasser",Mieter!$L7,Mieter!$K7),0))</f>
        <v/>
      </c>
      <c r="H7" s="32">
        <f>IF(OR(Mieter!$D7="",Kosten!$H$10&lt;&gt;"Ja"),0,IFERROR(Kosten!$C$10*INDEX(Liegenschaft!$C$14:$G$25,MATCH(Mieter!$C7,Liegenschaft!$B$14:$B$25,0),Kosten!$I$10)/INDEX(Liegenschaft!$C$26:$G$26,1,Kosten!$I$10)*IF(Kosten!$D$10="Heizung/Warmwasser",Mieter!$L7,Mieter!$K7),0))</f>
        <v/>
      </c>
      <c r="I7" s="32">
        <f>IF(OR(Mieter!$D7="",Kosten!$H$11&lt;&gt;"Ja"),0,IFERROR(Kosten!$C$11*INDEX(Liegenschaft!$C$14:$G$25,MATCH(Mieter!$C7,Liegenschaft!$B$14:$B$25,0),Kosten!$I$11)/INDEX(Liegenschaft!$C$26:$G$26,1,Kosten!$I$11)*IF(Kosten!$D$11="Heizung/Warmwasser",Mieter!$L7,Mieter!$K7),0))</f>
        <v/>
      </c>
      <c r="J7" s="32">
        <f>IF(OR(Mieter!$D7="",Kosten!$H$12&lt;&gt;"Ja"),0,IFERROR(Kosten!$C$12*INDEX(Liegenschaft!$C$14:$G$25,MATCH(Mieter!$C7,Liegenschaft!$B$14:$B$25,0),Kosten!$I$12)/INDEX(Liegenschaft!$C$26:$G$26,1,Kosten!$I$12)*IF(Kosten!$D$12="Heizung/Warmwasser",Mieter!$L7,Mieter!$K7),0))</f>
        <v/>
      </c>
      <c r="K7" s="32">
        <f>IF(OR(Mieter!$D7="",Kosten!$H$13&lt;&gt;"Ja"),0,IFERROR(Kosten!$C$13*INDEX(Liegenschaft!$C$14:$G$25,MATCH(Mieter!$C7,Liegenschaft!$B$14:$B$25,0),Kosten!$I$13)/INDEX(Liegenschaft!$C$26:$G$26,1,Kosten!$I$13)*IF(Kosten!$D$13="Heizung/Warmwasser",Mieter!$L7,Mieter!$K7),0))</f>
        <v/>
      </c>
      <c r="L7" s="32">
        <f>IF(OR(Mieter!$D7="",Kosten!$H$14&lt;&gt;"Ja"),0,IFERROR(Kosten!$C$14*INDEX(Liegenschaft!$C$14:$G$25,MATCH(Mieter!$C7,Liegenschaft!$B$14:$B$25,0),Kosten!$I$14)/INDEX(Liegenschaft!$C$26:$G$26,1,Kosten!$I$14)*IF(Kosten!$D$14="Heizung/Warmwasser",Mieter!$L7,Mieter!$K7),0))</f>
        <v/>
      </c>
      <c r="M7" s="32">
        <f>IF(OR(Mieter!$D7="",Kosten!$H$15&lt;&gt;"Ja"),0,IFERROR(Kosten!$C$15*INDEX(Liegenschaft!$C$14:$G$25,MATCH(Mieter!$C7,Liegenschaft!$B$14:$B$25,0),Kosten!$I$15)/INDEX(Liegenschaft!$C$26:$G$26,1,Kosten!$I$15)*IF(Kosten!$D$15="Heizung/Warmwasser",Mieter!$L7,Mieter!$K7),0))</f>
        <v/>
      </c>
      <c r="N7" s="32">
        <f>IF(OR(Mieter!$D7="",Kosten!$H$16&lt;&gt;"Ja"),0,IFERROR(Kosten!$C$16*INDEX(Liegenschaft!$C$14:$G$25,MATCH(Mieter!$C7,Liegenschaft!$B$14:$B$25,0),Kosten!$I$16)/INDEX(Liegenschaft!$C$26:$G$26,1,Kosten!$I$16)*IF(Kosten!$D$16="Heizung/Warmwasser",Mieter!$L7,Mieter!$K7),0))</f>
        <v/>
      </c>
      <c r="O7" s="32">
        <f>IF(OR(Mieter!$D7="",Kosten!$H$17&lt;&gt;"Ja"),0,IFERROR(Kosten!$C$17*INDEX(Liegenschaft!$C$14:$G$25,MATCH(Mieter!$C7,Liegenschaft!$B$14:$B$25,0),Kosten!$I$17)/INDEX(Liegenschaft!$C$26:$G$26,1,Kosten!$I$17)*IF(Kosten!$D$17="Heizung/Warmwasser",Mieter!$L7,Mieter!$K7),0))</f>
        <v/>
      </c>
      <c r="P7" s="32">
        <f>IF(OR(Mieter!$D7="",Kosten!$H$18&lt;&gt;"Ja"),0,IFERROR(Kosten!$C$18*INDEX(Liegenschaft!$C$14:$G$25,MATCH(Mieter!$C7,Liegenschaft!$B$14:$B$25,0),Kosten!$I$18)/INDEX(Liegenschaft!$C$26:$G$26,1,Kosten!$I$18)*IF(Kosten!$D$18="Heizung/Warmwasser",Mieter!$L7,Mieter!$K7),0))</f>
        <v/>
      </c>
      <c r="Q7" s="32">
        <f>IF(OR(Mieter!$D7="",Kosten!$H$19&lt;&gt;"Ja"),0,IFERROR(Kosten!$C$19*INDEX(Liegenschaft!$C$14:$G$25,MATCH(Mieter!$C7,Liegenschaft!$B$14:$B$25,0),Kosten!$I$19)/INDEX(Liegenschaft!$C$26:$G$26,1,Kosten!$I$19)*IF(Kosten!$D$19="Heizung/Warmwasser",Mieter!$L7,Mieter!$K7),0))</f>
        <v/>
      </c>
      <c r="R7" s="32">
        <f>IF(OR(Mieter!$D7="",Kosten!$H$20&lt;&gt;"Ja"),0,IFERROR(Kosten!$C$20*INDEX(Liegenschaft!$C$14:$G$25,MATCH(Mieter!$C7,Liegenschaft!$B$14:$B$25,0),Kosten!$I$20)/INDEX(Liegenschaft!$C$26:$G$26,1,Kosten!$I$20)*IF(Kosten!$D$20="Heizung/Warmwasser",Mieter!$L7,Mieter!$K7),0))</f>
        <v/>
      </c>
      <c r="S7" s="32">
        <f>IF(OR(Mieter!$D7="",Kosten!$H$21&lt;&gt;"Ja"),0,IFERROR(Kosten!$C$21*INDEX(Liegenschaft!$C$14:$G$25,MATCH(Mieter!$C7,Liegenschaft!$B$14:$B$25,0),Kosten!$I$21)/INDEX(Liegenschaft!$C$26:$G$26,1,Kosten!$I$21)*IF(Kosten!$D$21="Heizung/Warmwasser",Mieter!$L7,Mieter!$K7),0))</f>
        <v/>
      </c>
      <c r="T7" s="32">
        <f>IF(OR(Mieter!$D7="",Kosten!$H$22&lt;&gt;"Ja"),0,IFERROR(Kosten!$C$22*INDEX(Liegenschaft!$C$14:$G$25,MATCH(Mieter!$C7,Liegenschaft!$B$14:$B$25,0),Kosten!$I$22)/INDEX(Liegenschaft!$C$26:$G$26,1,Kosten!$I$22)*IF(Kosten!$D$22="Heizung/Warmwasser",Mieter!$L7,Mieter!$K7),0))</f>
        <v/>
      </c>
      <c r="U7" s="32">
        <f>IF(OR(Mieter!$D7="",Kosten!$H$23&lt;&gt;"Ja"),0,IFERROR(Kosten!$C$23*INDEX(Liegenschaft!$C$14:$G$25,MATCH(Mieter!$C7,Liegenschaft!$B$14:$B$25,0),Kosten!$I$23)/INDEX(Liegenschaft!$C$26:$G$26,1,Kosten!$I$23)*IF(Kosten!$D$23="Heizung/Warmwasser",Mieter!$L7,Mieter!$K7),0))</f>
        <v/>
      </c>
      <c r="V7" s="32">
        <f>IF(OR(Mieter!$D7="",Kosten!$H$24&lt;&gt;"Ja"),0,IFERROR(Kosten!$C$24*INDEX(Liegenschaft!$C$14:$G$25,MATCH(Mieter!$C7,Liegenschaft!$B$14:$B$25,0),Kosten!$I$24)/INDEX(Liegenschaft!$C$26:$G$26,1,Kosten!$I$24)*IF(Kosten!$D$24="Heizung/Warmwasser",Mieter!$L7,Mieter!$K7),0))</f>
        <v/>
      </c>
      <c r="W7" s="32">
        <f>IF(OR(Mieter!$D7="",Kosten!$H$25&lt;&gt;"Ja"),0,IFERROR(Kosten!$C$25*INDEX(Liegenschaft!$C$14:$G$25,MATCH(Mieter!$C7,Liegenschaft!$B$14:$B$25,0),Kosten!$I$25)/INDEX(Liegenschaft!$C$26:$G$26,1,Kosten!$I$25)*IF(Kosten!$D$25="Heizung/Warmwasser",Mieter!$L7,Mieter!$K7),0))</f>
        <v/>
      </c>
      <c r="X7" s="32">
        <f>SUM(D7:W7)</f>
        <v/>
      </c>
      <c r="Y7" s="32">
        <f>IF(Liegenschaft!$C$11="Ja",ROUND(X7*Liegenschaft!$C$10,2),0)</f>
        <v/>
      </c>
      <c r="Z7" s="32">
        <f>ROUND(X7+Y7,2)</f>
        <v/>
      </c>
      <c r="AA7" s="32">
        <f>N(Mieter!G7)</f>
        <v/>
      </c>
      <c r="AB7" s="33">
        <f>IF(C7="",0,Z7-AA7)</f>
        <v/>
      </c>
    </row>
    <row r="8">
      <c r="B8" t="n">
        <v>3</v>
      </c>
      <c r="C8">
        <f>IF(Mieter!D8="","",Mieter!D8)</f>
        <v/>
      </c>
      <c r="D8" s="32">
        <f>IF(OR(Mieter!$D8="",Kosten!$H$6&lt;&gt;"Ja"),0,IFERROR(Kosten!$C$6*INDEX(Liegenschaft!$C$14:$G$25,MATCH(Mieter!$C8,Liegenschaft!$B$14:$B$25,0),Kosten!$I$6)/INDEX(Liegenschaft!$C$26:$G$26,1,Kosten!$I$6)*IF(Kosten!$D$6="Heizung/Warmwasser",Mieter!$L8,Mieter!$K8),0))</f>
        <v/>
      </c>
      <c r="E8" s="32">
        <f>IF(OR(Mieter!$D8="",Kosten!$H$7&lt;&gt;"Ja"),0,IFERROR(Kosten!$C$7*INDEX(Liegenschaft!$C$14:$G$25,MATCH(Mieter!$C8,Liegenschaft!$B$14:$B$25,0),Kosten!$I$7)/INDEX(Liegenschaft!$C$26:$G$26,1,Kosten!$I$7)*IF(Kosten!$D$7="Heizung/Warmwasser",Mieter!$L8,Mieter!$K8),0))</f>
        <v/>
      </c>
      <c r="F8" s="32">
        <f>IF(OR(Mieter!$D8="",Kosten!$H$8&lt;&gt;"Ja"),0,IFERROR(Kosten!$C$8*INDEX(Liegenschaft!$C$14:$G$25,MATCH(Mieter!$C8,Liegenschaft!$B$14:$B$25,0),Kosten!$I$8)/INDEX(Liegenschaft!$C$26:$G$26,1,Kosten!$I$8)*IF(Kosten!$D$8="Heizung/Warmwasser",Mieter!$L8,Mieter!$K8),0))</f>
        <v/>
      </c>
      <c r="G8" s="32">
        <f>IF(OR(Mieter!$D8="",Kosten!$H$9&lt;&gt;"Ja"),0,IFERROR(Kosten!$C$9*INDEX(Liegenschaft!$C$14:$G$25,MATCH(Mieter!$C8,Liegenschaft!$B$14:$B$25,0),Kosten!$I$9)/INDEX(Liegenschaft!$C$26:$G$26,1,Kosten!$I$9)*IF(Kosten!$D$9="Heizung/Warmwasser",Mieter!$L8,Mieter!$K8),0))</f>
        <v/>
      </c>
      <c r="H8" s="32">
        <f>IF(OR(Mieter!$D8="",Kosten!$H$10&lt;&gt;"Ja"),0,IFERROR(Kosten!$C$10*INDEX(Liegenschaft!$C$14:$G$25,MATCH(Mieter!$C8,Liegenschaft!$B$14:$B$25,0),Kosten!$I$10)/INDEX(Liegenschaft!$C$26:$G$26,1,Kosten!$I$10)*IF(Kosten!$D$10="Heizung/Warmwasser",Mieter!$L8,Mieter!$K8),0))</f>
        <v/>
      </c>
      <c r="I8" s="32">
        <f>IF(OR(Mieter!$D8="",Kosten!$H$11&lt;&gt;"Ja"),0,IFERROR(Kosten!$C$11*INDEX(Liegenschaft!$C$14:$G$25,MATCH(Mieter!$C8,Liegenschaft!$B$14:$B$25,0),Kosten!$I$11)/INDEX(Liegenschaft!$C$26:$G$26,1,Kosten!$I$11)*IF(Kosten!$D$11="Heizung/Warmwasser",Mieter!$L8,Mieter!$K8),0))</f>
        <v/>
      </c>
      <c r="J8" s="32">
        <f>IF(OR(Mieter!$D8="",Kosten!$H$12&lt;&gt;"Ja"),0,IFERROR(Kosten!$C$12*INDEX(Liegenschaft!$C$14:$G$25,MATCH(Mieter!$C8,Liegenschaft!$B$14:$B$25,0),Kosten!$I$12)/INDEX(Liegenschaft!$C$26:$G$26,1,Kosten!$I$12)*IF(Kosten!$D$12="Heizung/Warmwasser",Mieter!$L8,Mieter!$K8),0))</f>
        <v/>
      </c>
      <c r="K8" s="32">
        <f>IF(OR(Mieter!$D8="",Kosten!$H$13&lt;&gt;"Ja"),0,IFERROR(Kosten!$C$13*INDEX(Liegenschaft!$C$14:$G$25,MATCH(Mieter!$C8,Liegenschaft!$B$14:$B$25,0),Kosten!$I$13)/INDEX(Liegenschaft!$C$26:$G$26,1,Kosten!$I$13)*IF(Kosten!$D$13="Heizung/Warmwasser",Mieter!$L8,Mieter!$K8),0))</f>
        <v/>
      </c>
      <c r="L8" s="32">
        <f>IF(OR(Mieter!$D8="",Kosten!$H$14&lt;&gt;"Ja"),0,IFERROR(Kosten!$C$14*INDEX(Liegenschaft!$C$14:$G$25,MATCH(Mieter!$C8,Liegenschaft!$B$14:$B$25,0),Kosten!$I$14)/INDEX(Liegenschaft!$C$26:$G$26,1,Kosten!$I$14)*IF(Kosten!$D$14="Heizung/Warmwasser",Mieter!$L8,Mieter!$K8),0))</f>
        <v/>
      </c>
      <c r="M8" s="32">
        <f>IF(OR(Mieter!$D8="",Kosten!$H$15&lt;&gt;"Ja"),0,IFERROR(Kosten!$C$15*INDEX(Liegenschaft!$C$14:$G$25,MATCH(Mieter!$C8,Liegenschaft!$B$14:$B$25,0),Kosten!$I$15)/INDEX(Liegenschaft!$C$26:$G$26,1,Kosten!$I$15)*IF(Kosten!$D$15="Heizung/Warmwasser",Mieter!$L8,Mieter!$K8),0))</f>
        <v/>
      </c>
      <c r="N8" s="32">
        <f>IF(OR(Mieter!$D8="",Kosten!$H$16&lt;&gt;"Ja"),0,IFERROR(Kosten!$C$16*INDEX(Liegenschaft!$C$14:$G$25,MATCH(Mieter!$C8,Liegenschaft!$B$14:$B$25,0),Kosten!$I$16)/INDEX(Liegenschaft!$C$26:$G$26,1,Kosten!$I$16)*IF(Kosten!$D$16="Heizung/Warmwasser",Mieter!$L8,Mieter!$K8),0))</f>
        <v/>
      </c>
      <c r="O8" s="32">
        <f>IF(OR(Mieter!$D8="",Kosten!$H$17&lt;&gt;"Ja"),0,IFERROR(Kosten!$C$17*INDEX(Liegenschaft!$C$14:$G$25,MATCH(Mieter!$C8,Liegenschaft!$B$14:$B$25,0),Kosten!$I$17)/INDEX(Liegenschaft!$C$26:$G$26,1,Kosten!$I$17)*IF(Kosten!$D$17="Heizung/Warmwasser",Mieter!$L8,Mieter!$K8),0))</f>
        <v/>
      </c>
      <c r="P8" s="32">
        <f>IF(OR(Mieter!$D8="",Kosten!$H$18&lt;&gt;"Ja"),0,IFERROR(Kosten!$C$18*INDEX(Liegenschaft!$C$14:$G$25,MATCH(Mieter!$C8,Liegenschaft!$B$14:$B$25,0),Kosten!$I$18)/INDEX(Liegenschaft!$C$26:$G$26,1,Kosten!$I$18)*IF(Kosten!$D$18="Heizung/Warmwasser",Mieter!$L8,Mieter!$K8),0))</f>
        <v/>
      </c>
      <c r="Q8" s="32">
        <f>IF(OR(Mieter!$D8="",Kosten!$H$19&lt;&gt;"Ja"),0,IFERROR(Kosten!$C$19*INDEX(Liegenschaft!$C$14:$G$25,MATCH(Mieter!$C8,Liegenschaft!$B$14:$B$25,0),Kosten!$I$19)/INDEX(Liegenschaft!$C$26:$G$26,1,Kosten!$I$19)*IF(Kosten!$D$19="Heizung/Warmwasser",Mieter!$L8,Mieter!$K8),0))</f>
        <v/>
      </c>
      <c r="R8" s="32">
        <f>IF(OR(Mieter!$D8="",Kosten!$H$20&lt;&gt;"Ja"),0,IFERROR(Kosten!$C$20*INDEX(Liegenschaft!$C$14:$G$25,MATCH(Mieter!$C8,Liegenschaft!$B$14:$B$25,0),Kosten!$I$20)/INDEX(Liegenschaft!$C$26:$G$26,1,Kosten!$I$20)*IF(Kosten!$D$20="Heizung/Warmwasser",Mieter!$L8,Mieter!$K8),0))</f>
        <v/>
      </c>
      <c r="S8" s="32">
        <f>IF(OR(Mieter!$D8="",Kosten!$H$21&lt;&gt;"Ja"),0,IFERROR(Kosten!$C$21*INDEX(Liegenschaft!$C$14:$G$25,MATCH(Mieter!$C8,Liegenschaft!$B$14:$B$25,0),Kosten!$I$21)/INDEX(Liegenschaft!$C$26:$G$26,1,Kosten!$I$21)*IF(Kosten!$D$21="Heizung/Warmwasser",Mieter!$L8,Mieter!$K8),0))</f>
        <v/>
      </c>
      <c r="T8" s="32">
        <f>IF(OR(Mieter!$D8="",Kosten!$H$22&lt;&gt;"Ja"),0,IFERROR(Kosten!$C$22*INDEX(Liegenschaft!$C$14:$G$25,MATCH(Mieter!$C8,Liegenschaft!$B$14:$B$25,0),Kosten!$I$22)/INDEX(Liegenschaft!$C$26:$G$26,1,Kosten!$I$22)*IF(Kosten!$D$22="Heizung/Warmwasser",Mieter!$L8,Mieter!$K8),0))</f>
        <v/>
      </c>
      <c r="U8" s="32">
        <f>IF(OR(Mieter!$D8="",Kosten!$H$23&lt;&gt;"Ja"),0,IFERROR(Kosten!$C$23*INDEX(Liegenschaft!$C$14:$G$25,MATCH(Mieter!$C8,Liegenschaft!$B$14:$B$25,0),Kosten!$I$23)/INDEX(Liegenschaft!$C$26:$G$26,1,Kosten!$I$23)*IF(Kosten!$D$23="Heizung/Warmwasser",Mieter!$L8,Mieter!$K8),0))</f>
        <v/>
      </c>
      <c r="V8" s="32">
        <f>IF(OR(Mieter!$D8="",Kosten!$H$24&lt;&gt;"Ja"),0,IFERROR(Kosten!$C$24*INDEX(Liegenschaft!$C$14:$G$25,MATCH(Mieter!$C8,Liegenschaft!$B$14:$B$25,0),Kosten!$I$24)/INDEX(Liegenschaft!$C$26:$G$26,1,Kosten!$I$24)*IF(Kosten!$D$24="Heizung/Warmwasser",Mieter!$L8,Mieter!$K8),0))</f>
        <v/>
      </c>
      <c r="W8" s="32">
        <f>IF(OR(Mieter!$D8="",Kosten!$H$25&lt;&gt;"Ja"),0,IFERROR(Kosten!$C$25*INDEX(Liegenschaft!$C$14:$G$25,MATCH(Mieter!$C8,Liegenschaft!$B$14:$B$25,0),Kosten!$I$25)/INDEX(Liegenschaft!$C$26:$G$26,1,Kosten!$I$25)*IF(Kosten!$D$25="Heizung/Warmwasser",Mieter!$L8,Mieter!$K8),0))</f>
        <v/>
      </c>
      <c r="X8" s="32">
        <f>SUM(D8:W8)</f>
        <v/>
      </c>
      <c r="Y8" s="32">
        <f>IF(Liegenschaft!$C$11="Ja",ROUND(X8*Liegenschaft!$C$10,2),0)</f>
        <v/>
      </c>
      <c r="Z8" s="32">
        <f>ROUND(X8+Y8,2)</f>
        <v/>
      </c>
      <c r="AA8" s="32">
        <f>N(Mieter!G8)</f>
        <v/>
      </c>
      <c r="AB8" s="33">
        <f>IF(C8="",0,Z8-AA8)</f>
        <v/>
      </c>
    </row>
    <row r="9">
      <c r="B9" t="n">
        <v>4</v>
      </c>
      <c r="C9">
        <f>IF(Mieter!D9="","",Mieter!D9)</f>
        <v/>
      </c>
      <c r="D9" s="32">
        <f>IF(OR(Mieter!$D9="",Kosten!$H$6&lt;&gt;"Ja"),0,IFERROR(Kosten!$C$6*INDEX(Liegenschaft!$C$14:$G$25,MATCH(Mieter!$C9,Liegenschaft!$B$14:$B$25,0),Kosten!$I$6)/INDEX(Liegenschaft!$C$26:$G$26,1,Kosten!$I$6)*IF(Kosten!$D$6="Heizung/Warmwasser",Mieter!$L9,Mieter!$K9),0))</f>
        <v/>
      </c>
      <c r="E9" s="32">
        <f>IF(OR(Mieter!$D9="",Kosten!$H$7&lt;&gt;"Ja"),0,IFERROR(Kosten!$C$7*INDEX(Liegenschaft!$C$14:$G$25,MATCH(Mieter!$C9,Liegenschaft!$B$14:$B$25,0),Kosten!$I$7)/INDEX(Liegenschaft!$C$26:$G$26,1,Kosten!$I$7)*IF(Kosten!$D$7="Heizung/Warmwasser",Mieter!$L9,Mieter!$K9),0))</f>
        <v/>
      </c>
      <c r="F9" s="32">
        <f>IF(OR(Mieter!$D9="",Kosten!$H$8&lt;&gt;"Ja"),0,IFERROR(Kosten!$C$8*INDEX(Liegenschaft!$C$14:$G$25,MATCH(Mieter!$C9,Liegenschaft!$B$14:$B$25,0),Kosten!$I$8)/INDEX(Liegenschaft!$C$26:$G$26,1,Kosten!$I$8)*IF(Kosten!$D$8="Heizung/Warmwasser",Mieter!$L9,Mieter!$K9),0))</f>
        <v/>
      </c>
      <c r="G9" s="32">
        <f>IF(OR(Mieter!$D9="",Kosten!$H$9&lt;&gt;"Ja"),0,IFERROR(Kosten!$C$9*INDEX(Liegenschaft!$C$14:$G$25,MATCH(Mieter!$C9,Liegenschaft!$B$14:$B$25,0),Kosten!$I$9)/INDEX(Liegenschaft!$C$26:$G$26,1,Kosten!$I$9)*IF(Kosten!$D$9="Heizung/Warmwasser",Mieter!$L9,Mieter!$K9),0))</f>
        <v/>
      </c>
      <c r="H9" s="32">
        <f>IF(OR(Mieter!$D9="",Kosten!$H$10&lt;&gt;"Ja"),0,IFERROR(Kosten!$C$10*INDEX(Liegenschaft!$C$14:$G$25,MATCH(Mieter!$C9,Liegenschaft!$B$14:$B$25,0),Kosten!$I$10)/INDEX(Liegenschaft!$C$26:$G$26,1,Kosten!$I$10)*IF(Kosten!$D$10="Heizung/Warmwasser",Mieter!$L9,Mieter!$K9),0))</f>
        <v/>
      </c>
      <c r="I9" s="32">
        <f>IF(OR(Mieter!$D9="",Kosten!$H$11&lt;&gt;"Ja"),0,IFERROR(Kosten!$C$11*INDEX(Liegenschaft!$C$14:$G$25,MATCH(Mieter!$C9,Liegenschaft!$B$14:$B$25,0),Kosten!$I$11)/INDEX(Liegenschaft!$C$26:$G$26,1,Kosten!$I$11)*IF(Kosten!$D$11="Heizung/Warmwasser",Mieter!$L9,Mieter!$K9),0))</f>
        <v/>
      </c>
      <c r="J9" s="32">
        <f>IF(OR(Mieter!$D9="",Kosten!$H$12&lt;&gt;"Ja"),0,IFERROR(Kosten!$C$12*INDEX(Liegenschaft!$C$14:$G$25,MATCH(Mieter!$C9,Liegenschaft!$B$14:$B$25,0),Kosten!$I$12)/INDEX(Liegenschaft!$C$26:$G$26,1,Kosten!$I$12)*IF(Kosten!$D$12="Heizung/Warmwasser",Mieter!$L9,Mieter!$K9),0))</f>
        <v/>
      </c>
      <c r="K9" s="32">
        <f>IF(OR(Mieter!$D9="",Kosten!$H$13&lt;&gt;"Ja"),0,IFERROR(Kosten!$C$13*INDEX(Liegenschaft!$C$14:$G$25,MATCH(Mieter!$C9,Liegenschaft!$B$14:$B$25,0),Kosten!$I$13)/INDEX(Liegenschaft!$C$26:$G$26,1,Kosten!$I$13)*IF(Kosten!$D$13="Heizung/Warmwasser",Mieter!$L9,Mieter!$K9),0))</f>
        <v/>
      </c>
      <c r="L9" s="32">
        <f>IF(OR(Mieter!$D9="",Kosten!$H$14&lt;&gt;"Ja"),0,IFERROR(Kosten!$C$14*INDEX(Liegenschaft!$C$14:$G$25,MATCH(Mieter!$C9,Liegenschaft!$B$14:$B$25,0),Kosten!$I$14)/INDEX(Liegenschaft!$C$26:$G$26,1,Kosten!$I$14)*IF(Kosten!$D$14="Heizung/Warmwasser",Mieter!$L9,Mieter!$K9),0))</f>
        <v/>
      </c>
      <c r="M9" s="32">
        <f>IF(OR(Mieter!$D9="",Kosten!$H$15&lt;&gt;"Ja"),0,IFERROR(Kosten!$C$15*INDEX(Liegenschaft!$C$14:$G$25,MATCH(Mieter!$C9,Liegenschaft!$B$14:$B$25,0),Kosten!$I$15)/INDEX(Liegenschaft!$C$26:$G$26,1,Kosten!$I$15)*IF(Kosten!$D$15="Heizung/Warmwasser",Mieter!$L9,Mieter!$K9),0))</f>
        <v/>
      </c>
      <c r="N9" s="32">
        <f>IF(OR(Mieter!$D9="",Kosten!$H$16&lt;&gt;"Ja"),0,IFERROR(Kosten!$C$16*INDEX(Liegenschaft!$C$14:$G$25,MATCH(Mieter!$C9,Liegenschaft!$B$14:$B$25,0),Kosten!$I$16)/INDEX(Liegenschaft!$C$26:$G$26,1,Kosten!$I$16)*IF(Kosten!$D$16="Heizung/Warmwasser",Mieter!$L9,Mieter!$K9),0))</f>
        <v/>
      </c>
      <c r="O9" s="32">
        <f>IF(OR(Mieter!$D9="",Kosten!$H$17&lt;&gt;"Ja"),0,IFERROR(Kosten!$C$17*INDEX(Liegenschaft!$C$14:$G$25,MATCH(Mieter!$C9,Liegenschaft!$B$14:$B$25,0),Kosten!$I$17)/INDEX(Liegenschaft!$C$26:$G$26,1,Kosten!$I$17)*IF(Kosten!$D$17="Heizung/Warmwasser",Mieter!$L9,Mieter!$K9),0))</f>
        <v/>
      </c>
      <c r="P9" s="32">
        <f>IF(OR(Mieter!$D9="",Kosten!$H$18&lt;&gt;"Ja"),0,IFERROR(Kosten!$C$18*INDEX(Liegenschaft!$C$14:$G$25,MATCH(Mieter!$C9,Liegenschaft!$B$14:$B$25,0),Kosten!$I$18)/INDEX(Liegenschaft!$C$26:$G$26,1,Kosten!$I$18)*IF(Kosten!$D$18="Heizung/Warmwasser",Mieter!$L9,Mieter!$K9),0))</f>
        <v/>
      </c>
      <c r="Q9" s="32">
        <f>IF(OR(Mieter!$D9="",Kosten!$H$19&lt;&gt;"Ja"),0,IFERROR(Kosten!$C$19*INDEX(Liegenschaft!$C$14:$G$25,MATCH(Mieter!$C9,Liegenschaft!$B$14:$B$25,0),Kosten!$I$19)/INDEX(Liegenschaft!$C$26:$G$26,1,Kosten!$I$19)*IF(Kosten!$D$19="Heizung/Warmwasser",Mieter!$L9,Mieter!$K9),0))</f>
        <v/>
      </c>
      <c r="R9" s="32">
        <f>IF(OR(Mieter!$D9="",Kosten!$H$20&lt;&gt;"Ja"),0,IFERROR(Kosten!$C$20*INDEX(Liegenschaft!$C$14:$G$25,MATCH(Mieter!$C9,Liegenschaft!$B$14:$B$25,0),Kosten!$I$20)/INDEX(Liegenschaft!$C$26:$G$26,1,Kosten!$I$20)*IF(Kosten!$D$20="Heizung/Warmwasser",Mieter!$L9,Mieter!$K9),0))</f>
        <v/>
      </c>
      <c r="S9" s="32">
        <f>IF(OR(Mieter!$D9="",Kosten!$H$21&lt;&gt;"Ja"),0,IFERROR(Kosten!$C$21*INDEX(Liegenschaft!$C$14:$G$25,MATCH(Mieter!$C9,Liegenschaft!$B$14:$B$25,0),Kosten!$I$21)/INDEX(Liegenschaft!$C$26:$G$26,1,Kosten!$I$21)*IF(Kosten!$D$21="Heizung/Warmwasser",Mieter!$L9,Mieter!$K9),0))</f>
        <v/>
      </c>
      <c r="T9" s="32">
        <f>IF(OR(Mieter!$D9="",Kosten!$H$22&lt;&gt;"Ja"),0,IFERROR(Kosten!$C$22*INDEX(Liegenschaft!$C$14:$G$25,MATCH(Mieter!$C9,Liegenschaft!$B$14:$B$25,0),Kosten!$I$22)/INDEX(Liegenschaft!$C$26:$G$26,1,Kosten!$I$22)*IF(Kosten!$D$22="Heizung/Warmwasser",Mieter!$L9,Mieter!$K9),0))</f>
        <v/>
      </c>
      <c r="U9" s="32">
        <f>IF(OR(Mieter!$D9="",Kosten!$H$23&lt;&gt;"Ja"),0,IFERROR(Kosten!$C$23*INDEX(Liegenschaft!$C$14:$G$25,MATCH(Mieter!$C9,Liegenschaft!$B$14:$B$25,0),Kosten!$I$23)/INDEX(Liegenschaft!$C$26:$G$26,1,Kosten!$I$23)*IF(Kosten!$D$23="Heizung/Warmwasser",Mieter!$L9,Mieter!$K9),0))</f>
        <v/>
      </c>
      <c r="V9" s="32">
        <f>IF(OR(Mieter!$D9="",Kosten!$H$24&lt;&gt;"Ja"),0,IFERROR(Kosten!$C$24*INDEX(Liegenschaft!$C$14:$G$25,MATCH(Mieter!$C9,Liegenschaft!$B$14:$B$25,0),Kosten!$I$24)/INDEX(Liegenschaft!$C$26:$G$26,1,Kosten!$I$24)*IF(Kosten!$D$24="Heizung/Warmwasser",Mieter!$L9,Mieter!$K9),0))</f>
        <v/>
      </c>
      <c r="W9" s="32">
        <f>IF(OR(Mieter!$D9="",Kosten!$H$25&lt;&gt;"Ja"),0,IFERROR(Kosten!$C$25*INDEX(Liegenschaft!$C$14:$G$25,MATCH(Mieter!$C9,Liegenschaft!$B$14:$B$25,0),Kosten!$I$25)/INDEX(Liegenschaft!$C$26:$G$26,1,Kosten!$I$25)*IF(Kosten!$D$25="Heizung/Warmwasser",Mieter!$L9,Mieter!$K9),0))</f>
        <v/>
      </c>
      <c r="X9" s="32">
        <f>SUM(D9:W9)</f>
        <v/>
      </c>
      <c r="Y9" s="32">
        <f>IF(Liegenschaft!$C$11="Ja",ROUND(X9*Liegenschaft!$C$10,2),0)</f>
        <v/>
      </c>
      <c r="Z9" s="32">
        <f>ROUND(X9+Y9,2)</f>
        <v/>
      </c>
      <c r="AA9" s="32">
        <f>N(Mieter!G9)</f>
        <v/>
      </c>
      <c r="AB9" s="33">
        <f>IF(C9="",0,Z9-AA9)</f>
        <v/>
      </c>
    </row>
    <row r="10">
      <c r="B10" t="n">
        <v>5</v>
      </c>
      <c r="C10">
        <f>IF(Mieter!D10="","",Mieter!D10)</f>
        <v/>
      </c>
      <c r="D10" s="32">
        <f>IF(OR(Mieter!$D10="",Kosten!$H$6&lt;&gt;"Ja"),0,IFERROR(Kosten!$C$6*INDEX(Liegenschaft!$C$14:$G$25,MATCH(Mieter!$C10,Liegenschaft!$B$14:$B$25,0),Kosten!$I$6)/INDEX(Liegenschaft!$C$26:$G$26,1,Kosten!$I$6)*IF(Kosten!$D$6="Heizung/Warmwasser",Mieter!$L10,Mieter!$K10),0))</f>
        <v/>
      </c>
      <c r="E10" s="32">
        <f>IF(OR(Mieter!$D10="",Kosten!$H$7&lt;&gt;"Ja"),0,IFERROR(Kosten!$C$7*INDEX(Liegenschaft!$C$14:$G$25,MATCH(Mieter!$C10,Liegenschaft!$B$14:$B$25,0),Kosten!$I$7)/INDEX(Liegenschaft!$C$26:$G$26,1,Kosten!$I$7)*IF(Kosten!$D$7="Heizung/Warmwasser",Mieter!$L10,Mieter!$K10),0))</f>
        <v/>
      </c>
      <c r="F10" s="32">
        <f>IF(OR(Mieter!$D10="",Kosten!$H$8&lt;&gt;"Ja"),0,IFERROR(Kosten!$C$8*INDEX(Liegenschaft!$C$14:$G$25,MATCH(Mieter!$C10,Liegenschaft!$B$14:$B$25,0),Kosten!$I$8)/INDEX(Liegenschaft!$C$26:$G$26,1,Kosten!$I$8)*IF(Kosten!$D$8="Heizung/Warmwasser",Mieter!$L10,Mieter!$K10),0))</f>
        <v/>
      </c>
      <c r="G10" s="32">
        <f>IF(OR(Mieter!$D10="",Kosten!$H$9&lt;&gt;"Ja"),0,IFERROR(Kosten!$C$9*INDEX(Liegenschaft!$C$14:$G$25,MATCH(Mieter!$C10,Liegenschaft!$B$14:$B$25,0),Kosten!$I$9)/INDEX(Liegenschaft!$C$26:$G$26,1,Kosten!$I$9)*IF(Kosten!$D$9="Heizung/Warmwasser",Mieter!$L10,Mieter!$K10),0))</f>
        <v/>
      </c>
      <c r="H10" s="32">
        <f>IF(OR(Mieter!$D10="",Kosten!$H$10&lt;&gt;"Ja"),0,IFERROR(Kosten!$C$10*INDEX(Liegenschaft!$C$14:$G$25,MATCH(Mieter!$C10,Liegenschaft!$B$14:$B$25,0),Kosten!$I$10)/INDEX(Liegenschaft!$C$26:$G$26,1,Kosten!$I$10)*IF(Kosten!$D$10="Heizung/Warmwasser",Mieter!$L10,Mieter!$K10),0))</f>
        <v/>
      </c>
      <c r="I10" s="32">
        <f>IF(OR(Mieter!$D10="",Kosten!$H$11&lt;&gt;"Ja"),0,IFERROR(Kosten!$C$11*INDEX(Liegenschaft!$C$14:$G$25,MATCH(Mieter!$C10,Liegenschaft!$B$14:$B$25,0),Kosten!$I$11)/INDEX(Liegenschaft!$C$26:$G$26,1,Kosten!$I$11)*IF(Kosten!$D$11="Heizung/Warmwasser",Mieter!$L10,Mieter!$K10),0))</f>
        <v/>
      </c>
      <c r="J10" s="32">
        <f>IF(OR(Mieter!$D10="",Kosten!$H$12&lt;&gt;"Ja"),0,IFERROR(Kosten!$C$12*INDEX(Liegenschaft!$C$14:$G$25,MATCH(Mieter!$C10,Liegenschaft!$B$14:$B$25,0),Kosten!$I$12)/INDEX(Liegenschaft!$C$26:$G$26,1,Kosten!$I$12)*IF(Kosten!$D$12="Heizung/Warmwasser",Mieter!$L10,Mieter!$K10),0))</f>
        <v/>
      </c>
      <c r="K10" s="32">
        <f>IF(OR(Mieter!$D10="",Kosten!$H$13&lt;&gt;"Ja"),0,IFERROR(Kosten!$C$13*INDEX(Liegenschaft!$C$14:$G$25,MATCH(Mieter!$C10,Liegenschaft!$B$14:$B$25,0),Kosten!$I$13)/INDEX(Liegenschaft!$C$26:$G$26,1,Kosten!$I$13)*IF(Kosten!$D$13="Heizung/Warmwasser",Mieter!$L10,Mieter!$K10),0))</f>
        <v/>
      </c>
      <c r="L10" s="32">
        <f>IF(OR(Mieter!$D10="",Kosten!$H$14&lt;&gt;"Ja"),0,IFERROR(Kosten!$C$14*INDEX(Liegenschaft!$C$14:$G$25,MATCH(Mieter!$C10,Liegenschaft!$B$14:$B$25,0),Kosten!$I$14)/INDEX(Liegenschaft!$C$26:$G$26,1,Kosten!$I$14)*IF(Kosten!$D$14="Heizung/Warmwasser",Mieter!$L10,Mieter!$K10),0))</f>
        <v/>
      </c>
      <c r="M10" s="32">
        <f>IF(OR(Mieter!$D10="",Kosten!$H$15&lt;&gt;"Ja"),0,IFERROR(Kosten!$C$15*INDEX(Liegenschaft!$C$14:$G$25,MATCH(Mieter!$C10,Liegenschaft!$B$14:$B$25,0),Kosten!$I$15)/INDEX(Liegenschaft!$C$26:$G$26,1,Kosten!$I$15)*IF(Kosten!$D$15="Heizung/Warmwasser",Mieter!$L10,Mieter!$K10),0))</f>
        <v/>
      </c>
      <c r="N10" s="32">
        <f>IF(OR(Mieter!$D10="",Kosten!$H$16&lt;&gt;"Ja"),0,IFERROR(Kosten!$C$16*INDEX(Liegenschaft!$C$14:$G$25,MATCH(Mieter!$C10,Liegenschaft!$B$14:$B$25,0),Kosten!$I$16)/INDEX(Liegenschaft!$C$26:$G$26,1,Kosten!$I$16)*IF(Kosten!$D$16="Heizung/Warmwasser",Mieter!$L10,Mieter!$K10),0))</f>
        <v/>
      </c>
      <c r="O10" s="32">
        <f>IF(OR(Mieter!$D10="",Kosten!$H$17&lt;&gt;"Ja"),0,IFERROR(Kosten!$C$17*INDEX(Liegenschaft!$C$14:$G$25,MATCH(Mieter!$C10,Liegenschaft!$B$14:$B$25,0),Kosten!$I$17)/INDEX(Liegenschaft!$C$26:$G$26,1,Kosten!$I$17)*IF(Kosten!$D$17="Heizung/Warmwasser",Mieter!$L10,Mieter!$K10),0))</f>
        <v/>
      </c>
      <c r="P10" s="32">
        <f>IF(OR(Mieter!$D10="",Kosten!$H$18&lt;&gt;"Ja"),0,IFERROR(Kosten!$C$18*INDEX(Liegenschaft!$C$14:$G$25,MATCH(Mieter!$C10,Liegenschaft!$B$14:$B$25,0),Kosten!$I$18)/INDEX(Liegenschaft!$C$26:$G$26,1,Kosten!$I$18)*IF(Kosten!$D$18="Heizung/Warmwasser",Mieter!$L10,Mieter!$K10),0))</f>
        <v/>
      </c>
      <c r="Q10" s="32">
        <f>IF(OR(Mieter!$D10="",Kosten!$H$19&lt;&gt;"Ja"),0,IFERROR(Kosten!$C$19*INDEX(Liegenschaft!$C$14:$G$25,MATCH(Mieter!$C10,Liegenschaft!$B$14:$B$25,0),Kosten!$I$19)/INDEX(Liegenschaft!$C$26:$G$26,1,Kosten!$I$19)*IF(Kosten!$D$19="Heizung/Warmwasser",Mieter!$L10,Mieter!$K10),0))</f>
        <v/>
      </c>
      <c r="R10" s="32">
        <f>IF(OR(Mieter!$D10="",Kosten!$H$20&lt;&gt;"Ja"),0,IFERROR(Kosten!$C$20*INDEX(Liegenschaft!$C$14:$G$25,MATCH(Mieter!$C10,Liegenschaft!$B$14:$B$25,0),Kosten!$I$20)/INDEX(Liegenschaft!$C$26:$G$26,1,Kosten!$I$20)*IF(Kosten!$D$20="Heizung/Warmwasser",Mieter!$L10,Mieter!$K10),0))</f>
        <v/>
      </c>
      <c r="S10" s="32">
        <f>IF(OR(Mieter!$D10="",Kosten!$H$21&lt;&gt;"Ja"),0,IFERROR(Kosten!$C$21*INDEX(Liegenschaft!$C$14:$G$25,MATCH(Mieter!$C10,Liegenschaft!$B$14:$B$25,0),Kosten!$I$21)/INDEX(Liegenschaft!$C$26:$G$26,1,Kosten!$I$21)*IF(Kosten!$D$21="Heizung/Warmwasser",Mieter!$L10,Mieter!$K10),0))</f>
        <v/>
      </c>
      <c r="T10" s="32">
        <f>IF(OR(Mieter!$D10="",Kosten!$H$22&lt;&gt;"Ja"),0,IFERROR(Kosten!$C$22*INDEX(Liegenschaft!$C$14:$G$25,MATCH(Mieter!$C10,Liegenschaft!$B$14:$B$25,0),Kosten!$I$22)/INDEX(Liegenschaft!$C$26:$G$26,1,Kosten!$I$22)*IF(Kosten!$D$22="Heizung/Warmwasser",Mieter!$L10,Mieter!$K10),0))</f>
        <v/>
      </c>
      <c r="U10" s="32">
        <f>IF(OR(Mieter!$D10="",Kosten!$H$23&lt;&gt;"Ja"),0,IFERROR(Kosten!$C$23*INDEX(Liegenschaft!$C$14:$G$25,MATCH(Mieter!$C10,Liegenschaft!$B$14:$B$25,0),Kosten!$I$23)/INDEX(Liegenschaft!$C$26:$G$26,1,Kosten!$I$23)*IF(Kosten!$D$23="Heizung/Warmwasser",Mieter!$L10,Mieter!$K10),0))</f>
        <v/>
      </c>
      <c r="V10" s="32">
        <f>IF(OR(Mieter!$D10="",Kosten!$H$24&lt;&gt;"Ja"),0,IFERROR(Kosten!$C$24*INDEX(Liegenschaft!$C$14:$G$25,MATCH(Mieter!$C10,Liegenschaft!$B$14:$B$25,0),Kosten!$I$24)/INDEX(Liegenschaft!$C$26:$G$26,1,Kosten!$I$24)*IF(Kosten!$D$24="Heizung/Warmwasser",Mieter!$L10,Mieter!$K10),0))</f>
        <v/>
      </c>
      <c r="W10" s="32">
        <f>IF(OR(Mieter!$D10="",Kosten!$H$25&lt;&gt;"Ja"),0,IFERROR(Kosten!$C$25*INDEX(Liegenschaft!$C$14:$G$25,MATCH(Mieter!$C10,Liegenschaft!$B$14:$B$25,0),Kosten!$I$25)/INDEX(Liegenschaft!$C$26:$G$26,1,Kosten!$I$25)*IF(Kosten!$D$25="Heizung/Warmwasser",Mieter!$L10,Mieter!$K10),0))</f>
        <v/>
      </c>
      <c r="X10" s="32">
        <f>SUM(D10:W10)</f>
        <v/>
      </c>
      <c r="Y10" s="32">
        <f>IF(Liegenschaft!$C$11="Ja",ROUND(X10*Liegenschaft!$C$10,2),0)</f>
        <v/>
      </c>
      <c r="Z10" s="32">
        <f>ROUND(X10+Y10,2)</f>
        <v/>
      </c>
      <c r="AA10" s="32">
        <f>N(Mieter!G10)</f>
        <v/>
      </c>
      <c r="AB10" s="33">
        <f>IF(C10="",0,Z10-AA10)</f>
        <v/>
      </c>
    </row>
    <row r="11">
      <c r="B11" t="n">
        <v>6</v>
      </c>
      <c r="C11">
        <f>IF(Mieter!D11="","",Mieter!D11)</f>
        <v/>
      </c>
      <c r="D11" s="32">
        <f>IF(OR(Mieter!$D11="",Kosten!$H$6&lt;&gt;"Ja"),0,IFERROR(Kosten!$C$6*INDEX(Liegenschaft!$C$14:$G$25,MATCH(Mieter!$C11,Liegenschaft!$B$14:$B$25,0),Kosten!$I$6)/INDEX(Liegenschaft!$C$26:$G$26,1,Kosten!$I$6)*IF(Kosten!$D$6="Heizung/Warmwasser",Mieter!$L11,Mieter!$K11),0))</f>
        <v/>
      </c>
      <c r="E11" s="32">
        <f>IF(OR(Mieter!$D11="",Kosten!$H$7&lt;&gt;"Ja"),0,IFERROR(Kosten!$C$7*INDEX(Liegenschaft!$C$14:$G$25,MATCH(Mieter!$C11,Liegenschaft!$B$14:$B$25,0),Kosten!$I$7)/INDEX(Liegenschaft!$C$26:$G$26,1,Kosten!$I$7)*IF(Kosten!$D$7="Heizung/Warmwasser",Mieter!$L11,Mieter!$K11),0))</f>
        <v/>
      </c>
      <c r="F11" s="32">
        <f>IF(OR(Mieter!$D11="",Kosten!$H$8&lt;&gt;"Ja"),0,IFERROR(Kosten!$C$8*INDEX(Liegenschaft!$C$14:$G$25,MATCH(Mieter!$C11,Liegenschaft!$B$14:$B$25,0),Kosten!$I$8)/INDEX(Liegenschaft!$C$26:$G$26,1,Kosten!$I$8)*IF(Kosten!$D$8="Heizung/Warmwasser",Mieter!$L11,Mieter!$K11),0))</f>
        <v/>
      </c>
      <c r="G11" s="32">
        <f>IF(OR(Mieter!$D11="",Kosten!$H$9&lt;&gt;"Ja"),0,IFERROR(Kosten!$C$9*INDEX(Liegenschaft!$C$14:$G$25,MATCH(Mieter!$C11,Liegenschaft!$B$14:$B$25,0),Kosten!$I$9)/INDEX(Liegenschaft!$C$26:$G$26,1,Kosten!$I$9)*IF(Kosten!$D$9="Heizung/Warmwasser",Mieter!$L11,Mieter!$K11),0))</f>
        <v/>
      </c>
      <c r="H11" s="32">
        <f>IF(OR(Mieter!$D11="",Kosten!$H$10&lt;&gt;"Ja"),0,IFERROR(Kosten!$C$10*INDEX(Liegenschaft!$C$14:$G$25,MATCH(Mieter!$C11,Liegenschaft!$B$14:$B$25,0),Kosten!$I$10)/INDEX(Liegenschaft!$C$26:$G$26,1,Kosten!$I$10)*IF(Kosten!$D$10="Heizung/Warmwasser",Mieter!$L11,Mieter!$K11),0))</f>
        <v/>
      </c>
      <c r="I11" s="32">
        <f>IF(OR(Mieter!$D11="",Kosten!$H$11&lt;&gt;"Ja"),0,IFERROR(Kosten!$C$11*INDEX(Liegenschaft!$C$14:$G$25,MATCH(Mieter!$C11,Liegenschaft!$B$14:$B$25,0),Kosten!$I$11)/INDEX(Liegenschaft!$C$26:$G$26,1,Kosten!$I$11)*IF(Kosten!$D$11="Heizung/Warmwasser",Mieter!$L11,Mieter!$K11),0))</f>
        <v/>
      </c>
      <c r="J11" s="32">
        <f>IF(OR(Mieter!$D11="",Kosten!$H$12&lt;&gt;"Ja"),0,IFERROR(Kosten!$C$12*INDEX(Liegenschaft!$C$14:$G$25,MATCH(Mieter!$C11,Liegenschaft!$B$14:$B$25,0),Kosten!$I$12)/INDEX(Liegenschaft!$C$26:$G$26,1,Kosten!$I$12)*IF(Kosten!$D$12="Heizung/Warmwasser",Mieter!$L11,Mieter!$K11),0))</f>
        <v/>
      </c>
      <c r="K11" s="32">
        <f>IF(OR(Mieter!$D11="",Kosten!$H$13&lt;&gt;"Ja"),0,IFERROR(Kosten!$C$13*INDEX(Liegenschaft!$C$14:$G$25,MATCH(Mieter!$C11,Liegenschaft!$B$14:$B$25,0),Kosten!$I$13)/INDEX(Liegenschaft!$C$26:$G$26,1,Kosten!$I$13)*IF(Kosten!$D$13="Heizung/Warmwasser",Mieter!$L11,Mieter!$K11),0))</f>
        <v/>
      </c>
      <c r="L11" s="32">
        <f>IF(OR(Mieter!$D11="",Kosten!$H$14&lt;&gt;"Ja"),0,IFERROR(Kosten!$C$14*INDEX(Liegenschaft!$C$14:$G$25,MATCH(Mieter!$C11,Liegenschaft!$B$14:$B$25,0),Kosten!$I$14)/INDEX(Liegenschaft!$C$26:$G$26,1,Kosten!$I$14)*IF(Kosten!$D$14="Heizung/Warmwasser",Mieter!$L11,Mieter!$K11),0))</f>
        <v/>
      </c>
      <c r="M11" s="32">
        <f>IF(OR(Mieter!$D11="",Kosten!$H$15&lt;&gt;"Ja"),0,IFERROR(Kosten!$C$15*INDEX(Liegenschaft!$C$14:$G$25,MATCH(Mieter!$C11,Liegenschaft!$B$14:$B$25,0),Kosten!$I$15)/INDEX(Liegenschaft!$C$26:$G$26,1,Kosten!$I$15)*IF(Kosten!$D$15="Heizung/Warmwasser",Mieter!$L11,Mieter!$K11),0))</f>
        <v/>
      </c>
      <c r="N11" s="32">
        <f>IF(OR(Mieter!$D11="",Kosten!$H$16&lt;&gt;"Ja"),0,IFERROR(Kosten!$C$16*INDEX(Liegenschaft!$C$14:$G$25,MATCH(Mieter!$C11,Liegenschaft!$B$14:$B$25,0),Kosten!$I$16)/INDEX(Liegenschaft!$C$26:$G$26,1,Kosten!$I$16)*IF(Kosten!$D$16="Heizung/Warmwasser",Mieter!$L11,Mieter!$K11),0))</f>
        <v/>
      </c>
      <c r="O11" s="32">
        <f>IF(OR(Mieter!$D11="",Kosten!$H$17&lt;&gt;"Ja"),0,IFERROR(Kosten!$C$17*INDEX(Liegenschaft!$C$14:$G$25,MATCH(Mieter!$C11,Liegenschaft!$B$14:$B$25,0),Kosten!$I$17)/INDEX(Liegenschaft!$C$26:$G$26,1,Kosten!$I$17)*IF(Kosten!$D$17="Heizung/Warmwasser",Mieter!$L11,Mieter!$K11),0))</f>
        <v/>
      </c>
      <c r="P11" s="32">
        <f>IF(OR(Mieter!$D11="",Kosten!$H$18&lt;&gt;"Ja"),0,IFERROR(Kosten!$C$18*INDEX(Liegenschaft!$C$14:$G$25,MATCH(Mieter!$C11,Liegenschaft!$B$14:$B$25,0),Kosten!$I$18)/INDEX(Liegenschaft!$C$26:$G$26,1,Kosten!$I$18)*IF(Kosten!$D$18="Heizung/Warmwasser",Mieter!$L11,Mieter!$K11),0))</f>
        <v/>
      </c>
      <c r="Q11" s="32">
        <f>IF(OR(Mieter!$D11="",Kosten!$H$19&lt;&gt;"Ja"),0,IFERROR(Kosten!$C$19*INDEX(Liegenschaft!$C$14:$G$25,MATCH(Mieter!$C11,Liegenschaft!$B$14:$B$25,0),Kosten!$I$19)/INDEX(Liegenschaft!$C$26:$G$26,1,Kosten!$I$19)*IF(Kosten!$D$19="Heizung/Warmwasser",Mieter!$L11,Mieter!$K11),0))</f>
        <v/>
      </c>
      <c r="R11" s="32">
        <f>IF(OR(Mieter!$D11="",Kosten!$H$20&lt;&gt;"Ja"),0,IFERROR(Kosten!$C$20*INDEX(Liegenschaft!$C$14:$G$25,MATCH(Mieter!$C11,Liegenschaft!$B$14:$B$25,0),Kosten!$I$20)/INDEX(Liegenschaft!$C$26:$G$26,1,Kosten!$I$20)*IF(Kosten!$D$20="Heizung/Warmwasser",Mieter!$L11,Mieter!$K11),0))</f>
        <v/>
      </c>
      <c r="S11" s="32">
        <f>IF(OR(Mieter!$D11="",Kosten!$H$21&lt;&gt;"Ja"),0,IFERROR(Kosten!$C$21*INDEX(Liegenschaft!$C$14:$G$25,MATCH(Mieter!$C11,Liegenschaft!$B$14:$B$25,0),Kosten!$I$21)/INDEX(Liegenschaft!$C$26:$G$26,1,Kosten!$I$21)*IF(Kosten!$D$21="Heizung/Warmwasser",Mieter!$L11,Mieter!$K11),0))</f>
        <v/>
      </c>
      <c r="T11" s="32">
        <f>IF(OR(Mieter!$D11="",Kosten!$H$22&lt;&gt;"Ja"),0,IFERROR(Kosten!$C$22*INDEX(Liegenschaft!$C$14:$G$25,MATCH(Mieter!$C11,Liegenschaft!$B$14:$B$25,0),Kosten!$I$22)/INDEX(Liegenschaft!$C$26:$G$26,1,Kosten!$I$22)*IF(Kosten!$D$22="Heizung/Warmwasser",Mieter!$L11,Mieter!$K11),0))</f>
        <v/>
      </c>
      <c r="U11" s="32">
        <f>IF(OR(Mieter!$D11="",Kosten!$H$23&lt;&gt;"Ja"),0,IFERROR(Kosten!$C$23*INDEX(Liegenschaft!$C$14:$G$25,MATCH(Mieter!$C11,Liegenschaft!$B$14:$B$25,0),Kosten!$I$23)/INDEX(Liegenschaft!$C$26:$G$26,1,Kosten!$I$23)*IF(Kosten!$D$23="Heizung/Warmwasser",Mieter!$L11,Mieter!$K11),0))</f>
        <v/>
      </c>
      <c r="V11" s="32">
        <f>IF(OR(Mieter!$D11="",Kosten!$H$24&lt;&gt;"Ja"),0,IFERROR(Kosten!$C$24*INDEX(Liegenschaft!$C$14:$G$25,MATCH(Mieter!$C11,Liegenschaft!$B$14:$B$25,0),Kosten!$I$24)/INDEX(Liegenschaft!$C$26:$G$26,1,Kosten!$I$24)*IF(Kosten!$D$24="Heizung/Warmwasser",Mieter!$L11,Mieter!$K11),0))</f>
        <v/>
      </c>
      <c r="W11" s="32">
        <f>IF(OR(Mieter!$D11="",Kosten!$H$25&lt;&gt;"Ja"),0,IFERROR(Kosten!$C$25*INDEX(Liegenschaft!$C$14:$G$25,MATCH(Mieter!$C11,Liegenschaft!$B$14:$B$25,0),Kosten!$I$25)/INDEX(Liegenschaft!$C$26:$G$26,1,Kosten!$I$25)*IF(Kosten!$D$25="Heizung/Warmwasser",Mieter!$L11,Mieter!$K11),0))</f>
        <v/>
      </c>
      <c r="X11" s="32">
        <f>SUM(D11:W11)</f>
        <v/>
      </c>
      <c r="Y11" s="32">
        <f>IF(Liegenschaft!$C$11="Ja",ROUND(X11*Liegenschaft!$C$10,2),0)</f>
        <v/>
      </c>
      <c r="Z11" s="32">
        <f>ROUND(X11+Y11,2)</f>
        <v/>
      </c>
      <c r="AA11" s="32">
        <f>N(Mieter!G11)</f>
        <v/>
      </c>
      <c r="AB11" s="33">
        <f>IF(C11="",0,Z11-AA11)</f>
        <v/>
      </c>
    </row>
    <row r="12">
      <c r="B12" t="n">
        <v>7</v>
      </c>
      <c r="C12">
        <f>IF(Mieter!D12="","",Mieter!D12)</f>
        <v/>
      </c>
      <c r="D12" s="32">
        <f>IF(OR(Mieter!$D12="",Kosten!$H$6&lt;&gt;"Ja"),0,IFERROR(Kosten!$C$6*INDEX(Liegenschaft!$C$14:$G$25,MATCH(Mieter!$C12,Liegenschaft!$B$14:$B$25,0),Kosten!$I$6)/INDEX(Liegenschaft!$C$26:$G$26,1,Kosten!$I$6)*IF(Kosten!$D$6="Heizung/Warmwasser",Mieter!$L12,Mieter!$K12),0))</f>
        <v/>
      </c>
      <c r="E12" s="32">
        <f>IF(OR(Mieter!$D12="",Kosten!$H$7&lt;&gt;"Ja"),0,IFERROR(Kosten!$C$7*INDEX(Liegenschaft!$C$14:$G$25,MATCH(Mieter!$C12,Liegenschaft!$B$14:$B$25,0),Kosten!$I$7)/INDEX(Liegenschaft!$C$26:$G$26,1,Kosten!$I$7)*IF(Kosten!$D$7="Heizung/Warmwasser",Mieter!$L12,Mieter!$K12),0))</f>
        <v/>
      </c>
      <c r="F12" s="32">
        <f>IF(OR(Mieter!$D12="",Kosten!$H$8&lt;&gt;"Ja"),0,IFERROR(Kosten!$C$8*INDEX(Liegenschaft!$C$14:$G$25,MATCH(Mieter!$C12,Liegenschaft!$B$14:$B$25,0),Kosten!$I$8)/INDEX(Liegenschaft!$C$26:$G$26,1,Kosten!$I$8)*IF(Kosten!$D$8="Heizung/Warmwasser",Mieter!$L12,Mieter!$K12),0))</f>
        <v/>
      </c>
      <c r="G12" s="32">
        <f>IF(OR(Mieter!$D12="",Kosten!$H$9&lt;&gt;"Ja"),0,IFERROR(Kosten!$C$9*INDEX(Liegenschaft!$C$14:$G$25,MATCH(Mieter!$C12,Liegenschaft!$B$14:$B$25,0),Kosten!$I$9)/INDEX(Liegenschaft!$C$26:$G$26,1,Kosten!$I$9)*IF(Kosten!$D$9="Heizung/Warmwasser",Mieter!$L12,Mieter!$K12),0))</f>
        <v/>
      </c>
      <c r="H12" s="32">
        <f>IF(OR(Mieter!$D12="",Kosten!$H$10&lt;&gt;"Ja"),0,IFERROR(Kosten!$C$10*INDEX(Liegenschaft!$C$14:$G$25,MATCH(Mieter!$C12,Liegenschaft!$B$14:$B$25,0),Kosten!$I$10)/INDEX(Liegenschaft!$C$26:$G$26,1,Kosten!$I$10)*IF(Kosten!$D$10="Heizung/Warmwasser",Mieter!$L12,Mieter!$K12),0))</f>
        <v/>
      </c>
      <c r="I12" s="32">
        <f>IF(OR(Mieter!$D12="",Kosten!$H$11&lt;&gt;"Ja"),0,IFERROR(Kosten!$C$11*INDEX(Liegenschaft!$C$14:$G$25,MATCH(Mieter!$C12,Liegenschaft!$B$14:$B$25,0),Kosten!$I$11)/INDEX(Liegenschaft!$C$26:$G$26,1,Kosten!$I$11)*IF(Kosten!$D$11="Heizung/Warmwasser",Mieter!$L12,Mieter!$K12),0))</f>
        <v/>
      </c>
      <c r="J12" s="32">
        <f>IF(OR(Mieter!$D12="",Kosten!$H$12&lt;&gt;"Ja"),0,IFERROR(Kosten!$C$12*INDEX(Liegenschaft!$C$14:$G$25,MATCH(Mieter!$C12,Liegenschaft!$B$14:$B$25,0),Kosten!$I$12)/INDEX(Liegenschaft!$C$26:$G$26,1,Kosten!$I$12)*IF(Kosten!$D$12="Heizung/Warmwasser",Mieter!$L12,Mieter!$K12),0))</f>
        <v/>
      </c>
      <c r="K12" s="32">
        <f>IF(OR(Mieter!$D12="",Kosten!$H$13&lt;&gt;"Ja"),0,IFERROR(Kosten!$C$13*INDEX(Liegenschaft!$C$14:$G$25,MATCH(Mieter!$C12,Liegenschaft!$B$14:$B$25,0),Kosten!$I$13)/INDEX(Liegenschaft!$C$26:$G$26,1,Kosten!$I$13)*IF(Kosten!$D$13="Heizung/Warmwasser",Mieter!$L12,Mieter!$K12),0))</f>
        <v/>
      </c>
      <c r="L12" s="32">
        <f>IF(OR(Mieter!$D12="",Kosten!$H$14&lt;&gt;"Ja"),0,IFERROR(Kosten!$C$14*INDEX(Liegenschaft!$C$14:$G$25,MATCH(Mieter!$C12,Liegenschaft!$B$14:$B$25,0),Kosten!$I$14)/INDEX(Liegenschaft!$C$26:$G$26,1,Kosten!$I$14)*IF(Kosten!$D$14="Heizung/Warmwasser",Mieter!$L12,Mieter!$K12),0))</f>
        <v/>
      </c>
      <c r="M12" s="32">
        <f>IF(OR(Mieter!$D12="",Kosten!$H$15&lt;&gt;"Ja"),0,IFERROR(Kosten!$C$15*INDEX(Liegenschaft!$C$14:$G$25,MATCH(Mieter!$C12,Liegenschaft!$B$14:$B$25,0),Kosten!$I$15)/INDEX(Liegenschaft!$C$26:$G$26,1,Kosten!$I$15)*IF(Kosten!$D$15="Heizung/Warmwasser",Mieter!$L12,Mieter!$K12),0))</f>
        <v/>
      </c>
      <c r="N12" s="32">
        <f>IF(OR(Mieter!$D12="",Kosten!$H$16&lt;&gt;"Ja"),0,IFERROR(Kosten!$C$16*INDEX(Liegenschaft!$C$14:$G$25,MATCH(Mieter!$C12,Liegenschaft!$B$14:$B$25,0),Kosten!$I$16)/INDEX(Liegenschaft!$C$26:$G$26,1,Kosten!$I$16)*IF(Kosten!$D$16="Heizung/Warmwasser",Mieter!$L12,Mieter!$K12),0))</f>
        <v/>
      </c>
      <c r="O12" s="32">
        <f>IF(OR(Mieter!$D12="",Kosten!$H$17&lt;&gt;"Ja"),0,IFERROR(Kosten!$C$17*INDEX(Liegenschaft!$C$14:$G$25,MATCH(Mieter!$C12,Liegenschaft!$B$14:$B$25,0),Kosten!$I$17)/INDEX(Liegenschaft!$C$26:$G$26,1,Kosten!$I$17)*IF(Kosten!$D$17="Heizung/Warmwasser",Mieter!$L12,Mieter!$K12),0))</f>
        <v/>
      </c>
      <c r="P12" s="32">
        <f>IF(OR(Mieter!$D12="",Kosten!$H$18&lt;&gt;"Ja"),0,IFERROR(Kosten!$C$18*INDEX(Liegenschaft!$C$14:$G$25,MATCH(Mieter!$C12,Liegenschaft!$B$14:$B$25,0),Kosten!$I$18)/INDEX(Liegenschaft!$C$26:$G$26,1,Kosten!$I$18)*IF(Kosten!$D$18="Heizung/Warmwasser",Mieter!$L12,Mieter!$K12),0))</f>
        <v/>
      </c>
      <c r="Q12" s="32">
        <f>IF(OR(Mieter!$D12="",Kosten!$H$19&lt;&gt;"Ja"),0,IFERROR(Kosten!$C$19*INDEX(Liegenschaft!$C$14:$G$25,MATCH(Mieter!$C12,Liegenschaft!$B$14:$B$25,0),Kosten!$I$19)/INDEX(Liegenschaft!$C$26:$G$26,1,Kosten!$I$19)*IF(Kosten!$D$19="Heizung/Warmwasser",Mieter!$L12,Mieter!$K12),0))</f>
        <v/>
      </c>
      <c r="R12" s="32">
        <f>IF(OR(Mieter!$D12="",Kosten!$H$20&lt;&gt;"Ja"),0,IFERROR(Kosten!$C$20*INDEX(Liegenschaft!$C$14:$G$25,MATCH(Mieter!$C12,Liegenschaft!$B$14:$B$25,0),Kosten!$I$20)/INDEX(Liegenschaft!$C$26:$G$26,1,Kosten!$I$20)*IF(Kosten!$D$20="Heizung/Warmwasser",Mieter!$L12,Mieter!$K12),0))</f>
        <v/>
      </c>
      <c r="S12" s="32">
        <f>IF(OR(Mieter!$D12="",Kosten!$H$21&lt;&gt;"Ja"),0,IFERROR(Kosten!$C$21*INDEX(Liegenschaft!$C$14:$G$25,MATCH(Mieter!$C12,Liegenschaft!$B$14:$B$25,0),Kosten!$I$21)/INDEX(Liegenschaft!$C$26:$G$26,1,Kosten!$I$21)*IF(Kosten!$D$21="Heizung/Warmwasser",Mieter!$L12,Mieter!$K12),0))</f>
        <v/>
      </c>
      <c r="T12" s="32">
        <f>IF(OR(Mieter!$D12="",Kosten!$H$22&lt;&gt;"Ja"),0,IFERROR(Kosten!$C$22*INDEX(Liegenschaft!$C$14:$G$25,MATCH(Mieter!$C12,Liegenschaft!$B$14:$B$25,0),Kosten!$I$22)/INDEX(Liegenschaft!$C$26:$G$26,1,Kosten!$I$22)*IF(Kosten!$D$22="Heizung/Warmwasser",Mieter!$L12,Mieter!$K12),0))</f>
        <v/>
      </c>
      <c r="U12" s="32">
        <f>IF(OR(Mieter!$D12="",Kosten!$H$23&lt;&gt;"Ja"),0,IFERROR(Kosten!$C$23*INDEX(Liegenschaft!$C$14:$G$25,MATCH(Mieter!$C12,Liegenschaft!$B$14:$B$25,0),Kosten!$I$23)/INDEX(Liegenschaft!$C$26:$G$26,1,Kosten!$I$23)*IF(Kosten!$D$23="Heizung/Warmwasser",Mieter!$L12,Mieter!$K12),0))</f>
        <v/>
      </c>
      <c r="V12" s="32">
        <f>IF(OR(Mieter!$D12="",Kosten!$H$24&lt;&gt;"Ja"),0,IFERROR(Kosten!$C$24*INDEX(Liegenschaft!$C$14:$G$25,MATCH(Mieter!$C12,Liegenschaft!$B$14:$B$25,0),Kosten!$I$24)/INDEX(Liegenschaft!$C$26:$G$26,1,Kosten!$I$24)*IF(Kosten!$D$24="Heizung/Warmwasser",Mieter!$L12,Mieter!$K12),0))</f>
        <v/>
      </c>
      <c r="W12" s="32">
        <f>IF(OR(Mieter!$D12="",Kosten!$H$25&lt;&gt;"Ja"),0,IFERROR(Kosten!$C$25*INDEX(Liegenschaft!$C$14:$G$25,MATCH(Mieter!$C12,Liegenschaft!$B$14:$B$25,0),Kosten!$I$25)/INDEX(Liegenschaft!$C$26:$G$26,1,Kosten!$I$25)*IF(Kosten!$D$25="Heizung/Warmwasser",Mieter!$L12,Mieter!$K12),0))</f>
        <v/>
      </c>
      <c r="X12" s="32">
        <f>SUM(D12:W12)</f>
        <v/>
      </c>
      <c r="Y12" s="32">
        <f>IF(Liegenschaft!$C$11="Ja",ROUND(X12*Liegenschaft!$C$10,2),0)</f>
        <v/>
      </c>
      <c r="Z12" s="32">
        <f>ROUND(X12+Y12,2)</f>
        <v/>
      </c>
      <c r="AA12" s="32">
        <f>N(Mieter!G12)</f>
        <v/>
      </c>
      <c r="AB12" s="33">
        <f>IF(C12="",0,Z12-AA12)</f>
        <v/>
      </c>
    </row>
    <row r="13">
      <c r="B13" t="n">
        <v>8</v>
      </c>
      <c r="C13">
        <f>IF(Mieter!D13="","",Mieter!D13)</f>
        <v/>
      </c>
      <c r="D13" s="32">
        <f>IF(OR(Mieter!$D13="",Kosten!$H$6&lt;&gt;"Ja"),0,IFERROR(Kosten!$C$6*INDEX(Liegenschaft!$C$14:$G$25,MATCH(Mieter!$C13,Liegenschaft!$B$14:$B$25,0),Kosten!$I$6)/INDEX(Liegenschaft!$C$26:$G$26,1,Kosten!$I$6)*IF(Kosten!$D$6="Heizung/Warmwasser",Mieter!$L13,Mieter!$K13),0))</f>
        <v/>
      </c>
      <c r="E13" s="32">
        <f>IF(OR(Mieter!$D13="",Kosten!$H$7&lt;&gt;"Ja"),0,IFERROR(Kosten!$C$7*INDEX(Liegenschaft!$C$14:$G$25,MATCH(Mieter!$C13,Liegenschaft!$B$14:$B$25,0),Kosten!$I$7)/INDEX(Liegenschaft!$C$26:$G$26,1,Kosten!$I$7)*IF(Kosten!$D$7="Heizung/Warmwasser",Mieter!$L13,Mieter!$K13),0))</f>
        <v/>
      </c>
      <c r="F13" s="32">
        <f>IF(OR(Mieter!$D13="",Kosten!$H$8&lt;&gt;"Ja"),0,IFERROR(Kosten!$C$8*INDEX(Liegenschaft!$C$14:$G$25,MATCH(Mieter!$C13,Liegenschaft!$B$14:$B$25,0),Kosten!$I$8)/INDEX(Liegenschaft!$C$26:$G$26,1,Kosten!$I$8)*IF(Kosten!$D$8="Heizung/Warmwasser",Mieter!$L13,Mieter!$K13),0))</f>
        <v/>
      </c>
      <c r="G13" s="32">
        <f>IF(OR(Mieter!$D13="",Kosten!$H$9&lt;&gt;"Ja"),0,IFERROR(Kosten!$C$9*INDEX(Liegenschaft!$C$14:$G$25,MATCH(Mieter!$C13,Liegenschaft!$B$14:$B$25,0),Kosten!$I$9)/INDEX(Liegenschaft!$C$26:$G$26,1,Kosten!$I$9)*IF(Kosten!$D$9="Heizung/Warmwasser",Mieter!$L13,Mieter!$K13),0))</f>
        <v/>
      </c>
      <c r="H13" s="32">
        <f>IF(OR(Mieter!$D13="",Kosten!$H$10&lt;&gt;"Ja"),0,IFERROR(Kosten!$C$10*INDEX(Liegenschaft!$C$14:$G$25,MATCH(Mieter!$C13,Liegenschaft!$B$14:$B$25,0),Kosten!$I$10)/INDEX(Liegenschaft!$C$26:$G$26,1,Kosten!$I$10)*IF(Kosten!$D$10="Heizung/Warmwasser",Mieter!$L13,Mieter!$K13),0))</f>
        <v/>
      </c>
      <c r="I13" s="32">
        <f>IF(OR(Mieter!$D13="",Kosten!$H$11&lt;&gt;"Ja"),0,IFERROR(Kosten!$C$11*INDEX(Liegenschaft!$C$14:$G$25,MATCH(Mieter!$C13,Liegenschaft!$B$14:$B$25,0),Kosten!$I$11)/INDEX(Liegenschaft!$C$26:$G$26,1,Kosten!$I$11)*IF(Kosten!$D$11="Heizung/Warmwasser",Mieter!$L13,Mieter!$K13),0))</f>
        <v/>
      </c>
      <c r="J13" s="32">
        <f>IF(OR(Mieter!$D13="",Kosten!$H$12&lt;&gt;"Ja"),0,IFERROR(Kosten!$C$12*INDEX(Liegenschaft!$C$14:$G$25,MATCH(Mieter!$C13,Liegenschaft!$B$14:$B$25,0),Kosten!$I$12)/INDEX(Liegenschaft!$C$26:$G$26,1,Kosten!$I$12)*IF(Kosten!$D$12="Heizung/Warmwasser",Mieter!$L13,Mieter!$K13),0))</f>
        <v/>
      </c>
      <c r="K13" s="32">
        <f>IF(OR(Mieter!$D13="",Kosten!$H$13&lt;&gt;"Ja"),0,IFERROR(Kosten!$C$13*INDEX(Liegenschaft!$C$14:$G$25,MATCH(Mieter!$C13,Liegenschaft!$B$14:$B$25,0),Kosten!$I$13)/INDEX(Liegenschaft!$C$26:$G$26,1,Kosten!$I$13)*IF(Kosten!$D$13="Heizung/Warmwasser",Mieter!$L13,Mieter!$K13),0))</f>
        <v/>
      </c>
      <c r="L13" s="32">
        <f>IF(OR(Mieter!$D13="",Kosten!$H$14&lt;&gt;"Ja"),0,IFERROR(Kosten!$C$14*INDEX(Liegenschaft!$C$14:$G$25,MATCH(Mieter!$C13,Liegenschaft!$B$14:$B$25,0),Kosten!$I$14)/INDEX(Liegenschaft!$C$26:$G$26,1,Kosten!$I$14)*IF(Kosten!$D$14="Heizung/Warmwasser",Mieter!$L13,Mieter!$K13),0))</f>
        <v/>
      </c>
      <c r="M13" s="32">
        <f>IF(OR(Mieter!$D13="",Kosten!$H$15&lt;&gt;"Ja"),0,IFERROR(Kosten!$C$15*INDEX(Liegenschaft!$C$14:$G$25,MATCH(Mieter!$C13,Liegenschaft!$B$14:$B$25,0),Kosten!$I$15)/INDEX(Liegenschaft!$C$26:$G$26,1,Kosten!$I$15)*IF(Kosten!$D$15="Heizung/Warmwasser",Mieter!$L13,Mieter!$K13),0))</f>
        <v/>
      </c>
      <c r="N13" s="32">
        <f>IF(OR(Mieter!$D13="",Kosten!$H$16&lt;&gt;"Ja"),0,IFERROR(Kosten!$C$16*INDEX(Liegenschaft!$C$14:$G$25,MATCH(Mieter!$C13,Liegenschaft!$B$14:$B$25,0),Kosten!$I$16)/INDEX(Liegenschaft!$C$26:$G$26,1,Kosten!$I$16)*IF(Kosten!$D$16="Heizung/Warmwasser",Mieter!$L13,Mieter!$K13),0))</f>
        <v/>
      </c>
      <c r="O13" s="32">
        <f>IF(OR(Mieter!$D13="",Kosten!$H$17&lt;&gt;"Ja"),0,IFERROR(Kosten!$C$17*INDEX(Liegenschaft!$C$14:$G$25,MATCH(Mieter!$C13,Liegenschaft!$B$14:$B$25,0),Kosten!$I$17)/INDEX(Liegenschaft!$C$26:$G$26,1,Kosten!$I$17)*IF(Kosten!$D$17="Heizung/Warmwasser",Mieter!$L13,Mieter!$K13),0))</f>
        <v/>
      </c>
      <c r="P13" s="32">
        <f>IF(OR(Mieter!$D13="",Kosten!$H$18&lt;&gt;"Ja"),0,IFERROR(Kosten!$C$18*INDEX(Liegenschaft!$C$14:$G$25,MATCH(Mieter!$C13,Liegenschaft!$B$14:$B$25,0),Kosten!$I$18)/INDEX(Liegenschaft!$C$26:$G$26,1,Kosten!$I$18)*IF(Kosten!$D$18="Heizung/Warmwasser",Mieter!$L13,Mieter!$K13),0))</f>
        <v/>
      </c>
      <c r="Q13" s="32">
        <f>IF(OR(Mieter!$D13="",Kosten!$H$19&lt;&gt;"Ja"),0,IFERROR(Kosten!$C$19*INDEX(Liegenschaft!$C$14:$G$25,MATCH(Mieter!$C13,Liegenschaft!$B$14:$B$25,0),Kosten!$I$19)/INDEX(Liegenschaft!$C$26:$G$26,1,Kosten!$I$19)*IF(Kosten!$D$19="Heizung/Warmwasser",Mieter!$L13,Mieter!$K13),0))</f>
        <v/>
      </c>
      <c r="R13" s="32">
        <f>IF(OR(Mieter!$D13="",Kosten!$H$20&lt;&gt;"Ja"),0,IFERROR(Kosten!$C$20*INDEX(Liegenschaft!$C$14:$G$25,MATCH(Mieter!$C13,Liegenschaft!$B$14:$B$25,0),Kosten!$I$20)/INDEX(Liegenschaft!$C$26:$G$26,1,Kosten!$I$20)*IF(Kosten!$D$20="Heizung/Warmwasser",Mieter!$L13,Mieter!$K13),0))</f>
        <v/>
      </c>
      <c r="S13" s="32">
        <f>IF(OR(Mieter!$D13="",Kosten!$H$21&lt;&gt;"Ja"),0,IFERROR(Kosten!$C$21*INDEX(Liegenschaft!$C$14:$G$25,MATCH(Mieter!$C13,Liegenschaft!$B$14:$B$25,0),Kosten!$I$21)/INDEX(Liegenschaft!$C$26:$G$26,1,Kosten!$I$21)*IF(Kosten!$D$21="Heizung/Warmwasser",Mieter!$L13,Mieter!$K13),0))</f>
        <v/>
      </c>
      <c r="T13" s="32">
        <f>IF(OR(Mieter!$D13="",Kosten!$H$22&lt;&gt;"Ja"),0,IFERROR(Kosten!$C$22*INDEX(Liegenschaft!$C$14:$G$25,MATCH(Mieter!$C13,Liegenschaft!$B$14:$B$25,0),Kosten!$I$22)/INDEX(Liegenschaft!$C$26:$G$26,1,Kosten!$I$22)*IF(Kosten!$D$22="Heizung/Warmwasser",Mieter!$L13,Mieter!$K13),0))</f>
        <v/>
      </c>
      <c r="U13" s="32">
        <f>IF(OR(Mieter!$D13="",Kosten!$H$23&lt;&gt;"Ja"),0,IFERROR(Kosten!$C$23*INDEX(Liegenschaft!$C$14:$G$25,MATCH(Mieter!$C13,Liegenschaft!$B$14:$B$25,0),Kosten!$I$23)/INDEX(Liegenschaft!$C$26:$G$26,1,Kosten!$I$23)*IF(Kosten!$D$23="Heizung/Warmwasser",Mieter!$L13,Mieter!$K13),0))</f>
        <v/>
      </c>
      <c r="V13" s="32">
        <f>IF(OR(Mieter!$D13="",Kosten!$H$24&lt;&gt;"Ja"),0,IFERROR(Kosten!$C$24*INDEX(Liegenschaft!$C$14:$G$25,MATCH(Mieter!$C13,Liegenschaft!$B$14:$B$25,0),Kosten!$I$24)/INDEX(Liegenschaft!$C$26:$G$26,1,Kosten!$I$24)*IF(Kosten!$D$24="Heizung/Warmwasser",Mieter!$L13,Mieter!$K13),0))</f>
        <v/>
      </c>
      <c r="W13" s="32">
        <f>IF(OR(Mieter!$D13="",Kosten!$H$25&lt;&gt;"Ja"),0,IFERROR(Kosten!$C$25*INDEX(Liegenschaft!$C$14:$G$25,MATCH(Mieter!$C13,Liegenschaft!$B$14:$B$25,0),Kosten!$I$25)/INDEX(Liegenschaft!$C$26:$G$26,1,Kosten!$I$25)*IF(Kosten!$D$25="Heizung/Warmwasser",Mieter!$L13,Mieter!$K13),0))</f>
        <v/>
      </c>
      <c r="X13" s="32">
        <f>SUM(D13:W13)</f>
        <v/>
      </c>
      <c r="Y13" s="32">
        <f>IF(Liegenschaft!$C$11="Ja",ROUND(X13*Liegenschaft!$C$10,2),0)</f>
        <v/>
      </c>
      <c r="Z13" s="32">
        <f>ROUND(X13+Y13,2)</f>
        <v/>
      </c>
      <c r="AA13" s="32">
        <f>N(Mieter!G13)</f>
        <v/>
      </c>
      <c r="AB13" s="33">
        <f>IF(C13="",0,Z13-AA13)</f>
        <v/>
      </c>
    </row>
    <row r="14">
      <c r="B14" t="n">
        <v>9</v>
      </c>
      <c r="C14">
        <f>IF(Mieter!D14="","",Mieter!D14)</f>
        <v/>
      </c>
      <c r="D14" s="32">
        <f>IF(OR(Mieter!$D14="",Kosten!$H$6&lt;&gt;"Ja"),0,IFERROR(Kosten!$C$6*INDEX(Liegenschaft!$C$14:$G$25,MATCH(Mieter!$C14,Liegenschaft!$B$14:$B$25,0),Kosten!$I$6)/INDEX(Liegenschaft!$C$26:$G$26,1,Kosten!$I$6)*IF(Kosten!$D$6="Heizung/Warmwasser",Mieter!$L14,Mieter!$K14),0))</f>
        <v/>
      </c>
      <c r="E14" s="32">
        <f>IF(OR(Mieter!$D14="",Kosten!$H$7&lt;&gt;"Ja"),0,IFERROR(Kosten!$C$7*INDEX(Liegenschaft!$C$14:$G$25,MATCH(Mieter!$C14,Liegenschaft!$B$14:$B$25,0),Kosten!$I$7)/INDEX(Liegenschaft!$C$26:$G$26,1,Kosten!$I$7)*IF(Kosten!$D$7="Heizung/Warmwasser",Mieter!$L14,Mieter!$K14),0))</f>
        <v/>
      </c>
      <c r="F14" s="32">
        <f>IF(OR(Mieter!$D14="",Kosten!$H$8&lt;&gt;"Ja"),0,IFERROR(Kosten!$C$8*INDEX(Liegenschaft!$C$14:$G$25,MATCH(Mieter!$C14,Liegenschaft!$B$14:$B$25,0),Kosten!$I$8)/INDEX(Liegenschaft!$C$26:$G$26,1,Kosten!$I$8)*IF(Kosten!$D$8="Heizung/Warmwasser",Mieter!$L14,Mieter!$K14),0))</f>
        <v/>
      </c>
      <c r="G14" s="32">
        <f>IF(OR(Mieter!$D14="",Kosten!$H$9&lt;&gt;"Ja"),0,IFERROR(Kosten!$C$9*INDEX(Liegenschaft!$C$14:$G$25,MATCH(Mieter!$C14,Liegenschaft!$B$14:$B$25,0),Kosten!$I$9)/INDEX(Liegenschaft!$C$26:$G$26,1,Kosten!$I$9)*IF(Kosten!$D$9="Heizung/Warmwasser",Mieter!$L14,Mieter!$K14),0))</f>
        <v/>
      </c>
      <c r="H14" s="32">
        <f>IF(OR(Mieter!$D14="",Kosten!$H$10&lt;&gt;"Ja"),0,IFERROR(Kosten!$C$10*INDEX(Liegenschaft!$C$14:$G$25,MATCH(Mieter!$C14,Liegenschaft!$B$14:$B$25,0),Kosten!$I$10)/INDEX(Liegenschaft!$C$26:$G$26,1,Kosten!$I$10)*IF(Kosten!$D$10="Heizung/Warmwasser",Mieter!$L14,Mieter!$K14),0))</f>
        <v/>
      </c>
      <c r="I14" s="32">
        <f>IF(OR(Mieter!$D14="",Kosten!$H$11&lt;&gt;"Ja"),0,IFERROR(Kosten!$C$11*INDEX(Liegenschaft!$C$14:$G$25,MATCH(Mieter!$C14,Liegenschaft!$B$14:$B$25,0),Kosten!$I$11)/INDEX(Liegenschaft!$C$26:$G$26,1,Kosten!$I$11)*IF(Kosten!$D$11="Heizung/Warmwasser",Mieter!$L14,Mieter!$K14),0))</f>
        <v/>
      </c>
      <c r="J14" s="32">
        <f>IF(OR(Mieter!$D14="",Kosten!$H$12&lt;&gt;"Ja"),0,IFERROR(Kosten!$C$12*INDEX(Liegenschaft!$C$14:$G$25,MATCH(Mieter!$C14,Liegenschaft!$B$14:$B$25,0),Kosten!$I$12)/INDEX(Liegenschaft!$C$26:$G$26,1,Kosten!$I$12)*IF(Kosten!$D$12="Heizung/Warmwasser",Mieter!$L14,Mieter!$K14),0))</f>
        <v/>
      </c>
      <c r="K14" s="32">
        <f>IF(OR(Mieter!$D14="",Kosten!$H$13&lt;&gt;"Ja"),0,IFERROR(Kosten!$C$13*INDEX(Liegenschaft!$C$14:$G$25,MATCH(Mieter!$C14,Liegenschaft!$B$14:$B$25,0),Kosten!$I$13)/INDEX(Liegenschaft!$C$26:$G$26,1,Kosten!$I$13)*IF(Kosten!$D$13="Heizung/Warmwasser",Mieter!$L14,Mieter!$K14),0))</f>
        <v/>
      </c>
      <c r="L14" s="32">
        <f>IF(OR(Mieter!$D14="",Kosten!$H$14&lt;&gt;"Ja"),0,IFERROR(Kosten!$C$14*INDEX(Liegenschaft!$C$14:$G$25,MATCH(Mieter!$C14,Liegenschaft!$B$14:$B$25,0),Kosten!$I$14)/INDEX(Liegenschaft!$C$26:$G$26,1,Kosten!$I$14)*IF(Kosten!$D$14="Heizung/Warmwasser",Mieter!$L14,Mieter!$K14),0))</f>
        <v/>
      </c>
      <c r="M14" s="32">
        <f>IF(OR(Mieter!$D14="",Kosten!$H$15&lt;&gt;"Ja"),0,IFERROR(Kosten!$C$15*INDEX(Liegenschaft!$C$14:$G$25,MATCH(Mieter!$C14,Liegenschaft!$B$14:$B$25,0),Kosten!$I$15)/INDEX(Liegenschaft!$C$26:$G$26,1,Kosten!$I$15)*IF(Kosten!$D$15="Heizung/Warmwasser",Mieter!$L14,Mieter!$K14),0))</f>
        <v/>
      </c>
      <c r="N14" s="32">
        <f>IF(OR(Mieter!$D14="",Kosten!$H$16&lt;&gt;"Ja"),0,IFERROR(Kosten!$C$16*INDEX(Liegenschaft!$C$14:$G$25,MATCH(Mieter!$C14,Liegenschaft!$B$14:$B$25,0),Kosten!$I$16)/INDEX(Liegenschaft!$C$26:$G$26,1,Kosten!$I$16)*IF(Kosten!$D$16="Heizung/Warmwasser",Mieter!$L14,Mieter!$K14),0))</f>
        <v/>
      </c>
      <c r="O14" s="32">
        <f>IF(OR(Mieter!$D14="",Kosten!$H$17&lt;&gt;"Ja"),0,IFERROR(Kosten!$C$17*INDEX(Liegenschaft!$C$14:$G$25,MATCH(Mieter!$C14,Liegenschaft!$B$14:$B$25,0),Kosten!$I$17)/INDEX(Liegenschaft!$C$26:$G$26,1,Kosten!$I$17)*IF(Kosten!$D$17="Heizung/Warmwasser",Mieter!$L14,Mieter!$K14),0))</f>
        <v/>
      </c>
      <c r="P14" s="32">
        <f>IF(OR(Mieter!$D14="",Kosten!$H$18&lt;&gt;"Ja"),0,IFERROR(Kosten!$C$18*INDEX(Liegenschaft!$C$14:$G$25,MATCH(Mieter!$C14,Liegenschaft!$B$14:$B$25,0),Kosten!$I$18)/INDEX(Liegenschaft!$C$26:$G$26,1,Kosten!$I$18)*IF(Kosten!$D$18="Heizung/Warmwasser",Mieter!$L14,Mieter!$K14),0))</f>
        <v/>
      </c>
      <c r="Q14" s="32">
        <f>IF(OR(Mieter!$D14="",Kosten!$H$19&lt;&gt;"Ja"),0,IFERROR(Kosten!$C$19*INDEX(Liegenschaft!$C$14:$G$25,MATCH(Mieter!$C14,Liegenschaft!$B$14:$B$25,0),Kosten!$I$19)/INDEX(Liegenschaft!$C$26:$G$26,1,Kosten!$I$19)*IF(Kosten!$D$19="Heizung/Warmwasser",Mieter!$L14,Mieter!$K14),0))</f>
        <v/>
      </c>
      <c r="R14" s="32">
        <f>IF(OR(Mieter!$D14="",Kosten!$H$20&lt;&gt;"Ja"),0,IFERROR(Kosten!$C$20*INDEX(Liegenschaft!$C$14:$G$25,MATCH(Mieter!$C14,Liegenschaft!$B$14:$B$25,0),Kosten!$I$20)/INDEX(Liegenschaft!$C$26:$G$26,1,Kosten!$I$20)*IF(Kosten!$D$20="Heizung/Warmwasser",Mieter!$L14,Mieter!$K14),0))</f>
        <v/>
      </c>
      <c r="S14" s="32">
        <f>IF(OR(Mieter!$D14="",Kosten!$H$21&lt;&gt;"Ja"),0,IFERROR(Kosten!$C$21*INDEX(Liegenschaft!$C$14:$G$25,MATCH(Mieter!$C14,Liegenschaft!$B$14:$B$25,0),Kosten!$I$21)/INDEX(Liegenschaft!$C$26:$G$26,1,Kosten!$I$21)*IF(Kosten!$D$21="Heizung/Warmwasser",Mieter!$L14,Mieter!$K14),0))</f>
        <v/>
      </c>
      <c r="T14" s="32">
        <f>IF(OR(Mieter!$D14="",Kosten!$H$22&lt;&gt;"Ja"),0,IFERROR(Kosten!$C$22*INDEX(Liegenschaft!$C$14:$G$25,MATCH(Mieter!$C14,Liegenschaft!$B$14:$B$25,0),Kosten!$I$22)/INDEX(Liegenschaft!$C$26:$G$26,1,Kosten!$I$22)*IF(Kosten!$D$22="Heizung/Warmwasser",Mieter!$L14,Mieter!$K14),0))</f>
        <v/>
      </c>
      <c r="U14" s="32">
        <f>IF(OR(Mieter!$D14="",Kosten!$H$23&lt;&gt;"Ja"),0,IFERROR(Kosten!$C$23*INDEX(Liegenschaft!$C$14:$G$25,MATCH(Mieter!$C14,Liegenschaft!$B$14:$B$25,0),Kosten!$I$23)/INDEX(Liegenschaft!$C$26:$G$26,1,Kosten!$I$23)*IF(Kosten!$D$23="Heizung/Warmwasser",Mieter!$L14,Mieter!$K14),0))</f>
        <v/>
      </c>
      <c r="V14" s="32">
        <f>IF(OR(Mieter!$D14="",Kosten!$H$24&lt;&gt;"Ja"),0,IFERROR(Kosten!$C$24*INDEX(Liegenschaft!$C$14:$G$25,MATCH(Mieter!$C14,Liegenschaft!$B$14:$B$25,0),Kosten!$I$24)/INDEX(Liegenschaft!$C$26:$G$26,1,Kosten!$I$24)*IF(Kosten!$D$24="Heizung/Warmwasser",Mieter!$L14,Mieter!$K14),0))</f>
        <v/>
      </c>
      <c r="W14" s="32">
        <f>IF(OR(Mieter!$D14="",Kosten!$H$25&lt;&gt;"Ja"),0,IFERROR(Kosten!$C$25*INDEX(Liegenschaft!$C$14:$G$25,MATCH(Mieter!$C14,Liegenschaft!$B$14:$B$25,0),Kosten!$I$25)/INDEX(Liegenschaft!$C$26:$G$26,1,Kosten!$I$25)*IF(Kosten!$D$25="Heizung/Warmwasser",Mieter!$L14,Mieter!$K14),0))</f>
        <v/>
      </c>
      <c r="X14" s="32">
        <f>SUM(D14:W14)</f>
        <v/>
      </c>
      <c r="Y14" s="32">
        <f>IF(Liegenschaft!$C$11="Ja",ROUND(X14*Liegenschaft!$C$10,2),0)</f>
        <v/>
      </c>
      <c r="Z14" s="32">
        <f>ROUND(X14+Y14,2)</f>
        <v/>
      </c>
      <c r="AA14" s="32">
        <f>N(Mieter!G14)</f>
        <v/>
      </c>
      <c r="AB14" s="33">
        <f>IF(C14="",0,Z14-AA14)</f>
        <v/>
      </c>
    </row>
    <row r="15">
      <c r="B15" t="n">
        <v>10</v>
      </c>
      <c r="C15">
        <f>IF(Mieter!D15="","",Mieter!D15)</f>
        <v/>
      </c>
      <c r="D15" s="32">
        <f>IF(OR(Mieter!$D15="",Kosten!$H$6&lt;&gt;"Ja"),0,IFERROR(Kosten!$C$6*INDEX(Liegenschaft!$C$14:$G$25,MATCH(Mieter!$C15,Liegenschaft!$B$14:$B$25,0),Kosten!$I$6)/INDEX(Liegenschaft!$C$26:$G$26,1,Kosten!$I$6)*IF(Kosten!$D$6="Heizung/Warmwasser",Mieter!$L15,Mieter!$K15),0))</f>
        <v/>
      </c>
      <c r="E15" s="32">
        <f>IF(OR(Mieter!$D15="",Kosten!$H$7&lt;&gt;"Ja"),0,IFERROR(Kosten!$C$7*INDEX(Liegenschaft!$C$14:$G$25,MATCH(Mieter!$C15,Liegenschaft!$B$14:$B$25,0),Kosten!$I$7)/INDEX(Liegenschaft!$C$26:$G$26,1,Kosten!$I$7)*IF(Kosten!$D$7="Heizung/Warmwasser",Mieter!$L15,Mieter!$K15),0))</f>
        <v/>
      </c>
      <c r="F15" s="32">
        <f>IF(OR(Mieter!$D15="",Kosten!$H$8&lt;&gt;"Ja"),0,IFERROR(Kosten!$C$8*INDEX(Liegenschaft!$C$14:$G$25,MATCH(Mieter!$C15,Liegenschaft!$B$14:$B$25,0),Kosten!$I$8)/INDEX(Liegenschaft!$C$26:$G$26,1,Kosten!$I$8)*IF(Kosten!$D$8="Heizung/Warmwasser",Mieter!$L15,Mieter!$K15),0))</f>
        <v/>
      </c>
      <c r="G15" s="32">
        <f>IF(OR(Mieter!$D15="",Kosten!$H$9&lt;&gt;"Ja"),0,IFERROR(Kosten!$C$9*INDEX(Liegenschaft!$C$14:$G$25,MATCH(Mieter!$C15,Liegenschaft!$B$14:$B$25,0),Kosten!$I$9)/INDEX(Liegenschaft!$C$26:$G$26,1,Kosten!$I$9)*IF(Kosten!$D$9="Heizung/Warmwasser",Mieter!$L15,Mieter!$K15),0))</f>
        <v/>
      </c>
      <c r="H15" s="32">
        <f>IF(OR(Mieter!$D15="",Kosten!$H$10&lt;&gt;"Ja"),0,IFERROR(Kosten!$C$10*INDEX(Liegenschaft!$C$14:$G$25,MATCH(Mieter!$C15,Liegenschaft!$B$14:$B$25,0),Kosten!$I$10)/INDEX(Liegenschaft!$C$26:$G$26,1,Kosten!$I$10)*IF(Kosten!$D$10="Heizung/Warmwasser",Mieter!$L15,Mieter!$K15),0))</f>
        <v/>
      </c>
      <c r="I15" s="32">
        <f>IF(OR(Mieter!$D15="",Kosten!$H$11&lt;&gt;"Ja"),0,IFERROR(Kosten!$C$11*INDEX(Liegenschaft!$C$14:$G$25,MATCH(Mieter!$C15,Liegenschaft!$B$14:$B$25,0),Kosten!$I$11)/INDEX(Liegenschaft!$C$26:$G$26,1,Kosten!$I$11)*IF(Kosten!$D$11="Heizung/Warmwasser",Mieter!$L15,Mieter!$K15),0))</f>
        <v/>
      </c>
      <c r="J15" s="32">
        <f>IF(OR(Mieter!$D15="",Kosten!$H$12&lt;&gt;"Ja"),0,IFERROR(Kosten!$C$12*INDEX(Liegenschaft!$C$14:$G$25,MATCH(Mieter!$C15,Liegenschaft!$B$14:$B$25,0),Kosten!$I$12)/INDEX(Liegenschaft!$C$26:$G$26,1,Kosten!$I$12)*IF(Kosten!$D$12="Heizung/Warmwasser",Mieter!$L15,Mieter!$K15),0))</f>
        <v/>
      </c>
      <c r="K15" s="32">
        <f>IF(OR(Mieter!$D15="",Kosten!$H$13&lt;&gt;"Ja"),0,IFERROR(Kosten!$C$13*INDEX(Liegenschaft!$C$14:$G$25,MATCH(Mieter!$C15,Liegenschaft!$B$14:$B$25,0),Kosten!$I$13)/INDEX(Liegenschaft!$C$26:$G$26,1,Kosten!$I$13)*IF(Kosten!$D$13="Heizung/Warmwasser",Mieter!$L15,Mieter!$K15),0))</f>
        <v/>
      </c>
      <c r="L15" s="32">
        <f>IF(OR(Mieter!$D15="",Kosten!$H$14&lt;&gt;"Ja"),0,IFERROR(Kosten!$C$14*INDEX(Liegenschaft!$C$14:$G$25,MATCH(Mieter!$C15,Liegenschaft!$B$14:$B$25,0),Kosten!$I$14)/INDEX(Liegenschaft!$C$26:$G$26,1,Kosten!$I$14)*IF(Kosten!$D$14="Heizung/Warmwasser",Mieter!$L15,Mieter!$K15),0))</f>
        <v/>
      </c>
      <c r="M15" s="32">
        <f>IF(OR(Mieter!$D15="",Kosten!$H$15&lt;&gt;"Ja"),0,IFERROR(Kosten!$C$15*INDEX(Liegenschaft!$C$14:$G$25,MATCH(Mieter!$C15,Liegenschaft!$B$14:$B$25,0),Kosten!$I$15)/INDEX(Liegenschaft!$C$26:$G$26,1,Kosten!$I$15)*IF(Kosten!$D$15="Heizung/Warmwasser",Mieter!$L15,Mieter!$K15),0))</f>
        <v/>
      </c>
      <c r="N15" s="32">
        <f>IF(OR(Mieter!$D15="",Kosten!$H$16&lt;&gt;"Ja"),0,IFERROR(Kosten!$C$16*INDEX(Liegenschaft!$C$14:$G$25,MATCH(Mieter!$C15,Liegenschaft!$B$14:$B$25,0),Kosten!$I$16)/INDEX(Liegenschaft!$C$26:$G$26,1,Kosten!$I$16)*IF(Kosten!$D$16="Heizung/Warmwasser",Mieter!$L15,Mieter!$K15),0))</f>
        <v/>
      </c>
      <c r="O15" s="32">
        <f>IF(OR(Mieter!$D15="",Kosten!$H$17&lt;&gt;"Ja"),0,IFERROR(Kosten!$C$17*INDEX(Liegenschaft!$C$14:$G$25,MATCH(Mieter!$C15,Liegenschaft!$B$14:$B$25,0),Kosten!$I$17)/INDEX(Liegenschaft!$C$26:$G$26,1,Kosten!$I$17)*IF(Kosten!$D$17="Heizung/Warmwasser",Mieter!$L15,Mieter!$K15),0))</f>
        <v/>
      </c>
      <c r="P15" s="32">
        <f>IF(OR(Mieter!$D15="",Kosten!$H$18&lt;&gt;"Ja"),0,IFERROR(Kosten!$C$18*INDEX(Liegenschaft!$C$14:$G$25,MATCH(Mieter!$C15,Liegenschaft!$B$14:$B$25,0),Kosten!$I$18)/INDEX(Liegenschaft!$C$26:$G$26,1,Kosten!$I$18)*IF(Kosten!$D$18="Heizung/Warmwasser",Mieter!$L15,Mieter!$K15),0))</f>
        <v/>
      </c>
      <c r="Q15" s="32">
        <f>IF(OR(Mieter!$D15="",Kosten!$H$19&lt;&gt;"Ja"),0,IFERROR(Kosten!$C$19*INDEX(Liegenschaft!$C$14:$G$25,MATCH(Mieter!$C15,Liegenschaft!$B$14:$B$25,0),Kosten!$I$19)/INDEX(Liegenschaft!$C$26:$G$26,1,Kosten!$I$19)*IF(Kosten!$D$19="Heizung/Warmwasser",Mieter!$L15,Mieter!$K15),0))</f>
        <v/>
      </c>
      <c r="R15" s="32">
        <f>IF(OR(Mieter!$D15="",Kosten!$H$20&lt;&gt;"Ja"),0,IFERROR(Kosten!$C$20*INDEX(Liegenschaft!$C$14:$G$25,MATCH(Mieter!$C15,Liegenschaft!$B$14:$B$25,0),Kosten!$I$20)/INDEX(Liegenschaft!$C$26:$G$26,1,Kosten!$I$20)*IF(Kosten!$D$20="Heizung/Warmwasser",Mieter!$L15,Mieter!$K15),0))</f>
        <v/>
      </c>
      <c r="S15" s="32">
        <f>IF(OR(Mieter!$D15="",Kosten!$H$21&lt;&gt;"Ja"),0,IFERROR(Kosten!$C$21*INDEX(Liegenschaft!$C$14:$G$25,MATCH(Mieter!$C15,Liegenschaft!$B$14:$B$25,0),Kosten!$I$21)/INDEX(Liegenschaft!$C$26:$G$26,1,Kosten!$I$21)*IF(Kosten!$D$21="Heizung/Warmwasser",Mieter!$L15,Mieter!$K15),0))</f>
        <v/>
      </c>
      <c r="T15" s="32">
        <f>IF(OR(Mieter!$D15="",Kosten!$H$22&lt;&gt;"Ja"),0,IFERROR(Kosten!$C$22*INDEX(Liegenschaft!$C$14:$G$25,MATCH(Mieter!$C15,Liegenschaft!$B$14:$B$25,0),Kosten!$I$22)/INDEX(Liegenschaft!$C$26:$G$26,1,Kosten!$I$22)*IF(Kosten!$D$22="Heizung/Warmwasser",Mieter!$L15,Mieter!$K15),0))</f>
        <v/>
      </c>
      <c r="U15" s="32">
        <f>IF(OR(Mieter!$D15="",Kosten!$H$23&lt;&gt;"Ja"),0,IFERROR(Kosten!$C$23*INDEX(Liegenschaft!$C$14:$G$25,MATCH(Mieter!$C15,Liegenschaft!$B$14:$B$25,0),Kosten!$I$23)/INDEX(Liegenschaft!$C$26:$G$26,1,Kosten!$I$23)*IF(Kosten!$D$23="Heizung/Warmwasser",Mieter!$L15,Mieter!$K15),0))</f>
        <v/>
      </c>
      <c r="V15" s="32">
        <f>IF(OR(Mieter!$D15="",Kosten!$H$24&lt;&gt;"Ja"),0,IFERROR(Kosten!$C$24*INDEX(Liegenschaft!$C$14:$G$25,MATCH(Mieter!$C15,Liegenschaft!$B$14:$B$25,0),Kosten!$I$24)/INDEX(Liegenschaft!$C$26:$G$26,1,Kosten!$I$24)*IF(Kosten!$D$24="Heizung/Warmwasser",Mieter!$L15,Mieter!$K15),0))</f>
        <v/>
      </c>
      <c r="W15" s="32">
        <f>IF(OR(Mieter!$D15="",Kosten!$H$25&lt;&gt;"Ja"),0,IFERROR(Kosten!$C$25*INDEX(Liegenschaft!$C$14:$G$25,MATCH(Mieter!$C15,Liegenschaft!$B$14:$B$25,0),Kosten!$I$25)/INDEX(Liegenschaft!$C$26:$G$26,1,Kosten!$I$25)*IF(Kosten!$D$25="Heizung/Warmwasser",Mieter!$L15,Mieter!$K15),0))</f>
        <v/>
      </c>
      <c r="X15" s="32">
        <f>SUM(D15:W15)</f>
        <v/>
      </c>
      <c r="Y15" s="32">
        <f>IF(Liegenschaft!$C$11="Ja",ROUND(X15*Liegenschaft!$C$10,2),0)</f>
        <v/>
      </c>
      <c r="Z15" s="32">
        <f>ROUND(X15+Y15,2)</f>
        <v/>
      </c>
      <c r="AA15" s="32">
        <f>N(Mieter!G15)</f>
        <v/>
      </c>
      <c r="AB15" s="33">
        <f>IF(C15="",0,Z15-AA15)</f>
        <v/>
      </c>
    </row>
    <row r="16">
      <c r="B16" t="n">
        <v>11</v>
      </c>
      <c r="C16">
        <f>IF(Mieter!D16="","",Mieter!D16)</f>
        <v/>
      </c>
      <c r="D16" s="32">
        <f>IF(OR(Mieter!$D16="",Kosten!$H$6&lt;&gt;"Ja"),0,IFERROR(Kosten!$C$6*INDEX(Liegenschaft!$C$14:$G$25,MATCH(Mieter!$C16,Liegenschaft!$B$14:$B$25,0),Kosten!$I$6)/INDEX(Liegenschaft!$C$26:$G$26,1,Kosten!$I$6)*IF(Kosten!$D$6="Heizung/Warmwasser",Mieter!$L16,Mieter!$K16),0))</f>
        <v/>
      </c>
      <c r="E16" s="32">
        <f>IF(OR(Mieter!$D16="",Kosten!$H$7&lt;&gt;"Ja"),0,IFERROR(Kosten!$C$7*INDEX(Liegenschaft!$C$14:$G$25,MATCH(Mieter!$C16,Liegenschaft!$B$14:$B$25,0),Kosten!$I$7)/INDEX(Liegenschaft!$C$26:$G$26,1,Kosten!$I$7)*IF(Kosten!$D$7="Heizung/Warmwasser",Mieter!$L16,Mieter!$K16),0))</f>
        <v/>
      </c>
      <c r="F16" s="32">
        <f>IF(OR(Mieter!$D16="",Kosten!$H$8&lt;&gt;"Ja"),0,IFERROR(Kosten!$C$8*INDEX(Liegenschaft!$C$14:$G$25,MATCH(Mieter!$C16,Liegenschaft!$B$14:$B$25,0),Kosten!$I$8)/INDEX(Liegenschaft!$C$26:$G$26,1,Kosten!$I$8)*IF(Kosten!$D$8="Heizung/Warmwasser",Mieter!$L16,Mieter!$K16),0))</f>
        <v/>
      </c>
      <c r="G16" s="32">
        <f>IF(OR(Mieter!$D16="",Kosten!$H$9&lt;&gt;"Ja"),0,IFERROR(Kosten!$C$9*INDEX(Liegenschaft!$C$14:$G$25,MATCH(Mieter!$C16,Liegenschaft!$B$14:$B$25,0),Kosten!$I$9)/INDEX(Liegenschaft!$C$26:$G$26,1,Kosten!$I$9)*IF(Kosten!$D$9="Heizung/Warmwasser",Mieter!$L16,Mieter!$K16),0))</f>
        <v/>
      </c>
      <c r="H16" s="32">
        <f>IF(OR(Mieter!$D16="",Kosten!$H$10&lt;&gt;"Ja"),0,IFERROR(Kosten!$C$10*INDEX(Liegenschaft!$C$14:$G$25,MATCH(Mieter!$C16,Liegenschaft!$B$14:$B$25,0),Kosten!$I$10)/INDEX(Liegenschaft!$C$26:$G$26,1,Kosten!$I$10)*IF(Kosten!$D$10="Heizung/Warmwasser",Mieter!$L16,Mieter!$K16),0))</f>
        <v/>
      </c>
      <c r="I16" s="32">
        <f>IF(OR(Mieter!$D16="",Kosten!$H$11&lt;&gt;"Ja"),0,IFERROR(Kosten!$C$11*INDEX(Liegenschaft!$C$14:$G$25,MATCH(Mieter!$C16,Liegenschaft!$B$14:$B$25,0),Kosten!$I$11)/INDEX(Liegenschaft!$C$26:$G$26,1,Kosten!$I$11)*IF(Kosten!$D$11="Heizung/Warmwasser",Mieter!$L16,Mieter!$K16),0))</f>
        <v/>
      </c>
      <c r="J16" s="32">
        <f>IF(OR(Mieter!$D16="",Kosten!$H$12&lt;&gt;"Ja"),0,IFERROR(Kosten!$C$12*INDEX(Liegenschaft!$C$14:$G$25,MATCH(Mieter!$C16,Liegenschaft!$B$14:$B$25,0),Kosten!$I$12)/INDEX(Liegenschaft!$C$26:$G$26,1,Kosten!$I$12)*IF(Kosten!$D$12="Heizung/Warmwasser",Mieter!$L16,Mieter!$K16),0))</f>
        <v/>
      </c>
      <c r="K16" s="32">
        <f>IF(OR(Mieter!$D16="",Kosten!$H$13&lt;&gt;"Ja"),0,IFERROR(Kosten!$C$13*INDEX(Liegenschaft!$C$14:$G$25,MATCH(Mieter!$C16,Liegenschaft!$B$14:$B$25,0),Kosten!$I$13)/INDEX(Liegenschaft!$C$26:$G$26,1,Kosten!$I$13)*IF(Kosten!$D$13="Heizung/Warmwasser",Mieter!$L16,Mieter!$K16),0))</f>
        <v/>
      </c>
      <c r="L16" s="32">
        <f>IF(OR(Mieter!$D16="",Kosten!$H$14&lt;&gt;"Ja"),0,IFERROR(Kosten!$C$14*INDEX(Liegenschaft!$C$14:$G$25,MATCH(Mieter!$C16,Liegenschaft!$B$14:$B$25,0),Kosten!$I$14)/INDEX(Liegenschaft!$C$26:$G$26,1,Kosten!$I$14)*IF(Kosten!$D$14="Heizung/Warmwasser",Mieter!$L16,Mieter!$K16),0))</f>
        <v/>
      </c>
      <c r="M16" s="32">
        <f>IF(OR(Mieter!$D16="",Kosten!$H$15&lt;&gt;"Ja"),0,IFERROR(Kosten!$C$15*INDEX(Liegenschaft!$C$14:$G$25,MATCH(Mieter!$C16,Liegenschaft!$B$14:$B$25,0),Kosten!$I$15)/INDEX(Liegenschaft!$C$26:$G$26,1,Kosten!$I$15)*IF(Kosten!$D$15="Heizung/Warmwasser",Mieter!$L16,Mieter!$K16),0))</f>
        <v/>
      </c>
      <c r="N16" s="32">
        <f>IF(OR(Mieter!$D16="",Kosten!$H$16&lt;&gt;"Ja"),0,IFERROR(Kosten!$C$16*INDEX(Liegenschaft!$C$14:$G$25,MATCH(Mieter!$C16,Liegenschaft!$B$14:$B$25,0),Kosten!$I$16)/INDEX(Liegenschaft!$C$26:$G$26,1,Kosten!$I$16)*IF(Kosten!$D$16="Heizung/Warmwasser",Mieter!$L16,Mieter!$K16),0))</f>
        <v/>
      </c>
      <c r="O16" s="32">
        <f>IF(OR(Mieter!$D16="",Kosten!$H$17&lt;&gt;"Ja"),0,IFERROR(Kosten!$C$17*INDEX(Liegenschaft!$C$14:$G$25,MATCH(Mieter!$C16,Liegenschaft!$B$14:$B$25,0),Kosten!$I$17)/INDEX(Liegenschaft!$C$26:$G$26,1,Kosten!$I$17)*IF(Kosten!$D$17="Heizung/Warmwasser",Mieter!$L16,Mieter!$K16),0))</f>
        <v/>
      </c>
      <c r="P16" s="32">
        <f>IF(OR(Mieter!$D16="",Kosten!$H$18&lt;&gt;"Ja"),0,IFERROR(Kosten!$C$18*INDEX(Liegenschaft!$C$14:$G$25,MATCH(Mieter!$C16,Liegenschaft!$B$14:$B$25,0),Kosten!$I$18)/INDEX(Liegenschaft!$C$26:$G$26,1,Kosten!$I$18)*IF(Kosten!$D$18="Heizung/Warmwasser",Mieter!$L16,Mieter!$K16),0))</f>
        <v/>
      </c>
      <c r="Q16" s="32">
        <f>IF(OR(Mieter!$D16="",Kosten!$H$19&lt;&gt;"Ja"),0,IFERROR(Kosten!$C$19*INDEX(Liegenschaft!$C$14:$G$25,MATCH(Mieter!$C16,Liegenschaft!$B$14:$B$25,0),Kosten!$I$19)/INDEX(Liegenschaft!$C$26:$G$26,1,Kosten!$I$19)*IF(Kosten!$D$19="Heizung/Warmwasser",Mieter!$L16,Mieter!$K16),0))</f>
        <v/>
      </c>
      <c r="R16" s="32">
        <f>IF(OR(Mieter!$D16="",Kosten!$H$20&lt;&gt;"Ja"),0,IFERROR(Kosten!$C$20*INDEX(Liegenschaft!$C$14:$G$25,MATCH(Mieter!$C16,Liegenschaft!$B$14:$B$25,0),Kosten!$I$20)/INDEX(Liegenschaft!$C$26:$G$26,1,Kosten!$I$20)*IF(Kosten!$D$20="Heizung/Warmwasser",Mieter!$L16,Mieter!$K16),0))</f>
        <v/>
      </c>
      <c r="S16" s="32">
        <f>IF(OR(Mieter!$D16="",Kosten!$H$21&lt;&gt;"Ja"),0,IFERROR(Kosten!$C$21*INDEX(Liegenschaft!$C$14:$G$25,MATCH(Mieter!$C16,Liegenschaft!$B$14:$B$25,0),Kosten!$I$21)/INDEX(Liegenschaft!$C$26:$G$26,1,Kosten!$I$21)*IF(Kosten!$D$21="Heizung/Warmwasser",Mieter!$L16,Mieter!$K16),0))</f>
        <v/>
      </c>
      <c r="T16" s="32">
        <f>IF(OR(Mieter!$D16="",Kosten!$H$22&lt;&gt;"Ja"),0,IFERROR(Kosten!$C$22*INDEX(Liegenschaft!$C$14:$G$25,MATCH(Mieter!$C16,Liegenschaft!$B$14:$B$25,0),Kosten!$I$22)/INDEX(Liegenschaft!$C$26:$G$26,1,Kosten!$I$22)*IF(Kosten!$D$22="Heizung/Warmwasser",Mieter!$L16,Mieter!$K16),0))</f>
        <v/>
      </c>
      <c r="U16" s="32">
        <f>IF(OR(Mieter!$D16="",Kosten!$H$23&lt;&gt;"Ja"),0,IFERROR(Kosten!$C$23*INDEX(Liegenschaft!$C$14:$G$25,MATCH(Mieter!$C16,Liegenschaft!$B$14:$B$25,0),Kosten!$I$23)/INDEX(Liegenschaft!$C$26:$G$26,1,Kosten!$I$23)*IF(Kosten!$D$23="Heizung/Warmwasser",Mieter!$L16,Mieter!$K16),0))</f>
        <v/>
      </c>
      <c r="V16" s="32">
        <f>IF(OR(Mieter!$D16="",Kosten!$H$24&lt;&gt;"Ja"),0,IFERROR(Kosten!$C$24*INDEX(Liegenschaft!$C$14:$G$25,MATCH(Mieter!$C16,Liegenschaft!$B$14:$B$25,0),Kosten!$I$24)/INDEX(Liegenschaft!$C$26:$G$26,1,Kosten!$I$24)*IF(Kosten!$D$24="Heizung/Warmwasser",Mieter!$L16,Mieter!$K16),0))</f>
        <v/>
      </c>
      <c r="W16" s="32">
        <f>IF(OR(Mieter!$D16="",Kosten!$H$25&lt;&gt;"Ja"),0,IFERROR(Kosten!$C$25*INDEX(Liegenschaft!$C$14:$G$25,MATCH(Mieter!$C16,Liegenschaft!$B$14:$B$25,0),Kosten!$I$25)/INDEX(Liegenschaft!$C$26:$G$26,1,Kosten!$I$25)*IF(Kosten!$D$25="Heizung/Warmwasser",Mieter!$L16,Mieter!$K16),0))</f>
        <v/>
      </c>
      <c r="X16" s="32">
        <f>SUM(D16:W16)</f>
        <v/>
      </c>
      <c r="Y16" s="32">
        <f>IF(Liegenschaft!$C$11="Ja",ROUND(X16*Liegenschaft!$C$10,2),0)</f>
        <v/>
      </c>
      <c r="Z16" s="32">
        <f>ROUND(X16+Y16,2)</f>
        <v/>
      </c>
      <c r="AA16" s="32">
        <f>N(Mieter!G16)</f>
        <v/>
      </c>
      <c r="AB16" s="33">
        <f>IF(C16="",0,Z16-AA16)</f>
        <v/>
      </c>
    </row>
    <row r="17">
      <c r="B17" t="n">
        <v>12</v>
      </c>
      <c r="C17">
        <f>IF(Mieter!D17="","",Mieter!D17)</f>
        <v/>
      </c>
      <c r="D17" s="32">
        <f>IF(OR(Mieter!$D17="",Kosten!$H$6&lt;&gt;"Ja"),0,IFERROR(Kosten!$C$6*INDEX(Liegenschaft!$C$14:$G$25,MATCH(Mieter!$C17,Liegenschaft!$B$14:$B$25,0),Kosten!$I$6)/INDEX(Liegenschaft!$C$26:$G$26,1,Kosten!$I$6)*IF(Kosten!$D$6="Heizung/Warmwasser",Mieter!$L17,Mieter!$K17),0))</f>
        <v/>
      </c>
      <c r="E17" s="32">
        <f>IF(OR(Mieter!$D17="",Kosten!$H$7&lt;&gt;"Ja"),0,IFERROR(Kosten!$C$7*INDEX(Liegenschaft!$C$14:$G$25,MATCH(Mieter!$C17,Liegenschaft!$B$14:$B$25,0),Kosten!$I$7)/INDEX(Liegenschaft!$C$26:$G$26,1,Kosten!$I$7)*IF(Kosten!$D$7="Heizung/Warmwasser",Mieter!$L17,Mieter!$K17),0))</f>
        <v/>
      </c>
      <c r="F17" s="32">
        <f>IF(OR(Mieter!$D17="",Kosten!$H$8&lt;&gt;"Ja"),0,IFERROR(Kosten!$C$8*INDEX(Liegenschaft!$C$14:$G$25,MATCH(Mieter!$C17,Liegenschaft!$B$14:$B$25,0),Kosten!$I$8)/INDEX(Liegenschaft!$C$26:$G$26,1,Kosten!$I$8)*IF(Kosten!$D$8="Heizung/Warmwasser",Mieter!$L17,Mieter!$K17),0))</f>
        <v/>
      </c>
      <c r="G17" s="32">
        <f>IF(OR(Mieter!$D17="",Kosten!$H$9&lt;&gt;"Ja"),0,IFERROR(Kosten!$C$9*INDEX(Liegenschaft!$C$14:$G$25,MATCH(Mieter!$C17,Liegenschaft!$B$14:$B$25,0),Kosten!$I$9)/INDEX(Liegenschaft!$C$26:$G$26,1,Kosten!$I$9)*IF(Kosten!$D$9="Heizung/Warmwasser",Mieter!$L17,Mieter!$K17),0))</f>
        <v/>
      </c>
      <c r="H17" s="32">
        <f>IF(OR(Mieter!$D17="",Kosten!$H$10&lt;&gt;"Ja"),0,IFERROR(Kosten!$C$10*INDEX(Liegenschaft!$C$14:$G$25,MATCH(Mieter!$C17,Liegenschaft!$B$14:$B$25,0),Kosten!$I$10)/INDEX(Liegenschaft!$C$26:$G$26,1,Kosten!$I$10)*IF(Kosten!$D$10="Heizung/Warmwasser",Mieter!$L17,Mieter!$K17),0))</f>
        <v/>
      </c>
      <c r="I17" s="32">
        <f>IF(OR(Mieter!$D17="",Kosten!$H$11&lt;&gt;"Ja"),0,IFERROR(Kosten!$C$11*INDEX(Liegenschaft!$C$14:$G$25,MATCH(Mieter!$C17,Liegenschaft!$B$14:$B$25,0),Kosten!$I$11)/INDEX(Liegenschaft!$C$26:$G$26,1,Kosten!$I$11)*IF(Kosten!$D$11="Heizung/Warmwasser",Mieter!$L17,Mieter!$K17),0))</f>
        <v/>
      </c>
      <c r="J17" s="32">
        <f>IF(OR(Mieter!$D17="",Kosten!$H$12&lt;&gt;"Ja"),0,IFERROR(Kosten!$C$12*INDEX(Liegenschaft!$C$14:$G$25,MATCH(Mieter!$C17,Liegenschaft!$B$14:$B$25,0),Kosten!$I$12)/INDEX(Liegenschaft!$C$26:$G$26,1,Kosten!$I$12)*IF(Kosten!$D$12="Heizung/Warmwasser",Mieter!$L17,Mieter!$K17),0))</f>
        <v/>
      </c>
      <c r="K17" s="32">
        <f>IF(OR(Mieter!$D17="",Kosten!$H$13&lt;&gt;"Ja"),0,IFERROR(Kosten!$C$13*INDEX(Liegenschaft!$C$14:$G$25,MATCH(Mieter!$C17,Liegenschaft!$B$14:$B$25,0),Kosten!$I$13)/INDEX(Liegenschaft!$C$26:$G$26,1,Kosten!$I$13)*IF(Kosten!$D$13="Heizung/Warmwasser",Mieter!$L17,Mieter!$K17),0))</f>
        <v/>
      </c>
      <c r="L17" s="32">
        <f>IF(OR(Mieter!$D17="",Kosten!$H$14&lt;&gt;"Ja"),0,IFERROR(Kosten!$C$14*INDEX(Liegenschaft!$C$14:$G$25,MATCH(Mieter!$C17,Liegenschaft!$B$14:$B$25,0),Kosten!$I$14)/INDEX(Liegenschaft!$C$26:$G$26,1,Kosten!$I$14)*IF(Kosten!$D$14="Heizung/Warmwasser",Mieter!$L17,Mieter!$K17),0))</f>
        <v/>
      </c>
      <c r="M17" s="32">
        <f>IF(OR(Mieter!$D17="",Kosten!$H$15&lt;&gt;"Ja"),0,IFERROR(Kosten!$C$15*INDEX(Liegenschaft!$C$14:$G$25,MATCH(Mieter!$C17,Liegenschaft!$B$14:$B$25,0),Kosten!$I$15)/INDEX(Liegenschaft!$C$26:$G$26,1,Kosten!$I$15)*IF(Kosten!$D$15="Heizung/Warmwasser",Mieter!$L17,Mieter!$K17),0))</f>
        <v/>
      </c>
      <c r="N17" s="32">
        <f>IF(OR(Mieter!$D17="",Kosten!$H$16&lt;&gt;"Ja"),0,IFERROR(Kosten!$C$16*INDEX(Liegenschaft!$C$14:$G$25,MATCH(Mieter!$C17,Liegenschaft!$B$14:$B$25,0),Kosten!$I$16)/INDEX(Liegenschaft!$C$26:$G$26,1,Kosten!$I$16)*IF(Kosten!$D$16="Heizung/Warmwasser",Mieter!$L17,Mieter!$K17),0))</f>
        <v/>
      </c>
      <c r="O17" s="32">
        <f>IF(OR(Mieter!$D17="",Kosten!$H$17&lt;&gt;"Ja"),0,IFERROR(Kosten!$C$17*INDEX(Liegenschaft!$C$14:$G$25,MATCH(Mieter!$C17,Liegenschaft!$B$14:$B$25,0),Kosten!$I$17)/INDEX(Liegenschaft!$C$26:$G$26,1,Kosten!$I$17)*IF(Kosten!$D$17="Heizung/Warmwasser",Mieter!$L17,Mieter!$K17),0))</f>
        <v/>
      </c>
      <c r="P17" s="32">
        <f>IF(OR(Mieter!$D17="",Kosten!$H$18&lt;&gt;"Ja"),0,IFERROR(Kosten!$C$18*INDEX(Liegenschaft!$C$14:$G$25,MATCH(Mieter!$C17,Liegenschaft!$B$14:$B$25,0),Kosten!$I$18)/INDEX(Liegenschaft!$C$26:$G$26,1,Kosten!$I$18)*IF(Kosten!$D$18="Heizung/Warmwasser",Mieter!$L17,Mieter!$K17),0))</f>
        <v/>
      </c>
      <c r="Q17" s="32">
        <f>IF(OR(Mieter!$D17="",Kosten!$H$19&lt;&gt;"Ja"),0,IFERROR(Kosten!$C$19*INDEX(Liegenschaft!$C$14:$G$25,MATCH(Mieter!$C17,Liegenschaft!$B$14:$B$25,0),Kosten!$I$19)/INDEX(Liegenschaft!$C$26:$G$26,1,Kosten!$I$19)*IF(Kosten!$D$19="Heizung/Warmwasser",Mieter!$L17,Mieter!$K17),0))</f>
        <v/>
      </c>
      <c r="R17" s="32">
        <f>IF(OR(Mieter!$D17="",Kosten!$H$20&lt;&gt;"Ja"),0,IFERROR(Kosten!$C$20*INDEX(Liegenschaft!$C$14:$G$25,MATCH(Mieter!$C17,Liegenschaft!$B$14:$B$25,0),Kosten!$I$20)/INDEX(Liegenschaft!$C$26:$G$26,1,Kosten!$I$20)*IF(Kosten!$D$20="Heizung/Warmwasser",Mieter!$L17,Mieter!$K17),0))</f>
        <v/>
      </c>
      <c r="S17" s="32">
        <f>IF(OR(Mieter!$D17="",Kosten!$H$21&lt;&gt;"Ja"),0,IFERROR(Kosten!$C$21*INDEX(Liegenschaft!$C$14:$G$25,MATCH(Mieter!$C17,Liegenschaft!$B$14:$B$25,0),Kosten!$I$21)/INDEX(Liegenschaft!$C$26:$G$26,1,Kosten!$I$21)*IF(Kosten!$D$21="Heizung/Warmwasser",Mieter!$L17,Mieter!$K17),0))</f>
        <v/>
      </c>
      <c r="T17" s="32">
        <f>IF(OR(Mieter!$D17="",Kosten!$H$22&lt;&gt;"Ja"),0,IFERROR(Kosten!$C$22*INDEX(Liegenschaft!$C$14:$G$25,MATCH(Mieter!$C17,Liegenschaft!$B$14:$B$25,0),Kosten!$I$22)/INDEX(Liegenschaft!$C$26:$G$26,1,Kosten!$I$22)*IF(Kosten!$D$22="Heizung/Warmwasser",Mieter!$L17,Mieter!$K17),0))</f>
        <v/>
      </c>
      <c r="U17" s="32">
        <f>IF(OR(Mieter!$D17="",Kosten!$H$23&lt;&gt;"Ja"),0,IFERROR(Kosten!$C$23*INDEX(Liegenschaft!$C$14:$G$25,MATCH(Mieter!$C17,Liegenschaft!$B$14:$B$25,0),Kosten!$I$23)/INDEX(Liegenschaft!$C$26:$G$26,1,Kosten!$I$23)*IF(Kosten!$D$23="Heizung/Warmwasser",Mieter!$L17,Mieter!$K17),0))</f>
        <v/>
      </c>
      <c r="V17" s="32">
        <f>IF(OR(Mieter!$D17="",Kosten!$H$24&lt;&gt;"Ja"),0,IFERROR(Kosten!$C$24*INDEX(Liegenschaft!$C$14:$G$25,MATCH(Mieter!$C17,Liegenschaft!$B$14:$B$25,0),Kosten!$I$24)/INDEX(Liegenschaft!$C$26:$G$26,1,Kosten!$I$24)*IF(Kosten!$D$24="Heizung/Warmwasser",Mieter!$L17,Mieter!$K17),0))</f>
        <v/>
      </c>
      <c r="W17" s="32">
        <f>IF(OR(Mieter!$D17="",Kosten!$H$25&lt;&gt;"Ja"),0,IFERROR(Kosten!$C$25*INDEX(Liegenschaft!$C$14:$G$25,MATCH(Mieter!$C17,Liegenschaft!$B$14:$B$25,0),Kosten!$I$25)/INDEX(Liegenschaft!$C$26:$G$26,1,Kosten!$I$25)*IF(Kosten!$D$25="Heizung/Warmwasser",Mieter!$L17,Mieter!$K17),0))</f>
        <v/>
      </c>
      <c r="X17" s="32">
        <f>SUM(D17:W17)</f>
        <v/>
      </c>
      <c r="Y17" s="32">
        <f>IF(Liegenschaft!$C$11="Ja",ROUND(X17*Liegenschaft!$C$10,2),0)</f>
        <v/>
      </c>
      <c r="Z17" s="32">
        <f>ROUND(X17+Y17,2)</f>
        <v/>
      </c>
      <c r="AA17" s="32">
        <f>N(Mieter!G17)</f>
        <v/>
      </c>
      <c r="AB17" s="33">
        <f>IF(C17="",0,Z17-AA17)</f>
        <v/>
      </c>
    </row>
    <row r="18">
      <c r="B18" t="n">
        <v>13</v>
      </c>
      <c r="C18">
        <f>IF(Mieter!D18="","",Mieter!D18)</f>
        <v/>
      </c>
      <c r="D18" s="32">
        <f>IF(OR(Mieter!$D18="",Kosten!$H$6&lt;&gt;"Ja"),0,IFERROR(Kosten!$C$6*INDEX(Liegenschaft!$C$14:$G$25,MATCH(Mieter!$C18,Liegenschaft!$B$14:$B$25,0),Kosten!$I$6)/INDEX(Liegenschaft!$C$26:$G$26,1,Kosten!$I$6)*IF(Kosten!$D$6="Heizung/Warmwasser",Mieter!$L18,Mieter!$K18),0))</f>
        <v/>
      </c>
      <c r="E18" s="32">
        <f>IF(OR(Mieter!$D18="",Kosten!$H$7&lt;&gt;"Ja"),0,IFERROR(Kosten!$C$7*INDEX(Liegenschaft!$C$14:$G$25,MATCH(Mieter!$C18,Liegenschaft!$B$14:$B$25,0),Kosten!$I$7)/INDEX(Liegenschaft!$C$26:$G$26,1,Kosten!$I$7)*IF(Kosten!$D$7="Heizung/Warmwasser",Mieter!$L18,Mieter!$K18),0))</f>
        <v/>
      </c>
      <c r="F18" s="32">
        <f>IF(OR(Mieter!$D18="",Kosten!$H$8&lt;&gt;"Ja"),0,IFERROR(Kosten!$C$8*INDEX(Liegenschaft!$C$14:$G$25,MATCH(Mieter!$C18,Liegenschaft!$B$14:$B$25,0),Kosten!$I$8)/INDEX(Liegenschaft!$C$26:$G$26,1,Kosten!$I$8)*IF(Kosten!$D$8="Heizung/Warmwasser",Mieter!$L18,Mieter!$K18),0))</f>
        <v/>
      </c>
      <c r="G18" s="32">
        <f>IF(OR(Mieter!$D18="",Kosten!$H$9&lt;&gt;"Ja"),0,IFERROR(Kosten!$C$9*INDEX(Liegenschaft!$C$14:$G$25,MATCH(Mieter!$C18,Liegenschaft!$B$14:$B$25,0),Kosten!$I$9)/INDEX(Liegenschaft!$C$26:$G$26,1,Kosten!$I$9)*IF(Kosten!$D$9="Heizung/Warmwasser",Mieter!$L18,Mieter!$K18),0))</f>
        <v/>
      </c>
      <c r="H18" s="32">
        <f>IF(OR(Mieter!$D18="",Kosten!$H$10&lt;&gt;"Ja"),0,IFERROR(Kosten!$C$10*INDEX(Liegenschaft!$C$14:$G$25,MATCH(Mieter!$C18,Liegenschaft!$B$14:$B$25,0),Kosten!$I$10)/INDEX(Liegenschaft!$C$26:$G$26,1,Kosten!$I$10)*IF(Kosten!$D$10="Heizung/Warmwasser",Mieter!$L18,Mieter!$K18),0))</f>
        <v/>
      </c>
      <c r="I18" s="32">
        <f>IF(OR(Mieter!$D18="",Kosten!$H$11&lt;&gt;"Ja"),0,IFERROR(Kosten!$C$11*INDEX(Liegenschaft!$C$14:$G$25,MATCH(Mieter!$C18,Liegenschaft!$B$14:$B$25,0),Kosten!$I$11)/INDEX(Liegenschaft!$C$26:$G$26,1,Kosten!$I$11)*IF(Kosten!$D$11="Heizung/Warmwasser",Mieter!$L18,Mieter!$K18),0))</f>
        <v/>
      </c>
      <c r="J18" s="32">
        <f>IF(OR(Mieter!$D18="",Kosten!$H$12&lt;&gt;"Ja"),0,IFERROR(Kosten!$C$12*INDEX(Liegenschaft!$C$14:$G$25,MATCH(Mieter!$C18,Liegenschaft!$B$14:$B$25,0),Kosten!$I$12)/INDEX(Liegenschaft!$C$26:$G$26,1,Kosten!$I$12)*IF(Kosten!$D$12="Heizung/Warmwasser",Mieter!$L18,Mieter!$K18),0))</f>
        <v/>
      </c>
      <c r="K18" s="32">
        <f>IF(OR(Mieter!$D18="",Kosten!$H$13&lt;&gt;"Ja"),0,IFERROR(Kosten!$C$13*INDEX(Liegenschaft!$C$14:$G$25,MATCH(Mieter!$C18,Liegenschaft!$B$14:$B$25,0),Kosten!$I$13)/INDEX(Liegenschaft!$C$26:$G$26,1,Kosten!$I$13)*IF(Kosten!$D$13="Heizung/Warmwasser",Mieter!$L18,Mieter!$K18),0))</f>
        <v/>
      </c>
      <c r="L18" s="32">
        <f>IF(OR(Mieter!$D18="",Kosten!$H$14&lt;&gt;"Ja"),0,IFERROR(Kosten!$C$14*INDEX(Liegenschaft!$C$14:$G$25,MATCH(Mieter!$C18,Liegenschaft!$B$14:$B$25,0),Kosten!$I$14)/INDEX(Liegenschaft!$C$26:$G$26,1,Kosten!$I$14)*IF(Kosten!$D$14="Heizung/Warmwasser",Mieter!$L18,Mieter!$K18),0))</f>
        <v/>
      </c>
      <c r="M18" s="32">
        <f>IF(OR(Mieter!$D18="",Kosten!$H$15&lt;&gt;"Ja"),0,IFERROR(Kosten!$C$15*INDEX(Liegenschaft!$C$14:$G$25,MATCH(Mieter!$C18,Liegenschaft!$B$14:$B$25,0),Kosten!$I$15)/INDEX(Liegenschaft!$C$26:$G$26,1,Kosten!$I$15)*IF(Kosten!$D$15="Heizung/Warmwasser",Mieter!$L18,Mieter!$K18),0))</f>
        <v/>
      </c>
      <c r="N18" s="32">
        <f>IF(OR(Mieter!$D18="",Kosten!$H$16&lt;&gt;"Ja"),0,IFERROR(Kosten!$C$16*INDEX(Liegenschaft!$C$14:$G$25,MATCH(Mieter!$C18,Liegenschaft!$B$14:$B$25,0),Kosten!$I$16)/INDEX(Liegenschaft!$C$26:$G$26,1,Kosten!$I$16)*IF(Kosten!$D$16="Heizung/Warmwasser",Mieter!$L18,Mieter!$K18),0))</f>
        <v/>
      </c>
      <c r="O18" s="32">
        <f>IF(OR(Mieter!$D18="",Kosten!$H$17&lt;&gt;"Ja"),0,IFERROR(Kosten!$C$17*INDEX(Liegenschaft!$C$14:$G$25,MATCH(Mieter!$C18,Liegenschaft!$B$14:$B$25,0),Kosten!$I$17)/INDEX(Liegenschaft!$C$26:$G$26,1,Kosten!$I$17)*IF(Kosten!$D$17="Heizung/Warmwasser",Mieter!$L18,Mieter!$K18),0))</f>
        <v/>
      </c>
      <c r="P18" s="32">
        <f>IF(OR(Mieter!$D18="",Kosten!$H$18&lt;&gt;"Ja"),0,IFERROR(Kosten!$C$18*INDEX(Liegenschaft!$C$14:$G$25,MATCH(Mieter!$C18,Liegenschaft!$B$14:$B$25,0),Kosten!$I$18)/INDEX(Liegenschaft!$C$26:$G$26,1,Kosten!$I$18)*IF(Kosten!$D$18="Heizung/Warmwasser",Mieter!$L18,Mieter!$K18),0))</f>
        <v/>
      </c>
      <c r="Q18" s="32">
        <f>IF(OR(Mieter!$D18="",Kosten!$H$19&lt;&gt;"Ja"),0,IFERROR(Kosten!$C$19*INDEX(Liegenschaft!$C$14:$G$25,MATCH(Mieter!$C18,Liegenschaft!$B$14:$B$25,0),Kosten!$I$19)/INDEX(Liegenschaft!$C$26:$G$26,1,Kosten!$I$19)*IF(Kosten!$D$19="Heizung/Warmwasser",Mieter!$L18,Mieter!$K18),0))</f>
        <v/>
      </c>
      <c r="R18" s="32">
        <f>IF(OR(Mieter!$D18="",Kosten!$H$20&lt;&gt;"Ja"),0,IFERROR(Kosten!$C$20*INDEX(Liegenschaft!$C$14:$G$25,MATCH(Mieter!$C18,Liegenschaft!$B$14:$B$25,0),Kosten!$I$20)/INDEX(Liegenschaft!$C$26:$G$26,1,Kosten!$I$20)*IF(Kosten!$D$20="Heizung/Warmwasser",Mieter!$L18,Mieter!$K18),0))</f>
        <v/>
      </c>
      <c r="S18" s="32">
        <f>IF(OR(Mieter!$D18="",Kosten!$H$21&lt;&gt;"Ja"),0,IFERROR(Kosten!$C$21*INDEX(Liegenschaft!$C$14:$G$25,MATCH(Mieter!$C18,Liegenschaft!$B$14:$B$25,0),Kosten!$I$21)/INDEX(Liegenschaft!$C$26:$G$26,1,Kosten!$I$21)*IF(Kosten!$D$21="Heizung/Warmwasser",Mieter!$L18,Mieter!$K18),0))</f>
        <v/>
      </c>
      <c r="T18" s="32">
        <f>IF(OR(Mieter!$D18="",Kosten!$H$22&lt;&gt;"Ja"),0,IFERROR(Kosten!$C$22*INDEX(Liegenschaft!$C$14:$G$25,MATCH(Mieter!$C18,Liegenschaft!$B$14:$B$25,0),Kosten!$I$22)/INDEX(Liegenschaft!$C$26:$G$26,1,Kosten!$I$22)*IF(Kosten!$D$22="Heizung/Warmwasser",Mieter!$L18,Mieter!$K18),0))</f>
        <v/>
      </c>
      <c r="U18" s="32">
        <f>IF(OR(Mieter!$D18="",Kosten!$H$23&lt;&gt;"Ja"),0,IFERROR(Kosten!$C$23*INDEX(Liegenschaft!$C$14:$G$25,MATCH(Mieter!$C18,Liegenschaft!$B$14:$B$25,0),Kosten!$I$23)/INDEX(Liegenschaft!$C$26:$G$26,1,Kosten!$I$23)*IF(Kosten!$D$23="Heizung/Warmwasser",Mieter!$L18,Mieter!$K18),0))</f>
        <v/>
      </c>
      <c r="V18" s="32">
        <f>IF(OR(Mieter!$D18="",Kosten!$H$24&lt;&gt;"Ja"),0,IFERROR(Kosten!$C$24*INDEX(Liegenschaft!$C$14:$G$25,MATCH(Mieter!$C18,Liegenschaft!$B$14:$B$25,0),Kosten!$I$24)/INDEX(Liegenschaft!$C$26:$G$26,1,Kosten!$I$24)*IF(Kosten!$D$24="Heizung/Warmwasser",Mieter!$L18,Mieter!$K18),0))</f>
        <v/>
      </c>
      <c r="W18" s="32">
        <f>IF(OR(Mieter!$D18="",Kosten!$H$25&lt;&gt;"Ja"),0,IFERROR(Kosten!$C$25*INDEX(Liegenschaft!$C$14:$G$25,MATCH(Mieter!$C18,Liegenschaft!$B$14:$B$25,0),Kosten!$I$25)/INDEX(Liegenschaft!$C$26:$G$26,1,Kosten!$I$25)*IF(Kosten!$D$25="Heizung/Warmwasser",Mieter!$L18,Mieter!$K18),0))</f>
        <v/>
      </c>
      <c r="X18" s="32">
        <f>SUM(D18:W18)</f>
        <v/>
      </c>
      <c r="Y18" s="32">
        <f>IF(Liegenschaft!$C$11="Ja",ROUND(X18*Liegenschaft!$C$10,2),0)</f>
        <v/>
      </c>
      <c r="Z18" s="32">
        <f>ROUND(X18+Y18,2)</f>
        <v/>
      </c>
      <c r="AA18" s="32">
        <f>N(Mieter!G18)</f>
        <v/>
      </c>
      <c r="AB18" s="33">
        <f>IF(C18="",0,Z18-AA18)</f>
        <v/>
      </c>
    </row>
    <row r="19">
      <c r="B19" t="n">
        <v>14</v>
      </c>
      <c r="C19">
        <f>IF(Mieter!D19="","",Mieter!D19)</f>
        <v/>
      </c>
      <c r="D19" s="32">
        <f>IF(OR(Mieter!$D19="",Kosten!$H$6&lt;&gt;"Ja"),0,IFERROR(Kosten!$C$6*INDEX(Liegenschaft!$C$14:$G$25,MATCH(Mieter!$C19,Liegenschaft!$B$14:$B$25,0),Kosten!$I$6)/INDEX(Liegenschaft!$C$26:$G$26,1,Kosten!$I$6)*IF(Kosten!$D$6="Heizung/Warmwasser",Mieter!$L19,Mieter!$K19),0))</f>
        <v/>
      </c>
      <c r="E19" s="32">
        <f>IF(OR(Mieter!$D19="",Kosten!$H$7&lt;&gt;"Ja"),0,IFERROR(Kosten!$C$7*INDEX(Liegenschaft!$C$14:$G$25,MATCH(Mieter!$C19,Liegenschaft!$B$14:$B$25,0),Kosten!$I$7)/INDEX(Liegenschaft!$C$26:$G$26,1,Kosten!$I$7)*IF(Kosten!$D$7="Heizung/Warmwasser",Mieter!$L19,Mieter!$K19),0))</f>
        <v/>
      </c>
      <c r="F19" s="32">
        <f>IF(OR(Mieter!$D19="",Kosten!$H$8&lt;&gt;"Ja"),0,IFERROR(Kosten!$C$8*INDEX(Liegenschaft!$C$14:$G$25,MATCH(Mieter!$C19,Liegenschaft!$B$14:$B$25,0),Kosten!$I$8)/INDEX(Liegenschaft!$C$26:$G$26,1,Kosten!$I$8)*IF(Kosten!$D$8="Heizung/Warmwasser",Mieter!$L19,Mieter!$K19),0))</f>
        <v/>
      </c>
      <c r="G19" s="32">
        <f>IF(OR(Mieter!$D19="",Kosten!$H$9&lt;&gt;"Ja"),0,IFERROR(Kosten!$C$9*INDEX(Liegenschaft!$C$14:$G$25,MATCH(Mieter!$C19,Liegenschaft!$B$14:$B$25,0),Kosten!$I$9)/INDEX(Liegenschaft!$C$26:$G$26,1,Kosten!$I$9)*IF(Kosten!$D$9="Heizung/Warmwasser",Mieter!$L19,Mieter!$K19),0))</f>
        <v/>
      </c>
      <c r="H19" s="32">
        <f>IF(OR(Mieter!$D19="",Kosten!$H$10&lt;&gt;"Ja"),0,IFERROR(Kosten!$C$10*INDEX(Liegenschaft!$C$14:$G$25,MATCH(Mieter!$C19,Liegenschaft!$B$14:$B$25,0),Kosten!$I$10)/INDEX(Liegenschaft!$C$26:$G$26,1,Kosten!$I$10)*IF(Kosten!$D$10="Heizung/Warmwasser",Mieter!$L19,Mieter!$K19),0))</f>
        <v/>
      </c>
      <c r="I19" s="32">
        <f>IF(OR(Mieter!$D19="",Kosten!$H$11&lt;&gt;"Ja"),0,IFERROR(Kosten!$C$11*INDEX(Liegenschaft!$C$14:$G$25,MATCH(Mieter!$C19,Liegenschaft!$B$14:$B$25,0),Kosten!$I$11)/INDEX(Liegenschaft!$C$26:$G$26,1,Kosten!$I$11)*IF(Kosten!$D$11="Heizung/Warmwasser",Mieter!$L19,Mieter!$K19),0))</f>
        <v/>
      </c>
      <c r="J19" s="32">
        <f>IF(OR(Mieter!$D19="",Kosten!$H$12&lt;&gt;"Ja"),0,IFERROR(Kosten!$C$12*INDEX(Liegenschaft!$C$14:$G$25,MATCH(Mieter!$C19,Liegenschaft!$B$14:$B$25,0),Kosten!$I$12)/INDEX(Liegenschaft!$C$26:$G$26,1,Kosten!$I$12)*IF(Kosten!$D$12="Heizung/Warmwasser",Mieter!$L19,Mieter!$K19),0))</f>
        <v/>
      </c>
      <c r="K19" s="32">
        <f>IF(OR(Mieter!$D19="",Kosten!$H$13&lt;&gt;"Ja"),0,IFERROR(Kosten!$C$13*INDEX(Liegenschaft!$C$14:$G$25,MATCH(Mieter!$C19,Liegenschaft!$B$14:$B$25,0),Kosten!$I$13)/INDEX(Liegenschaft!$C$26:$G$26,1,Kosten!$I$13)*IF(Kosten!$D$13="Heizung/Warmwasser",Mieter!$L19,Mieter!$K19),0))</f>
        <v/>
      </c>
      <c r="L19" s="32">
        <f>IF(OR(Mieter!$D19="",Kosten!$H$14&lt;&gt;"Ja"),0,IFERROR(Kosten!$C$14*INDEX(Liegenschaft!$C$14:$G$25,MATCH(Mieter!$C19,Liegenschaft!$B$14:$B$25,0),Kosten!$I$14)/INDEX(Liegenschaft!$C$26:$G$26,1,Kosten!$I$14)*IF(Kosten!$D$14="Heizung/Warmwasser",Mieter!$L19,Mieter!$K19),0))</f>
        <v/>
      </c>
      <c r="M19" s="32">
        <f>IF(OR(Mieter!$D19="",Kosten!$H$15&lt;&gt;"Ja"),0,IFERROR(Kosten!$C$15*INDEX(Liegenschaft!$C$14:$G$25,MATCH(Mieter!$C19,Liegenschaft!$B$14:$B$25,0),Kosten!$I$15)/INDEX(Liegenschaft!$C$26:$G$26,1,Kosten!$I$15)*IF(Kosten!$D$15="Heizung/Warmwasser",Mieter!$L19,Mieter!$K19),0))</f>
        <v/>
      </c>
      <c r="N19" s="32">
        <f>IF(OR(Mieter!$D19="",Kosten!$H$16&lt;&gt;"Ja"),0,IFERROR(Kosten!$C$16*INDEX(Liegenschaft!$C$14:$G$25,MATCH(Mieter!$C19,Liegenschaft!$B$14:$B$25,0),Kosten!$I$16)/INDEX(Liegenschaft!$C$26:$G$26,1,Kosten!$I$16)*IF(Kosten!$D$16="Heizung/Warmwasser",Mieter!$L19,Mieter!$K19),0))</f>
        <v/>
      </c>
      <c r="O19" s="32">
        <f>IF(OR(Mieter!$D19="",Kosten!$H$17&lt;&gt;"Ja"),0,IFERROR(Kosten!$C$17*INDEX(Liegenschaft!$C$14:$G$25,MATCH(Mieter!$C19,Liegenschaft!$B$14:$B$25,0),Kosten!$I$17)/INDEX(Liegenschaft!$C$26:$G$26,1,Kosten!$I$17)*IF(Kosten!$D$17="Heizung/Warmwasser",Mieter!$L19,Mieter!$K19),0))</f>
        <v/>
      </c>
      <c r="P19" s="32">
        <f>IF(OR(Mieter!$D19="",Kosten!$H$18&lt;&gt;"Ja"),0,IFERROR(Kosten!$C$18*INDEX(Liegenschaft!$C$14:$G$25,MATCH(Mieter!$C19,Liegenschaft!$B$14:$B$25,0),Kosten!$I$18)/INDEX(Liegenschaft!$C$26:$G$26,1,Kosten!$I$18)*IF(Kosten!$D$18="Heizung/Warmwasser",Mieter!$L19,Mieter!$K19),0))</f>
        <v/>
      </c>
      <c r="Q19" s="32">
        <f>IF(OR(Mieter!$D19="",Kosten!$H$19&lt;&gt;"Ja"),0,IFERROR(Kosten!$C$19*INDEX(Liegenschaft!$C$14:$G$25,MATCH(Mieter!$C19,Liegenschaft!$B$14:$B$25,0),Kosten!$I$19)/INDEX(Liegenschaft!$C$26:$G$26,1,Kosten!$I$19)*IF(Kosten!$D$19="Heizung/Warmwasser",Mieter!$L19,Mieter!$K19),0))</f>
        <v/>
      </c>
      <c r="R19" s="32">
        <f>IF(OR(Mieter!$D19="",Kosten!$H$20&lt;&gt;"Ja"),0,IFERROR(Kosten!$C$20*INDEX(Liegenschaft!$C$14:$G$25,MATCH(Mieter!$C19,Liegenschaft!$B$14:$B$25,0),Kosten!$I$20)/INDEX(Liegenschaft!$C$26:$G$26,1,Kosten!$I$20)*IF(Kosten!$D$20="Heizung/Warmwasser",Mieter!$L19,Mieter!$K19),0))</f>
        <v/>
      </c>
      <c r="S19" s="32">
        <f>IF(OR(Mieter!$D19="",Kosten!$H$21&lt;&gt;"Ja"),0,IFERROR(Kosten!$C$21*INDEX(Liegenschaft!$C$14:$G$25,MATCH(Mieter!$C19,Liegenschaft!$B$14:$B$25,0),Kosten!$I$21)/INDEX(Liegenschaft!$C$26:$G$26,1,Kosten!$I$21)*IF(Kosten!$D$21="Heizung/Warmwasser",Mieter!$L19,Mieter!$K19),0))</f>
        <v/>
      </c>
      <c r="T19" s="32">
        <f>IF(OR(Mieter!$D19="",Kosten!$H$22&lt;&gt;"Ja"),0,IFERROR(Kosten!$C$22*INDEX(Liegenschaft!$C$14:$G$25,MATCH(Mieter!$C19,Liegenschaft!$B$14:$B$25,0),Kosten!$I$22)/INDEX(Liegenschaft!$C$26:$G$26,1,Kosten!$I$22)*IF(Kosten!$D$22="Heizung/Warmwasser",Mieter!$L19,Mieter!$K19),0))</f>
        <v/>
      </c>
      <c r="U19" s="32">
        <f>IF(OR(Mieter!$D19="",Kosten!$H$23&lt;&gt;"Ja"),0,IFERROR(Kosten!$C$23*INDEX(Liegenschaft!$C$14:$G$25,MATCH(Mieter!$C19,Liegenschaft!$B$14:$B$25,0),Kosten!$I$23)/INDEX(Liegenschaft!$C$26:$G$26,1,Kosten!$I$23)*IF(Kosten!$D$23="Heizung/Warmwasser",Mieter!$L19,Mieter!$K19),0))</f>
        <v/>
      </c>
      <c r="V19" s="32">
        <f>IF(OR(Mieter!$D19="",Kosten!$H$24&lt;&gt;"Ja"),0,IFERROR(Kosten!$C$24*INDEX(Liegenschaft!$C$14:$G$25,MATCH(Mieter!$C19,Liegenschaft!$B$14:$B$25,0),Kosten!$I$24)/INDEX(Liegenschaft!$C$26:$G$26,1,Kosten!$I$24)*IF(Kosten!$D$24="Heizung/Warmwasser",Mieter!$L19,Mieter!$K19),0))</f>
        <v/>
      </c>
      <c r="W19" s="32">
        <f>IF(OR(Mieter!$D19="",Kosten!$H$25&lt;&gt;"Ja"),0,IFERROR(Kosten!$C$25*INDEX(Liegenschaft!$C$14:$G$25,MATCH(Mieter!$C19,Liegenschaft!$B$14:$B$25,0),Kosten!$I$25)/INDEX(Liegenschaft!$C$26:$G$26,1,Kosten!$I$25)*IF(Kosten!$D$25="Heizung/Warmwasser",Mieter!$L19,Mieter!$K19),0))</f>
        <v/>
      </c>
      <c r="X19" s="32">
        <f>SUM(D19:W19)</f>
        <v/>
      </c>
      <c r="Y19" s="32">
        <f>IF(Liegenschaft!$C$11="Ja",ROUND(X19*Liegenschaft!$C$10,2),0)</f>
        <v/>
      </c>
      <c r="Z19" s="32">
        <f>ROUND(X19+Y19,2)</f>
        <v/>
      </c>
      <c r="AA19" s="32">
        <f>N(Mieter!G19)</f>
        <v/>
      </c>
      <c r="AB19" s="33">
        <f>IF(C19="",0,Z19-AA19)</f>
        <v/>
      </c>
    </row>
    <row r="20">
      <c r="B20" t="n">
        <v>15</v>
      </c>
      <c r="C20">
        <f>IF(Mieter!D20="","",Mieter!D20)</f>
        <v/>
      </c>
      <c r="D20" s="32">
        <f>IF(OR(Mieter!$D20="",Kosten!$H$6&lt;&gt;"Ja"),0,IFERROR(Kosten!$C$6*INDEX(Liegenschaft!$C$14:$G$25,MATCH(Mieter!$C20,Liegenschaft!$B$14:$B$25,0),Kosten!$I$6)/INDEX(Liegenschaft!$C$26:$G$26,1,Kosten!$I$6)*IF(Kosten!$D$6="Heizung/Warmwasser",Mieter!$L20,Mieter!$K20),0))</f>
        <v/>
      </c>
      <c r="E20" s="32">
        <f>IF(OR(Mieter!$D20="",Kosten!$H$7&lt;&gt;"Ja"),0,IFERROR(Kosten!$C$7*INDEX(Liegenschaft!$C$14:$G$25,MATCH(Mieter!$C20,Liegenschaft!$B$14:$B$25,0),Kosten!$I$7)/INDEX(Liegenschaft!$C$26:$G$26,1,Kosten!$I$7)*IF(Kosten!$D$7="Heizung/Warmwasser",Mieter!$L20,Mieter!$K20),0))</f>
        <v/>
      </c>
      <c r="F20" s="32">
        <f>IF(OR(Mieter!$D20="",Kosten!$H$8&lt;&gt;"Ja"),0,IFERROR(Kosten!$C$8*INDEX(Liegenschaft!$C$14:$G$25,MATCH(Mieter!$C20,Liegenschaft!$B$14:$B$25,0),Kosten!$I$8)/INDEX(Liegenschaft!$C$26:$G$26,1,Kosten!$I$8)*IF(Kosten!$D$8="Heizung/Warmwasser",Mieter!$L20,Mieter!$K20),0))</f>
        <v/>
      </c>
      <c r="G20" s="32">
        <f>IF(OR(Mieter!$D20="",Kosten!$H$9&lt;&gt;"Ja"),0,IFERROR(Kosten!$C$9*INDEX(Liegenschaft!$C$14:$G$25,MATCH(Mieter!$C20,Liegenschaft!$B$14:$B$25,0),Kosten!$I$9)/INDEX(Liegenschaft!$C$26:$G$26,1,Kosten!$I$9)*IF(Kosten!$D$9="Heizung/Warmwasser",Mieter!$L20,Mieter!$K20),0))</f>
        <v/>
      </c>
      <c r="H20" s="32">
        <f>IF(OR(Mieter!$D20="",Kosten!$H$10&lt;&gt;"Ja"),0,IFERROR(Kosten!$C$10*INDEX(Liegenschaft!$C$14:$G$25,MATCH(Mieter!$C20,Liegenschaft!$B$14:$B$25,0),Kosten!$I$10)/INDEX(Liegenschaft!$C$26:$G$26,1,Kosten!$I$10)*IF(Kosten!$D$10="Heizung/Warmwasser",Mieter!$L20,Mieter!$K20),0))</f>
        <v/>
      </c>
      <c r="I20" s="32">
        <f>IF(OR(Mieter!$D20="",Kosten!$H$11&lt;&gt;"Ja"),0,IFERROR(Kosten!$C$11*INDEX(Liegenschaft!$C$14:$G$25,MATCH(Mieter!$C20,Liegenschaft!$B$14:$B$25,0),Kosten!$I$11)/INDEX(Liegenschaft!$C$26:$G$26,1,Kosten!$I$11)*IF(Kosten!$D$11="Heizung/Warmwasser",Mieter!$L20,Mieter!$K20),0))</f>
        <v/>
      </c>
      <c r="J20" s="32">
        <f>IF(OR(Mieter!$D20="",Kosten!$H$12&lt;&gt;"Ja"),0,IFERROR(Kosten!$C$12*INDEX(Liegenschaft!$C$14:$G$25,MATCH(Mieter!$C20,Liegenschaft!$B$14:$B$25,0),Kosten!$I$12)/INDEX(Liegenschaft!$C$26:$G$26,1,Kosten!$I$12)*IF(Kosten!$D$12="Heizung/Warmwasser",Mieter!$L20,Mieter!$K20),0))</f>
        <v/>
      </c>
      <c r="K20" s="32">
        <f>IF(OR(Mieter!$D20="",Kosten!$H$13&lt;&gt;"Ja"),0,IFERROR(Kosten!$C$13*INDEX(Liegenschaft!$C$14:$G$25,MATCH(Mieter!$C20,Liegenschaft!$B$14:$B$25,0),Kosten!$I$13)/INDEX(Liegenschaft!$C$26:$G$26,1,Kosten!$I$13)*IF(Kosten!$D$13="Heizung/Warmwasser",Mieter!$L20,Mieter!$K20),0))</f>
        <v/>
      </c>
      <c r="L20" s="32">
        <f>IF(OR(Mieter!$D20="",Kosten!$H$14&lt;&gt;"Ja"),0,IFERROR(Kosten!$C$14*INDEX(Liegenschaft!$C$14:$G$25,MATCH(Mieter!$C20,Liegenschaft!$B$14:$B$25,0),Kosten!$I$14)/INDEX(Liegenschaft!$C$26:$G$26,1,Kosten!$I$14)*IF(Kosten!$D$14="Heizung/Warmwasser",Mieter!$L20,Mieter!$K20),0))</f>
        <v/>
      </c>
      <c r="M20" s="32">
        <f>IF(OR(Mieter!$D20="",Kosten!$H$15&lt;&gt;"Ja"),0,IFERROR(Kosten!$C$15*INDEX(Liegenschaft!$C$14:$G$25,MATCH(Mieter!$C20,Liegenschaft!$B$14:$B$25,0),Kosten!$I$15)/INDEX(Liegenschaft!$C$26:$G$26,1,Kosten!$I$15)*IF(Kosten!$D$15="Heizung/Warmwasser",Mieter!$L20,Mieter!$K20),0))</f>
        <v/>
      </c>
      <c r="N20" s="32">
        <f>IF(OR(Mieter!$D20="",Kosten!$H$16&lt;&gt;"Ja"),0,IFERROR(Kosten!$C$16*INDEX(Liegenschaft!$C$14:$G$25,MATCH(Mieter!$C20,Liegenschaft!$B$14:$B$25,0),Kosten!$I$16)/INDEX(Liegenschaft!$C$26:$G$26,1,Kosten!$I$16)*IF(Kosten!$D$16="Heizung/Warmwasser",Mieter!$L20,Mieter!$K20),0))</f>
        <v/>
      </c>
      <c r="O20" s="32">
        <f>IF(OR(Mieter!$D20="",Kosten!$H$17&lt;&gt;"Ja"),0,IFERROR(Kosten!$C$17*INDEX(Liegenschaft!$C$14:$G$25,MATCH(Mieter!$C20,Liegenschaft!$B$14:$B$25,0),Kosten!$I$17)/INDEX(Liegenschaft!$C$26:$G$26,1,Kosten!$I$17)*IF(Kosten!$D$17="Heizung/Warmwasser",Mieter!$L20,Mieter!$K20),0))</f>
        <v/>
      </c>
      <c r="P20" s="32">
        <f>IF(OR(Mieter!$D20="",Kosten!$H$18&lt;&gt;"Ja"),0,IFERROR(Kosten!$C$18*INDEX(Liegenschaft!$C$14:$G$25,MATCH(Mieter!$C20,Liegenschaft!$B$14:$B$25,0),Kosten!$I$18)/INDEX(Liegenschaft!$C$26:$G$26,1,Kosten!$I$18)*IF(Kosten!$D$18="Heizung/Warmwasser",Mieter!$L20,Mieter!$K20),0))</f>
        <v/>
      </c>
      <c r="Q20" s="32">
        <f>IF(OR(Mieter!$D20="",Kosten!$H$19&lt;&gt;"Ja"),0,IFERROR(Kosten!$C$19*INDEX(Liegenschaft!$C$14:$G$25,MATCH(Mieter!$C20,Liegenschaft!$B$14:$B$25,0),Kosten!$I$19)/INDEX(Liegenschaft!$C$26:$G$26,1,Kosten!$I$19)*IF(Kosten!$D$19="Heizung/Warmwasser",Mieter!$L20,Mieter!$K20),0))</f>
        <v/>
      </c>
      <c r="R20" s="32">
        <f>IF(OR(Mieter!$D20="",Kosten!$H$20&lt;&gt;"Ja"),0,IFERROR(Kosten!$C$20*INDEX(Liegenschaft!$C$14:$G$25,MATCH(Mieter!$C20,Liegenschaft!$B$14:$B$25,0),Kosten!$I$20)/INDEX(Liegenschaft!$C$26:$G$26,1,Kosten!$I$20)*IF(Kosten!$D$20="Heizung/Warmwasser",Mieter!$L20,Mieter!$K20),0))</f>
        <v/>
      </c>
      <c r="S20" s="32">
        <f>IF(OR(Mieter!$D20="",Kosten!$H$21&lt;&gt;"Ja"),0,IFERROR(Kosten!$C$21*INDEX(Liegenschaft!$C$14:$G$25,MATCH(Mieter!$C20,Liegenschaft!$B$14:$B$25,0),Kosten!$I$21)/INDEX(Liegenschaft!$C$26:$G$26,1,Kosten!$I$21)*IF(Kosten!$D$21="Heizung/Warmwasser",Mieter!$L20,Mieter!$K20),0))</f>
        <v/>
      </c>
      <c r="T20" s="32">
        <f>IF(OR(Mieter!$D20="",Kosten!$H$22&lt;&gt;"Ja"),0,IFERROR(Kosten!$C$22*INDEX(Liegenschaft!$C$14:$G$25,MATCH(Mieter!$C20,Liegenschaft!$B$14:$B$25,0),Kosten!$I$22)/INDEX(Liegenschaft!$C$26:$G$26,1,Kosten!$I$22)*IF(Kosten!$D$22="Heizung/Warmwasser",Mieter!$L20,Mieter!$K20),0))</f>
        <v/>
      </c>
      <c r="U20" s="32">
        <f>IF(OR(Mieter!$D20="",Kosten!$H$23&lt;&gt;"Ja"),0,IFERROR(Kosten!$C$23*INDEX(Liegenschaft!$C$14:$G$25,MATCH(Mieter!$C20,Liegenschaft!$B$14:$B$25,0),Kosten!$I$23)/INDEX(Liegenschaft!$C$26:$G$26,1,Kosten!$I$23)*IF(Kosten!$D$23="Heizung/Warmwasser",Mieter!$L20,Mieter!$K20),0))</f>
        <v/>
      </c>
      <c r="V20" s="32">
        <f>IF(OR(Mieter!$D20="",Kosten!$H$24&lt;&gt;"Ja"),0,IFERROR(Kosten!$C$24*INDEX(Liegenschaft!$C$14:$G$25,MATCH(Mieter!$C20,Liegenschaft!$B$14:$B$25,0),Kosten!$I$24)/INDEX(Liegenschaft!$C$26:$G$26,1,Kosten!$I$24)*IF(Kosten!$D$24="Heizung/Warmwasser",Mieter!$L20,Mieter!$K20),0))</f>
        <v/>
      </c>
      <c r="W20" s="32">
        <f>IF(OR(Mieter!$D20="",Kosten!$H$25&lt;&gt;"Ja"),0,IFERROR(Kosten!$C$25*INDEX(Liegenschaft!$C$14:$G$25,MATCH(Mieter!$C20,Liegenschaft!$B$14:$B$25,0),Kosten!$I$25)/INDEX(Liegenschaft!$C$26:$G$26,1,Kosten!$I$25)*IF(Kosten!$D$25="Heizung/Warmwasser",Mieter!$L20,Mieter!$K20),0))</f>
        <v/>
      </c>
      <c r="X20" s="32">
        <f>SUM(D20:W20)</f>
        <v/>
      </c>
      <c r="Y20" s="32">
        <f>IF(Liegenschaft!$C$11="Ja",ROUND(X20*Liegenschaft!$C$10,2),0)</f>
        <v/>
      </c>
      <c r="Z20" s="32">
        <f>ROUND(X20+Y20,2)</f>
        <v/>
      </c>
      <c r="AA20" s="32">
        <f>N(Mieter!G20)</f>
        <v/>
      </c>
      <c r="AB20" s="33">
        <f>IF(C20="",0,Z20-AA20)</f>
        <v/>
      </c>
    </row>
    <row r="21">
      <c r="B21" t="n">
        <v>16</v>
      </c>
      <c r="C21">
        <f>IF(Mieter!D21="","",Mieter!D21)</f>
        <v/>
      </c>
      <c r="D21" s="32">
        <f>IF(OR(Mieter!$D21="",Kosten!$H$6&lt;&gt;"Ja"),0,IFERROR(Kosten!$C$6*INDEX(Liegenschaft!$C$14:$G$25,MATCH(Mieter!$C21,Liegenschaft!$B$14:$B$25,0),Kosten!$I$6)/INDEX(Liegenschaft!$C$26:$G$26,1,Kosten!$I$6)*IF(Kosten!$D$6="Heizung/Warmwasser",Mieter!$L21,Mieter!$K21),0))</f>
        <v/>
      </c>
      <c r="E21" s="32">
        <f>IF(OR(Mieter!$D21="",Kosten!$H$7&lt;&gt;"Ja"),0,IFERROR(Kosten!$C$7*INDEX(Liegenschaft!$C$14:$G$25,MATCH(Mieter!$C21,Liegenschaft!$B$14:$B$25,0),Kosten!$I$7)/INDEX(Liegenschaft!$C$26:$G$26,1,Kosten!$I$7)*IF(Kosten!$D$7="Heizung/Warmwasser",Mieter!$L21,Mieter!$K21),0))</f>
        <v/>
      </c>
      <c r="F21" s="32">
        <f>IF(OR(Mieter!$D21="",Kosten!$H$8&lt;&gt;"Ja"),0,IFERROR(Kosten!$C$8*INDEX(Liegenschaft!$C$14:$G$25,MATCH(Mieter!$C21,Liegenschaft!$B$14:$B$25,0),Kosten!$I$8)/INDEX(Liegenschaft!$C$26:$G$26,1,Kosten!$I$8)*IF(Kosten!$D$8="Heizung/Warmwasser",Mieter!$L21,Mieter!$K21),0))</f>
        <v/>
      </c>
      <c r="G21" s="32">
        <f>IF(OR(Mieter!$D21="",Kosten!$H$9&lt;&gt;"Ja"),0,IFERROR(Kosten!$C$9*INDEX(Liegenschaft!$C$14:$G$25,MATCH(Mieter!$C21,Liegenschaft!$B$14:$B$25,0),Kosten!$I$9)/INDEX(Liegenschaft!$C$26:$G$26,1,Kosten!$I$9)*IF(Kosten!$D$9="Heizung/Warmwasser",Mieter!$L21,Mieter!$K21),0))</f>
        <v/>
      </c>
      <c r="H21" s="32">
        <f>IF(OR(Mieter!$D21="",Kosten!$H$10&lt;&gt;"Ja"),0,IFERROR(Kosten!$C$10*INDEX(Liegenschaft!$C$14:$G$25,MATCH(Mieter!$C21,Liegenschaft!$B$14:$B$25,0),Kosten!$I$10)/INDEX(Liegenschaft!$C$26:$G$26,1,Kosten!$I$10)*IF(Kosten!$D$10="Heizung/Warmwasser",Mieter!$L21,Mieter!$K21),0))</f>
        <v/>
      </c>
      <c r="I21" s="32">
        <f>IF(OR(Mieter!$D21="",Kosten!$H$11&lt;&gt;"Ja"),0,IFERROR(Kosten!$C$11*INDEX(Liegenschaft!$C$14:$G$25,MATCH(Mieter!$C21,Liegenschaft!$B$14:$B$25,0),Kosten!$I$11)/INDEX(Liegenschaft!$C$26:$G$26,1,Kosten!$I$11)*IF(Kosten!$D$11="Heizung/Warmwasser",Mieter!$L21,Mieter!$K21),0))</f>
        <v/>
      </c>
      <c r="J21" s="32">
        <f>IF(OR(Mieter!$D21="",Kosten!$H$12&lt;&gt;"Ja"),0,IFERROR(Kosten!$C$12*INDEX(Liegenschaft!$C$14:$G$25,MATCH(Mieter!$C21,Liegenschaft!$B$14:$B$25,0),Kosten!$I$12)/INDEX(Liegenschaft!$C$26:$G$26,1,Kosten!$I$12)*IF(Kosten!$D$12="Heizung/Warmwasser",Mieter!$L21,Mieter!$K21),0))</f>
        <v/>
      </c>
      <c r="K21" s="32">
        <f>IF(OR(Mieter!$D21="",Kosten!$H$13&lt;&gt;"Ja"),0,IFERROR(Kosten!$C$13*INDEX(Liegenschaft!$C$14:$G$25,MATCH(Mieter!$C21,Liegenschaft!$B$14:$B$25,0),Kosten!$I$13)/INDEX(Liegenschaft!$C$26:$G$26,1,Kosten!$I$13)*IF(Kosten!$D$13="Heizung/Warmwasser",Mieter!$L21,Mieter!$K21),0))</f>
        <v/>
      </c>
      <c r="L21" s="32">
        <f>IF(OR(Mieter!$D21="",Kosten!$H$14&lt;&gt;"Ja"),0,IFERROR(Kosten!$C$14*INDEX(Liegenschaft!$C$14:$G$25,MATCH(Mieter!$C21,Liegenschaft!$B$14:$B$25,0),Kosten!$I$14)/INDEX(Liegenschaft!$C$26:$G$26,1,Kosten!$I$14)*IF(Kosten!$D$14="Heizung/Warmwasser",Mieter!$L21,Mieter!$K21),0))</f>
        <v/>
      </c>
      <c r="M21" s="32">
        <f>IF(OR(Mieter!$D21="",Kosten!$H$15&lt;&gt;"Ja"),0,IFERROR(Kosten!$C$15*INDEX(Liegenschaft!$C$14:$G$25,MATCH(Mieter!$C21,Liegenschaft!$B$14:$B$25,0),Kosten!$I$15)/INDEX(Liegenschaft!$C$26:$G$26,1,Kosten!$I$15)*IF(Kosten!$D$15="Heizung/Warmwasser",Mieter!$L21,Mieter!$K21),0))</f>
        <v/>
      </c>
      <c r="N21" s="32">
        <f>IF(OR(Mieter!$D21="",Kosten!$H$16&lt;&gt;"Ja"),0,IFERROR(Kosten!$C$16*INDEX(Liegenschaft!$C$14:$G$25,MATCH(Mieter!$C21,Liegenschaft!$B$14:$B$25,0),Kosten!$I$16)/INDEX(Liegenschaft!$C$26:$G$26,1,Kosten!$I$16)*IF(Kosten!$D$16="Heizung/Warmwasser",Mieter!$L21,Mieter!$K21),0))</f>
        <v/>
      </c>
      <c r="O21" s="32">
        <f>IF(OR(Mieter!$D21="",Kosten!$H$17&lt;&gt;"Ja"),0,IFERROR(Kosten!$C$17*INDEX(Liegenschaft!$C$14:$G$25,MATCH(Mieter!$C21,Liegenschaft!$B$14:$B$25,0),Kosten!$I$17)/INDEX(Liegenschaft!$C$26:$G$26,1,Kosten!$I$17)*IF(Kosten!$D$17="Heizung/Warmwasser",Mieter!$L21,Mieter!$K21),0))</f>
        <v/>
      </c>
      <c r="P21" s="32">
        <f>IF(OR(Mieter!$D21="",Kosten!$H$18&lt;&gt;"Ja"),0,IFERROR(Kosten!$C$18*INDEX(Liegenschaft!$C$14:$G$25,MATCH(Mieter!$C21,Liegenschaft!$B$14:$B$25,0),Kosten!$I$18)/INDEX(Liegenschaft!$C$26:$G$26,1,Kosten!$I$18)*IF(Kosten!$D$18="Heizung/Warmwasser",Mieter!$L21,Mieter!$K21),0))</f>
        <v/>
      </c>
      <c r="Q21" s="32">
        <f>IF(OR(Mieter!$D21="",Kosten!$H$19&lt;&gt;"Ja"),0,IFERROR(Kosten!$C$19*INDEX(Liegenschaft!$C$14:$G$25,MATCH(Mieter!$C21,Liegenschaft!$B$14:$B$25,0),Kosten!$I$19)/INDEX(Liegenschaft!$C$26:$G$26,1,Kosten!$I$19)*IF(Kosten!$D$19="Heizung/Warmwasser",Mieter!$L21,Mieter!$K21),0))</f>
        <v/>
      </c>
      <c r="R21" s="32">
        <f>IF(OR(Mieter!$D21="",Kosten!$H$20&lt;&gt;"Ja"),0,IFERROR(Kosten!$C$20*INDEX(Liegenschaft!$C$14:$G$25,MATCH(Mieter!$C21,Liegenschaft!$B$14:$B$25,0),Kosten!$I$20)/INDEX(Liegenschaft!$C$26:$G$26,1,Kosten!$I$20)*IF(Kosten!$D$20="Heizung/Warmwasser",Mieter!$L21,Mieter!$K21),0))</f>
        <v/>
      </c>
      <c r="S21" s="32">
        <f>IF(OR(Mieter!$D21="",Kosten!$H$21&lt;&gt;"Ja"),0,IFERROR(Kosten!$C$21*INDEX(Liegenschaft!$C$14:$G$25,MATCH(Mieter!$C21,Liegenschaft!$B$14:$B$25,0),Kosten!$I$21)/INDEX(Liegenschaft!$C$26:$G$26,1,Kosten!$I$21)*IF(Kosten!$D$21="Heizung/Warmwasser",Mieter!$L21,Mieter!$K21),0))</f>
        <v/>
      </c>
      <c r="T21" s="32">
        <f>IF(OR(Mieter!$D21="",Kosten!$H$22&lt;&gt;"Ja"),0,IFERROR(Kosten!$C$22*INDEX(Liegenschaft!$C$14:$G$25,MATCH(Mieter!$C21,Liegenschaft!$B$14:$B$25,0),Kosten!$I$22)/INDEX(Liegenschaft!$C$26:$G$26,1,Kosten!$I$22)*IF(Kosten!$D$22="Heizung/Warmwasser",Mieter!$L21,Mieter!$K21),0))</f>
        <v/>
      </c>
      <c r="U21" s="32">
        <f>IF(OR(Mieter!$D21="",Kosten!$H$23&lt;&gt;"Ja"),0,IFERROR(Kosten!$C$23*INDEX(Liegenschaft!$C$14:$G$25,MATCH(Mieter!$C21,Liegenschaft!$B$14:$B$25,0),Kosten!$I$23)/INDEX(Liegenschaft!$C$26:$G$26,1,Kosten!$I$23)*IF(Kosten!$D$23="Heizung/Warmwasser",Mieter!$L21,Mieter!$K21),0))</f>
        <v/>
      </c>
      <c r="V21" s="32">
        <f>IF(OR(Mieter!$D21="",Kosten!$H$24&lt;&gt;"Ja"),0,IFERROR(Kosten!$C$24*INDEX(Liegenschaft!$C$14:$G$25,MATCH(Mieter!$C21,Liegenschaft!$B$14:$B$25,0),Kosten!$I$24)/INDEX(Liegenschaft!$C$26:$G$26,1,Kosten!$I$24)*IF(Kosten!$D$24="Heizung/Warmwasser",Mieter!$L21,Mieter!$K21),0))</f>
        <v/>
      </c>
      <c r="W21" s="32">
        <f>IF(OR(Mieter!$D21="",Kosten!$H$25&lt;&gt;"Ja"),0,IFERROR(Kosten!$C$25*INDEX(Liegenschaft!$C$14:$G$25,MATCH(Mieter!$C21,Liegenschaft!$B$14:$B$25,0),Kosten!$I$25)/INDEX(Liegenschaft!$C$26:$G$26,1,Kosten!$I$25)*IF(Kosten!$D$25="Heizung/Warmwasser",Mieter!$L21,Mieter!$K21),0))</f>
        <v/>
      </c>
      <c r="X21" s="32">
        <f>SUM(D21:W21)</f>
        <v/>
      </c>
      <c r="Y21" s="32">
        <f>IF(Liegenschaft!$C$11="Ja",ROUND(X21*Liegenschaft!$C$10,2),0)</f>
        <v/>
      </c>
      <c r="Z21" s="32">
        <f>ROUND(X21+Y21,2)</f>
        <v/>
      </c>
      <c r="AA21" s="32">
        <f>N(Mieter!G21)</f>
        <v/>
      </c>
      <c r="AB21" s="33">
        <f>IF(C21="",0,Z21-AA21)</f>
        <v/>
      </c>
    </row>
    <row r="22">
      <c r="B22" t="n">
        <v>17</v>
      </c>
      <c r="C22">
        <f>IF(Mieter!D22="","",Mieter!D22)</f>
        <v/>
      </c>
      <c r="D22" s="32">
        <f>IF(OR(Mieter!$D22="",Kosten!$H$6&lt;&gt;"Ja"),0,IFERROR(Kosten!$C$6*INDEX(Liegenschaft!$C$14:$G$25,MATCH(Mieter!$C22,Liegenschaft!$B$14:$B$25,0),Kosten!$I$6)/INDEX(Liegenschaft!$C$26:$G$26,1,Kosten!$I$6)*IF(Kosten!$D$6="Heizung/Warmwasser",Mieter!$L22,Mieter!$K22),0))</f>
        <v/>
      </c>
      <c r="E22" s="32">
        <f>IF(OR(Mieter!$D22="",Kosten!$H$7&lt;&gt;"Ja"),0,IFERROR(Kosten!$C$7*INDEX(Liegenschaft!$C$14:$G$25,MATCH(Mieter!$C22,Liegenschaft!$B$14:$B$25,0),Kosten!$I$7)/INDEX(Liegenschaft!$C$26:$G$26,1,Kosten!$I$7)*IF(Kosten!$D$7="Heizung/Warmwasser",Mieter!$L22,Mieter!$K22),0))</f>
        <v/>
      </c>
      <c r="F22" s="32">
        <f>IF(OR(Mieter!$D22="",Kosten!$H$8&lt;&gt;"Ja"),0,IFERROR(Kosten!$C$8*INDEX(Liegenschaft!$C$14:$G$25,MATCH(Mieter!$C22,Liegenschaft!$B$14:$B$25,0),Kosten!$I$8)/INDEX(Liegenschaft!$C$26:$G$26,1,Kosten!$I$8)*IF(Kosten!$D$8="Heizung/Warmwasser",Mieter!$L22,Mieter!$K22),0))</f>
        <v/>
      </c>
      <c r="G22" s="32">
        <f>IF(OR(Mieter!$D22="",Kosten!$H$9&lt;&gt;"Ja"),0,IFERROR(Kosten!$C$9*INDEX(Liegenschaft!$C$14:$G$25,MATCH(Mieter!$C22,Liegenschaft!$B$14:$B$25,0),Kosten!$I$9)/INDEX(Liegenschaft!$C$26:$G$26,1,Kosten!$I$9)*IF(Kosten!$D$9="Heizung/Warmwasser",Mieter!$L22,Mieter!$K22),0))</f>
        <v/>
      </c>
      <c r="H22" s="32">
        <f>IF(OR(Mieter!$D22="",Kosten!$H$10&lt;&gt;"Ja"),0,IFERROR(Kosten!$C$10*INDEX(Liegenschaft!$C$14:$G$25,MATCH(Mieter!$C22,Liegenschaft!$B$14:$B$25,0),Kosten!$I$10)/INDEX(Liegenschaft!$C$26:$G$26,1,Kosten!$I$10)*IF(Kosten!$D$10="Heizung/Warmwasser",Mieter!$L22,Mieter!$K22),0))</f>
        <v/>
      </c>
      <c r="I22" s="32">
        <f>IF(OR(Mieter!$D22="",Kosten!$H$11&lt;&gt;"Ja"),0,IFERROR(Kosten!$C$11*INDEX(Liegenschaft!$C$14:$G$25,MATCH(Mieter!$C22,Liegenschaft!$B$14:$B$25,0),Kosten!$I$11)/INDEX(Liegenschaft!$C$26:$G$26,1,Kosten!$I$11)*IF(Kosten!$D$11="Heizung/Warmwasser",Mieter!$L22,Mieter!$K22),0))</f>
        <v/>
      </c>
      <c r="J22" s="32">
        <f>IF(OR(Mieter!$D22="",Kosten!$H$12&lt;&gt;"Ja"),0,IFERROR(Kosten!$C$12*INDEX(Liegenschaft!$C$14:$G$25,MATCH(Mieter!$C22,Liegenschaft!$B$14:$B$25,0),Kosten!$I$12)/INDEX(Liegenschaft!$C$26:$G$26,1,Kosten!$I$12)*IF(Kosten!$D$12="Heizung/Warmwasser",Mieter!$L22,Mieter!$K22),0))</f>
        <v/>
      </c>
      <c r="K22" s="32">
        <f>IF(OR(Mieter!$D22="",Kosten!$H$13&lt;&gt;"Ja"),0,IFERROR(Kosten!$C$13*INDEX(Liegenschaft!$C$14:$G$25,MATCH(Mieter!$C22,Liegenschaft!$B$14:$B$25,0),Kosten!$I$13)/INDEX(Liegenschaft!$C$26:$G$26,1,Kosten!$I$13)*IF(Kosten!$D$13="Heizung/Warmwasser",Mieter!$L22,Mieter!$K22),0))</f>
        <v/>
      </c>
      <c r="L22" s="32">
        <f>IF(OR(Mieter!$D22="",Kosten!$H$14&lt;&gt;"Ja"),0,IFERROR(Kosten!$C$14*INDEX(Liegenschaft!$C$14:$G$25,MATCH(Mieter!$C22,Liegenschaft!$B$14:$B$25,0),Kosten!$I$14)/INDEX(Liegenschaft!$C$26:$G$26,1,Kosten!$I$14)*IF(Kosten!$D$14="Heizung/Warmwasser",Mieter!$L22,Mieter!$K22),0))</f>
        <v/>
      </c>
      <c r="M22" s="32">
        <f>IF(OR(Mieter!$D22="",Kosten!$H$15&lt;&gt;"Ja"),0,IFERROR(Kosten!$C$15*INDEX(Liegenschaft!$C$14:$G$25,MATCH(Mieter!$C22,Liegenschaft!$B$14:$B$25,0),Kosten!$I$15)/INDEX(Liegenschaft!$C$26:$G$26,1,Kosten!$I$15)*IF(Kosten!$D$15="Heizung/Warmwasser",Mieter!$L22,Mieter!$K22),0))</f>
        <v/>
      </c>
      <c r="N22" s="32">
        <f>IF(OR(Mieter!$D22="",Kosten!$H$16&lt;&gt;"Ja"),0,IFERROR(Kosten!$C$16*INDEX(Liegenschaft!$C$14:$G$25,MATCH(Mieter!$C22,Liegenschaft!$B$14:$B$25,0),Kosten!$I$16)/INDEX(Liegenschaft!$C$26:$G$26,1,Kosten!$I$16)*IF(Kosten!$D$16="Heizung/Warmwasser",Mieter!$L22,Mieter!$K22),0))</f>
        <v/>
      </c>
      <c r="O22" s="32">
        <f>IF(OR(Mieter!$D22="",Kosten!$H$17&lt;&gt;"Ja"),0,IFERROR(Kosten!$C$17*INDEX(Liegenschaft!$C$14:$G$25,MATCH(Mieter!$C22,Liegenschaft!$B$14:$B$25,0),Kosten!$I$17)/INDEX(Liegenschaft!$C$26:$G$26,1,Kosten!$I$17)*IF(Kosten!$D$17="Heizung/Warmwasser",Mieter!$L22,Mieter!$K22),0))</f>
        <v/>
      </c>
      <c r="P22" s="32">
        <f>IF(OR(Mieter!$D22="",Kosten!$H$18&lt;&gt;"Ja"),0,IFERROR(Kosten!$C$18*INDEX(Liegenschaft!$C$14:$G$25,MATCH(Mieter!$C22,Liegenschaft!$B$14:$B$25,0),Kosten!$I$18)/INDEX(Liegenschaft!$C$26:$G$26,1,Kosten!$I$18)*IF(Kosten!$D$18="Heizung/Warmwasser",Mieter!$L22,Mieter!$K22),0))</f>
        <v/>
      </c>
      <c r="Q22" s="32">
        <f>IF(OR(Mieter!$D22="",Kosten!$H$19&lt;&gt;"Ja"),0,IFERROR(Kosten!$C$19*INDEX(Liegenschaft!$C$14:$G$25,MATCH(Mieter!$C22,Liegenschaft!$B$14:$B$25,0),Kosten!$I$19)/INDEX(Liegenschaft!$C$26:$G$26,1,Kosten!$I$19)*IF(Kosten!$D$19="Heizung/Warmwasser",Mieter!$L22,Mieter!$K22),0))</f>
        <v/>
      </c>
      <c r="R22" s="32">
        <f>IF(OR(Mieter!$D22="",Kosten!$H$20&lt;&gt;"Ja"),0,IFERROR(Kosten!$C$20*INDEX(Liegenschaft!$C$14:$G$25,MATCH(Mieter!$C22,Liegenschaft!$B$14:$B$25,0),Kosten!$I$20)/INDEX(Liegenschaft!$C$26:$G$26,1,Kosten!$I$20)*IF(Kosten!$D$20="Heizung/Warmwasser",Mieter!$L22,Mieter!$K22),0))</f>
        <v/>
      </c>
      <c r="S22" s="32">
        <f>IF(OR(Mieter!$D22="",Kosten!$H$21&lt;&gt;"Ja"),0,IFERROR(Kosten!$C$21*INDEX(Liegenschaft!$C$14:$G$25,MATCH(Mieter!$C22,Liegenschaft!$B$14:$B$25,0),Kosten!$I$21)/INDEX(Liegenschaft!$C$26:$G$26,1,Kosten!$I$21)*IF(Kosten!$D$21="Heizung/Warmwasser",Mieter!$L22,Mieter!$K22),0))</f>
        <v/>
      </c>
      <c r="T22" s="32">
        <f>IF(OR(Mieter!$D22="",Kosten!$H$22&lt;&gt;"Ja"),0,IFERROR(Kosten!$C$22*INDEX(Liegenschaft!$C$14:$G$25,MATCH(Mieter!$C22,Liegenschaft!$B$14:$B$25,0),Kosten!$I$22)/INDEX(Liegenschaft!$C$26:$G$26,1,Kosten!$I$22)*IF(Kosten!$D$22="Heizung/Warmwasser",Mieter!$L22,Mieter!$K22),0))</f>
        <v/>
      </c>
      <c r="U22" s="32">
        <f>IF(OR(Mieter!$D22="",Kosten!$H$23&lt;&gt;"Ja"),0,IFERROR(Kosten!$C$23*INDEX(Liegenschaft!$C$14:$G$25,MATCH(Mieter!$C22,Liegenschaft!$B$14:$B$25,0),Kosten!$I$23)/INDEX(Liegenschaft!$C$26:$G$26,1,Kosten!$I$23)*IF(Kosten!$D$23="Heizung/Warmwasser",Mieter!$L22,Mieter!$K22),0))</f>
        <v/>
      </c>
      <c r="V22" s="32">
        <f>IF(OR(Mieter!$D22="",Kosten!$H$24&lt;&gt;"Ja"),0,IFERROR(Kosten!$C$24*INDEX(Liegenschaft!$C$14:$G$25,MATCH(Mieter!$C22,Liegenschaft!$B$14:$B$25,0),Kosten!$I$24)/INDEX(Liegenschaft!$C$26:$G$26,1,Kosten!$I$24)*IF(Kosten!$D$24="Heizung/Warmwasser",Mieter!$L22,Mieter!$K22),0))</f>
        <v/>
      </c>
      <c r="W22" s="32">
        <f>IF(OR(Mieter!$D22="",Kosten!$H$25&lt;&gt;"Ja"),0,IFERROR(Kosten!$C$25*INDEX(Liegenschaft!$C$14:$G$25,MATCH(Mieter!$C22,Liegenschaft!$B$14:$B$25,0),Kosten!$I$25)/INDEX(Liegenschaft!$C$26:$G$26,1,Kosten!$I$25)*IF(Kosten!$D$25="Heizung/Warmwasser",Mieter!$L22,Mieter!$K22),0))</f>
        <v/>
      </c>
      <c r="X22" s="32">
        <f>SUM(D22:W22)</f>
        <v/>
      </c>
      <c r="Y22" s="32">
        <f>IF(Liegenschaft!$C$11="Ja",ROUND(X22*Liegenschaft!$C$10,2),0)</f>
        <v/>
      </c>
      <c r="Z22" s="32">
        <f>ROUND(X22+Y22,2)</f>
        <v/>
      </c>
      <c r="AA22" s="32">
        <f>N(Mieter!G22)</f>
        <v/>
      </c>
      <c r="AB22" s="33">
        <f>IF(C22="",0,Z22-AA22)</f>
        <v/>
      </c>
    </row>
    <row r="23">
      <c r="B23" t="n">
        <v>18</v>
      </c>
      <c r="C23">
        <f>IF(Mieter!D23="","",Mieter!D23)</f>
        <v/>
      </c>
      <c r="D23" s="32">
        <f>IF(OR(Mieter!$D23="",Kosten!$H$6&lt;&gt;"Ja"),0,IFERROR(Kosten!$C$6*INDEX(Liegenschaft!$C$14:$G$25,MATCH(Mieter!$C23,Liegenschaft!$B$14:$B$25,0),Kosten!$I$6)/INDEX(Liegenschaft!$C$26:$G$26,1,Kosten!$I$6)*IF(Kosten!$D$6="Heizung/Warmwasser",Mieter!$L23,Mieter!$K23),0))</f>
        <v/>
      </c>
      <c r="E23" s="32">
        <f>IF(OR(Mieter!$D23="",Kosten!$H$7&lt;&gt;"Ja"),0,IFERROR(Kosten!$C$7*INDEX(Liegenschaft!$C$14:$G$25,MATCH(Mieter!$C23,Liegenschaft!$B$14:$B$25,0),Kosten!$I$7)/INDEX(Liegenschaft!$C$26:$G$26,1,Kosten!$I$7)*IF(Kosten!$D$7="Heizung/Warmwasser",Mieter!$L23,Mieter!$K23),0))</f>
        <v/>
      </c>
      <c r="F23" s="32">
        <f>IF(OR(Mieter!$D23="",Kosten!$H$8&lt;&gt;"Ja"),0,IFERROR(Kosten!$C$8*INDEX(Liegenschaft!$C$14:$G$25,MATCH(Mieter!$C23,Liegenschaft!$B$14:$B$25,0),Kosten!$I$8)/INDEX(Liegenschaft!$C$26:$G$26,1,Kosten!$I$8)*IF(Kosten!$D$8="Heizung/Warmwasser",Mieter!$L23,Mieter!$K23),0))</f>
        <v/>
      </c>
      <c r="G23" s="32">
        <f>IF(OR(Mieter!$D23="",Kosten!$H$9&lt;&gt;"Ja"),0,IFERROR(Kosten!$C$9*INDEX(Liegenschaft!$C$14:$G$25,MATCH(Mieter!$C23,Liegenschaft!$B$14:$B$25,0),Kosten!$I$9)/INDEX(Liegenschaft!$C$26:$G$26,1,Kosten!$I$9)*IF(Kosten!$D$9="Heizung/Warmwasser",Mieter!$L23,Mieter!$K23),0))</f>
        <v/>
      </c>
      <c r="H23" s="32">
        <f>IF(OR(Mieter!$D23="",Kosten!$H$10&lt;&gt;"Ja"),0,IFERROR(Kosten!$C$10*INDEX(Liegenschaft!$C$14:$G$25,MATCH(Mieter!$C23,Liegenschaft!$B$14:$B$25,0),Kosten!$I$10)/INDEX(Liegenschaft!$C$26:$G$26,1,Kosten!$I$10)*IF(Kosten!$D$10="Heizung/Warmwasser",Mieter!$L23,Mieter!$K23),0))</f>
        <v/>
      </c>
      <c r="I23" s="32">
        <f>IF(OR(Mieter!$D23="",Kosten!$H$11&lt;&gt;"Ja"),0,IFERROR(Kosten!$C$11*INDEX(Liegenschaft!$C$14:$G$25,MATCH(Mieter!$C23,Liegenschaft!$B$14:$B$25,0),Kosten!$I$11)/INDEX(Liegenschaft!$C$26:$G$26,1,Kosten!$I$11)*IF(Kosten!$D$11="Heizung/Warmwasser",Mieter!$L23,Mieter!$K23),0))</f>
        <v/>
      </c>
      <c r="J23" s="32">
        <f>IF(OR(Mieter!$D23="",Kosten!$H$12&lt;&gt;"Ja"),0,IFERROR(Kosten!$C$12*INDEX(Liegenschaft!$C$14:$G$25,MATCH(Mieter!$C23,Liegenschaft!$B$14:$B$25,0),Kosten!$I$12)/INDEX(Liegenschaft!$C$26:$G$26,1,Kosten!$I$12)*IF(Kosten!$D$12="Heizung/Warmwasser",Mieter!$L23,Mieter!$K23),0))</f>
        <v/>
      </c>
      <c r="K23" s="32">
        <f>IF(OR(Mieter!$D23="",Kosten!$H$13&lt;&gt;"Ja"),0,IFERROR(Kosten!$C$13*INDEX(Liegenschaft!$C$14:$G$25,MATCH(Mieter!$C23,Liegenschaft!$B$14:$B$25,0),Kosten!$I$13)/INDEX(Liegenschaft!$C$26:$G$26,1,Kosten!$I$13)*IF(Kosten!$D$13="Heizung/Warmwasser",Mieter!$L23,Mieter!$K23),0))</f>
        <v/>
      </c>
      <c r="L23" s="32">
        <f>IF(OR(Mieter!$D23="",Kosten!$H$14&lt;&gt;"Ja"),0,IFERROR(Kosten!$C$14*INDEX(Liegenschaft!$C$14:$G$25,MATCH(Mieter!$C23,Liegenschaft!$B$14:$B$25,0),Kosten!$I$14)/INDEX(Liegenschaft!$C$26:$G$26,1,Kosten!$I$14)*IF(Kosten!$D$14="Heizung/Warmwasser",Mieter!$L23,Mieter!$K23),0))</f>
        <v/>
      </c>
      <c r="M23" s="32">
        <f>IF(OR(Mieter!$D23="",Kosten!$H$15&lt;&gt;"Ja"),0,IFERROR(Kosten!$C$15*INDEX(Liegenschaft!$C$14:$G$25,MATCH(Mieter!$C23,Liegenschaft!$B$14:$B$25,0),Kosten!$I$15)/INDEX(Liegenschaft!$C$26:$G$26,1,Kosten!$I$15)*IF(Kosten!$D$15="Heizung/Warmwasser",Mieter!$L23,Mieter!$K23),0))</f>
        <v/>
      </c>
      <c r="N23" s="32">
        <f>IF(OR(Mieter!$D23="",Kosten!$H$16&lt;&gt;"Ja"),0,IFERROR(Kosten!$C$16*INDEX(Liegenschaft!$C$14:$G$25,MATCH(Mieter!$C23,Liegenschaft!$B$14:$B$25,0),Kosten!$I$16)/INDEX(Liegenschaft!$C$26:$G$26,1,Kosten!$I$16)*IF(Kosten!$D$16="Heizung/Warmwasser",Mieter!$L23,Mieter!$K23),0))</f>
        <v/>
      </c>
      <c r="O23" s="32">
        <f>IF(OR(Mieter!$D23="",Kosten!$H$17&lt;&gt;"Ja"),0,IFERROR(Kosten!$C$17*INDEX(Liegenschaft!$C$14:$G$25,MATCH(Mieter!$C23,Liegenschaft!$B$14:$B$25,0),Kosten!$I$17)/INDEX(Liegenschaft!$C$26:$G$26,1,Kosten!$I$17)*IF(Kosten!$D$17="Heizung/Warmwasser",Mieter!$L23,Mieter!$K23),0))</f>
        <v/>
      </c>
      <c r="P23" s="32">
        <f>IF(OR(Mieter!$D23="",Kosten!$H$18&lt;&gt;"Ja"),0,IFERROR(Kosten!$C$18*INDEX(Liegenschaft!$C$14:$G$25,MATCH(Mieter!$C23,Liegenschaft!$B$14:$B$25,0),Kosten!$I$18)/INDEX(Liegenschaft!$C$26:$G$26,1,Kosten!$I$18)*IF(Kosten!$D$18="Heizung/Warmwasser",Mieter!$L23,Mieter!$K23),0))</f>
        <v/>
      </c>
      <c r="Q23" s="32">
        <f>IF(OR(Mieter!$D23="",Kosten!$H$19&lt;&gt;"Ja"),0,IFERROR(Kosten!$C$19*INDEX(Liegenschaft!$C$14:$G$25,MATCH(Mieter!$C23,Liegenschaft!$B$14:$B$25,0),Kosten!$I$19)/INDEX(Liegenschaft!$C$26:$G$26,1,Kosten!$I$19)*IF(Kosten!$D$19="Heizung/Warmwasser",Mieter!$L23,Mieter!$K23),0))</f>
        <v/>
      </c>
      <c r="R23" s="32">
        <f>IF(OR(Mieter!$D23="",Kosten!$H$20&lt;&gt;"Ja"),0,IFERROR(Kosten!$C$20*INDEX(Liegenschaft!$C$14:$G$25,MATCH(Mieter!$C23,Liegenschaft!$B$14:$B$25,0),Kosten!$I$20)/INDEX(Liegenschaft!$C$26:$G$26,1,Kosten!$I$20)*IF(Kosten!$D$20="Heizung/Warmwasser",Mieter!$L23,Mieter!$K23),0))</f>
        <v/>
      </c>
      <c r="S23" s="32">
        <f>IF(OR(Mieter!$D23="",Kosten!$H$21&lt;&gt;"Ja"),0,IFERROR(Kosten!$C$21*INDEX(Liegenschaft!$C$14:$G$25,MATCH(Mieter!$C23,Liegenschaft!$B$14:$B$25,0),Kosten!$I$21)/INDEX(Liegenschaft!$C$26:$G$26,1,Kosten!$I$21)*IF(Kosten!$D$21="Heizung/Warmwasser",Mieter!$L23,Mieter!$K23),0))</f>
        <v/>
      </c>
      <c r="T23" s="32">
        <f>IF(OR(Mieter!$D23="",Kosten!$H$22&lt;&gt;"Ja"),0,IFERROR(Kosten!$C$22*INDEX(Liegenschaft!$C$14:$G$25,MATCH(Mieter!$C23,Liegenschaft!$B$14:$B$25,0),Kosten!$I$22)/INDEX(Liegenschaft!$C$26:$G$26,1,Kosten!$I$22)*IF(Kosten!$D$22="Heizung/Warmwasser",Mieter!$L23,Mieter!$K23),0))</f>
        <v/>
      </c>
      <c r="U23" s="32">
        <f>IF(OR(Mieter!$D23="",Kosten!$H$23&lt;&gt;"Ja"),0,IFERROR(Kosten!$C$23*INDEX(Liegenschaft!$C$14:$G$25,MATCH(Mieter!$C23,Liegenschaft!$B$14:$B$25,0),Kosten!$I$23)/INDEX(Liegenschaft!$C$26:$G$26,1,Kosten!$I$23)*IF(Kosten!$D$23="Heizung/Warmwasser",Mieter!$L23,Mieter!$K23),0))</f>
        <v/>
      </c>
      <c r="V23" s="32">
        <f>IF(OR(Mieter!$D23="",Kosten!$H$24&lt;&gt;"Ja"),0,IFERROR(Kosten!$C$24*INDEX(Liegenschaft!$C$14:$G$25,MATCH(Mieter!$C23,Liegenschaft!$B$14:$B$25,0),Kosten!$I$24)/INDEX(Liegenschaft!$C$26:$G$26,1,Kosten!$I$24)*IF(Kosten!$D$24="Heizung/Warmwasser",Mieter!$L23,Mieter!$K23),0))</f>
        <v/>
      </c>
      <c r="W23" s="32">
        <f>IF(OR(Mieter!$D23="",Kosten!$H$25&lt;&gt;"Ja"),0,IFERROR(Kosten!$C$25*INDEX(Liegenschaft!$C$14:$G$25,MATCH(Mieter!$C23,Liegenschaft!$B$14:$B$25,0),Kosten!$I$25)/INDEX(Liegenschaft!$C$26:$G$26,1,Kosten!$I$25)*IF(Kosten!$D$25="Heizung/Warmwasser",Mieter!$L23,Mieter!$K23),0))</f>
        <v/>
      </c>
      <c r="X23" s="32">
        <f>SUM(D23:W23)</f>
        <v/>
      </c>
      <c r="Y23" s="32">
        <f>IF(Liegenschaft!$C$11="Ja",ROUND(X23*Liegenschaft!$C$10,2),0)</f>
        <v/>
      </c>
      <c r="Z23" s="32">
        <f>ROUND(X23+Y23,2)</f>
        <v/>
      </c>
      <c r="AA23" s="32">
        <f>N(Mieter!G23)</f>
        <v/>
      </c>
      <c r="AB23" s="33">
        <f>IF(C23="",0,Z23-AA23)</f>
        <v/>
      </c>
    </row>
    <row r="24">
      <c r="B24" t="n">
        <v>19</v>
      </c>
      <c r="C24">
        <f>IF(Mieter!D24="","",Mieter!D24)</f>
        <v/>
      </c>
      <c r="D24" s="32">
        <f>IF(OR(Mieter!$D24="",Kosten!$H$6&lt;&gt;"Ja"),0,IFERROR(Kosten!$C$6*INDEX(Liegenschaft!$C$14:$G$25,MATCH(Mieter!$C24,Liegenschaft!$B$14:$B$25,0),Kosten!$I$6)/INDEX(Liegenschaft!$C$26:$G$26,1,Kosten!$I$6)*IF(Kosten!$D$6="Heizung/Warmwasser",Mieter!$L24,Mieter!$K24),0))</f>
        <v/>
      </c>
      <c r="E24" s="32">
        <f>IF(OR(Mieter!$D24="",Kosten!$H$7&lt;&gt;"Ja"),0,IFERROR(Kosten!$C$7*INDEX(Liegenschaft!$C$14:$G$25,MATCH(Mieter!$C24,Liegenschaft!$B$14:$B$25,0),Kosten!$I$7)/INDEX(Liegenschaft!$C$26:$G$26,1,Kosten!$I$7)*IF(Kosten!$D$7="Heizung/Warmwasser",Mieter!$L24,Mieter!$K24),0))</f>
        <v/>
      </c>
      <c r="F24" s="32">
        <f>IF(OR(Mieter!$D24="",Kosten!$H$8&lt;&gt;"Ja"),0,IFERROR(Kosten!$C$8*INDEX(Liegenschaft!$C$14:$G$25,MATCH(Mieter!$C24,Liegenschaft!$B$14:$B$25,0),Kosten!$I$8)/INDEX(Liegenschaft!$C$26:$G$26,1,Kosten!$I$8)*IF(Kosten!$D$8="Heizung/Warmwasser",Mieter!$L24,Mieter!$K24),0))</f>
        <v/>
      </c>
      <c r="G24" s="32">
        <f>IF(OR(Mieter!$D24="",Kosten!$H$9&lt;&gt;"Ja"),0,IFERROR(Kosten!$C$9*INDEX(Liegenschaft!$C$14:$G$25,MATCH(Mieter!$C24,Liegenschaft!$B$14:$B$25,0),Kosten!$I$9)/INDEX(Liegenschaft!$C$26:$G$26,1,Kosten!$I$9)*IF(Kosten!$D$9="Heizung/Warmwasser",Mieter!$L24,Mieter!$K24),0))</f>
        <v/>
      </c>
      <c r="H24" s="32">
        <f>IF(OR(Mieter!$D24="",Kosten!$H$10&lt;&gt;"Ja"),0,IFERROR(Kosten!$C$10*INDEX(Liegenschaft!$C$14:$G$25,MATCH(Mieter!$C24,Liegenschaft!$B$14:$B$25,0),Kosten!$I$10)/INDEX(Liegenschaft!$C$26:$G$26,1,Kosten!$I$10)*IF(Kosten!$D$10="Heizung/Warmwasser",Mieter!$L24,Mieter!$K24),0))</f>
        <v/>
      </c>
      <c r="I24" s="32">
        <f>IF(OR(Mieter!$D24="",Kosten!$H$11&lt;&gt;"Ja"),0,IFERROR(Kosten!$C$11*INDEX(Liegenschaft!$C$14:$G$25,MATCH(Mieter!$C24,Liegenschaft!$B$14:$B$25,0),Kosten!$I$11)/INDEX(Liegenschaft!$C$26:$G$26,1,Kosten!$I$11)*IF(Kosten!$D$11="Heizung/Warmwasser",Mieter!$L24,Mieter!$K24),0))</f>
        <v/>
      </c>
      <c r="J24" s="32">
        <f>IF(OR(Mieter!$D24="",Kosten!$H$12&lt;&gt;"Ja"),0,IFERROR(Kosten!$C$12*INDEX(Liegenschaft!$C$14:$G$25,MATCH(Mieter!$C24,Liegenschaft!$B$14:$B$25,0),Kosten!$I$12)/INDEX(Liegenschaft!$C$26:$G$26,1,Kosten!$I$12)*IF(Kosten!$D$12="Heizung/Warmwasser",Mieter!$L24,Mieter!$K24),0))</f>
        <v/>
      </c>
      <c r="K24" s="32">
        <f>IF(OR(Mieter!$D24="",Kosten!$H$13&lt;&gt;"Ja"),0,IFERROR(Kosten!$C$13*INDEX(Liegenschaft!$C$14:$G$25,MATCH(Mieter!$C24,Liegenschaft!$B$14:$B$25,0),Kosten!$I$13)/INDEX(Liegenschaft!$C$26:$G$26,1,Kosten!$I$13)*IF(Kosten!$D$13="Heizung/Warmwasser",Mieter!$L24,Mieter!$K24),0))</f>
        <v/>
      </c>
      <c r="L24" s="32">
        <f>IF(OR(Mieter!$D24="",Kosten!$H$14&lt;&gt;"Ja"),0,IFERROR(Kosten!$C$14*INDEX(Liegenschaft!$C$14:$G$25,MATCH(Mieter!$C24,Liegenschaft!$B$14:$B$25,0),Kosten!$I$14)/INDEX(Liegenschaft!$C$26:$G$26,1,Kosten!$I$14)*IF(Kosten!$D$14="Heizung/Warmwasser",Mieter!$L24,Mieter!$K24),0))</f>
        <v/>
      </c>
      <c r="M24" s="32">
        <f>IF(OR(Mieter!$D24="",Kosten!$H$15&lt;&gt;"Ja"),0,IFERROR(Kosten!$C$15*INDEX(Liegenschaft!$C$14:$G$25,MATCH(Mieter!$C24,Liegenschaft!$B$14:$B$25,0),Kosten!$I$15)/INDEX(Liegenschaft!$C$26:$G$26,1,Kosten!$I$15)*IF(Kosten!$D$15="Heizung/Warmwasser",Mieter!$L24,Mieter!$K24),0))</f>
        <v/>
      </c>
      <c r="N24" s="32">
        <f>IF(OR(Mieter!$D24="",Kosten!$H$16&lt;&gt;"Ja"),0,IFERROR(Kosten!$C$16*INDEX(Liegenschaft!$C$14:$G$25,MATCH(Mieter!$C24,Liegenschaft!$B$14:$B$25,0),Kosten!$I$16)/INDEX(Liegenschaft!$C$26:$G$26,1,Kosten!$I$16)*IF(Kosten!$D$16="Heizung/Warmwasser",Mieter!$L24,Mieter!$K24),0))</f>
        <v/>
      </c>
      <c r="O24" s="32">
        <f>IF(OR(Mieter!$D24="",Kosten!$H$17&lt;&gt;"Ja"),0,IFERROR(Kosten!$C$17*INDEX(Liegenschaft!$C$14:$G$25,MATCH(Mieter!$C24,Liegenschaft!$B$14:$B$25,0),Kosten!$I$17)/INDEX(Liegenschaft!$C$26:$G$26,1,Kosten!$I$17)*IF(Kosten!$D$17="Heizung/Warmwasser",Mieter!$L24,Mieter!$K24),0))</f>
        <v/>
      </c>
      <c r="P24" s="32">
        <f>IF(OR(Mieter!$D24="",Kosten!$H$18&lt;&gt;"Ja"),0,IFERROR(Kosten!$C$18*INDEX(Liegenschaft!$C$14:$G$25,MATCH(Mieter!$C24,Liegenschaft!$B$14:$B$25,0),Kosten!$I$18)/INDEX(Liegenschaft!$C$26:$G$26,1,Kosten!$I$18)*IF(Kosten!$D$18="Heizung/Warmwasser",Mieter!$L24,Mieter!$K24),0))</f>
        <v/>
      </c>
      <c r="Q24" s="32">
        <f>IF(OR(Mieter!$D24="",Kosten!$H$19&lt;&gt;"Ja"),0,IFERROR(Kosten!$C$19*INDEX(Liegenschaft!$C$14:$G$25,MATCH(Mieter!$C24,Liegenschaft!$B$14:$B$25,0),Kosten!$I$19)/INDEX(Liegenschaft!$C$26:$G$26,1,Kosten!$I$19)*IF(Kosten!$D$19="Heizung/Warmwasser",Mieter!$L24,Mieter!$K24),0))</f>
        <v/>
      </c>
      <c r="R24" s="32">
        <f>IF(OR(Mieter!$D24="",Kosten!$H$20&lt;&gt;"Ja"),0,IFERROR(Kosten!$C$20*INDEX(Liegenschaft!$C$14:$G$25,MATCH(Mieter!$C24,Liegenschaft!$B$14:$B$25,0),Kosten!$I$20)/INDEX(Liegenschaft!$C$26:$G$26,1,Kosten!$I$20)*IF(Kosten!$D$20="Heizung/Warmwasser",Mieter!$L24,Mieter!$K24),0))</f>
        <v/>
      </c>
      <c r="S24" s="32">
        <f>IF(OR(Mieter!$D24="",Kosten!$H$21&lt;&gt;"Ja"),0,IFERROR(Kosten!$C$21*INDEX(Liegenschaft!$C$14:$G$25,MATCH(Mieter!$C24,Liegenschaft!$B$14:$B$25,0),Kosten!$I$21)/INDEX(Liegenschaft!$C$26:$G$26,1,Kosten!$I$21)*IF(Kosten!$D$21="Heizung/Warmwasser",Mieter!$L24,Mieter!$K24),0))</f>
        <v/>
      </c>
      <c r="T24" s="32">
        <f>IF(OR(Mieter!$D24="",Kosten!$H$22&lt;&gt;"Ja"),0,IFERROR(Kosten!$C$22*INDEX(Liegenschaft!$C$14:$G$25,MATCH(Mieter!$C24,Liegenschaft!$B$14:$B$25,0),Kosten!$I$22)/INDEX(Liegenschaft!$C$26:$G$26,1,Kosten!$I$22)*IF(Kosten!$D$22="Heizung/Warmwasser",Mieter!$L24,Mieter!$K24),0))</f>
        <v/>
      </c>
      <c r="U24" s="32">
        <f>IF(OR(Mieter!$D24="",Kosten!$H$23&lt;&gt;"Ja"),0,IFERROR(Kosten!$C$23*INDEX(Liegenschaft!$C$14:$G$25,MATCH(Mieter!$C24,Liegenschaft!$B$14:$B$25,0),Kosten!$I$23)/INDEX(Liegenschaft!$C$26:$G$26,1,Kosten!$I$23)*IF(Kosten!$D$23="Heizung/Warmwasser",Mieter!$L24,Mieter!$K24),0))</f>
        <v/>
      </c>
      <c r="V24" s="32">
        <f>IF(OR(Mieter!$D24="",Kosten!$H$24&lt;&gt;"Ja"),0,IFERROR(Kosten!$C$24*INDEX(Liegenschaft!$C$14:$G$25,MATCH(Mieter!$C24,Liegenschaft!$B$14:$B$25,0),Kosten!$I$24)/INDEX(Liegenschaft!$C$26:$G$26,1,Kosten!$I$24)*IF(Kosten!$D$24="Heizung/Warmwasser",Mieter!$L24,Mieter!$K24),0))</f>
        <v/>
      </c>
      <c r="W24" s="32">
        <f>IF(OR(Mieter!$D24="",Kosten!$H$25&lt;&gt;"Ja"),0,IFERROR(Kosten!$C$25*INDEX(Liegenschaft!$C$14:$G$25,MATCH(Mieter!$C24,Liegenschaft!$B$14:$B$25,0),Kosten!$I$25)/INDEX(Liegenschaft!$C$26:$G$26,1,Kosten!$I$25)*IF(Kosten!$D$25="Heizung/Warmwasser",Mieter!$L24,Mieter!$K24),0))</f>
        <v/>
      </c>
      <c r="X24" s="32">
        <f>SUM(D24:W24)</f>
        <v/>
      </c>
      <c r="Y24" s="32">
        <f>IF(Liegenschaft!$C$11="Ja",ROUND(X24*Liegenschaft!$C$10,2),0)</f>
        <v/>
      </c>
      <c r="Z24" s="32">
        <f>ROUND(X24+Y24,2)</f>
        <v/>
      </c>
      <c r="AA24" s="32">
        <f>N(Mieter!G24)</f>
        <v/>
      </c>
      <c r="AB24" s="33">
        <f>IF(C24="",0,Z24-AA24)</f>
        <v/>
      </c>
    </row>
    <row r="25">
      <c r="B25" t="n">
        <v>20</v>
      </c>
      <c r="C25">
        <f>IF(Mieter!D25="","",Mieter!D25)</f>
        <v/>
      </c>
      <c r="D25" s="32">
        <f>IF(OR(Mieter!$D25="",Kosten!$H$6&lt;&gt;"Ja"),0,IFERROR(Kosten!$C$6*INDEX(Liegenschaft!$C$14:$G$25,MATCH(Mieter!$C25,Liegenschaft!$B$14:$B$25,0),Kosten!$I$6)/INDEX(Liegenschaft!$C$26:$G$26,1,Kosten!$I$6)*IF(Kosten!$D$6="Heizung/Warmwasser",Mieter!$L25,Mieter!$K25),0))</f>
        <v/>
      </c>
      <c r="E25" s="32">
        <f>IF(OR(Mieter!$D25="",Kosten!$H$7&lt;&gt;"Ja"),0,IFERROR(Kosten!$C$7*INDEX(Liegenschaft!$C$14:$G$25,MATCH(Mieter!$C25,Liegenschaft!$B$14:$B$25,0),Kosten!$I$7)/INDEX(Liegenschaft!$C$26:$G$26,1,Kosten!$I$7)*IF(Kosten!$D$7="Heizung/Warmwasser",Mieter!$L25,Mieter!$K25),0))</f>
        <v/>
      </c>
      <c r="F25" s="32">
        <f>IF(OR(Mieter!$D25="",Kosten!$H$8&lt;&gt;"Ja"),0,IFERROR(Kosten!$C$8*INDEX(Liegenschaft!$C$14:$G$25,MATCH(Mieter!$C25,Liegenschaft!$B$14:$B$25,0),Kosten!$I$8)/INDEX(Liegenschaft!$C$26:$G$26,1,Kosten!$I$8)*IF(Kosten!$D$8="Heizung/Warmwasser",Mieter!$L25,Mieter!$K25),0))</f>
        <v/>
      </c>
      <c r="G25" s="32">
        <f>IF(OR(Mieter!$D25="",Kosten!$H$9&lt;&gt;"Ja"),0,IFERROR(Kosten!$C$9*INDEX(Liegenschaft!$C$14:$G$25,MATCH(Mieter!$C25,Liegenschaft!$B$14:$B$25,0),Kosten!$I$9)/INDEX(Liegenschaft!$C$26:$G$26,1,Kosten!$I$9)*IF(Kosten!$D$9="Heizung/Warmwasser",Mieter!$L25,Mieter!$K25),0))</f>
        <v/>
      </c>
      <c r="H25" s="32">
        <f>IF(OR(Mieter!$D25="",Kosten!$H$10&lt;&gt;"Ja"),0,IFERROR(Kosten!$C$10*INDEX(Liegenschaft!$C$14:$G$25,MATCH(Mieter!$C25,Liegenschaft!$B$14:$B$25,0),Kosten!$I$10)/INDEX(Liegenschaft!$C$26:$G$26,1,Kosten!$I$10)*IF(Kosten!$D$10="Heizung/Warmwasser",Mieter!$L25,Mieter!$K25),0))</f>
        <v/>
      </c>
      <c r="I25" s="32">
        <f>IF(OR(Mieter!$D25="",Kosten!$H$11&lt;&gt;"Ja"),0,IFERROR(Kosten!$C$11*INDEX(Liegenschaft!$C$14:$G$25,MATCH(Mieter!$C25,Liegenschaft!$B$14:$B$25,0),Kosten!$I$11)/INDEX(Liegenschaft!$C$26:$G$26,1,Kosten!$I$11)*IF(Kosten!$D$11="Heizung/Warmwasser",Mieter!$L25,Mieter!$K25),0))</f>
        <v/>
      </c>
      <c r="J25" s="32">
        <f>IF(OR(Mieter!$D25="",Kosten!$H$12&lt;&gt;"Ja"),0,IFERROR(Kosten!$C$12*INDEX(Liegenschaft!$C$14:$G$25,MATCH(Mieter!$C25,Liegenschaft!$B$14:$B$25,0),Kosten!$I$12)/INDEX(Liegenschaft!$C$26:$G$26,1,Kosten!$I$12)*IF(Kosten!$D$12="Heizung/Warmwasser",Mieter!$L25,Mieter!$K25),0))</f>
        <v/>
      </c>
      <c r="K25" s="32">
        <f>IF(OR(Mieter!$D25="",Kosten!$H$13&lt;&gt;"Ja"),0,IFERROR(Kosten!$C$13*INDEX(Liegenschaft!$C$14:$G$25,MATCH(Mieter!$C25,Liegenschaft!$B$14:$B$25,0),Kosten!$I$13)/INDEX(Liegenschaft!$C$26:$G$26,1,Kosten!$I$13)*IF(Kosten!$D$13="Heizung/Warmwasser",Mieter!$L25,Mieter!$K25),0))</f>
        <v/>
      </c>
      <c r="L25" s="32">
        <f>IF(OR(Mieter!$D25="",Kosten!$H$14&lt;&gt;"Ja"),0,IFERROR(Kosten!$C$14*INDEX(Liegenschaft!$C$14:$G$25,MATCH(Mieter!$C25,Liegenschaft!$B$14:$B$25,0),Kosten!$I$14)/INDEX(Liegenschaft!$C$26:$G$26,1,Kosten!$I$14)*IF(Kosten!$D$14="Heizung/Warmwasser",Mieter!$L25,Mieter!$K25),0))</f>
        <v/>
      </c>
      <c r="M25" s="32">
        <f>IF(OR(Mieter!$D25="",Kosten!$H$15&lt;&gt;"Ja"),0,IFERROR(Kosten!$C$15*INDEX(Liegenschaft!$C$14:$G$25,MATCH(Mieter!$C25,Liegenschaft!$B$14:$B$25,0),Kosten!$I$15)/INDEX(Liegenschaft!$C$26:$G$26,1,Kosten!$I$15)*IF(Kosten!$D$15="Heizung/Warmwasser",Mieter!$L25,Mieter!$K25),0))</f>
        <v/>
      </c>
      <c r="N25" s="32">
        <f>IF(OR(Mieter!$D25="",Kosten!$H$16&lt;&gt;"Ja"),0,IFERROR(Kosten!$C$16*INDEX(Liegenschaft!$C$14:$G$25,MATCH(Mieter!$C25,Liegenschaft!$B$14:$B$25,0),Kosten!$I$16)/INDEX(Liegenschaft!$C$26:$G$26,1,Kosten!$I$16)*IF(Kosten!$D$16="Heizung/Warmwasser",Mieter!$L25,Mieter!$K25),0))</f>
        <v/>
      </c>
      <c r="O25" s="32">
        <f>IF(OR(Mieter!$D25="",Kosten!$H$17&lt;&gt;"Ja"),0,IFERROR(Kosten!$C$17*INDEX(Liegenschaft!$C$14:$G$25,MATCH(Mieter!$C25,Liegenschaft!$B$14:$B$25,0),Kosten!$I$17)/INDEX(Liegenschaft!$C$26:$G$26,1,Kosten!$I$17)*IF(Kosten!$D$17="Heizung/Warmwasser",Mieter!$L25,Mieter!$K25),0))</f>
        <v/>
      </c>
      <c r="P25" s="32">
        <f>IF(OR(Mieter!$D25="",Kosten!$H$18&lt;&gt;"Ja"),0,IFERROR(Kosten!$C$18*INDEX(Liegenschaft!$C$14:$G$25,MATCH(Mieter!$C25,Liegenschaft!$B$14:$B$25,0),Kosten!$I$18)/INDEX(Liegenschaft!$C$26:$G$26,1,Kosten!$I$18)*IF(Kosten!$D$18="Heizung/Warmwasser",Mieter!$L25,Mieter!$K25),0))</f>
        <v/>
      </c>
      <c r="Q25" s="32">
        <f>IF(OR(Mieter!$D25="",Kosten!$H$19&lt;&gt;"Ja"),0,IFERROR(Kosten!$C$19*INDEX(Liegenschaft!$C$14:$G$25,MATCH(Mieter!$C25,Liegenschaft!$B$14:$B$25,0),Kosten!$I$19)/INDEX(Liegenschaft!$C$26:$G$26,1,Kosten!$I$19)*IF(Kosten!$D$19="Heizung/Warmwasser",Mieter!$L25,Mieter!$K25),0))</f>
        <v/>
      </c>
      <c r="R25" s="32">
        <f>IF(OR(Mieter!$D25="",Kosten!$H$20&lt;&gt;"Ja"),0,IFERROR(Kosten!$C$20*INDEX(Liegenschaft!$C$14:$G$25,MATCH(Mieter!$C25,Liegenschaft!$B$14:$B$25,0),Kosten!$I$20)/INDEX(Liegenschaft!$C$26:$G$26,1,Kosten!$I$20)*IF(Kosten!$D$20="Heizung/Warmwasser",Mieter!$L25,Mieter!$K25),0))</f>
        <v/>
      </c>
      <c r="S25" s="32">
        <f>IF(OR(Mieter!$D25="",Kosten!$H$21&lt;&gt;"Ja"),0,IFERROR(Kosten!$C$21*INDEX(Liegenschaft!$C$14:$G$25,MATCH(Mieter!$C25,Liegenschaft!$B$14:$B$25,0),Kosten!$I$21)/INDEX(Liegenschaft!$C$26:$G$26,1,Kosten!$I$21)*IF(Kosten!$D$21="Heizung/Warmwasser",Mieter!$L25,Mieter!$K25),0))</f>
        <v/>
      </c>
      <c r="T25" s="32">
        <f>IF(OR(Mieter!$D25="",Kosten!$H$22&lt;&gt;"Ja"),0,IFERROR(Kosten!$C$22*INDEX(Liegenschaft!$C$14:$G$25,MATCH(Mieter!$C25,Liegenschaft!$B$14:$B$25,0),Kosten!$I$22)/INDEX(Liegenschaft!$C$26:$G$26,1,Kosten!$I$22)*IF(Kosten!$D$22="Heizung/Warmwasser",Mieter!$L25,Mieter!$K25),0))</f>
        <v/>
      </c>
      <c r="U25" s="32">
        <f>IF(OR(Mieter!$D25="",Kosten!$H$23&lt;&gt;"Ja"),0,IFERROR(Kosten!$C$23*INDEX(Liegenschaft!$C$14:$G$25,MATCH(Mieter!$C25,Liegenschaft!$B$14:$B$25,0),Kosten!$I$23)/INDEX(Liegenschaft!$C$26:$G$26,1,Kosten!$I$23)*IF(Kosten!$D$23="Heizung/Warmwasser",Mieter!$L25,Mieter!$K25),0))</f>
        <v/>
      </c>
      <c r="V25" s="32">
        <f>IF(OR(Mieter!$D25="",Kosten!$H$24&lt;&gt;"Ja"),0,IFERROR(Kosten!$C$24*INDEX(Liegenschaft!$C$14:$G$25,MATCH(Mieter!$C25,Liegenschaft!$B$14:$B$25,0),Kosten!$I$24)/INDEX(Liegenschaft!$C$26:$G$26,1,Kosten!$I$24)*IF(Kosten!$D$24="Heizung/Warmwasser",Mieter!$L25,Mieter!$K25),0))</f>
        <v/>
      </c>
      <c r="W25" s="32">
        <f>IF(OR(Mieter!$D25="",Kosten!$H$25&lt;&gt;"Ja"),0,IFERROR(Kosten!$C$25*INDEX(Liegenschaft!$C$14:$G$25,MATCH(Mieter!$C25,Liegenschaft!$B$14:$B$25,0),Kosten!$I$25)/INDEX(Liegenschaft!$C$26:$G$26,1,Kosten!$I$25)*IF(Kosten!$D$25="Heizung/Warmwasser",Mieter!$L25,Mieter!$K25),0))</f>
        <v/>
      </c>
      <c r="X25" s="32">
        <f>SUM(D25:W25)</f>
        <v/>
      </c>
      <c r="Y25" s="32">
        <f>IF(Liegenschaft!$C$11="Ja",ROUND(X25*Liegenschaft!$C$10,2),0)</f>
        <v/>
      </c>
      <c r="Z25" s="32">
        <f>ROUND(X25+Y25,2)</f>
        <v/>
      </c>
      <c r="AA25" s="32">
        <f>N(Mieter!G25)</f>
        <v/>
      </c>
      <c r="AB25" s="33">
        <f>IF(C25="",0,Z25-AA25)</f>
        <v/>
      </c>
    </row>
    <row r="26">
      <c r="B26" t="n">
        <v>21</v>
      </c>
      <c r="C26">
        <f>IF(Mieter!D26="","",Mieter!D26)</f>
        <v/>
      </c>
      <c r="D26" s="32">
        <f>IF(OR(Mieter!$D26="",Kosten!$H$6&lt;&gt;"Ja"),0,IFERROR(Kosten!$C$6*INDEX(Liegenschaft!$C$14:$G$25,MATCH(Mieter!$C26,Liegenschaft!$B$14:$B$25,0),Kosten!$I$6)/INDEX(Liegenschaft!$C$26:$G$26,1,Kosten!$I$6)*IF(Kosten!$D$6="Heizung/Warmwasser",Mieter!$L26,Mieter!$K26),0))</f>
        <v/>
      </c>
      <c r="E26" s="32">
        <f>IF(OR(Mieter!$D26="",Kosten!$H$7&lt;&gt;"Ja"),0,IFERROR(Kosten!$C$7*INDEX(Liegenschaft!$C$14:$G$25,MATCH(Mieter!$C26,Liegenschaft!$B$14:$B$25,0),Kosten!$I$7)/INDEX(Liegenschaft!$C$26:$G$26,1,Kosten!$I$7)*IF(Kosten!$D$7="Heizung/Warmwasser",Mieter!$L26,Mieter!$K26),0))</f>
        <v/>
      </c>
      <c r="F26" s="32">
        <f>IF(OR(Mieter!$D26="",Kosten!$H$8&lt;&gt;"Ja"),0,IFERROR(Kosten!$C$8*INDEX(Liegenschaft!$C$14:$G$25,MATCH(Mieter!$C26,Liegenschaft!$B$14:$B$25,0),Kosten!$I$8)/INDEX(Liegenschaft!$C$26:$G$26,1,Kosten!$I$8)*IF(Kosten!$D$8="Heizung/Warmwasser",Mieter!$L26,Mieter!$K26),0))</f>
        <v/>
      </c>
      <c r="G26" s="32">
        <f>IF(OR(Mieter!$D26="",Kosten!$H$9&lt;&gt;"Ja"),0,IFERROR(Kosten!$C$9*INDEX(Liegenschaft!$C$14:$G$25,MATCH(Mieter!$C26,Liegenschaft!$B$14:$B$25,0),Kosten!$I$9)/INDEX(Liegenschaft!$C$26:$G$26,1,Kosten!$I$9)*IF(Kosten!$D$9="Heizung/Warmwasser",Mieter!$L26,Mieter!$K26),0))</f>
        <v/>
      </c>
      <c r="H26" s="32">
        <f>IF(OR(Mieter!$D26="",Kosten!$H$10&lt;&gt;"Ja"),0,IFERROR(Kosten!$C$10*INDEX(Liegenschaft!$C$14:$G$25,MATCH(Mieter!$C26,Liegenschaft!$B$14:$B$25,0),Kosten!$I$10)/INDEX(Liegenschaft!$C$26:$G$26,1,Kosten!$I$10)*IF(Kosten!$D$10="Heizung/Warmwasser",Mieter!$L26,Mieter!$K26),0))</f>
        <v/>
      </c>
      <c r="I26" s="32">
        <f>IF(OR(Mieter!$D26="",Kosten!$H$11&lt;&gt;"Ja"),0,IFERROR(Kosten!$C$11*INDEX(Liegenschaft!$C$14:$G$25,MATCH(Mieter!$C26,Liegenschaft!$B$14:$B$25,0),Kosten!$I$11)/INDEX(Liegenschaft!$C$26:$G$26,1,Kosten!$I$11)*IF(Kosten!$D$11="Heizung/Warmwasser",Mieter!$L26,Mieter!$K26),0))</f>
        <v/>
      </c>
      <c r="J26" s="32">
        <f>IF(OR(Mieter!$D26="",Kosten!$H$12&lt;&gt;"Ja"),0,IFERROR(Kosten!$C$12*INDEX(Liegenschaft!$C$14:$G$25,MATCH(Mieter!$C26,Liegenschaft!$B$14:$B$25,0),Kosten!$I$12)/INDEX(Liegenschaft!$C$26:$G$26,1,Kosten!$I$12)*IF(Kosten!$D$12="Heizung/Warmwasser",Mieter!$L26,Mieter!$K26),0))</f>
        <v/>
      </c>
      <c r="K26" s="32">
        <f>IF(OR(Mieter!$D26="",Kosten!$H$13&lt;&gt;"Ja"),0,IFERROR(Kosten!$C$13*INDEX(Liegenschaft!$C$14:$G$25,MATCH(Mieter!$C26,Liegenschaft!$B$14:$B$25,0),Kosten!$I$13)/INDEX(Liegenschaft!$C$26:$G$26,1,Kosten!$I$13)*IF(Kosten!$D$13="Heizung/Warmwasser",Mieter!$L26,Mieter!$K26),0))</f>
        <v/>
      </c>
      <c r="L26" s="32">
        <f>IF(OR(Mieter!$D26="",Kosten!$H$14&lt;&gt;"Ja"),0,IFERROR(Kosten!$C$14*INDEX(Liegenschaft!$C$14:$G$25,MATCH(Mieter!$C26,Liegenschaft!$B$14:$B$25,0),Kosten!$I$14)/INDEX(Liegenschaft!$C$26:$G$26,1,Kosten!$I$14)*IF(Kosten!$D$14="Heizung/Warmwasser",Mieter!$L26,Mieter!$K26),0))</f>
        <v/>
      </c>
      <c r="M26" s="32">
        <f>IF(OR(Mieter!$D26="",Kosten!$H$15&lt;&gt;"Ja"),0,IFERROR(Kosten!$C$15*INDEX(Liegenschaft!$C$14:$G$25,MATCH(Mieter!$C26,Liegenschaft!$B$14:$B$25,0),Kosten!$I$15)/INDEX(Liegenschaft!$C$26:$G$26,1,Kosten!$I$15)*IF(Kosten!$D$15="Heizung/Warmwasser",Mieter!$L26,Mieter!$K26),0))</f>
        <v/>
      </c>
      <c r="N26" s="32">
        <f>IF(OR(Mieter!$D26="",Kosten!$H$16&lt;&gt;"Ja"),0,IFERROR(Kosten!$C$16*INDEX(Liegenschaft!$C$14:$G$25,MATCH(Mieter!$C26,Liegenschaft!$B$14:$B$25,0),Kosten!$I$16)/INDEX(Liegenschaft!$C$26:$G$26,1,Kosten!$I$16)*IF(Kosten!$D$16="Heizung/Warmwasser",Mieter!$L26,Mieter!$K26),0))</f>
        <v/>
      </c>
      <c r="O26" s="32">
        <f>IF(OR(Mieter!$D26="",Kosten!$H$17&lt;&gt;"Ja"),0,IFERROR(Kosten!$C$17*INDEX(Liegenschaft!$C$14:$G$25,MATCH(Mieter!$C26,Liegenschaft!$B$14:$B$25,0),Kosten!$I$17)/INDEX(Liegenschaft!$C$26:$G$26,1,Kosten!$I$17)*IF(Kosten!$D$17="Heizung/Warmwasser",Mieter!$L26,Mieter!$K26),0))</f>
        <v/>
      </c>
      <c r="P26" s="32">
        <f>IF(OR(Mieter!$D26="",Kosten!$H$18&lt;&gt;"Ja"),0,IFERROR(Kosten!$C$18*INDEX(Liegenschaft!$C$14:$G$25,MATCH(Mieter!$C26,Liegenschaft!$B$14:$B$25,0),Kosten!$I$18)/INDEX(Liegenschaft!$C$26:$G$26,1,Kosten!$I$18)*IF(Kosten!$D$18="Heizung/Warmwasser",Mieter!$L26,Mieter!$K26),0))</f>
        <v/>
      </c>
      <c r="Q26" s="32">
        <f>IF(OR(Mieter!$D26="",Kosten!$H$19&lt;&gt;"Ja"),0,IFERROR(Kosten!$C$19*INDEX(Liegenschaft!$C$14:$G$25,MATCH(Mieter!$C26,Liegenschaft!$B$14:$B$25,0),Kosten!$I$19)/INDEX(Liegenschaft!$C$26:$G$26,1,Kosten!$I$19)*IF(Kosten!$D$19="Heizung/Warmwasser",Mieter!$L26,Mieter!$K26),0))</f>
        <v/>
      </c>
      <c r="R26" s="32">
        <f>IF(OR(Mieter!$D26="",Kosten!$H$20&lt;&gt;"Ja"),0,IFERROR(Kosten!$C$20*INDEX(Liegenschaft!$C$14:$G$25,MATCH(Mieter!$C26,Liegenschaft!$B$14:$B$25,0),Kosten!$I$20)/INDEX(Liegenschaft!$C$26:$G$26,1,Kosten!$I$20)*IF(Kosten!$D$20="Heizung/Warmwasser",Mieter!$L26,Mieter!$K26),0))</f>
        <v/>
      </c>
      <c r="S26" s="32">
        <f>IF(OR(Mieter!$D26="",Kosten!$H$21&lt;&gt;"Ja"),0,IFERROR(Kosten!$C$21*INDEX(Liegenschaft!$C$14:$G$25,MATCH(Mieter!$C26,Liegenschaft!$B$14:$B$25,0),Kosten!$I$21)/INDEX(Liegenschaft!$C$26:$G$26,1,Kosten!$I$21)*IF(Kosten!$D$21="Heizung/Warmwasser",Mieter!$L26,Mieter!$K26),0))</f>
        <v/>
      </c>
      <c r="T26" s="32">
        <f>IF(OR(Mieter!$D26="",Kosten!$H$22&lt;&gt;"Ja"),0,IFERROR(Kosten!$C$22*INDEX(Liegenschaft!$C$14:$G$25,MATCH(Mieter!$C26,Liegenschaft!$B$14:$B$25,0),Kosten!$I$22)/INDEX(Liegenschaft!$C$26:$G$26,1,Kosten!$I$22)*IF(Kosten!$D$22="Heizung/Warmwasser",Mieter!$L26,Mieter!$K26),0))</f>
        <v/>
      </c>
      <c r="U26" s="32">
        <f>IF(OR(Mieter!$D26="",Kosten!$H$23&lt;&gt;"Ja"),0,IFERROR(Kosten!$C$23*INDEX(Liegenschaft!$C$14:$G$25,MATCH(Mieter!$C26,Liegenschaft!$B$14:$B$25,0),Kosten!$I$23)/INDEX(Liegenschaft!$C$26:$G$26,1,Kosten!$I$23)*IF(Kosten!$D$23="Heizung/Warmwasser",Mieter!$L26,Mieter!$K26),0))</f>
        <v/>
      </c>
      <c r="V26" s="32">
        <f>IF(OR(Mieter!$D26="",Kosten!$H$24&lt;&gt;"Ja"),0,IFERROR(Kosten!$C$24*INDEX(Liegenschaft!$C$14:$G$25,MATCH(Mieter!$C26,Liegenschaft!$B$14:$B$25,0),Kosten!$I$24)/INDEX(Liegenschaft!$C$26:$G$26,1,Kosten!$I$24)*IF(Kosten!$D$24="Heizung/Warmwasser",Mieter!$L26,Mieter!$K26),0))</f>
        <v/>
      </c>
      <c r="W26" s="32">
        <f>IF(OR(Mieter!$D26="",Kosten!$H$25&lt;&gt;"Ja"),0,IFERROR(Kosten!$C$25*INDEX(Liegenschaft!$C$14:$G$25,MATCH(Mieter!$C26,Liegenschaft!$B$14:$B$25,0),Kosten!$I$25)/INDEX(Liegenschaft!$C$26:$G$26,1,Kosten!$I$25)*IF(Kosten!$D$25="Heizung/Warmwasser",Mieter!$L26,Mieter!$K26),0))</f>
        <v/>
      </c>
      <c r="X26" s="32">
        <f>SUM(D26:W26)</f>
        <v/>
      </c>
      <c r="Y26" s="32">
        <f>IF(Liegenschaft!$C$11="Ja",ROUND(X26*Liegenschaft!$C$10,2),0)</f>
        <v/>
      </c>
      <c r="Z26" s="32">
        <f>ROUND(X26+Y26,2)</f>
        <v/>
      </c>
      <c r="AA26" s="32">
        <f>N(Mieter!G26)</f>
        <v/>
      </c>
      <c r="AB26" s="33">
        <f>IF(C26="",0,Z26-AA26)</f>
        <v/>
      </c>
    </row>
    <row r="27">
      <c r="B27" t="n">
        <v>22</v>
      </c>
      <c r="C27">
        <f>IF(Mieter!D27="","",Mieter!D27)</f>
        <v/>
      </c>
      <c r="D27" s="32">
        <f>IF(OR(Mieter!$D27="",Kosten!$H$6&lt;&gt;"Ja"),0,IFERROR(Kosten!$C$6*INDEX(Liegenschaft!$C$14:$G$25,MATCH(Mieter!$C27,Liegenschaft!$B$14:$B$25,0),Kosten!$I$6)/INDEX(Liegenschaft!$C$26:$G$26,1,Kosten!$I$6)*IF(Kosten!$D$6="Heizung/Warmwasser",Mieter!$L27,Mieter!$K27),0))</f>
        <v/>
      </c>
      <c r="E27" s="32">
        <f>IF(OR(Mieter!$D27="",Kosten!$H$7&lt;&gt;"Ja"),0,IFERROR(Kosten!$C$7*INDEX(Liegenschaft!$C$14:$G$25,MATCH(Mieter!$C27,Liegenschaft!$B$14:$B$25,0),Kosten!$I$7)/INDEX(Liegenschaft!$C$26:$G$26,1,Kosten!$I$7)*IF(Kosten!$D$7="Heizung/Warmwasser",Mieter!$L27,Mieter!$K27),0))</f>
        <v/>
      </c>
      <c r="F27" s="32">
        <f>IF(OR(Mieter!$D27="",Kosten!$H$8&lt;&gt;"Ja"),0,IFERROR(Kosten!$C$8*INDEX(Liegenschaft!$C$14:$G$25,MATCH(Mieter!$C27,Liegenschaft!$B$14:$B$25,0),Kosten!$I$8)/INDEX(Liegenschaft!$C$26:$G$26,1,Kosten!$I$8)*IF(Kosten!$D$8="Heizung/Warmwasser",Mieter!$L27,Mieter!$K27),0))</f>
        <v/>
      </c>
      <c r="G27" s="32">
        <f>IF(OR(Mieter!$D27="",Kosten!$H$9&lt;&gt;"Ja"),0,IFERROR(Kosten!$C$9*INDEX(Liegenschaft!$C$14:$G$25,MATCH(Mieter!$C27,Liegenschaft!$B$14:$B$25,0),Kosten!$I$9)/INDEX(Liegenschaft!$C$26:$G$26,1,Kosten!$I$9)*IF(Kosten!$D$9="Heizung/Warmwasser",Mieter!$L27,Mieter!$K27),0))</f>
        <v/>
      </c>
      <c r="H27" s="32">
        <f>IF(OR(Mieter!$D27="",Kosten!$H$10&lt;&gt;"Ja"),0,IFERROR(Kosten!$C$10*INDEX(Liegenschaft!$C$14:$G$25,MATCH(Mieter!$C27,Liegenschaft!$B$14:$B$25,0),Kosten!$I$10)/INDEX(Liegenschaft!$C$26:$G$26,1,Kosten!$I$10)*IF(Kosten!$D$10="Heizung/Warmwasser",Mieter!$L27,Mieter!$K27),0))</f>
        <v/>
      </c>
      <c r="I27" s="32">
        <f>IF(OR(Mieter!$D27="",Kosten!$H$11&lt;&gt;"Ja"),0,IFERROR(Kosten!$C$11*INDEX(Liegenschaft!$C$14:$G$25,MATCH(Mieter!$C27,Liegenschaft!$B$14:$B$25,0),Kosten!$I$11)/INDEX(Liegenschaft!$C$26:$G$26,1,Kosten!$I$11)*IF(Kosten!$D$11="Heizung/Warmwasser",Mieter!$L27,Mieter!$K27),0))</f>
        <v/>
      </c>
      <c r="J27" s="32">
        <f>IF(OR(Mieter!$D27="",Kosten!$H$12&lt;&gt;"Ja"),0,IFERROR(Kosten!$C$12*INDEX(Liegenschaft!$C$14:$G$25,MATCH(Mieter!$C27,Liegenschaft!$B$14:$B$25,0),Kosten!$I$12)/INDEX(Liegenschaft!$C$26:$G$26,1,Kosten!$I$12)*IF(Kosten!$D$12="Heizung/Warmwasser",Mieter!$L27,Mieter!$K27),0))</f>
        <v/>
      </c>
      <c r="K27" s="32">
        <f>IF(OR(Mieter!$D27="",Kosten!$H$13&lt;&gt;"Ja"),0,IFERROR(Kosten!$C$13*INDEX(Liegenschaft!$C$14:$G$25,MATCH(Mieter!$C27,Liegenschaft!$B$14:$B$25,0),Kosten!$I$13)/INDEX(Liegenschaft!$C$26:$G$26,1,Kosten!$I$13)*IF(Kosten!$D$13="Heizung/Warmwasser",Mieter!$L27,Mieter!$K27),0))</f>
        <v/>
      </c>
      <c r="L27" s="32">
        <f>IF(OR(Mieter!$D27="",Kosten!$H$14&lt;&gt;"Ja"),0,IFERROR(Kosten!$C$14*INDEX(Liegenschaft!$C$14:$G$25,MATCH(Mieter!$C27,Liegenschaft!$B$14:$B$25,0),Kosten!$I$14)/INDEX(Liegenschaft!$C$26:$G$26,1,Kosten!$I$14)*IF(Kosten!$D$14="Heizung/Warmwasser",Mieter!$L27,Mieter!$K27),0))</f>
        <v/>
      </c>
      <c r="M27" s="32">
        <f>IF(OR(Mieter!$D27="",Kosten!$H$15&lt;&gt;"Ja"),0,IFERROR(Kosten!$C$15*INDEX(Liegenschaft!$C$14:$G$25,MATCH(Mieter!$C27,Liegenschaft!$B$14:$B$25,0),Kosten!$I$15)/INDEX(Liegenschaft!$C$26:$G$26,1,Kosten!$I$15)*IF(Kosten!$D$15="Heizung/Warmwasser",Mieter!$L27,Mieter!$K27),0))</f>
        <v/>
      </c>
      <c r="N27" s="32">
        <f>IF(OR(Mieter!$D27="",Kosten!$H$16&lt;&gt;"Ja"),0,IFERROR(Kosten!$C$16*INDEX(Liegenschaft!$C$14:$G$25,MATCH(Mieter!$C27,Liegenschaft!$B$14:$B$25,0),Kosten!$I$16)/INDEX(Liegenschaft!$C$26:$G$26,1,Kosten!$I$16)*IF(Kosten!$D$16="Heizung/Warmwasser",Mieter!$L27,Mieter!$K27),0))</f>
        <v/>
      </c>
      <c r="O27" s="32">
        <f>IF(OR(Mieter!$D27="",Kosten!$H$17&lt;&gt;"Ja"),0,IFERROR(Kosten!$C$17*INDEX(Liegenschaft!$C$14:$G$25,MATCH(Mieter!$C27,Liegenschaft!$B$14:$B$25,0),Kosten!$I$17)/INDEX(Liegenschaft!$C$26:$G$26,1,Kosten!$I$17)*IF(Kosten!$D$17="Heizung/Warmwasser",Mieter!$L27,Mieter!$K27),0))</f>
        <v/>
      </c>
      <c r="P27" s="32">
        <f>IF(OR(Mieter!$D27="",Kosten!$H$18&lt;&gt;"Ja"),0,IFERROR(Kosten!$C$18*INDEX(Liegenschaft!$C$14:$G$25,MATCH(Mieter!$C27,Liegenschaft!$B$14:$B$25,0),Kosten!$I$18)/INDEX(Liegenschaft!$C$26:$G$26,1,Kosten!$I$18)*IF(Kosten!$D$18="Heizung/Warmwasser",Mieter!$L27,Mieter!$K27),0))</f>
        <v/>
      </c>
      <c r="Q27" s="32">
        <f>IF(OR(Mieter!$D27="",Kosten!$H$19&lt;&gt;"Ja"),0,IFERROR(Kosten!$C$19*INDEX(Liegenschaft!$C$14:$G$25,MATCH(Mieter!$C27,Liegenschaft!$B$14:$B$25,0),Kosten!$I$19)/INDEX(Liegenschaft!$C$26:$G$26,1,Kosten!$I$19)*IF(Kosten!$D$19="Heizung/Warmwasser",Mieter!$L27,Mieter!$K27),0))</f>
        <v/>
      </c>
      <c r="R27" s="32">
        <f>IF(OR(Mieter!$D27="",Kosten!$H$20&lt;&gt;"Ja"),0,IFERROR(Kosten!$C$20*INDEX(Liegenschaft!$C$14:$G$25,MATCH(Mieter!$C27,Liegenschaft!$B$14:$B$25,0),Kosten!$I$20)/INDEX(Liegenschaft!$C$26:$G$26,1,Kosten!$I$20)*IF(Kosten!$D$20="Heizung/Warmwasser",Mieter!$L27,Mieter!$K27),0))</f>
        <v/>
      </c>
      <c r="S27" s="32">
        <f>IF(OR(Mieter!$D27="",Kosten!$H$21&lt;&gt;"Ja"),0,IFERROR(Kosten!$C$21*INDEX(Liegenschaft!$C$14:$G$25,MATCH(Mieter!$C27,Liegenschaft!$B$14:$B$25,0),Kosten!$I$21)/INDEX(Liegenschaft!$C$26:$G$26,1,Kosten!$I$21)*IF(Kosten!$D$21="Heizung/Warmwasser",Mieter!$L27,Mieter!$K27),0))</f>
        <v/>
      </c>
      <c r="T27" s="32">
        <f>IF(OR(Mieter!$D27="",Kosten!$H$22&lt;&gt;"Ja"),0,IFERROR(Kosten!$C$22*INDEX(Liegenschaft!$C$14:$G$25,MATCH(Mieter!$C27,Liegenschaft!$B$14:$B$25,0),Kosten!$I$22)/INDEX(Liegenschaft!$C$26:$G$26,1,Kosten!$I$22)*IF(Kosten!$D$22="Heizung/Warmwasser",Mieter!$L27,Mieter!$K27),0))</f>
        <v/>
      </c>
      <c r="U27" s="32">
        <f>IF(OR(Mieter!$D27="",Kosten!$H$23&lt;&gt;"Ja"),0,IFERROR(Kosten!$C$23*INDEX(Liegenschaft!$C$14:$G$25,MATCH(Mieter!$C27,Liegenschaft!$B$14:$B$25,0),Kosten!$I$23)/INDEX(Liegenschaft!$C$26:$G$26,1,Kosten!$I$23)*IF(Kosten!$D$23="Heizung/Warmwasser",Mieter!$L27,Mieter!$K27),0))</f>
        <v/>
      </c>
      <c r="V27" s="32">
        <f>IF(OR(Mieter!$D27="",Kosten!$H$24&lt;&gt;"Ja"),0,IFERROR(Kosten!$C$24*INDEX(Liegenschaft!$C$14:$G$25,MATCH(Mieter!$C27,Liegenschaft!$B$14:$B$25,0),Kosten!$I$24)/INDEX(Liegenschaft!$C$26:$G$26,1,Kosten!$I$24)*IF(Kosten!$D$24="Heizung/Warmwasser",Mieter!$L27,Mieter!$K27),0))</f>
        <v/>
      </c>
      <c r="W27" s="32">
        <f>IF(OR(Mieter!$D27="",Kosten!$H$25&lt;&gt;"Ja"),0,IFERROR(Kosten!$C$25*INDEX(Liegenschaft!$C$14:$G$25,MATCH(Mieter!$C27,Liegenschaft!$B$14:$B$25,0),Kosten!$I$25)/INDEX(Liegenschaft!$C$26:$G$26,1,Kosten!$I$25)*IF(Kosten!$D$25="Heizung/Warmwasser",Mieter!$L27,Mieter!$K27),0))</f>
        <v/>
      </c>
      <c r="X27" s="32">
        <f>SUM(D27:W27)</f>
        <v/>
      </c>
      <c r="Y27" s="32">
        <f>IF(Liegenschaft!$C$11="Ja",ROUND(X27*Liegenschaft!$C$10,2),0)</f>
        <v/>
      </c>
      <c r="Z27" s="32">
        <f>ROUND(X27+Y27,2)</f>
        <v/>
      </c>
      <c r="AA27" s="32">
        <f>N(Mieter!G27)</f>
        <v/>
      </c>
      <c r="AB27" s="33">
        <f>IF(C27="",0,Z27-AA27)</f>
        <v/>
      </c>
    </row>
    <row r="28">
      <c r="B28" t="n">
        <v>23</v>
      </c>
      <c r="C28">
        <f>IF(Mieter!D28="","",Mieter!D28)</f>
        <v/>
      </c>
      <c r="D28" s="32">
        <f>IF(OR(Mieter!$D28="",Kosten!$H$6&lt;&gt;"Ja"),0,IFERROR(Kosten!$C$6*INDEX(Liegenschaft!$C$14:$G$25,MATCH(Mieter!$C28,Liegenschaft!$B$14:$B$25,0),Kosten!$I$6)/INDEX(Liegenschaft!$C$26:$G$26,1,Kosten!$I$6)*IF(Kosten!$D$6="Heizung/Warmwasser",Mieter!$L28,Mieter!$K28),0))</f>
        <v/>
      </c>
      <c r="E28" s="32">
        <f>IF(OR(Mieter!$D28="",Kosten!$H$7&lt;&gt;"Ja"),0,IFERROR(Kosten!$C$7*INDEX(Liegenschaft!$C$14:$G$25,MATCH(Mieter!$C28,Liegenschaft!$B$14:$B$25,0),Kosten!$I$7)/INDEX(Liegenschaft!$C$26:$G$26,1,Kosten!$I$7)*IF(Kosten!$D$7="Heizung/Warmwasser",Mieter!$L28,Mieter!$K28),0))</f>
        <v/>
      </c>
      <c r="F28" s="32">
        <f>IF(OR(Mieter!$D28="",Kosten!$H$8&lt;&gt;"Ja"),0,IFERROR(Kosten!$C$8*INDEX(Liegenschaft!$C$14:$G$25,MATCH(Mieter!$C28,Liegenschaft!$B$14:$B$25,0),Kosten!$I$8)/INDEX(Liegenschaft!$C$26:$G$26,1,Kosten!$I$8)*IF(Kosten!$D$8="Heizung/Warmwasser",Mieter!$L28,Mieter!$K28),0))</f>
        <v/>
      </c>
      <c r="G28" s="32">
        <f>IF(OR(Mieter!$D28="",Kosten!$H$9&lt;&gt;"Ja"),0,IFERROR(Kosten!$C$9*INDEX(Liegenschaft!$C$14:$G$25,MATCH(Mieter!$C28,Liegenschaft!$B$14:$B$25,0),Kosten!$I$9)/INDEX(Liegenschaft!$C$26:$G$26,1,Kosten!$I$9)*IF(Kosten!$D$9="Heizung/Warmwasser",Mieter!$L28,Mieter!$K28),0))</f>
        <v/>
      </c>
      <c r="H28" s="32">
        <f>IF(OR(Mieter!$D28="",Kosten!$H$10&lt;&gt;"Ja"),0,IFERROR(Kosten!$C$10*INDEX(Liegenschaft!$C$14:$G$25,MATCH(Mieter!$C28,Liegenschaft!$B$14:$B$25,0),Kosten!$I$10)/INDEX(Liegenschaft!$C$26:$G$26,1,Kosten!$I$10)*IF(Kosten!$D$10="Heizung/Warmwasser",Mieter!$L28,Mieter!$K28),0))</f>
        <v/>
      </c>
      <c r="I28" s="32">
        <f>IF(OR(Mieter!$D28="",Kosten!$H$11&lt;&gt;"Ja"),0,IFERROR(Kosten!$C$11*INDEX(Liegenschaft!$C$14:$G$25,MATCH(Mieter!$C28,Liegenschaft!$B$14:$B$25,0),Kosten!$I$11)/INDEX(Liegenschaft!$C$26:$G$26,1,Kosten!$I$11)*IF(Kosten!$D$11="Heizung/Warmwasser",Mieter!$L28,Mieter!$K28),0))</f>
        <v/>
      </c>
      <c r="J28" s="32">
        <f>IF(OR(Mieter!$D28="",Kosten!$H$12&lt;&gt;"Ja"),0,IFERROR(Kosten!$C$12*INDEX(Liegenschaft!$C$14:$G$25,MATCH(Mieter!$C28,Liegenschaft!$B$14:$B$25,0),Kosten!$I$12)/INDEX(Liegenschaft!$C$26:$G$26,1,Kosten!$I$12)*IF(Kosten!$D$12="Heizung/Warmwasser",Mieter!$L28,Mieter!$K28),0))</f>
        <v/>
      </c>
      <c r="K28" s="32">
        <f>IF(OR(Mieter!$D28="",Kosten!$H$13&lt;&gt;"Ja"),0,IFERROR(Kosten!$C$13*INDEX(Liegenschaft!$C$14:$G$25,MATCH(Mieter!$C28,Liegenschaft!$B$14:$B$25,0),Kosten!$I$13)/INDEX(Liegenschaft!$C$26:$G$26,1,Kosten!$I$13)*IF(Kosten!$D$13="Heizung/Warmwasser",Mieter!$L28,Mieter!$K28),0))</f>
        <v/>
      </c>
      <c r="L28" s="32">
        <f>IF(OR(Mieter!$D28="",Kosten!$H$14&lt;&gt;"Ja"),0,IFERROR(Kosten!$C$14*INDEX(Liegenschaft!$C$14:$G$25,MATCH(Mieter!$C28,Liegenschaft!$B$14:$B$25,0),Kosten!$I$14)/INDEX(Liegenschaft!$C$26:$G$26,1,Kosten!$I$14)*IF(Kosten!$D$14="Heizung/Warmwasser",Mieter!$L28,Mieter!$K28),0))</f>
        <v/>
      </c>
      <c r="M28" s="32">
        <f>IF(OR(Mieter!$D28="",Kosten!$H$15&lt;&gt;"Ja"),0,IFERROR(Kosten!$C$15*INDEX(Liegenschaft!$C$14:$G$25,MATCH(Mieter!$C28,Liegenschaft!$B$14:$B$25,0),Kosten!$I$15)/INDEX(Liegenschaft!$C$26:$G$26,1,Kosten!$I$15)*IF(Kosten!$D$15="Heizung/Warmwasser",Mieter!$L28,Mieter!$K28),0))</f>
        <v/>
      </c>
      <c r="N28" s="32">
        <f>IF(OR(Mieter!$D28="",Kosten!$H$16&lt;&gt;"Ja"),0,IFERROR(Kosten!$C$16*INDEX(Liegenschaft!$C$14:$G$25,MATCH(Mieter!$C28,Liegenschaft!$B$14:$B$25,0),Kosten!$I$16)/INDEX(Liegenschaft!$C$26:$G$26,1,Kosten!$I$16)*IF(Kosten!$D$16="Heizung/Warmwasser",Mieter!$L28,Mieter!$K28),0))</f>
        <v/>
      </c>
      <c r="O28" s="32">
        <f>IF(OR(Mieter!$D28="",Kosten!$H$17&lt;&gt;"Ja"),0,IFERROR(Kosten!$C$17*INDEX(Liegenschaft!$C$14:$G$25,MATCH(Mieter!$C28,Liegenschaft!$B$14:$B$25,0),Kosten!$I$17)/INDEX(Liegenschaft!$C$26:$G$26,1,Kosten!$I$17)*IF(Kosten!$D$17="Heizung/Warmwasser",Mieter!$L28,Mieter!$K28),0))</f>
        <v/>
      </c>
      <c r="P28" s="32">
        <f>IF(OR(Mieter!$D28="",Kosten!$H$18&lt;&gt;"Ja"),0,IFERROR(Kosten!$C$18*INDEX(Liegenschaft!$C$14:$G$25,MATCH(Mieter!$C28,Liegenschaft!$B$14:$B$25,0),Kosten!$I$18)/INDEX(Liegenschaft!$C$26:$G$26,1,Kosten!$I$18)*IF(Kosten!$D$18="Heizung/Warmwasser",Mieter!$L28,Mieter!$K28),0))</f>
        <v/>
      </c>
      <c r="Q28" s="32">
        <f>IF(OR(Mieter!$D28="",Kosten!$H$19&lt;&gt;"Ja"),0,IFERROR(Kosten!$C$19*INDEX(Liegenschaft!$C$14:$G$25,MATCH(Mieter!$C28,Liegenschaft!$B$14:$B$25,0),Kosten!$I$19)/INDEX(Liegenschaft!$C$26:$G$26,1,Kosten!$I$19)*IF(Kosten!$D$19="Heizung/Warmwasser",Mieter!$L28,Mieter!$K28),0))</f>
        <v/>
      </c>
      <c r="R28" s="32">
        <f>IF(OR(Mieter!$D28="",Kosten!$H$20&lt;&gt;"Ja"),0,IFERROR(Kosten!$C$20*INDEX(Liegenschaft!$C$14:$G$25,MATCH(Mieter!$C28,Liegenschaft!$B$14:$B$25,0),Kosten!$I$20)/INDEX(Liegenschaft!$C$26:$G$26,1,Kosten!$I$20)*IF(Kosten!$D$20="Heizung/Warmwasser",Mieter!$L28,Mieter!$K28),0))</f>
        <v/>
      </c>
      <c r="S28" s="32">
        <f>IF(OR(Mieter!$D28="",Kosten!$H$21&lt;&gt;"Ja"),0,IFERROR(Kosten!$C$21*INDEX(Liegenschaft!$C$14:$G$25,MATCH(Mieter!$C28,Liegenschaft!$B$14:$B$25,0),Kosten!$I$21)/INDEX(Liegenschaft!$C$26:$G$26,1,Kosten!$I$21)*IF(Kosten!$D$21="Heizung/Warmwasser",Mieter!$L28,Mieter!$K28),0))</f>
        <v/>
      </c>
      <c r="T28" s="32">
        <f>IF(OR(Mieter!$D28="",Kosten!$H$22&lt;&gt;"Ja"),0,IFERROR(Kosten!$C$22*INDEX(Liegenschaft!$C$14:$G$25,MATCH(Mieter!$C28,Liegenschaft!$B$14:$B$25,0),Kosten!$I$22)/INDEX(Liegenschaft!$C$26:$G$26,1,Kosten!$I$22)*IF(Kosten!$D$22="Heizung/Warmwasser",Mieter!$L28,Mieter!$K28),0))</f>
        <v/>
      </c>
      <c r="U28" s="32">
        <f>IF(OR(Mieter!$D28="",Kosten!$H$23&lt;&gt;"Ja"),0,IFERROR(Kosten!$C$23*INDEX(Liegenschaft!$C$14:$G$25,MATCH(Mieter!$C28,Liegenschaft!$B$14:$B$25,0),Kosten!$I$23)/INDEX(Liegenschaft!$C$26:$G$26,1,Kosten!$I$23)*IF(Kosten!$D$23="Heizung/Warmwasser",Mieter!$L28,Mieter!$K28),0))</f>
        <v/>
      </c>
      <c r="V28" s="32">
        <f>IF(OR(Mieter!$D28="",Kosten!$H$24&lt;&gt;"Ja"),0,IFERROR(Kosten!$C$24*INDEX(Liegenschaft!$C$14:$G$25,MATCH(Mieter!$C28,Liegenschaft!$B$14:$B$25,0),Kosten!$I$24)/INDEX(Liegenschaft!$C$26:$G$26,1,Kosten!$I$24)*IF(Kosten!$D$24="Heizung/Warmwasser",Mieter!$L28,Mieter!$K28),0))</f>
        <v/>
      </c>
      <c r="W28" s="32">
        <f>IF(OR(Mieter!$D28="",Kosten!$H$25&lt;&gt;"Ja"),0,IFERROR(Kosten!$C$25*INDEX(Liegenschaft!$C$14:$G$25,MATCH(Mieter!$C28,Liegenschaft!$B$14:$B$25,0),Kosten!$I$25)/INDEX(Liegenschaft!$C$26:$G$26,1,Kosten!$I$25)*IF(Kosten!$D$25="Heizung/Warmwasser",Mieter!$L28,Mieter!$K28),0))</f>
        <v/>
      </c>
      <c r="X28" s="32">
        <f>SUM(D28:W28)</f>
        <v/>
      </c>
      <c r="Y28" s="32">
        <f>IF(Liegenschaft!$C$11="Ja",ROUND(X28*Liegenschaft!$C$10,2),0)</f>
        <v/>
      </c>
      <c r="Z28" s="32">
        <f>ROUND(X28+Y28,2)</f>
        <v/>
      </c>
      <c r="AA28" s="32">
        <f>N(Mieter!G28)</f>
        <v/>
      </c>
      <c r="AB28" s="33">
        <f>IF(C28="",0,Z28-AA28)</f>
        <v/>
      </c>
    </row>
    <row r="29">
      <c r="B29" t="n">
        <v>24</v>
      </c>
      <c r="C29">
        <f>IF(Mieter!D29="","",Mieter!D29)</f>
        <v/>
      </c>
      <c r="D29" s="32">
        <f>IF(OR(Mieter!$D29="",Kosten!$H$6&lt;&gt;"Ja"),0,IFERROR(Kosten!$C$6*INDEX(Liegenschaft!$C$14:$G$25,MATCH(Mieter!$C29,Liegenschaft!$B$14:$B$25,0),Kosten!$I$6)/INDEX(Liegenschaft!$C$26:$G$26,1,Kosten!$I$6)*IF(Kosten!$D$6="Heizung/Warmwasser",Mieter!$L29,Mieter!$K29),0))</f>
        <v/>
      </c>
      <c r="E29" s="32">
        <f>IF(OR(Mieter!$D29="",Kosten!$H$7&lt;&gt;"Ja"),0,IFERROR(Kosten!$C$7*INDEX(Liegenschaft!$C$14:$G$25,MATCH(Mieter!$C29,Liegenschaft!$B$14:$B$25,0),Kosten!$I$7)/INDEX(Liegenschaft!$C$26:$G$26,1,Kosten!$I$7)*IF(Kosten!$D$7="Heizung/Warmwasser",Mieter!$L29,Mieter!$K29),0))</f>
        <v/>
      </c>
      <c r="F29" s="32">
        <f>IF(OR(Mieter!$D29="",Kosten!$H$8&lt;&gt;"Ja"),0,IFERROR(Kosten!$C$8*INDEX(Liegenschaft!$C$14:$G$25,MATCH(Mieter!$C29,Liegenschaft!$B$14:$B$25,0),Kosten!$I$8)/INDEX(Liegenschaft!$C$26:$G$26,1,Kosten!$I$8)*IF(Kosten!$D$8="Heizung/Warmwasser",Mieter!$L29,Mieter!$K29),0))</f>
        <v/>
      </c>
      <c r="G29" s="32">
        <f>IF(OR(Mieter!$D29="",Kosten!$H$9&lt;&gt;"Ja"),0,IFERROR(Kosten!$C$9*INDEX(Liegenschaft!$C$14:$G$25,MATCH(Mieter!$C29,Liegenschaft!$B$14:$B$25,0),Kosten!$I$9)/INDEX(Liegenschaft!$C$26:$G$26,1,Kosten!$I$9)*IF(Kosten!$D$9="Heizung/Warmwasser",Mieter!$L29,Mieter!$K29),0))</f>
        <v/>
      </c>
      <c r="H29" s="32">
        <f>IF(OR(Mieter!$D29="",Kosten!$H$10&lt;&gt;"Ja"),0,IFERROR(Kosten!$C$10*INDEX(Liegenschaft!$C$14:$G$25,MATCH(Mieter!$C29,Liegenschaft!$B$14:$B$25,0),Kosten!$I$10)/INDEX(Liegenschaft!$C$26:$G$26,1,Kosten!$I$10)*IF(Kosten!$D$10="Heizung/Warmwasser",Mieter!$L29,Mieter!$K29),0))</f>
        <v/>
      </c>
      <c r="I29" s="32">
        <f>IF(OR(Mieter!$D29="",Kosten!$H$11&lt;&gt;"Ja"),0,IFERROR(Kosten!$C$11*INDEX(Liegenschaft!$C$14:$G$25,MATCH(Mieter!$C29,Liegenschaft!$B$14:$B$25,0),Kosten!$I$11)/INDEX(Liegenschaft!$C$26:$G$26,1,Kosten!$I$11)*IF(Kosten!$D$11="Heizung/Warmwasser",Mieter!$L29,Mieter!$K29),0))</f>
        <v/>
      </c>
      <c r="J29" s="32">
        <f>IF(OR(Mieter!$D29="",Kosten!$H$12&lt;&gt;"Ja"),0,IFERROR(Kosten!$C$12*INDEX(Liegenschaft!$C$14:$G$25,MATCH(Mieter!$C29,Liegenschaft!$B$14:$B$25,0),Kosten!$I$12)/INDEX(Liegenschaft!$C$26:$G$26,1,Kosten!$I$12)*IF(Kosten!$D$12="Heizung/Warmwasser",Mieter!$L29,Mieter!$K29),0))</f>
        <v/>
      </c>
      <c r="K29" s="32">
        <f>IF(OR(Mieter!$D29="",Kosten!$H$13&lt;&gt;"Ja"),0,IFERROR(Kosten!$C$13*INDEX(Liegenschaft!$C$14:$G$25,MATCH(Mieter!$C29,Liegenschaft!$B$14:$B$25,0),Kosten!$I$13)/INDEX(Liegenschaft!$C$26:$G$26,1,Kosten!$I$13)*IF(Kosten!$D$13="Heizung/Warmwasser",Mieter!$L29,Mieter!$K29),0))</f>
        <v/>
      </c>
      <c r="L29" s="32">
        <f>IF(OR(Mieter!$D29="",Kosten!$H$14&lt;&gt;"Ja"),0,IFERROR(Kosten!$C$14*INDEX(Liegenschaft!$C$14:$G$25,MATCH(Mieter!$C29,Liegenschaft!$B$14:$B$25,0),Kosten!$I$14)/INDEX(Liegenschaft!$C$26:$G$26,1,Kosten!$I$14)*IF(Kosten!$D$14="Heizung/Warmwasser",Mieter!$L29,Mieter!$K29),0))</f>
        <v/>
      </c>
      <c r="M29" s="32">
        <f>IF(OR(Mieter!$D29="",Kosten!$H$15&lt;&gt;"Ja"),0,IFERROR(Kosten!$C$15*INDEX(Liegenschaft!$C$14:$G$25,MATCH(Mieter!$C29,Liegenschaft!$B$14:$B$25,0),Kosten!$I$15)/INDEX(Liegenschaft!$C$26:$G$26,1,Kosten!$I$15)*IF(Kosten!$D$15="Heizung/Warmwasser",Mieter!$L29,Mieter!$K29),0))</f>
        <v/>
      </c>
      <c r="N29" s="32">
        <f>IF(OR(Mieter!$D29="",Kosten!$H$16&lt;&gt;"Ja"),0,IFERROR(Kosten!$C$16*INDEX(Liegenschaft!$C$14:$G$25,MATCH(Mieter!$C29,Liegenschaft!$B$14:$B$25,0),Kosten!$I$16)/INDEX(Liegenschaft!$C$26:$G$26,1,Kosten!$I$16)*IF(Kosten!$D$16="Heizung/Warmwasser",Mieter!$L29,Mieter!$K29),0))</f>
        <v/>
      </c>
      <c r="O29" s="32">
        <f>IF(OR(Mieter!$D29="",Kosten!$H$17&lt;&gt;"Ja"),0,IFERROR(Kosten!$C$17*INDEX(Liegenschaft!$C$14:$G$25,MATCH(Mieter!$C29,Liegenschaft!$B$14:$B$25,0),Kosten!$I$17)/INDEX(Liegenschaft!$C$26:$G$26,1,Kosten!$I$17)*IF(Kosten!$D$17="Heizung/Warmwasser",Mieter!$L29,Mieter!$K29),0))</f>
        <v/>
      </c>
      <c r="P29" s="32">
        <f>IF(OR(Mieter!$D29="",Kosten!$H$18&lt;&gt;"Ja"),0,IFERROR(Kosten!$C$18*INDEX(Liegenschaft!$C$14:$G$25,MATCH(Mieter!$C29,Liegenschaft!$B$14:$B$25,0),Kosten!$I$18)/INDEX(Liegenschaft!$C$26:$G$26,1,Kosten!$I$18)*IF(Kosten!$D$18="Heizung/Warmwasser",Mieter!$L29,Mieter!$K29),0))</f>
        <v/>
      </c>
      <c r="Q29" s="32">
        <f>IF(OR(Mieter!$D29="",Kosten!$H$19&lt;&gt;"Ja"),0,IFERROR(Kosten!$C$19*INDEX(Liegenschaft!$C$14:$G$25,MATCH(Mieter!$C29,Liegenschaft!$B$14:$B$25,0),Kosten!$I$19)/INDEX(Liegenschaft!$C$26:$G$26,1,Kosten!$I$19)*IF(Kosten!$D$19="Heizung/Warmwasser",Mieter!$L29,Mieter!$K29),0))</f>
        <v/>
      </c>
      <c r="R29" s="32">
        <f>IF(OR(Mieter!$D29="",Kosten!$H$20&lt;&gt;"Ja"),0,IFERROR(Kosten!$C$20*INDEX(Liegenschaft!$C$14:$G$25,MATCH(Mieter!$C29,Liegenschaft!$B$14:$B$25,0),Kosten!$I$20)/INDEX(Liegenschaft!$C$26:$G$26,1,Kosten!$I$20)*IF(Kosten!$D$20="Heizung/Warmwasser",Mieter!$L29,Mieter!$K29),0))</f>
        <v/>
      </c>
      <c r="S29" s="32">
        <f>IF(OR(Mieter!$D29="",Kosten!$H$21&lt;&gt;"Ja"),0,IFERROR(Kosten!$C$21*INDEX(Liegenschaft!$C$14:$G$25,MATCH(Mieter!$C29,Liegenschaft!$B$14:$B$25,0),Kosten!$I$21)/INDEX(Liegenschaft!$C$26:$G$26,1,Kosten!$I$21)*IF(Kosten!$D$21="Heizung/Warmwasser",Mieter!$L29,Mieter!$K29),0))</f>
        <v/>
      </c>
      <c r="T29" s="32">
        <f>IF(OR(Mieter!$D29="",Kosten!$H$22&lt;&gt;"Ja"),0,IFERROR(Kosten!$C$22*INDEX(Liegenschaft!$C$14:$G$25,MATCH(Mieter!$C29,Liegenschaft!$B$14:$B$25,0),Kosten!$I$22)/INDEX(Liegenschaft!$C$26:$G$26,1,Kosten!$I$22)*IF(Kosten!$D$22="Heizung/Warmwasser",Mieter!$L29,Mieter!$K29),0))</f>
        <v/>
      </c>
      <c r="U29" s="32">
        <f>IF(OR(Mieter!$D29="",Kosten!$H$23&lt;&gt;"Ja"),0,IFERROR(Kosten!$C$23*INDEX(Liegenschaft!$C$14:$G$25,MATCH(Mieter!$C29,Liegenschaft!$B$14:$B$25,0),Kosten!$I$23)/INDEX(Liegenschaft!$C$26:$G$26,1,Kosten!$I$23)*IF(Kosten!$D$23="Heizung/Warmwasser",Mieter!$L29,Mieter!$K29),0))</f>
        <v/>
      </c>
      <c r="V29" s="32">
        <f>IF(OR(Mieter!$D29="",Kosten!$H$24&lt;&gt;"Ja"),0,IFERROR(Kosten!$C$24*INDEX(Liegenschaft!$C$14:$G$25,MATCH(Mieter!$C29,Liegenschaft!$B$14:$B$25,0),Kosten!$I$24)/INDEX(Liegenschaft!$C$26:$G$26,1,Kosten!$I$24)*IF(Kosten!$D$24="Heizung/Warmwasser",Mieter!$L29,Mieter!$K29),0))</f>
        <v/>
      </c>
      <c r="W29" s="32">
        <f>IF(OR(Mieter!$D29="",Kosten!$H$25&lt;&gt;"Ja"),0,IFERROR(Kosten!$C$25*INDEX(Liegenschaft!$C$14:$G$25,MATCH(Mieter!$C29,Liegenschaft!$B$14:$B$25,0),Kosten!$I$25)/INDEX(Liegenschaft!$C$26:$G$26,1,Kosten!$I$25)*IF(Kosten!$D$25="Heizung/Warmwasser",Mieter!$L29,Mieter!$K29),0))</f>
        <v/>
      </c>
      <c r="X29" s="32">
        <f>SUM(D29:W29)</f>
        <v/>
      </c>
      <c r="Y29" s="32">
        <f>IF(Liegenschaft!$C$11="Ja",ROUND(X29*Liegenschaft!$C$10,2),0)</f>
        <v/>
      </c>
      <c r="Z29" s="32">
        <f>ROUND(X29+Y29,2)</f>
        <v/>
      </c>
      <c r="AA29" s="32">
        <f>N(Mieter!G29)</f>
        <v/>
      </c>
      <c r="AB29" s="33">
        <f>IF(C29="",0,Z29-AA29)</f>
        <v/>
      </c>
    </row>
    <row r="30">
      <c r="B30" t="n">
        <v>25</v>
      </c>
      <c r="C30">
        <f>IF(Mieter!D30="","",Mieter!D30)</f>
        <v/>
      </c>
      <c r="D30" s="32">
        <f>IF(OR(Mieter!$D30="",Kosten!$H$6&lt;&gt;"Ja"),0,IFERROR(Kosten!$C$6*INDEX(Liegenschaft!$C$14:$G$25,MATCH(Mieter!$C30,Liegenschaft!$B$14:$B$25,0),Kosten!$I$6)/INDEX(Liegenschaft!$C$26:$G$26,1,Kosten!$I$6)*IF(Kosten!$D$6="Heizung/Warmwasser",Mieter!$L30,Mieter!$K30),0))</f>
        <v/>
      </c>
      <c r="E30" s="32">
        <f>IF(OR(Mieter!$D30="",Kosten!$H$7&lt;&gt;"Ja"),0,IFERROR(Kosten!$C$7*INDEX(Liegenschaft!$C$14:$G$25,MATCH(Mieter!$C30,Liegenschaft!$B$14:$B$25,0),Kosten!$I$7)/INDEX(Liegenschaft!$C$26:$G$26,1,Kosten!$I$7)*IF(Kosten!$D$7="Heizung/Warmwasser",Mieter!$L30,Mieter!$K30),0))</f>
        <v/>
      </c>
      <c r="F30" s="32">
        <f>IF(OR(Mieter!$D30="",Kosten!$H$8&lt;&gt;"Ja"),0,IFERROR(Kosten!$C$8*INDEX(Liegenschaft!$C$14:$G$25,MATCH(Mieter!$C30,Liegenschaft!$B$14:$B$25,0),Kosten!$I$8)/INDEX(Liegenschaft!$C$26:$G$26,1,Kosten!$I$8)*IF(Kosten!$D$8="Heizung/Warmwasser",Mieter!$L30,Mieter!$K30),0))</f>
        <v/>
      </c>
      <c r="G30" s="32">
        <f>IF(OR(Mieter!$D30="",Kosten!$H$9&lt;&gt;"Ja"),0,IFERROR(Kosten!$C$9*INDEX(Liegenschaft!$C$14:$G$25,MATCH(Mieter!$C30,Liegenschaft!$B$14:$B$25,0),Kosten!$I$9)/INDEX(Liegenschaft!$C$26:$G$26,1,Kosten!$I$9)*IF(Kosten!$D$9="Heizung/Warmwasser",Mieter!$L30,Mieter!$K30),0))</f>
        <v/>
      </c>
      <c r="H30" s="32">
        <f>IF(OR(Mieter!$D30="",Kosten!$H$10&lt;&gt;"Ja"),0,IFERROR(Kosten!$C$10*INDEX(Liegenschaft!$C$14:$G$25,MATCH(Mieter!$C30,Liegenschaft!$B$14:$B$25,0),Kosten!$I$10)/INDEX(Liegenschaft!$C$26:$G$26,1,Kosten!$I$10)*IF(Kosten!$D$10="Heizung/Warmwasser",Mieter!$L30,Mieter!$K30),0))</f>
        <v/>
      </c>
      <c r="I30" s="32">
        <f>IF(OR(Mieter!$D30="",Kosten!$H$11&lt;&gt;"Ja"),0,IFERROR(Kosten!$C$11*INDEX(Liegenschaft!$C$14:$G$25,MATCH(Mieter!$C30,Liegenschaft!$B$14:$B$25,0),Kosten!$I$11)/INDEX(Liegenschaft!$C$26:$G$26,1,Kosten!$I$11)*IF(Kosten!$D$11="Heizung/Warmwasser",Mieter!$L30,Mieter!$K30),0))</f>
        <v/>
      </c>
      <c r="J30" s="32">
        <f>IF(OR(Mieter!$D30="",Kosten!$H$12&lt;&gt;"Ja"),0,IFERROR(Kosten!$C$12*INDEX(Liegenschaft!$C$14:$G$25,MATCH(Mieter!$C30,Liegenschaft!$B$14:$B$25,0),Kosten!$I$12)/INDEX(Liegenschaft!$C$26:$G$26,1,Kosten!$I$12)*IF(Kosten!$D$12="Heizung/Warmwasser",Mieter!$L30,Mieter!$K30),0))</f>
        <v/>
      </c>
      <c r="K30" s="32">
        <f>IF(OR(Mieter!$D30="",Kosten!$H$13&lt;&gt;"Ja"),0,IFERROR(Kosten!$C$13*INDEX(Liegenschaft!$C$14:$G$25,MATCH(Mieter!$C30,Liegenschaft!$B$14:$B$25,0),Kosten!$I$13)/INDEX(Liegenschaft!$C$26:$G$26,1,Kosten!$I$13)*IF(Kosten!$D$13="Heizung/Warmwasser",Mieter!$L30,Mieter!$K30),0))</f>
        <v/>
      </c>
      <c r="L30" s="32">
        <f>IF(OR(Mieter!$D30="",Kosten!$H$14&lt;&gt;"Ja"),0,IFERROR(Kosten!$C$14*INDEX(Liegenschaft!$C$14:$G$25,MATCH(Mieter!$C30,Liegenschaft!$B$14:$B$25,0),Kosten!$I$14)/INDEX(Liegenschaft!$C$26:$G$26,1,Kosten!$I$14)*IF(Kosten!$D$14="Heizung/Warmwasser",Mieter!$L30,Mieter!$K30),0))</f>
        <v/>
      </c>
      <c r="M30" s="32">
        <f>IF(OR(Mieter!$D30="",Kosten!$H$15&lt;&gt;"Ja"),0,IFERROR(Kosten!$C$15*INDEX(Liegenschaft!$C$14:$G$25,MATCH(Mieter!$C30,Liegenschaft!$B$14:$B$25,0),Kosten!$I$15)/INDEX(Liegenschaft!$C$26:$G$26,1,Kosten!$I$15)*IF(Kosten!$D$15="Heizung/Warmwasser",Mieter!$L30,Mieter!$K30),0))</f>
        <v/>
      </c>
      <c r="N30" s="32">
        <f>IF(OR(Mieter!$D30="",Kosten!$H$16&lt;&gt;"Ja"),0,IFERROR(Kosten!$C$16*INDEX(Liegenschaft!$C$14:$G$25,MATCH(Mieter!$C30,Liegenschaft!$B$14:$B$25,0),Kosten!$I$16)/INDEX(Liegenschaft!$C$26:$G$26,1,Kosten!$I$16)*IF(Kosten!$D$16="Heizung/Warmwasser",Mieter!$L30,Mieter!$K30),0))</f>
        <v/>
      </c>
      <c r="O30" s="32">
        <f>IF(OR(Mieter!$D30="",Kosten!$H$17&lt;&gt;"Ja"),0,IFERROR(Kosten!$C$17*INDEX(Liegenschaft!$C$14:$G$25,MATCH(Mieter!$C30,Liegenschaft!$B$14:$B$25,0),Kosten!$I$17)/INDEX(Liegenschaft!$C$26:$G$26,1,Kosten!$I$17)*IF(Kosten!$D$17="Heizung/Warmwasser",Mieter!$L30,Mieter!$K30),0))</f>
        <v/>
      </c>
      <c r="P30" s="32">
        <f>IF(OR(Mieter!$D30="",Kosten!$H$18&lt;&gt;"Ja"),0,IFERROR(Kosten!$C$18*INDEX(Liegenschaft!$C$14:$G$25,MATCH(Mieter!$C30,Liegenschaft!$B$14:$B$25,0),Kosten!$I$18)/INDEX(Liegenschaft!$C$26:$G$26,1,Kosten!$I$18)*IF(Kosten!$D$18="Heizung/Warmwasser",Mieter!$L30,Mieter!$K30),0))</f>
        <v/>
      </c>
      <c r="Q30" s="32">
        <f>IF(OR(Mieter!$D30="",Kosten!$H$19&lt;&gt;"Ja"),0,IFERROR(Kosten!$C$19*INDEX(Liegenschaft!$C$14:$G$25,MATCH(Mieter!$C30,Liegenschaft!$B$14:$B$25,0),Kosten!$I$19)/INDEX(Liegenschaft!$C$26:$G$26,1,Kosten!$I$19)*IF(Kosten!$D$19="Heizung/Warmwasser",Mieter!$L30,Mieter!$K30),0))</f>
        <v/>
      </c>
      <c r="R30" s="32">
        <f>IF(OR(Mieter!$D30="",Kosten!$H$20&lt;&gt;"Ja"),0,IFERROR(Kosten!$C$20*INDEX(Liegenschaft!$C$14:$G$25,MATCH(Mieter!$C30,Liegenschaft!$B$14:$B$25,0),Kosten!$I$20)/INDEX(Liegenschaft!$C$26:$G$26,1,Kosten!$I$20)*IF(Kosten!$D$20="Heizung/Warmwasser",Mieter!$L30,Mieter!$K30),0))</f>
        <v/>
      </c>
      <c r="S30" s="32">
        <f>IF(OR(Mieter!$D30="",Kosten!$H$21&lt;&gt;"Ja"),0,IFERROR(Kosten!$C$21*INDEX(Liegenschaft!$C$14:$G$25,MATCH(Mieter!$C30,Liegenschaft!$B$14:$B$25,0),Kosten!$I$21)/INDEX(Liegenschaft!$C$26:$G$26,1,Kosten!$I$21)*IF(Kosten!$D$21="Heizung/Warmwasser",Mieter!$L30,Mieter!$K30),0))</f>
        <v/>
      </c>
      <c r="T30" s="32">
        <f>IF(OR(Mieter!$D30="",Kosten!$H$22&lt;&gt;"Ja"),0,IFERROR(Kosten!$C$22*INDEX(Liegenschaft!$C$14:$G$25,MATCH(Mieter!$C30,Liegenschaft!$B$14:$B$25,0),Kosten!$I$22)/INDEX(Liegenschaft!$C$26:$G$26,1,Kosten!$I$22)*IF(Kosten!$D$22="Heizung/Warmwasser",Mieter!$L30,Mieter!$K30),0))</f>
        <v/>
      </c>
      <c r="U30" s="32">
        <f>IF(OR(Mieter!$D30="",Kosten!$H$23&lt;&gt;"Ja"),0,IFERROR(Kosten!$C$23*INDEX(Liegenschaft!$C$14:$G$25,MATCH(Mieter!$C30,Liegenschaft!$B$14:$B$25,0),Kosten!$I$23)/INDEX(Liegenschaft!$C$26:$G$26,1,Kosten!$I$23)*IF(Kosten!$D$23="Heizung/Warmwasser",Mieter!$L30,Mieter!$K30),0))</f>
        <v/>
      </c>
      <c r="V30" s="32">
        <f>IF(OR(Mieter!$D30="",Kosten!$H$24&lt;&gt;"Ja"),0,IFERROR(Kosten!$C$24*INDEX(Liegenschaft!$C$14:$G$25,MATCH(Mieter!$C30,Liegenschaft!$B$14:$B$25,0),Kosten!$I$24)/INDEX(Liegenschaft!$C$26:$G$26,1,Kosten!$I$24)*IF(Kosten!$D$24="Heizung/Warmwasser",Mieter!$L30,Mieter!$K30),0))</f>
        <v/>
      </c>
      <c r="W30" s="32">
        <f>IF(OR(Mieter!$D30="",Kosten!$H$25&lt;&gt;"Ja"),0,IFERROR(Kosten!$C$25*INDEX(Liegenschaft!$C$14:$G$25,MATCH(Mieter!$C30,Liegenschaft!$B$14:$B$25,0),Kosten!$I$25)/INDEX(Liegenschaft!$C$26:$G$26,1,Kosten!$I$25)*IF(Kosten!$D$25="Heizung/Warmwasser",Mieter!$L30,Mieter!$K30),0))</f>
        <v/>
      </c>
      <c r="X30" s="32">
        <f>SUM(D30:W30)</f>
        <v/>
      </c>
      <c r="Y30" s="32">
        <f>IF(Liegenschaft!$C$11="Ja",ROUND(X30*Liegenschaft!$C$10,2),0)</f>
        <v/>
      </c>
      <c r="Z30" s="32">
        <f>ROUND(X30+Y30,2)</f>
        <v/>
      </c>
      <c r="AA30" s="32">
        <f>N(Mieter!G30)</f>
        <v/>
      </c>
      <c r="AB30" s="33">
        <f>IF(C30="",0,Z30-AA30)</f>
        <v/>
      </c>
    </row>
    <row r="31">
      <c r="B31" t="n">
        <v>26</v>
      </c>
      <c r="C31">
        <f>IF(Mieter!D31="","",Mieter!D31)</f>
        <v/>
      </c>
      <c r="D31" s="32">
        <f>IF(OR(Mieter!$D31="",Kosten!$H$6&lt;&gt;"Ja"),0,IFERROR(Kosten!$C$6*INDEX(Liegenschaft!$C$14:$G$25,MATCH(Mieter!$C31,Liegenschaft!$B$14:$B$25,0),Kosten!$I$6)/INDEX(Liegenschaft!$C$26:$G$26,1,Kosten!$I$6)*IF(Kosten!$D$6="Heizung/Warmwasser",Mieter!$L31,Mieter!$K31),0))</f>
        <v/>
      </c>
      <c r="E31" s="32">
        <f>IF(OR(Mieter!$D31="",Kosten!$H$7&lt;&gt;"Ja"),0,IFERROR(Kosten!$C$7*INDEX(Liegenschaft!$C$14:$G$25,MATCH(Mieter!$C31,Liegenschaft!$B$14:$B$25,0),Kosten!$I$7)/INDEX(Liegenschaft!$C$26:$G$26,1,Kosten!$I$7)*IF(Kosten!$D$7="Heizung/Warmwasser",Mieter!$L31,Mieter!$K31),0))</f>
        <v/>
      </c>
      <c r="F31" s="32">
        <f>IF(OR(Mieter!$D31="",Kosten!$H$8&lt;&gt;"Ja"),0,IFERROR(Kosten!$C$8*INDEX(Liegenschaft!$C$14:$G$25,MATCH(Mieter!$C31,Liegenschaft!$B$14:$B$25,0),Kosten!$I$8)/INDEX(Liegenschaft!$C$26:$G$26,1,Kosten!$I$8)*IF(Kosten!$D$8="Heizung/Warmwasser",Mieter!$L31,Mieter!$K31),0))</f>
        <v/>
      </c>
      <c r="G31" s="32">
        <f>IF(OR(Mieter!$D31="",Kosten!$H$9&lt;&gt;"Ja"),0,IFERROR(Kosten!$C$9*INDEX(Liegenschaft!$C$14:$G$25,MATCH(Mieter!$C31,Liegenschaft!$B$14:$B$25,0),Kosten!$I$9)/INDEX(Liegenschaft!$C$26:$G$26,1,Kosten!$I$9)*IF(Kosten!$D$9="Heizung/Warmwasser",Mieter!$L31,Mieter!$K31),0))</f>
        <v/>
      </c>
      <c r="H31" s="32">
        <f>IF(OR(Mieter!$D31="",Kosten!$H$10&lt;&gt;"Ja"),0,IFERROR(Kosten!$C$10*INDEX(Liegenschaft!$C$14:$G$25,MATCH(Mieter!$C31,Liegenschaft!$B$14:$B$25,0),Kosten!$I$10)/INDEX(Liegenschaft!$C$26:$G$26,1,Kosten!$I$10)*IF(Kosten!$D$10="Heizung/Warmwasser",Mieter!$L31,Mieter!$K31),0))</f>
        <v/>
      </c>
      <c r="I31" s="32">
        <f>IF(OR(Mieter!$D31="",Kosten!$H$11&lt;&gt;"Ja"),0,IFERROR(Kosten!$C$11*INDEX(Liegenschaft!$C$14:$G$25,MATCH(Mieter!$C31,Liegenschaft!$B$14:$B$25,0),Kosten!$I$11)/INDEX(Liegenschaft!$C$26:$G$26,1,Kosten!$I$11)*IF(Kosten!$D$11="Heizung/Warmwasser",Mieter!$L31,Mieter!$K31),0))</f>
        <v/>
      </c>
      <c r="J31" s="32">
        <f>IF(OR(Mieter!$D31="",Kosten!$H$12&lt;&gt;"Ja"),0,IFERROR(Kosten!$C$12*INDEX(Liegenschaft!$C$14:$G$25,MATCH(Mieter!$C31,Liegenschaft!$B$14:$B$25,0),Kosten!$I$12)/INDEX(Liegenschaft!$C$26:$G$26,1,Kosten!$I$12)*IF(Kosten!$D$12="Heizung/Warmwasser",Mieter!$L31,Mieter!$K31),0))</f>
        <v/>
      </c>
      <c r="K31" s="32">
        <f>IF(OR(Mieter!$D31="",Kosten!$H$13&lt;&gt;"Ja"),0,IFERROR(Kosten!$C$13*INDEX(Liegenschaft!$C$14:$G$25,MATCH(Mieter!$C31,Liegenschaft!$B$14:$B$25,0),Kosten!$I$13)/INDEX(Liegenschaft!$C$26:$G$26,1,Kosten!$I$13)*IF(Kosten!$D$13="Heizung/Warmwasser",Mieter!$L31,Mieter!$K31),0))</f>
        <v/>
      </c>
      <c r="L31" s="32">
        <f>IF(OR(Mieter!$D31="",Kosten!$H$14&lt;&gt;"Ja"),0,IFERROR(Kosten!$C$14*INDEX(Liegenschaft!$C$14:$G$25,MATCH(Mieter!$C31,Liegenschaft!$B$14:$B$25,0),Kosten!$I$14)/INDEX(Liegenschaft!$C$26:$G$26,1,Kosten!$I$14)*IF(Kosten!$D$14="Heizung/Warmwasser",Mieter!$L31,Mieter!$K31),0))</f>
        <v/>
      </c>
      <c r="M31" s="32">
        <f>IF(OR(Mieter!$D31="",Kosten!$H$15&lt;&gt;"Ja"),0,IFERROR(Kosten!$C$15*INDEX(Liegenschaft!$C$14:$G$25,MATCH(Mieter!$C31,Liegenschaft!$B$14:$B$25,0),Kosten!$I$15)/INDEX(Liegenschaft!$C$26:$G$26,1,Kosten!$I$15)*IF(Kosten!$D$15="Heizung/Warmwasser",Mieter!$L31,Mieter!$K31),0))</f>
        <v/>
      </c>
      <c r="N31" s="32">
        <f>IF(OR(Mieter!$D31="",Kosten!$H$16&lt;&gt;"Ja"),0,IFERROR(Kosten!$C$16*INDEX(Liegenschaft!$C$14:$G$25,MATCH(Mieter!$C31,Liegenschaft!$B$14:$B$25,0),Kosten!$I$16)/INDEX(Liegenschaft!$C$26:$G$26,1,Kosten!$I$16)*IF(Kosten!$D$16="Heizung/Warmwasser",Mieter!$L31,Mieter!$K31),0))</f>
        <v/>
      </c>
      <c r="O31" s="32">
        <f>IF(OR(Mieter!$D31="",Kosten!$H$17&lt;&gt;"Ja"),0,IFERROR(Kosten!$C$17*INDEX(Liegenschaft!$C$14:$G$25,MATCH(Mieter!$C31,Liegenschaft!$B$14:$B$25,0),Kosten!$I$17)/INDEX(Liegenschaft!$C$26:$G$26,1,Kosten!$I$17)*IF(Kosten!$D$17="Heizung/Warmwasser",Mieter!$L31,Mieter!$K31),0))</f>
        <v/>
      </c>
      <c r="P31" s="32">
        <f>IF(OR(Mieter!$D31="",Kosten!$H$18&lt;&gt;"Ja"),0,IFERROR(Kosten!$C$18*INDEX(Liegenschaft!$C$14:$G$25,MATCH(Mieter!$C31,Liegenschaft!$B$14:$B$25,0),Kosten!$I$18)/INDEX(Liegenschaft!$C$26:$G$26,1,Kosten!$I$18)*IF(Kosten!$D$18="Heizung/Warmwasser",Mieter!$L31,Mieter!$K31),0))</f>
        <v/>
      </c>
      <c r="Q31" s="32">
        <f>IF(OR(Mieter!$D31="",Kosten!$H$19&lt;&gt;"Ja"),0,IFERROR(Kosten!$C$19*INDEX(Liegenschaft!$C$14:$G$25,MATCH(Mieter!$C31,Liegenschaft!$B$14:$B$25,0),Kosten!$I$19)/INDEX(Liegenschaft!$C$26:$G$26,1,Kosten!$I$19)*IF(Kosten!$D$19="Heizung/Warmwasser",Mieter!$L31,Mieter!$K31),0))</f>
        <v/>
      </c>
      <c r="R31" s="32">
        <f>IF(OR(Mieter!$D31="",Kosten!$H$20&lt;&gt;"Ja"),0,IFERROR(Kosten!$C$20*INDEX(Liegenschaft!$C$14:$G$25,MATCH(Mieter!$C31,Liegenschaft!$B$14:$B$25,0),Kosten!$I$20)/INDEX(Liegenschaft!$C$26:$G$26,1,Kosten!$I$20)*IF(Kosten!$D$20="Heizung/Warmwasser",Mieter!$L31,Mieter!$K31),0))</f>
        <v/>
      </c>
      <c r="S31" s="32">
        <f>IF(OR(Mieter!$D31="",Kosten!$H$21&lt;&gt;"Ja"),0,IFERROR(Kosten!$C$21*INDEX(Liegenschaft!$C$14:$G$25,MATCH(Mieter!$C31,Liegenschaft!$B$14:$B$25,0),Kosten!$I$21)/INDEX(Liegenschaft!$C$26:$G$26,1,Kosten!$I$21)*IF(Kosten!$D$21="Heizung/Warmwasser",Mieter!$L31,Mieter!$K31),0))</f>
        <v/>
      </c>
      <c r="T31" s="32">
        <f>IF(OR(Mieter!$D31="",Kosten!$H$22&lt;&gt;"Ja"),0,IFERROR(Kosten!$C$22*INDEX(Liegenschaft!$C$14:$G$25,MATCH(Mieter!$C31,Liegenschaft!$B$14:$B$25,0),Kosten!$I$22)/INDEX(Liegenschaft!$C$26:$G$26,1,Kosten!$I$22)*IF(Kosten!$D$22="Heizung/Warmwasser",Mieter!$L31,Mieter!$K31),0))</f>
        <v/>
      </c>
      <c r="U31" s="32">
        <f>IF(OR(Mieter!$D31="",Kosten!$H$23&lt;&gt;"Ja"),0,IFERROR(Kosten!$C$23*INDEX(Liegenschaft!$C$14:$G$25,MATCH(Mieter!$C31,Liegenschaft!$B$14:$B$25,0),Kosten!$I$23)/INDEX(Liegenschaft!$C$26:$G$26,1,Kosten!$I$23)*IF(Kosten!$D$23="Heizung/Warmwasser",Mieter!$L31,Mieter!$K31),0))</f>
        <v/>
      </c>
      <c r="V31" s="32">
        <f>IF(OR(Mieter!$D31="",Kosten!$H$24&lt;&gt;"Ja"),0,IFERROR(Kosten!$C$24*INDEX(Liegenschaft!$C$14:$G$25,MATCH(Mieter!$C31,Liegenschaft!$B$14:$B$25,0),Kosten!$I$24)/INDEX(Liegenschaft!$C$26:$G$26,1,Kosten!$I$24)*IF(Kosten!$D$24="Heizung/Warmwasser",Mieter!$L31,Mieter!$K31),0))</f>
        <v/>
      </c>
      <c r="W31" s="32">
        <f>IF(OR(Mieter!$D31="",Kosten!$H$25&lt;&gt;"Ja"),0,IFERROR(Kosten!$C$25*INDEX(Liegenschaft!$C$14:$G$25,MATCH(Mieter!$C31,Liegenschaft!$B$14:$B$25,0),Kosten!$I$25)/INDEX(Liegenschaft!$C$26:$G$26,1,Kosten!$I$25)*IF(Kosten!$D$25="Heizung/Warmwasser",Mieter!$L31,Mieter!$K31),0))</f>
        <v/>
      </c>
      <c r="X31" s="32">
        <f>SUM(D31:W31)</f>
        <v/>
      </c>
      <c r="Y31" s="32">
        <f>IF(Liegenschaft!$C$11="Ja",ROUND(X31*Liegenschaft!$C$10,2),0)</f>
        <v/>
      </c>
      <c r="Z31" s="32">
        <f>ROUND(X31+Y31,2)</f>
        <v/>
      </c>
      <c r="AA31" s="32">
        <f>N(Mieter!G31)</f>
        <v/>
      </c>
      <c r="AB31" s="33">
        <f>IF(C31="",0,Z31-AA31)</f>
        <v/>
      </c>
    </row>
    <row r="32">
      <c r="B32" t="n">
        <v>27</v>
      </c>
      <c r="C32">
        <f>IF(Mieter!D32="","",Mieter!D32)</f>
        <v/>
      </c>
      <c r="D32" s="32">
        <f>IF(OR(Mieter!$D32="",Kosten!$H$6&lt;&gt;"Ja"),0,IFERROR(Kosten!$C$6*INDEX(Liegenschaft!$C$14:$G$25,MATCH(Mieter!$C32,Liegenschaft!$B$14:$B$25,0),Kosten!$I$6)/INDEX(Liegenschaft!$C$26:$G$26,1,Kosten!$I$6)*IF(Kosten!$D$6="Heizung/Warmwasser",Mieter!$L32,Mieter!$K32),0))</f>
        <v/>
      </c>
      <c r="E32" s="32">
        <f>IF(OR(Mieter!$D32="",Kosten!$H$7&lt;&gt;"Ja"),0,IFERROR(Kosten!$C$7*INDEX(Liegenschaft!$C$14:$G$25,MATCH(Mieter!$C32,Liegenschaft!$B$14:$B$25,0),Kosten!$I$7)/INDEX(Liegenschaft!$C$26:$G$26,1,Kosten!$I$7)*IF(Kosten!$D$7="Heizung/Warmwasser",Mieter!$L32,Mieter!$K32),0))</f>
        <v/>
      </c>
      <c r="F32" s="32">
        <f>IF(OR(Mieter!$D32="",Kosten!$H$8&lt;&gt;"Ja"),0,IFERROR(Kosten!$C$8*INDEX(Liegenschaft!$C$14:$G$25,MATCH(Mieter!$C32,Liegenschaft!$B$14:$B$25,0),Kosten!$I$8)/INDEX(Liegenschaft!$C$26:$G$26,1,Kosten!$I$8)*IF(Kosten!$D$8="Heizung/Warmwasser",Mieter!$L32,Mieter!$K32),0))</f>
        <v/>
      </c>
      <c r="G32" s="32">
        <f>IF(OR(Mieter!$D32="",Kosten!$H$9&lt;&gt;"Ja"),0,IFERROR(Kosten!$C$9*INDEX(Liegenschaft!$C$14:$G$25,MATCH(Mieter!$C32,Liegenschaft!$B$14:$B$25,0),Kosten!$I$9)/INDEX(Liegenschaft!$C$26:$G$26,1,Kosten!$I$9)*IF(Kosten!$D$9="Heizung/Warmwasser",Mieter!$L32,Mieter!$K32),0))</f>
        <v/>
      </c>
      <c r="H32" s="32">
        <f>IF(OR(Mieter!$D32="",Kosten!$H$10&lt;&gt;"Ja"),0,IFERROR(Kosten!$C$10*INDEX(Liegenschaft!$C$14:$G$25,MATCH(Mieter!$C32,Liegenschaft!$B$14:$B$25,0),Kosten!$I$10)/INDEX(Liegenschaft!$C$26:$G$26,1,Kosten!$I$10)*IF(Kosten!$D$10="Heizung/Warmwasser",Mieter!$L32,Mieter!$K32),0))</f>
        <v/>
      </c>
      <c r="I32" s="32">
        <f>IF(OR(Mieter!$D32="",Kosten!$H$11&lt;&gt;"Ja"),0,IFERROR(Kosten!$C$11*INDEX(Liegenschaft!$C$14:$G$25,MATCH(Mieter!$C32,Liegenschaft!$B$14:$B$25,0),Kosten!$I$11)/INDEX(Liegenschaft!$C$26:$G$26,1,Kosten!$I$11)*IF(Kosten!$D$11="Heizung/Warmwasser",Mieter!$L32,Mieter!$K32),0))</f>
        <v/>
      </c>
      <c r="J32" s="32">
        <f>IF(OR(Mieter!$D32="",Kosten!$H$12&lt;&gt;"Ja"),0,IFERROR(Kosten!$C$12*INDEX(Liegenschaft!$C$14:$G$25,MATCH(Mieter!$C32,Liegenschaft!$B$14:$B$25,0),Kosten!$I$12)/INDEX(Liegenschaft!$C$26:$G$26,1,Kosten!$I$12)*IF(Kosten!$D$12="Heizung/Warmwasser",Mieter!$L32,Mieter!$K32),0))</f>
        <v/>
      </c>
      <c r="K32" s="32">
        <f>IF(OR(Mieter!$D32="",Kosten!$H$13&lt;&gt;"Ja"),0,IFERROR(Kosten!$C$13*INDEX(Liegenschaft!$C$14:$G$25,MATCH(Mieter!$C32,Liegenschaft!$B$14:$B$25,0),Kosten!$I$13)/INDEX(Liegenschaft!$C$26:$G$26,1,Kosten!$I$13)*IF(Kosten!$D$13="Heizung/Warmwasser",Mieter!$L32,Mieter!$K32),0))</f>
        <v/>
      </c>
      <c r="L32" s="32">
        <f>IF(OR(Mieter!$D32="",Kosten!$H$14&lt;&gt;"Ja"),0,IFERROR(Kosten!$C$14*INDEX(Liegenschaft!$C$14:$G$25,MATCH(Mieter!$C32,Liegenschaft!$B$14:$B$25,0),Kosten!$I$14)/INDEX(Liegenschaft!$C$26:$G$26,1,Kosten!$I$14)*IF(Kosten!$D$14="Heizung/Warmwasser",Mieter!$L32,Mieter!$K32),0))</f>
        <v/>
      </c>
      <c r="M32" s="32">
        <f>IF(OR(Mieter!$D32="",Kosten!$H$15&lt;&gt;"Ja"),0,IFERROR(Kosten!$C$15*INDEX(Liegenschaft!$C$14:$G$25,MATCH(Mieter!$C32,Liegenschaft!$B$14:$B$25,0),Kosten!$I$15)/INDEX(Liegenschaft!$C$26:$G$26,1,Kosten!$I$15)*IF(Kosten!$D$15="Heizung/Warmwasser",Mieter!$L32,Mieter!$K32),0))</f>
        <v/>
      </c>
      <c r="N32" s="32">
        <f>IF(OR(Mieter!$D32="",Kosten!$H$16&lt;&gt;"Ja"),0,IFERROR(Kosten!$C$16*INDEX(Liegenschaft!$C$14:$G$25,MATCH(Mieter!$C32,Liegenschaft!$B$14:$B$25,0),Kosten!$I$16)/INDEX(Liegenschaft!$C$26:$G$26,1,Kosten!$I$16)*IF(Kosten!$D$16="Heizung/Warmwasser",Mieter!$L32,Mieter!$K32),0))</f>
        <v/>
      </c>
      <c r="O32" s="32">
        <f>IF(OR(Mieter!$D32="",Kosten!$H$17&lt;&gt;"Ja"),0,IFERROR(Kosten!$C$17*INDEX(Liegenschaft!$C$14:$G$25,MATCH(Mieter!$C32,Liegenschaft!$B$14:$B$25,0),Kosten!$I$17)/INDEX(Liegenschaft!$C$26:$G$26,1,Kosten!$I$17)*IF(Kosten!$D$17="Heizung/Warmwasser",Mieter!$L32,Mieter!$K32),0))</f>
        <v/>
      </c>
      <c r="P32" s="32">
        <f>IF(OR(Mieter!$D32="",Kosten!$H$18&lt;&gt;"Ja"),0,IFERROR(Kosten!$C$18*INDEX(Liegenschaft!$C$14:$G$25,MATCH(Mieter!$C32,Liegenschaft!$B$14:$B$25,0),Kosten!$I$18)/INDEX(Liegenschaft!$C$26:$G$26,1,Kosten!$I$18)*IF(Kosten!$D$18="Heizung/Warmwasser",Mieter!$L32,Mieter!$K32),0))</f>
        <v/>
      </c>
      <c r="Q32" s="32">
        <f>IF(OR(Mieter!$D32="",Kosten!$H$19&lt;&gt;"Ja"),0,IFERROR(Kosten!$C$19*INDEX(Liegenschaft!$C$14:$G$25,MATCH(Mieter!$C32,Liegenschaft!$B$14:$B$25,0),Kosten!$I$19)/INDEX(Liegenschaft!$C$26:$G$26,1,Kosten!$I$19)*IF(Kosten!$D$19="Heizung/Warmwasser",Mieter!$L32,Mieter!$K32),0))</f>
        <v/>
      </c>
      <c r="R32" s="32">
        <f>IF(OR(Mieter!$D32="",Kosten!$H$20&lt;&gt;"Ja"),0,IFERROR(Kosten!$C$20*INDEX(Liegenschaft!$C$14:$G$25,MATCH(Mieter!$C32,Liegenschaft!$B$14:$B$25,0),Kosten!$I$20)/INDEX(Liegenschaft!$C$26:$G$26,1,Kosten!$I$20)*IF(Kosten!$D$20="Heizung/Warmwasser",Mieter!$L32,Mieter!$K32),0))</f>
        <v/>
      </c>
      <c r="S32" s="32">
        <f>IF(OR(Mieter!$D32="",Kosten!$H$21&lt;&gt;"Ja"),0,IFERROR(Kosten!$C$21*INDEX(Liegenschaft!$C$14:$G$25,MATCH(Mieter!$C32,Liegenschaft!$B$14:$B$25,0),Kosten!$I$21)/INDEX(Liegenschaft!$C$26:$G$26,1,Kosten!$I$21)*IF(Kosten!$D$21="Heizung/Warmwasser",Mieter!$L32,Mieter!$K32),0))</f>
        <v/>
      </c>
      <c r="T32" s="32">
        <f>IF(OR(Mieter!$D32="",Kosten!$H$22&lt;&gt;"Ja"),0,IFERROR(Kosten!$C$22*INDEX(Liegenschaft!$C$14:$G$25,MATCH(Mieter!$C32,Liegenschaft!$B$14:$B$25,0),Kosten!$I$22)/INDEX(Liegenschaft!$C$26:$G$26,1,Kosten!$I$22)*IF(Kosten!$D$22="Heizung/Warmwasser",Mieter!$L32,Mieter!$K32),0))</f>
        <v/>
      </c>
      <c r="U32" s="32">
        <f>IF(OR(Mieter!$D32="",Kosten!$H$23&lt;&gt;"Ja"),0,IFERROR(Kosten!$C$23*INDEX(Liegenschaft!$C$14:$G$25,MATCH(Mieter!$C32,Liegenschaft!$B$14:$B$25,0),Kosten!$I$23)/INDEX(Liegenschaft!$C$26:$G$26,1,Kosten!$I$23)*IF(Kosten!$D$23="Heizung/Warmwasser",Mieter!$L32,Mieter!$K32),0))</f>
        <v/>
      </c>
      <c r="V32" s="32">
        <f>IF(OR(Mieter!$D32="",Kosten!$H$24&lt;&gt;"Ja"),0,IFERROR(Kosten!$C$24*INDEX(Liegenschaft!$C$14:$G$25,MATCH(Mieter!$C32,Liegenschaft!$B$14:$B$25,0),Kosten!$I$24)/INDEX(Liegenschaft!$C$26:$G$26,1,Kosten!$I$24)*IF(Kosten!$D$24="Heizung/Warmwasser",Mieter!$L32,Mieter!$K32),0))</f>
        <v/>
      </c>
      <c r="W32" s="32">
        <f>IF(OR(Mieter!$D32="",Kosten!$H$25&lt;&gt;"Ja"),0,IFERROR(Kosten!$C$25*INDEX(Liegenschaft!$C$14:$G$25,MATCH(Mieter!$C32,Liegenschaft!$B$14:$B$25,0),Kosten!$I$25)/INDEX(Liegenschaft!$C$26:$G$26,1,Kosten!$I$25)*IF(Kosten!$D$25="Heizung/Warmwasser",Mieter!$L32,Mieter!$K32),0))</f>
        <v/>
      </c>
      <c r="X32" s="32">
        <f>SUM(D32:W32)</f>
        <v/>
      </c>
      <c r="Y32" s="32">
        <f>IF(Liegenschaft!$C$11="Ja",ROUND(X32*Liegenschaft!$C$10,2),0)</f>
        <v/>
      </c>
      <c r="Z32" s="32">
        <f>ROUND(X32+Y32,2)</f>
        <v/>
      </c>
      <c r="AA32" s="32">
        <f>N(Mieter!G32)</f>
        <v/>
      </c>
      <c r="AB32" s="33">
        <f>IF(C32="",0,Z32-AA32)</f>
        <v/>
      </c>
    </row>
    <row r="33">
      <c r="B33" t="n">
        <v>28</v>
      </c>
      <c r="C33">
        <f>IF(Mieter!D33="","",Mieter!D33)</f>
        <v/>
      </c>
      <c r="D33" s="32">
        <f>IF(OR(Mieter!$D33="",Kosten!$H$6&lt;&gt;"Ja"),0,IFERROR(Kosten!$C$6*INDEX(Liegenschaft!$C$14:$G$25,MATCH(Mieter!$C33,Liegenschaft!$B$14:$B$25,0),Kosten!$I$6)/INDEX(Liegenschaft!$C$26:$G$26,1,Kosten!$I$6)*IF(Kosten!$D$6="Heizung/Warmwasser",Mieter!$L33,Mieter!$K33),0))</f>
        <v/>
      </c>
      <c r="E33" s="32">
        <f>IF(OR(Mieter!$D33="",Kosten!$H$7&lt;&gt;"Ja"),0,IFERROR(Kosten!$C$7*INDEX(Liegenschaft!$C$14:$G$25,MATCH(Mieter!$C33,Liegenschaft!$B$14:$B$25,0),Kosten!$I$7)/INDEX(Liegenschaft!$C$26:$G$26,1,Kosten!$I$7)*IF(Kosten!$D$7="Heizung/Warmwasser",Mieter!$L33,Mieter!$K33),0))</f>
        <v/>
      </c>
      <c r="F33" s="32">
        <f>IF(OR(Mieter!$D33="",Kosten!$H$8&lt;&gt;"Ja"),0,IFERROR(Kosten!$C$8*INDEX(Liegenschaft!$C$14:$G$25,MATCH(Mieter!$C33,Liegenschaft!$B$14:$B$25,0),Kosten!$I$8)/INDEX(Liegenschaft!$C$26:$G$26,1,Kosten!$I$8)*IF(Kosten!$D$8="Heizung/Warmwasser",Mieter!$L33,Mieter!$K33),0))</f>
        <v/>
      </c>
      <c r="G33" s="32">
        <f>IF(OR(Mieter!$D33="",Kosten!$H$9&lt;&gt;"Ja"),0,IFERROR(Kosten!$C$9*INDEX(Liegenschaft!$C$14:$G$25,MATCH(Mieter!$C33,Liegenschaft!$B$14:$B$25,0),Kosten!$I$9)/INDEX(Liegenschaft!$C$26:$G$26,1,Kosten!$I$9)*IF(Kosten!$D$9="Heizung/Warmwasser",Mieter!$L33,Mieter!$K33),0))</f>
        <v/>
      </c>
      <c r="H33" s="32">
        <f>IF(OR(Mieter!$D33="",Kosten!$H$10&lt;&gt;"Ja"),0,IFERROR(Kosten!$C$10*INDEX(Liegenschaft!$C$14:$G$25,MATCH(Mieter!$C33,Liegenschaft!$B$14:$B$25,0),Kosten!$I$10)/INDEX(Liegenschaft!$C$26:$G$26,1,Kosten!$I$10)*IF(Kosten!$D$10="Heizung/Warmwasser",Mieter!$L33,Mieter!$K33),0))</f>
        <v/>
      </c>
      <c r="I33" s="32">
        <f>IF(OR(Mieter!$D33="",Kosten!$H$11&lt;&gt;"Ja"),0,IFERROR(Kosten!$C$11*INDEX(Liegenschaft!$C$14:$G$25,MATCH(Mieter!$C33,Liegenschaft!$B$14:$B$25,0),Kosten!$I$11)/INDEX(Liegenschaft!$C$26:$G$26,1,Kosten!$I$11)*IF(Kosten!$D$11="Heizung/Warmwasser",Mieter!$L33,Mieter!$K33),0))</f>
        <v/>
      </c>
      <c r="J33" s="32">
        <f>IF(OR(Mieter!$D33="",Kosten!$H$12&lt;&gt;"Ja"),0,IFERROR(Kosten!$C$12*INDEX(Liegenschaft!$C$14:$G$25,MATCH(Mieter!$C33,Liegenschaft!$B$14:$B$25,0),Kosten!$I$12)/INDEX(Liegenschaft!$C$26:$G$26,1,Kosten!$I$12)*IF(Kosten!$D$12="Heizung/Warmwasser",Mieter!$L33,Mieter!$K33),0))</f>
        <v/>
      </c>
      <c r="K33" s="32">
        <f>IF(OR(Mieter!$D33="",Kosten!$H$13&lt;&gt;"Ja"),0,IFERROR(Kosten!$C$13*INDEX(Liegenschaft!$C$14:$G$25,MATCH(Mieter!$C33,Liegenschaft!$B$14:$B$25,0),Kosten!$I$13)/INDEX(Liegenschaft!$C$26:$G$26,1,Kosten!$I$13)*IF(Kosten!$D$13="Heizung/Warmwasser",Mieter!$L33,Mieter!$K33),0))</f>
        <v/>
      </c>
      <c r="L33" s="32">
        <f>IF(OR(Mieter!$D33="",Kosten!$H$14&lt;&gt;"Ja"),0,IFERROR(Kosten!$C$14*INDEX(Liegenschaft!$C$14:$G$25,MATCH(Mieter!$C33,Liegenschaft!$B$14:$B$25,0),Kosten!$I$14)/INDEX(Liegenschaft!$C$26:$G$26,1,Kosten!$I$14)*IF(Kosten!$D$14="Heizung/Warmwasser",Mieter!$L33,Mieter!$K33),0))</f>
        <v/>
      </c>
      <c r="M33" s="32">
        <f>IF(OR(Mieter!$D33="",Kosten!$H$15&lt;&gt;"Ja"),0,IFERROR(Kosten!$C$15*INDEX(Liegenschaft!$C$14:$G$25,MATCH(Mieter!$C33,Liegenschaft!$B$14:$B$25,0),Kosten!$I$15)/INDEX(Liegenschaft!$C$26:$G$26,1,Kosten!$I$15)*IF(Kosten!$D$15="Heizung/Warmwasser",Mieter!$L33,Mieter!$K33),0))</f>
        <v/>
      </c>
      <c r="N33" s="32">
        <f>IF(OR(Mieter!$D33="",Kosten!$H$16&lt;&gt;"Ja"),0,IFERROR(Kosten!$C$16*INDEX(Liegenschaft!$C$14:$G$25,MATCH(Mieter!$C33,Liegenschaft!$B$14:$B$25,0),Kosten!$I$16)/INDEX(Liegenschaft!$C$26:$G$26,1,Kosten!$I$16)*IF(Kosten!$D$16="Heizung/Warmwasser",Mieter!$L33,Mieter!$K33),0))</f>
        <v/>
      </c>
      <c r="O33" s="32">
        <f>IF(OR(Mieter!$D33="",Kosten!$H$17&lt;&gt;"Ja"),0,IFERROR(Kosten!$C$17*INDEX(Liegenschaft!$C$14:$G$25,MATCH(Mieter!$C33,Liegenschaft!$B$14:$B$25,0),Kosten!$I$17)/INDEX(Liegenschaft!$C$26:$G$26,1,Kosten!$I$17)*IF(Kosten!$D$17="Heizung/Warmwasser",Mieter!$L33,Mieter!$K33),0))</f>
        <v/>
      </c>
      <c r="P33" s="32">
        <f>IF(OR(Mieter!$D33="",Kosten!$H$18&lt;&gt;"Ja"),0,IFERROR(Kosten!$C$18*INDEX(Liegenschaft!$C$14:$G$25,MATCH(Mieter!$C33,Liegenschaft!$B$14:$B$25,0),Kosten!$I$18)/INDEX(Liegenschaft!$C$26:$G$26,1,Kosten!$I$18)*IF(Kosten!$D$18="Heizung/Warmwasser",Mieter!$L33,Mieter!$K33),0))</f>
        <v/>
      </c>
      <c r="Q33" s="32">
        <f>IF(OR(Mieter!$D33="",Kosten!$H$19&lt;&gt;"Ja"),0,IFERROR(Kosten!$C$19*INDEX(Liegenschaft!$C$14:$G$25,MATCH(Mieter!$C33,Liegenschaft!$B$14:$B$25,0),Kosten!$I$19)/INDEX(Liegenschaft!$C$26:$G$26,1,Kosten!$I$19)*IF(Kosten!$D$19="Heizung/Warmwasser",Mieter!$L33,Mieter!$K33),0))</f>
        <v/>
      </c>
      <c r="R33" s="32">
        <f>IF(OR(Mieter!$D33="",Kosten!$H$20&lt;&gt;"Ja"),0,IFERROR(Kosten!$C$20*INDEX(Liegenschaft!$C$14:$G$25,MATCH(Mieter!$C33,Liegenschaft!$B$14:$B$25,0),Kosten!$I$20)/INDEX(Liegenschaft!$C$26:$G$26,1,Kosten!$I$20)*IF(Kosten!$D$20="Heizung/Warmwasser",Mieter!$L33,Mieter!$K33),0))</f>
        <v/>
      </c>
      <c r="S33" s="32">
        <f>IF(OR(Mieter!$D33="",Kosten!$H$21&lt;&gt;"Ja"),0,IFERROR(Kosten!$C$21*INDEX(Liegenschaft!$C$14:$G$25,MATCH(Mieter!$C33,Liegenschaft!$B$14:$B$25,0),Kosten!$I$21)/INDEX(Liegenschaft!$C$26:$G$26,1,Kosten!$I$21)*IF(Kosten!$D$21="Heizung/Warmwasser",Mieter!$L33,Mieter!$K33),0))</f>
        <v/>
      </c>
      <c r="T33" s="32">
        <f>IF(OR(Mieter!$D33="",Kosten!$H$22&lt;&gt;"Ja"),0,IFERROR(Kosten!$C$22*INDEX(Liegenschaft!$C$14:$G$25,MATCH(Mieter!$C33,Liegenschaft!$B$14:$B$25,0),Kosten!$I$22)/INDEX(Liegenschaft!$C$26:$G$26,1,Kosten!$I$22)*IF(Kosten!$D$22="Heizung/Warmwasser",Mieter!$L33,Mieter!$K33),0))</f>
        <v/>
      </c>
      <c r="U33" s="32">
        <f>IF(OR(Mieter!$D33="",Kosten!$H$23&lt;&gt;"Ja"),0,IFERROR(Kosten!$C$23*INDEX(Liegenschaft!$C$14:$G$25,MATCH(Mieter!$C33,Liegenschaft!$B$14:$B$25,0),Kosten!$I$23)/INDEX(Liegenschaft!$C$26:$G$26,1,Kosten!$I$23)*IF(Kosten!$D$23="Heizung/Warmwasser",Mieter!$L33,Mieter!$K33),0))</f>
        <v/>
      </c>
      <c r="V33" s="32">
        <f>IF(OR(Mieter!$D33="",Kosten!$H$24&lt;&gt;"Ja"),0,IFERROR(Kosten!$C$24*INDEX(Liegenschaft!$C$14:$G$25,MATCH(Mieter!$C33,Liegenschaft!$B$14:$B$25,0),Kosten!$I$24)/INDEX(Liegenschaft!$C$26:$G$26,1,Kosten!$I$24)*IF(Kosten!$D$24="Heizung/Warmwasser",Mieter!$L33,Mieter!$K33),0))</f>
        <v/>
      </c>
      <c r="W33" s="32">
        <f>IF(OR(Mieter!$D33="",Kosten!$H$25&lt;&gt;"Ja"),0,IFERROR(Kosten!$C$25*INDEX(Liegenschaft!$C$14:$G$25,MATCH(Mieter!$C33,Liegenschaft!$B$14:$B$25,0),Kosten!$I$25)/INDEX(Liegenschaft!$C$26:$G$26,1,Kosten!$I$25)*IF(Kosten!$D$25="Heizung/Warmwasser",Mieter!$L33,Mieter!$K33),0))</f>
        <v/>
      </c>
      <c r="X33" s="32">
        <f>SUM(D33:W33)</f>
        <v/>
      </c>
      <c r="Y33" s="32">
        <f>IF(Liegenschaft!$C$11="Ja",ROUND(X33*Liegenschaft!$C$10,2),0)</f>
        <v/>
      </c>
      <c r="Z33" s="32">
        <f>ROUND(X33+Y33,2)</f>
        <v/>
      </c>
      <c r="AA33" s="32">
        <f>N(Mieter!G33)</f>
        <v/>
      </c>
      <c r="AB33" s="33">
        <f>IF(C33="",0,Z33-AA33)</f>
        <v/>
      </c>
    </row>
    <row r="34">
      <c r="B34" t="n">
        <v>29</v>
      </c>
      <c r="C34">
        <f>IF(Mieter!D34="","",Mieter!D34)</f>
        <v/>
      </c>
      <c r="D34" s="32">
        <f>IF(OR(Mieter!$D34="",Kosten!$H$6&lt;&gt;"Ja"),0,IFERROR(Kosten!$C$6*INDEX(Liegenschaft!$C$14:$G$25,MATCH(Mieter!$C34,Liegenschaft!$B$14:$B$25,0),Kosten!$I$6)/INDEX(Liegenschaft!$C$26:$G$26,1,Kosten!$I$6)*IF(Kosten!$D$6="Heizung/Warmwasser",Mieter!$L34,Mieter!$K34),0))</f>
        <v/>
      </c>
      <c r="E34" s="32">
        <f>IF(OR(Mieter!$D34="",Kosten!$H$7&lt;&gt;"Ja"),0,IFERROR(Kosten!$C$7*INDEX(Liegenschaft!$C$14:$G$25,MATCH(Mieter!$C34,Liegenschaft!$B$14:$B$25,0),Kosten!$I$7)/INDEX(Liegenschaft!$C$26:$G$26,1,Kosten!$I$7)*IF(Kosten!$D$7="Heizung/Warmwasser",Mieter!$L34,Mieter!$K34),0))</f>
        <v/>
      </c>
      <c r="F34" s="32">
        <f>IF(OR(Mieter!$D34="",Kosten!$H$8&lt;&gt;"Ja"),0,IFERROR(Kosten!$C$8*INDEX(Liegenschaft!$C$14:$G$25,MATCH(Mieter!$C34,Liegenschaft!$B$14:$B$25,0),Kosten!$I$8)/INDEX(Liegenschaft!$C$26:$G$26,1,Kosten!$I$8)*IF(Kosten!$D$8="Heizung/Warmwasser",Mieter!$L34,Mieter!$K34),0))</f>
        <v/>
      </c>
      <c r="G34" s="32">
        <f>IF(OR(Mieter!$D34="",Kosten!$H$9&lt;&gt;"Ja"),0,IFERROR(Kosten!$C$9*INDEX(Liegenschaft!$C$14:$G$25,MATCH(Mieter!$C34,Liegenschaft!$B$14:$B$25,0),Kosten!$I$9)/INDEX(Liegenschaft!$C$26:$G$26,1,Kosten!$I$9)*IF(Kosten!$D$9="Heizung/Warmwasser",Mieter!$L34,Mieter!$K34),0))</f>
        <v/>
      </c>
      <c r="H34" s="32">
        <f>IF(OR(Mieter!$D34="",Kosten!$H$10&lt;&gt;"Ja"),0,IFERROR(Kosten!$C$10*INDEX(Liegenschaft!$C$14:$G$25,MATCH(Mieter!$C34,Liegenschaft!$B$14:$B$25,0),Kosten!$I$10)/INDEX(Liegenschaft!$C$26:$G$26,1,Kosten!$I$10)*IF(Kosten!$D$10="Heizung/Warmwasser",Mieter!$L34,Mieter!$K34),0))</f>
        <v/>
      </c>
      <c r="I34" s="32">
        <f>IF(OR(Mieter!$D34="",Kosten!$H$11&lt;&gt;"Ja"),0,IFERROR(Kosten!$C$11*INDEX(Liegenschaft!$C$14:$G$25,MATCH(Mieter!$C34,Liegenschaft!$B$14:$B$25,0),Kosten!$I$11)/INDEX(Liegenschaft!$C$26:$G$26,1,Kosten!$I$11)*IF(Kosten!$D$11="Heizung/Warmwasser",Mieter!$L34,Mieter!$K34),0))</f>
        <v/>
      </c>
      <c r="J34" s="32">
        <f>IF(OR(Mieter!$D34="",Kosten!$H$12&lt;&gt;"Ja"),0,IFERROR(Kosten!$C$12*INDEX(Liegenschaft!$C$14:$G$25,MATCH(Mieter!$C34,Liegenschaft!$B$14:$B$25,0),Kosten!$I$12)/INDEX(Liegenschaft!$C$26:$G$26,1,Kosten!$I$12)*IF(Kosten!$D$12="Heizung/Warmwasser",Mieter!$L34,Mieter!$K34),0))</f>
        <v/>
      </c>
      <c r="K34" s="32">
        <f>IF(OR(Mieter!$D34="",Kosten!$H$13&lt;&gt;"Ja"),0,IFERROR(Kosten!$C$13*INDEX(Liegenschaft!$C$14:$G$25,MATCH(Mieter!$C34,Liegenschaft!$B$14:$B$25,0),Kosten!$I$13)/INDEX(Liegenschaft!$C$26:$G$26,1,Kosten!$I$13)*IF(Kosten!$D$13="Heizung/Warmwasser",Mieter!$L34,Mieter!$K34),0))</f>
        <v/>
      </c>
      <c r="L34" s="32">
        <f>IF(OR(Mieter!$D34="",Kosten!$H$14&lt;&gt;"Ja"),0,IFERROR(Kosten!$C$14*INDEX(Liegenschaft!$C$14:$G$25,MATCH(Mieter!$C34,Liegenschaft!$B$14:$B$25,0),Kosten!$I$14)/INDEX(Liegenschaft!$C$26:$G$26,1,Kosten!$I$14)*IF(Kosten!$D$14="Heizung/Warmwasser",Mieter!$L34,Mieter!$K34),0))</f>
        <v/>
      </c>
      <c r="M34" s="32">
        <f>IF(OR(Mieter!$D34="",Kosten!$H$15&lt;&gt;"Ja"),0,IFERROR(Kosten!$C$15*INDEX(Liegenschaft!$C$14:$G$25,MATCH(Mieter!$C34,Liegenschaft!$B$14:$B$25,0),Kosten!$I$15)/INDEX(Liegenschaft!$C$26:$G$26,1,Kosten!$I$15)*IF(Kosten!$D$15="Heizung/Warmwasser",Mieter!$L34,Mieter!$K34),0))</f>
        <v/>
      </c>
      <c r="N34" s="32">
        <f>IF(OR(Mieter!$D34="",Kosten!$H$16&lt;&gt;"Ja"),0,IFERROR(Kosten!$C$16*INDEX(Liegenschaft!$C$14:$G$25,MATCH(Mieter!$C34,Liegenschaft!$B$14:$B$25,0),Kosten!$I$16)/INDEX(Liegenschaft!$C$26:$G$26,1,Kosten!$I$16)*IF(Kosten!$D$16="Heizung/Warmwasser",Mieter!$L34,Mieter!$K34),0))</f>
        <v/>
      </c>
      <c r="O34" s="32">
        <f>IF(OR(Mieter!$D34="",Kosten!$H$17&lt;&gt;"Ja"),0,IFERROR(Kosten!$C$17*INDEX(Liegenschaft!$C$14:$G$25,MATCH(Mieter!$C34,Liegenschaft!$B$14:$B$25,0),Kosten!$I$17)/INDEX(Liegenschaft!$C$26:$G$26,1,Kosten!$I$17)*IF(Kosten!$D$17="Heizung/Warmwasser",Mieter!$L34,Mieter!$K34),0))</f>
        <v/>
      </c>
      <c r="P34" s="32">
        <f>IF(OR(Mieter!$D34="",Kosten!$H$18&lt;&gt;"Ja"),0,IFERROR(Kosten!$C$18*INDEX(Liegenschaft!$C$14:$G$25,MATCH(Mieter!$C34,Liegenschaft!$B$14:$B$25,0),Kosten!$I$18)/INDEX(Liegenschaft!$C$26:$G$26,1,Kosten!$I$18)*IF(Kosten!$D$18="Heizung/Warmwasser",Mieter!$L34,Mieter!$K34),0))</f>
        <v/>
      </c>
      <c r="Q34" s="32">
        <f>IF(OR(Mieter!$D34="",Kosten!$H$19&lt;&gt;"Ja"),0,IFERROR(Kosten!$C$19*INDEX(Liegenschaft!$C$14:$G$25,MATCH(Mieter!$C34,Liegenschaft!$B$14:$B$25,0),Kosten!$I$19)/INDEX(Liegenschaft!$C$26:$G$26,1,Kosten!$I$19)*IF(Kosten!$D$19="Heizung/Warmwasser",Mieter!$L34,Mieter!$K34),0))</f>
        <v/>
      </c>
      <c r="R34" s="32">
        <f>IF(OR(Mieter!$D34="",Kosten!$H$20&lt;&gt;"Ja"),0,IFERROR(Kosten!$C$20*INDEX(Liegenschaft!$C$14:$G$25,MATCH(Mieter!$C34,Liegenschaft!$B$14:$B$25,0),Kosten!$I$20)/INDEX(Liegenschaft!$C$26:$G$26,1,Kosten!$I$20)*IF(Kosten!$D$20="Heizung/Warmwasser",Mieter!$L34,Mieter!$K34),0))</f>
        <v/>
      </c>
      <c r="S34" s="32">
        <f>IF(OR(Mieter!$D34="",Kosten!$H$21&lt;&gt;"Ja"),0,IFERROR(Kosten!$C$21*INDEX(Liegenschaft!$C$14:$G$25,MATCH(Mieter!$C34,Liegenschaft!$B$14:$B$25,0),Kosten!$I$21)/INDEX(Liegenschaft!$C$26:$G$26,1,Kosten!$I$21)*IF(Kosten!$D$21="Heizung/Warmwasser",Mieter!$L34,Mieter!$K34),0))</f>
        <v/>
      </c>
      <c r="T34" s="32">
        <f>IF(OR(Mieter!$D34="",Kosten!$H$22&lt;&gt;"Ja"),0,IFERROR(Kosten!$C$22*INDEX(Liegenschaft!$C$14:$G$25,MATCH(Mieter!$C34,Liegenschaft!$B$14:$B$25,0),Kosten!$I$22)/INDEX(Liegenschaft!$C$26:$G$26,1,Kosten!$I$22)*IF(Kosten!$D$22="Heizung/Warmwasser",Mieter!$L34,Mieter!$K34),0))</f>
        <v/>
      </c>
      <c r="U34" s="32">
        <f>IF(OR(Mieter!$D34="",Kosten!$H$23&lt;&gt;"Ja"),0,IFERROR(Kosten!$C$23*INDEX(Liegenschaft!$C$14:$G$25,MATCH(Mieter!$C34,Liegenschaft!$B$14:$B$25,0),Kosten!$I$23)/INDEX(Liegenschaft!$C$26:$G$26,1,Kosten!$I$23)*IF(Kosten!$D$23="Heizung/Warmwasser",Mieter!$L34,Mieter!$K34),0))</f>
        <v/>
      </c>
      <c r="V34" s="32">
        <f>IF(OR(Mieter!$D34="",Kosten!$H$24&lt;&gt;"Ja"),0,IFERROR(Kosten!$C$24*INDEX(Liegenschaft!$C$14:$G$25,MATCH(Mieter!$C34,Liegenschaft!$B$14:$B$25,0),Kosten!$I$24)/INDEX(Liegenschaft!$C$26:$G$26,1,Kosten!$I$24)*IF(Kosten!$D$24="Heizung/Warmwasser",Mieter!$L34,Mieter!$K34),0))</f>
        <v/>
      </c>
      <c r="W34" s="32">
        <f>IF(OR(Mieter!$D34="",Kosten!$H$25&lt;&gt;"Ja"),0,IFERROR(Kosten!$C$25*INDEX(Liegenschaft!$C$14:$G$25,MATCH(Mieter!$C34,Liegenschaft!$B$14:$B$25,0),Kosten!$I$25)/INDEX(Liegenschaft!$C$26:$G$26,1,Kosten!$I$25)*IF(Kosten!$D$25="Heizung/Warmwasser",Mieter!$L34,Mieter!$K34),0))</f>
        <v/>
      </c>
      <c r="X34" s="32">
        <f>SUM(D34:W34)</f>
        <v/>
      </c>
      <c r="Y34" s="32">
        <f>IF(Liegenschaft!$C$11="Ja",ROUND(X34*Liegenschaft!$C$10,2),0)</f>
        <v/>
      </c>
      <c r="Z34" s="32">
        <f>ROUND(X34+Y34,2)</f>
        <v/>
      </c>
      <c r="AA34" s="32">
        <f>N(Mieter!G34)</f>
        <v/>
      </c>
      <c r="AB34" s="33">
        <f>IF(C34="",0,Z34-AA34)</f>
        <v/>
      </c>
    </row>
    <row r="35">
      <c r="B35" t="n">
        <v>30</v>
      </c>
      <c r="C35">
        <f>IF(Mieter!D35="","",Mieter!D35)</f>
        <v/>
      </c>
      <c r="D35" s="32">
        <f>IF(OR(Mieter!$D35="",Kosten!$H$6&lt;&gt;"Ja"),0,IFERROR(Kosten!$C$6*INDEX(Liegenschaft!$C$14:$G$25,MATCH(Mieter!$C35,Liegenschaft!$B$14:$B$25,0),Kosten!$I$6)/INDEX(Liegenschaft!$C$26:$G$26,1,Kosten!$I$6)*IF(Kosten!$D$6="Heizung/Warmwasser",Mieter!$L35,Mieter!$K35),0))</f>
        <v/>
      </c>
      <c r="E35" s="32">
        <f>IF(OR(Mieter!$D35="",Kosten!$H$7&lt;&gt;"Ja"),0,IFERROR(Kosten!$C$7*INDEX(Liegenschaft!$C$14:$G$25,MATCH(Mieter!$C35,Liegenschaft!$B$14:$B$25,0),Kosten!$I$7)/INDEX(Liegenschaft!$C$26:$G$26,1,Kosten!$I$7)*IF(Kosten!$D$7="Heizung/Warmwasser",Mieter!$L35,Mieter!$K35),0))</f>
        <v/>
      </c>
      <c r="F35" s="32">
        <f>IF(OR(Mieter!$D35="",Kosten!$H$8&lt;&gt;"Ja"),0,IFERROR(Kosten!$C$8*INDEX(Liegenschaft!$C$14:$G$25,MATCH(Mieter!$C35,Liegenschaft!$B$14:$B$25,0),Kosten!$I$8)/INDEX(Liegenschaft!$C$26:$G$26,1,Kosten!$I$8)*IF(Kosten!$D$8="Heizung/Warmwasser",Mieter!$L35,Mieter!$K35),0))</f>
        <v/>
      </c>
      <c r="G35" s="32">
        <f>IF(OR(Mieter!$D35="",Kosten!$H$9&lt;&gt;"Ja"),0,IFERROR(Kosten!$C$9*INDEX(Liegenschaft!$C$14:$G$25,MATCH(Mieter!$C35,Liegenschaft!$B$14:$B$25,0),Kosten!$I$9)/INDEX(Liegenschaft!$C$26:$G$26,1,Kosten!$I$9)*IF(Kosten!$D$9="Heizung/Warmwasser",Mieter!$L35,Mieter!$K35),0))</f>
        <v/>
      </c>
      <c r="H35" s="32">
        <f>IF(OR(Mieter!$D35="",Kosten!$H$10&lt;&gt;"Ja"),0,IFERROR(Kosten!$C$10*INDEX(Liegenschaft!$C$14:$G$25,MATCH(Mieter!$C35,Liegenschaft!$B$14:$B$25,0),Kosten!$I$10)/INDEX(Liegenschaft!$C$26:$G$26,1,Kosten!$I$10)*IF(Kosten!$D$10="Heizung/Warmwasser",Mieter!$L35,Mieter!$K35),0))</f>
        <v/>
      </c>
      <c r="I35" s="32">
        <f>IF(OR(Mieter!$D35="",Kosten!$H$11&lt;&gt;"Ja"),0,IFERROR(Kosten!$C$11*INDEX(Liegenschaft!$C$14:$G$25,MATCH(Mieter!$C35,Liegenschaft!$B$14:$B$25,0),Kosten!$I$11)/INDEX(Liegenschaft!$C$26:$G$26,1,Kosten!$I$11)*IF(Kosten!$D$11="Heizung/Warmwasser",Mieter!$L35,Mieter!$K35),0))</f>
        <v/>
      </c>
      <c r="J35" s="32">
        <f>IF(OR(Mieter!$D35="",Kosten!$H$12&lt;&gt;"Ja"),0,IFERROR(Kosten!$C$12*INDEX(Liegenschaft!$C$14:$G$25,MATCH(Mieter!$C35,Liegenschaft!$B$14:$B$25,0),Kosten!$I$12)/INDEX(Liegenschaft!$C$26:$G$26,1,Kosten!$I$12)*IF(Kosten!$D$12="Heizung/Warmwasser",Mieter!$L35,Mieter!$K35),0))</f>
        <v/>
      </c>
      <c r="K35" s="32">
        <f>IF(OR(Mieter!$D35="",Kosten!$H$13&lt;&gt;"Ja"),0,IFERROR(Kosten!$C$13*INDEX(Liegenschaft!$C$14:$G$25,MATCH(Mieter!$C35,Liegenschaft!$B$14:$B$25,0),Kosten!$I$13)/INDEX(Liegenschaft!$C$26:$G$26,1,Kosten!$I$13)*IF(Kosten!$D$13="Heizung/Warmwasser",Mieter!$L35,Mieter!$K35),0))</f>
        <v/>
      </c>
      <c r="L35" s="32">
        <f>IF(OR(Mieter!$D35="",Kosten!$H$14&lt;&gt;"Ja"),0,IFERROR(Kosten!$C$14*INDEX(Liegenschaft!$C$14:$G$25,MATCH(Mieter!$C35,Liegenschaft!$B$14:$B$25,0),Kosten!$I$14)/INDEX(Liegenschaft!$C$26:$G$26,1,Kosten!$I$14)*IF(Kosten!$D$14="Heizung/Warmwasser",Mieter!$L35,Mieter!$K35),0))</f>
        <v/>
      </c>
      <c r="M35" s="32">
        <f>IF(OR(Mieter!$D35="",Kosten!$H$15&lt;&gt;"Ja"),0,IFERROR(Kosten!$C$15*INDEX(Liegenschaft!$C$14:$G$25,MATCH(Mieter!$C35,Liegenschaft!$B$14:$B$25,0),Kosten!$I$15)/INDEX(Liegenschaft!$C$26:$G$26,1,Kosten!$I$15)*IF(Kosten!$D$15="Heizung/Warmwasser",Mieter!$L35,Mieter!$K35),0))</f>
        <v/>
      </c>
      <c r="N35" s="32">
        <f>IF(OR(Mieter!$D35="",Kosten!$H$16&lt;&gt;"Ja"),0,IFERROR(Kosten!$C$16*INDEX(Liegenschaft!$C$14:$G$25,MATCH(Mieter!$C35,Liegenschaft!$B$14:$B$25,0),Kosten!$I$16)/INDEX(Liegenschaft!$C$26:$G$26,1,Kosten!$I$16)*IF(Kosten!$D$16="Heizung/Warmwasser",Mieter!$L35,Mieter!$K35),0))</f>
        <v/>
      </c>
      <c r="O35" s="32">
        <f>IF(OR(Mieter!$D35="",Kosten!$H$17&lt;&gt;"Ja"),0,IFERROR(Kosten!$C$17*INDEX(Liegenschaft!$C$14:$G$25,MATCH(Mieter!$C35,Liegenschaft!$B$14:$B$25,0),Kosten!$I$17)/INDEX(Liegenschaft!$C$26:$G$26,1,Kosten!$I$17)*IF(Kosten!$D$17="Heizung/Warmwasser",Mieter!$L35,Mieter!$K35),0))</f>
        <v/>
      </c>
      <c r="P35" s="32">
        <f>IF(OR(Mieter!$D35="",Kosten!$H$18&lt;&gt;"Ja"),0,IFERROR(Kosten!$C$18*INDEX(Liegenschaft!$C$14:$G$25,MATCH(Mieter!$C35,Liegenschaft!$B$14:$B$25,0),Kosten!$I$18)/INDEX(Liegenschaft!$C$26:$G$26,1,Kosten!$I$18)*IF(Kosten!$D$18="Heizung/Warmwasser",Mieter!$L35,Mieter!$K35),0))</f>
        <v/>
      </c>
      <c r="Q35" s="32">
        <f>IF(OR(Mieter!$D35="",Kosten!$H$19&lt;&gt;"Ja"),0,IFERROR(Kosten!$C$19*INDEX(Liegenschaft!$C$14:$G$25,MATCH(Mieter!$C35,Liegenschaft!$B$14:$B$25,0),Kosten!$I$19)/INDEX(Liegenschaft!$C$26:$G$26,1,Kosten!$I$19)*IF(Kosten!$D$19="Heizung/Warmwasser",Mieter!$L35,Mieter!$K35),0))</f>
        <v/>
      </c>
      <c r="R35" s="32">
        <f>IF(OR(Mieter!$D35="",Kosten!$H$20&lt;&gt;"Ja"),0,IFERROR(Kosten!$C$20*INDEX(Liegenschaft!$C$14:$G$25,MATCH(Mieter!$C35,Liegenschaft!$B$14:$B$25,0),Kosten!$I$20)/INDEX(Liegenschaft!$C$26:$G$26,1,Kosten!$I$20)*IF(Kosten!$D$20="Heizung/Warmwasser",Mieter!$L35,Mieter!$K35),0))</f>
        <v/>
      </c>
      <c r="S35" s="32">
        <f>IF(OR(Mieter!$D35="",Kosten!$H$21&lt;&gt;"Ja"),0,IFERROR(Kosten!$C$21*INDEX(Liegenschaft!$C$14:$G$25,MATCH(Mieter!$C35,Liegenschaft!$B$14:$B$25,0),Kosten!$I$21)/INDEX(Liegenschaft!$C$26:$G$26,1,Kosten!$I$21)*IF(Kosten!$D$21="Heizung/Warmwasser",Mieter!$L35,Mieter!$K35),0))</f>
        <v/>
      </c>
      <c r="T35" s="32">
        <f>IF(OR(Mieter!$D35="",Kosten!$H$22&lt;&gt;"Ja"),0,IFERROR(Kosten!$C$22*INDEX(Liegenschaft!$C$14:$G$25,MATCH(Mieter!$C35,Liegenschaft!$B$14:$B$25,0),Kosten!$I$22)/INDEX(Liegenschaft!$C$26:$G$26,1,Kosten!$I$22)*IF(Kosten!$D$22="Heizung/Warmwasser",Mieter!$L35,Mieter!$K35),0))</f>
        <v/>
      </c>
      <c r="U35" s="32">
        <f>IF(OR(Mieter!$D35="",Kosten!$H$23&lt;&gt;"Ja"),0,IFERROR(Kosten!$C$23*INDEX(Liegenschaft!$C$14:$G$25,MATCH(Mieter!$C35,Liegenschaft!$B$14:$B$25,0),Kosten!$I$23)/INDEX(Liegenschaft!$C$26:$G$26,1,Kosten!$I$23)*IF(Kosten!$D$23="Heizung/Warmwasser",Mieter!$L35,Mieter!$K35),0))</f>
        <v/>
      </c>
      <c r="V35" s="32">
        <f>IF(OR(Mieter!$D35="",Kosten!$H$24&lt;&gt;"Ja"),0,IFERROR(Kosten!$C$24*INDEX(Liegenschaft!$C$14:$G$25,MATCH(Mieter!$C35,Liegenschaft!$B$14:$B$25,0),Kosten!$I$24)/INDEX(Liegenschaft!$C$26:$G$26,1,Kosten!$I$24)*IF(Kosten!$D$24="Heizung/Warmwasser",Mieter!$L35,Mieter!$K35),0))</f>
        <v/>
      </c>
      <c r="W35" s="32">
        <f>IF(OR(Mieter!$D35="",Kosten!$H$25&lt;&gt;"Ja"),0,IFERROR(Kosten!$C$25*INDEX(Liegenschaft!$C$14:$G$25,MATCH(Mieter!$C35,Liegenschaft!$B$14:$B$25,0),Kosten!$I$25)/INDEX(Liegenschaft!$C$26:$G$26,1,Kosten!$I$25)*IF(Kosten!$D$25="Heizung/Warmwasser",Mieter!$L35,Mieter!$K35),0))</f>
        <v/>
      </c>
      <c r="X35" s="32">
        <f>SUM(D35:W35)</f>
        <v/>
      </c>
      <c r="Y35" s="32">
        <f>IF(Liegenschaft!$C$11="Ja",ROUND(X35*Liegenschaft!$C$10,2),0)</f>
        <v/>
      </c>
      <c r="Z35" s="32">
        <f>ROUND(X35+Y35,2)</f>
        <v/>
      </c>
      <c r="AA35" s="32">
        <f>N(Mieter!G35)</f>
        <v/>
      </c>
      <c r="AB35" s="33">
        <f>IF(C35="",0,Z35-AA35)</f>
        <v/>
      </c>
    </row>
    <row r="36">
      <c r="C36" s="19" t="inlineStr">
        <is>
          <t>Total Mieter</t>
        </is>
      </c>
      <c r="D36" s="33">
        <f>SUM(D6:D35)</f>
        <v/>
      </c>
      <c r="E36" s="33">
        <f>SUM(E6:E35)</f>
        <v/>
      </c>
      <c r="F36" s="33">
        <f>SUM(F6:F35)</f>
        <v/>
      </c>
      <c r="G36" s="33">
        <f>SUM(G6:G35)</f>
        <v/>
      </c>
      <c r="H36" s="33">
        <f>SUM(H6:H35)</f>
        <v/>
      </c>
      <c r="I36" s="33">
        <f>SUM(I6:I35)</f>
        <v/>
      </c>
      <c r="J36" s="33">
        <f>SUM(J6:J35)</f>
        <v/>
      </c>
      <c r="K36" s="33">
        <f>SUM(K6:K35)</f>
        <v/>
      </c>
      <c r="L36" s="33">
        <f>SUM(L6:L35)</f>
        <v/>
      </c>
      <c r="M36" s="33">
        <f>SUM(M6:M35)</f>
        <v/>
      </c>
      <c r="N36" s="33">
        <f>SUM(N6:N35)</f>
        <v/>
      </c>
      <c r="O36" s="33">
        <f>SUM(O6:O35)</f>
        <v/>
      </c>
      <c r="P36" s="33">
        <f>SUM(P6:P35)</f>
        <v/>
      </c>
      <c r="Q36" s="33">
        <f>SUM(Q6:Q35)</f>
        <v/>
      </c>
      <c r="R36" s="33">
        <f>SUM(R6:R35)</f>
        <v/>
      </c>
      <c r="S36" s="33">
        <f>SUM(S6:S35)</f>
        <v/>
      </c>
      <c r="T36" s="33">
        <f>SUM(T6:T35)</f>
        <v/>
      </c>
      <c r="U36" s="33">
        <f>SUM(U6:U35)</f>
        <v/>
      </c>
      <c r="V36" s="33">
        <f>SUM(V6:V35)</f>
        <v/>
      </c>
      <c r="W36" s="33">
        <f>SUM(W6:W35)</f>
        <v/>
      </c>
      <c r="X36" s="33">
        <f>SUM(X6:X35)</f>
        <v/>
      </c>
      <c r="Y36" s="33">
        <f>SUM(Y6:Y35)</f>
        <v/>
      </c>
      <c r="Z36" s="33">
        <f>SUM(Z6:Z35)</f>
        <v/>
      </c>
      <c r="AA36" s="33">
        <f>SUM(AA6:AA35)</f>
        <v/>
      </c>
      <c r="AB36" s="33">
        <f>SUM(AB6:AB35)</f>
        <v/>
      </c>
    </row>
    <row r="37">
      <c r="C37" s="19" t="inlineStr">
        <is>
          <t>Vermieteranteil (Leerstand)</t>
        </is>
      </c>
      <c r="D37" s="33">
        <f>D38-D36</f>
        <v/>
      </c>
      <c r="E37" s="33">
        <f>E38-E36</f>
        <v/>
      </c>
      <c r="F37" s="33">
        <f>F38-F36</f>
        <v/>
      </c>
      <c r="G37" s="33">
        <f>G38-G36</f>
        <v/>
      </c>
      <c r="H37" s="33">
        <f>H38-H36</f>
        <v/>
      </c>
      <c r="I37" s="33">
        <f>I38-I36</f>
        <v/>
      </c>
      <c r="J37" s="33">
        <f>J38-J36</f>
        <v/>
      </c>
      <c r="K37" s="33">
        <f>K38-K36</f>
        <v/>
      </c>
      <c r="L37" s="33">
        <f>L38-L36</f>
        <v/>
      </c>
      <c r="M37" s="33">
        <f>M38-M36</f>
        <v/>
      </c>
      <c r="N37" s="33">
        <f>N38-N36</f>
        <v/>
      </c>
      <c r="O37" s="33">
        <f>O38-O36</f>
        <v/>
      </c>
      <c r="P37" s="33">
        <f>P38-P36</f>
        <v/>
      </c>
      <c r="Q37" s="33">
        <f>Q38-Q36</f>
        <v/>
      </c>
      <c r="R37" s="33">
        <f>R38-R36</f>
        <v/>
      </c>
      <c r="S37" s="33">
        <f>S38-S36</f>
        <v/>
      </c>
      <c r="T37" s="33">
        <f>T38-T36</f>
        <v/>
      </c>
      <c r="U37" s="33">
        <f>U38-U36</f>
        <v/>
      </c>
      <c r="V37" s="33">
        <f>V38-V36</f>
        <v/>
      </c>
      <c r="W37" s="33">
        <f>W38-W36</f>
        <v/>
      </c>
      <c r="X37" s="33">
        <f>SUM(D37:W37)</f>
        <v/>
      </c>
    </row>
    <row r="38">
      <c r="C38" s="19" t="inlineStr">
        <is>
          <t>Abrechenbar gesamt</t>
        </is>
      </c>
      <c r="D38" s="33">
        <f>IF(Kosten!$H$6="Ja",Kosten!$C$6,0)</f>
        <v/>
      </c>
      <c r="E38" s="33">
        <f>IF(Kosten!$H$7="Ja",Kosten!$C$7,0)</f>
        <v/>
      </c>
      <c r="F38" s="33">
        <f>IF(Kosten!$H$8="Ja",Kosten!$C$8,0)</f>
        <v/>
      </c>
      <c r="G38" s="33">
        <f>IF(Kosten!$H$9="Ja",Kosten!$C$9,0)</f>
        <v/>
      </c>
      <c r="H38" s="33">
        <f>IF(Kosten!$H$10="Ja",Kosten!$C$10,0)</f>
        <v/>
      </c>
      <c r="I38" s="33">
        <f>IF(Kosten!$H$11="Ja",Kosten!$C$11,0)</f>
        <v/>
      </c>
      <c r="J38" s="33">
        <f>IF(Kosten!$H$12="Ja",Kosten!$C$12,0)</f>
        <v/>
      </c>
      <c r="K38" s="33">
        <f>IF(Kosten!$H$13="Ja",Kosten!$C$13,0)</f>
        <v/>
      </c>
      <c r="L38" s="33">
        <f>IF(Kosten!$H$14="Ja",Kosten!$C$14,0)</f>
        <v/>
      </c>
      <c r="M38" s="33">
        <f>IF(Kosten!$H$15="Ja",Kosten!$C$15,0)</f>
        <v/>
      </c>
      <c r="N38" s="33">
        <f>IF(Kosten!$H$16="Ja",Kosten!$C$16,0)</f>
        <v/>
      </c>
      <c r="O38" s="33">
        <f>IF(Kosten!$H$17="Ja",Kosten!$C$17,0)</f>
        <v/>
      </c>
      <c r="P38" s="33">
        <f>IF(Kosten!$H$18="Ja",Kosten!$C$18,0)</f>
        <v/>
      </c>
      <c r="Q38" s="33">
        <f>IF(Kosten!$H$19="Ja",Kosten!$C$19,0)</f>
        <v/>
      </c>
      <c r="R38" s="33">
        <f>IF(Kosten!$H$20="Ja",Kosten!$C$20,0)</f>
        <v/>
      </c>
      <c r="S38" s="33">
        <f>IF(Kosten!$H$21="Ja",Kosten!$C$21,0)</f>
        <v/>
      </c>
      <c r="T38" s="33">
        <f>IF(Kosten!$H$22="Ja",Kosten!$C$22,0)</f>
        <v/>
      </c>
      <c r="U38" s="33">
        <f>IF(Kosten!$H$23="Ja",Kosten!$C$23,0)</f>
        <v/>
      </c>
      <c r="V38" s="33">
        <f>IF(Kosten!$H$24="Ja",Kosten!$C$24,0)</f>
        <v/>
      </c>
      <c r="W38" s="33">
        <f>IF(Kosten!$H$25="Ja",Kosten!$C$25,0)</f>
        <v/>
      </c>
      <c r="X38" s="33">
        <f>SUM(D38:W38)</f>
        <v/>
      </c>
    </row>
    <row r="40">
      <c r="C40" s="19" t="inlineStr">
        <is>
          <t>Kontrollsumme</t>
        </is>
      </c>
      <c r="D40" s="19">
        <f>IF(ABS(X36+X37-Kosten!C27)&lt;0.01,"✓ Mieter + Vermieter = abrechenbare Kosten","⚠ Differenz – Wohnungsangaben prüfen")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G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8" customWidth="1" min="4" max="4"/>
    <col width="13" customWidth="1" min="5" max="5"/>
    <col width="12" customWidth="1" min="6" max="6"/>
    <col width="15" customWidth="1" min="7" max="7"/>
  </cols>
  <sheetData>
    <row r="2">
      <c r="B2" s="34" t="inlineStr">
        <is>
          <t>Mieter-Nr. wählen:</t>
        </is>
      </c>
      <c r="C2" s="6" t="n">
        <v>1</v>
      </c>
      <c r="D2" s="11" t="inlineStr">
        <is>
          <t>(diese Zeile wird nicht gedruckt)</t>
        </is>
      </c>
    </row>
    <row r="4">
      <c r="B4" s="19">
        <f>Liegenschaft!C6</f>
        <v/>
      </c>
      <c r="E4" s="19">
        <f>INDEX(Mieter!D:D,$C$2+5)</f>
        <v/>
      </c>
    </row>
    <row r="5">
      <c r="B5">
        <f>Liegenschaft!C4&amp;", "&amp;Liegenschaft!C5</f>
        <v/>
      </c>
      <c r="E5">
        <f>"Wohnung: "&amp;INDEX(Mieter!C:C,$C$2+5)</f>
        <v/>
      </c>
    </row>
    <row r="8">
      <c r="B8" s="35" t="inlineStr">
        <is>
          <t>Heiz- und Nebenkostenabrechnung</t>
        </is>
      </c>
    </row>
    <row r="9">
      <c r="B9">
        <f>"Periode "&amp;TEXT(Liegenschaft!C7,"DD.MM.YYYY")&amp;" – "&amp;TEXT(Liegenschaft!C8,"DD.MM.YYYY")</f>
        <v/>
      </c>
    </row>
    <row r="10">
      <c r="B10">
        <f>"Ihre Mietdauer in der Periode: "&amp;TEXT(INDEX(Mieter!H:H,$C$2+5),"DD.MM.YYYY")&amp;" – "&amp;TEXT(INDEX(Mieter!I:I,$C$2+5),"DD.MM.YYYY")&amp;" ("&amp;INDEX(Mieter!J:J,$C$2+5)&amp;" Tage)"</f>
        <v/>
      </c>
    </row>
    <row r="12" ht="30" customHeight="1">
      <c r="B12" s="12" t="inlineStr">
        <is>
          <t>Kostenposition</t>
        </is>
      </c>
      <c r="C12" s="12" t="inlineStr">
        <is>
          <t>Kosten Liegenschaft</t>
        </is>
      </c>
      <c r="D12" s="12" t="inlineStr">
        <is>
          <t>Verteilschlüssel</t>
        </is>
      </c>
      <c r="E12" s="12" t="inlineStr">
        <is>
          <t>Anteil Wohnung</t>
        </is>
      </c>
      <c r="F12" s="12" t="inlineStr">
        <is>
          <t>Zeit-/Heizanteil</t>
        </is>
      </c>
      <c r="G12" s="12" t="inlineStr">
        <is>
          <t>Ihr Anteil CHF</t>
        </is>
      </c>
    </row>
    <row r="13">
      <c r="B13" s="36">
        <f>IF(Kosten!$H$6="Ja",Kosten!B6,"")</f>
        <v/>
      </c>
      <c r="C13" s="37">
        <f>IF(Kosten!$H$6="Ja",Kosten!C6,"")</f>
        <v/>
      </c>
      <c r="D13" s="36">
        <f>IF(Kosten!$H$6="Ja",Kosten!E6,"")</f>
        <v/>
      </c>
      <c r="E13" s="38">
        <f>IF(Kosten!$H$6="Ja",IFERROR(INDEX(Liegenschaft!$C$14:$G$25,MATCH(INDEX(Mieter!C:C,$C$2+5),Liegenschaft!$B$14:$B$25,0),Kosten!$I$6)/INDEX(Liegenschaft!$C$26:$G$26,1,Kosten!$I$6),0),"")</f>
        <v/>
      </c>
      <c r="F13" s="38">
        <f>IF(Kosten!$H$6="Ja",IF(Kosten!D6="Heizung/Warmwasser",INDEX(Mieter!L:L,$C$2+5),INDEX(Mieter!K:K,$C$2+5)),"")</f>
        <v/>
      </c>
      <c r="G13" s="37">
        <f>IF(Kosten!$H$6="Ja",INDEX(Verteilung!D:D,$C$2+5),"")</f>
        <v/>
      </c>
    </row>
    <row r="14">
      <c r="B14" s="36">
        <f>IF(Kosten!$H$7="Ja",Kosten!B7,"")</f>
        <v/>
      </c>
      <c r="C14" s="37">
        <f>IF(Kosten!$H$7="Ja",Kosten!C7,"")</f>
        <v/>
      </c>
      <c r="D14" s="36">
        <f>IF(Kosten!$H$7="Ja",Kosten!E7,"")</f>
        <v/>
      </c>
      <c r="E14" s="38">
        <f>IF(Kosten!$H$7="Ja",IFERROR(INDEX(Liegenschaft!$C$14:$G$25,MATCH(INDEX(Mieter!C:C,$C$2+5),Liegenschaft!$B$14:$B$25,0),Kosten!$I$7)/INDEX(Liegenschaft!$C$26:$G$26,1,Kosten!$I$7),0),"")</f>
        <v/>
      </c>
      <c r="F14" s="38">
        <f>IF(Kosten!$H$7="Ja",IF(Kosten!D7="Heizung/Warmwasser",INDEX(Mieter!L:L,$C$2+5),INDEX(Mieter!K:K,$C$2+5)),"")</f>
        <v/>
      </c>
      <c r="G14" s="37">
        <f>IF(Kosten!$H$7="Ja",INDEX(Verteilung!E:E,$C$2+5),"")</f>
        <v/>
      </c>
    </row>
    <row r="15">
      <c r="B15" s="36">
        <f>IF(Kosten!$H$8="Ja",Kosten!B8,"")</f>
        <v/>
      </c>
      <c r="C15" s="37">
        <f>IF(Kosten!$H$8="Ja",Kosten!C8,"")</f>
        <v/>
      </c>
      <c r="D15" s="36">
        <f>IF(Kosten!$H$8="Ja",Kosten!E8,"")</f>
        <v/>
      </c>
      <c r="E15" s="38">
        <f>IF(Kosten!$H$8="Ja",IFERROR(INDEX(Liegenschaft!$C$14:$G$25,MATCH(INDEX(Mieter!C:C,$C$2+5),Liegenschaft!$B$14:$B$25,0),Kosten!$I$8)/INDEX(Liegenschaft!$C$26:$G$26,1,Kosten!$I$8),0),"")</f>
        <v/>
      </c>
      <c r="F15" s="38">
        <f>IF(Kosten!$H$8="Ja",IF(Kosten!D8="Heizung/Warmwasser",INDEX(Mieter!L:L,$C$2+5),INDEX(Mieter!K:K,$C$2+5)),"")</f>
        <v/>
      </c>
      <c r="G15" s="37">
        <f>IF(Kosten!$H$8="Ja",INDEX(Verteilung!F:F,$C$2+5),"")</f>
        <v/>
      </c>
    </row>
    <row r="16">
      <c r="B16" s="36">
        <f>IF(Kosten!$H$9="Ja",Kosten!B9,"")</f>
        <v/>
      </c>
      <c r="C16" s="37">
        <f>IF(Kosten!$H$9="Ja",Kosten!C9,"")</f>
        <v/>
      </c>
      <c r="D16" s="36">
        <f>IF(Kosten!$H$9="Ja",Kosten!E9,"")</f>
        <v/>
      </c>
      <c r="E16" s="38">
        <f>IF(Kosten!$H$9="Ja",IFERROR(INDEX(Liegenschaft!$C$14:$G$25,MATCH(INDEX(Mieter!C:C,$C$2+5),Liegenschaft!$B$14:$B$25,0),Kosten!$I$9)/INDEX(Liegenschaft!$C$26:$G$26,1,Kosten!$I$9),0),"")</f>
        <v/>
      </c>
      <c r="F16" s="38">
        <f>IF(Kosten!$H$9="Ja",IF(Kosten!D9="Heizung/Warmwasser",INDEX(Mieter!L:L,$C$2+5),INDEX(Mieter!K:K,$C$2+5)),"")</f>
        <v/>
      </c>
      <c r="G16" s="37">
        <f>IF(Kosten!$H$9="Ja",INDEX(Verteilung!G:G,$C$2+5),"")</f>
        <v/>
      </c>
    </row>
    <row r="17">
      <c r="B17" s="36">
        <f>IF(Kosten!$H$10="Ja",Kosten!B10,"")</f>
        <v/>
      </c>
      <c r="C17" s="37">
        <f>IF(Kosten!$H$10="Ja",Kosten!C10,"")</f>
        <v/>
      </c>
      <c r="D17" s="36">
        <f>IF(Kosten!$H$10="Ja",Kosten!E10,"")</f>
        <v/>
      </c>
      <c r="E17" s="38">
        <f>IF(Kosten!$H$10="Ja",IFERROR(INDEX(Liegenschaft!$C$14:$G$25,MATCH(INDEX(Mieter!C:C,$C$2+5),Liegenschaft!$B$14:$B$25,0),Kosten!$I$10)/INDEX(Liegenschaft!$C$26:$G$26,1,Kosten!$I$10),0),"")</f>
        <v/>
      </c>
      <c r="F17" s="38">
        <f>IF(Kosten!$H$10="Ja",IF(Kosten!D10="Heizung/Warmwasser",INDEX(Mieter!L:L,$C$2+5),INDEX(Mieter!K:K,$C$2+5)),"")</f>
        <v/>
      </c>
      <c r="G17" s="37">
        <f>IF(Kosten!$H$10="Ja",INDEX(Verteilung!H:H,$C$2+5),"")</f>
        <v/>
      </c>
    </row>
    <row r="18">
      <c r="B18" s="36">
        <f>IF(Kosten!$H$11="Ja",Kosten!B11,"")</f>
        <v/>
      </c>
      <c r="C18" s="37">
        <f>IF(Kosten!$H$11="Ja",Kosten!C11,"")</f>
        <v/>
      </c>
      <c r="D18" s="36">
        <f>IF(Kosten!$H$11="Ja",Kosten!E11,"")</f>
        <v/>
      </c>
      <c r="E18" s="38">
        <f>IF(Kosten!$H$11="Ja",IFERROR(INDEX(Liegenschaft!$C$14:$G$25,MATCH(INDEX(Mieter!C:C,$C$2+5),Liegenschaft!$B$14:$B$25,0),Kosten!$I$11)/INDEX(Liegenschaft!$C$26:$G$26,1,Kosten!$I$11),0),"")</f>
        <v/>
      </c>
      <c r="F18" s="38">
        <f>IF(Kosten!$H$11="Ja",IF(Kosten!D11="Heizung/Warmwasser",INDEX(Mieter!L:L,$C$2+5),INDEX(Mieter!K:K,$C$2+5)),"")</f>
        <v/>
      </c>
      <c r="G18" s="37">
        <f>IF(Kosten!$H$11="Ja",INDEX(Verteilung!I:I,$C$2+5),"")</f>
        <v/>
      </c>
    </row>
    <row r="19">
      <c r="B19" s="36">
        <f>IF(Kosten!$H$12="Ja",Kosten!B12,"")</f>
        <v/>
      </c>
      <c r="C19" s="37">
        <f>IF(Kosten!$H$12="Ja",Kosten!C12,"")</f>
        <v/>
      </c>
      <c r="D19" s="36">
        <f>IF(Kosten!$H$12="Ja",Kosten!E12,"")</f>
        <v/>
      </c>
      <c r="E19" s="38">
        <f>IF(Kosten!$H$12="Ja",IFERROR(INDEX(Liegenschaft!$C$14:$G$25,MATCH(INDEX(Mieter!C:C,$C$2+5),Liegenschaft!$B$14:$B$25,0),Kosten!$I$12)/INDEX(Liegenschaft!$C$26:$G$26,1,Kosten!$I$12),0),"")</f>
        <v/>
      </c>
      <c r="F19" s="38">
        <f>IF(Kosten!$H$12="Ja",IF(Kosten!D12="Heizung/Warmwasser",INDEX(Mieter!L:L,$C$2+5),INDEX(Mieter!K:K,$C$2+5)),"")</f>
        <v/>
      </c>
      <c r="G19" s="37">
        <f>IF(Kosten!$H$12="Ja",INDEX(Verteilung!J:J,$C$2+5),"")</f>
        <v/>
      </c>
    </row>
    <row r="20">
      <c r="B20" s="36">
        <f>IF(Kosten!$H$13="Ja",Kosten!B13,"")</f>
        <v/>
      </c>
      <c r="C20" s="37">
        <f>IF(Kosten!$H$13="Ja",Kosten!C13,"")</f>
        <v/>
      </c>
      <c r="D20" s="36">
        <f>IF(Kosten!$H$13="Ja",Kosten!E13,"")</f>
        <v/>
      </c>
      <c r="E20" s="38">
        <f>IF(Kosten!$H$13="Ja",IFERROR(INDEX(Liegenschaft!$C$14:$G$25,MATCH(INDEX(Mieter!C:C,$C$2+5),Liegenschaft!$B$14:$B$25,0),Kosten!$I$13)/INDEX(Liegenschaft!$C$26:$G$26,1,Kosten!$I$13),0),"")</f>
        <v/>
      </c>
      <c r="F20" s="38">
        <f>IF(Kosten!$H$13="Ja",IF(Kosten!D13="Heizung/Warmwasser",INDEX(Mieter!L:L,$C$2+5),INDEX(Mieter!K:K,$C$2+5)),"")</f>
        <v/>
      </c>
      <c r="G20" s="37">
        <f>IF(Kosten!$H$13="Ja",INDEX(Verteilung!K:K,$C$2+5),"")</f>
        <v/>
      </c>
    </row>
    <row r="21">
      <c r="B21" s="36">
        <f>IF(Kosten!$H$14="Ja",Kosten!B14,"")</f>
        <v/>
      </c>
      <c r="C21" s="37">
        <f>IF(Kosten!$H$14="Ja",Kosten!C14,"")</f>
        <v/>
      </c>
      <c r="D21" s="36">
        <f>IF(Kosten!$H$14="Ja",Kosten!E14,"")</f>
        <v/>
      </c>
      <c r="E21" s="38">
        <f>IF(Kosten!$H$14="Ja",IFERROR(INDEX(Liegenschaft!$C$14:$G$25,MATCH(INDEX(Mieter!C:C,$C$2+5),Liegenschaft!$B$14:$B$25,0),Kosten!$I$14)/INDEX(Liegenschaft!$C$26:$G$26,1,Kosten!$I$14),0),"")</f>
        <v/>
      </c>
      <c r="F21" s="38">
        <f>IF(Kosten!$H$14="Ja",IF(Kosten!D14="Heizung/Warmwasser",INDEX(Mieter!L:L,$C$2+5),INDEX(Mieter!K:K,$C$2+5)),"")</f>
        <v/>
      </c>
      <c r="G21" s="37">
        <f>IF(Kosten!$H$14="Ja",INDEX(Verteilung!L:L,$C$2+5),"")</f>
        <v/>
      </c>
    </row>
    <row r="22">
      <c r="B22" s="36">
        <f>IF(Kosten!$H$15="Ja",Kosten!B15,"")</f>
        <v/>
      </c>
      <c r="C22" s="37">
        <f>IF(Kosten!$H$15="Ja",Kosten!C15,"")</f>
        <v/>
      </c>
      <c r="D22" s="36">
        <f>IF(Kosten!$H$15="Ja",Kosten!E15,"")</f>
        <v/>
      </c>
      <c r="E22" s="38">
        <f>IF(Kosten!$H$15="Ja",IFERROR(INDEX(Liegenschaft!$C$14:$G$25,MATCH(INDEX(Mieter!C:C,$C$2+5),Liegenschaft!$B$14:$B$25,0),Kosten!$I$15)/INDEX(Liegenschaft!$C$26:$G$26,1,Kosten!$I$15),0),"")</f>
        <v/>
      </c>
      <c r="F22" s="38">
        <f>IF(Kosten!$H$15="Ja",IF(Kosten!D15="Heizung/Warmwasser",INDEX(Mieter!L:L,$C$2+5),INDEX(Mieter!K:K,$C$2+5)),"")</f>
        <v/>
      </c>
      <c r="G22" s="37">
        <f>IF(Kosten!$H$15="Ja",INDEX(Verteilung!M:M,$C$2+5),"")</f>
        <v/>
      </c>
    </row>
    <row r="23">
      <c r="B23" s="36">
        <f>IF(Kosten!$H$16="Ja",Kosten!B16,"")</f>
        <v/>
      </c>
      <c r="C23" s="37">
        <f>IF(Kosten!$H$16="Ja",Kosten!C16,"")</f>
        <v/>
      </c>
      <c r="D23" s="36">
        <f>IF(Kosten!$H$16="Ja",Kosten!E16,"")</f>
        <v/>
      </c>
      <c r="E23" s="38">
        <f>IF(Kosten!$H$16="Ja",IFERROR(INDEX(Liegenschaft!$C$14:$G$25,MATCH(INDEX(Mieter!C:C,$C$2+5),Liegenschaft!$B$14:$B$25,0),Kosten!$I$16)/INDEX(Liegenschaft!$C$26:$G$26,1,Kosten!$I$16),0),"")</f>
        <v/>
      </c>
      <c r="F23" s="38">
        <f>IF(Kosten!$H$16="Ja",IF(Kosten!D16="Heizung/Warmwasser",INDEX(Mieter!L:L,$C$2+5),INDEX(Mieter!K:K,$C$2+5)),"")</f>
        <v/>
      </c>
      <c r="G23" s="37">
        <f>IF(Kosten!$H$16="Ja",INDEX(Verteilung!N:N,$C$2+5),"")</f>
        <v/>
      </c>
    </row>
    <row r="24">
      <c r="B24" s="36">
        <f>IF(Kosten!$H$17="Ja",Kosten!B17,"")</f>
        <v/>
      </c>
      <c r="C24" s="37">
        <f>IF(Kosten!$H$17="Ja",Kosten!C17,"")</f>
        <v/>
      </c>
      <c r="D24" s="36">
        <f>IF(Kosten!$H$17="Ja",Kosten!E17,"")</f>
        <v/>
      </c>
      <c r="E24" s="38">
        <f>IF(Kosten!$H$17="Ja",IFERROR(INDEX(Liegenschaft!$C$14:$G$25,MATCH(INDEX(Mieter!C:C,$C$2+5),Liegenschaft!$B$14:$B$25,0),Kosten!$I$17)/INDEX(Liegenschaft!$C$26:$G$26,1,Kosten!$I$17),0),"")</f>
        <v/>
      </c>
      <c r="F24" s="38">
        <f>IF(Kosten!$H$17="Ja",IF(Kosten!D17="Heizung/Warmwasser",INDEX(Mieter!L:L,$C$2+5),INDEX(Mieter!K:K,$C$2+5)),"")</f>
        <v/>
      </c>
      <c r="G24" s="37">
        <f>IF(Kosten!$H$17="Ja",INDEX(Verteilung!O:O,$C$2+5),"")</f>
        <v/>
      </c>
    </row>
    <row r="25">
      <c r="B25" s="36">
        <f>IF(Kosten!$H$18="Ja",Kosten!B18,"")</f>
        <v/>
      </c>
      <c r="C25" s="37">
        <f>IF(Kosten!$H$18="Ja",Kosten!C18,"")</f>
        <v/>
      </c>
      <c r="D25" s="36">
        <f>IF(Kosten!$H$18="Ja",Kosten!E18,"")</f>
        <v/>
      </c>
      <c r="E25" s="38">
        <f>IF(Kosten!$H$18="Ja",IFERROR(INDEX(Liegenschaft!$C$14:$G$25,MATCH(INDEX(Mieter!C:C,$C$2+5),Liegenschaft!$B$14:$B$25,0),Kosten!$I$18)/INDEX(Liegenschaft!$C$26:$G$26,1,Kosten!$I$18),0),"")</f>
        <v/>
      </c>
      <c r="F25" s="38">
        <f>IF(Kosten!$H$18="Ja",IF(Kosten!D18="Heizung/Warmwasser",INDEX(Mieter!L:L,$C$2+5),INDEX(Mieter!K:K,$C$2+5)),"")</f>
        <v/>
      </c>
      <c r="G25" s="37">
        <f>IF(Kosten!$H$18="Ja",INDEX(Verteilung!P:P,$C$2+5),"")</f>
        <v/>
      </c>
    </row>
    <row r="26">
      <c r="B26" s="36">
        <f>IF(Kosten!$H$19="Ja",Kosten!B19,"")</f>
        <v/>
      </c>
      <c r="C26" s="37">
        <f>IF(Kosten!$H$19="Ja",Kosten!C19,"")</f>
        <v/>
      </c>
      <c r="D26" s="36">
        <f>IF(Kosten!$H$19="Ja",Kosten!E19,"")</f>
        <v/>
      </c>
      <c r="E26" s="38">
        <f>IF(Kosten!$H$19="Ja",IFERROR(INDEX(Liegenschaft!$C$14:$G$25,MATCH(INDEX(Mieter!C:C,$C$2+5),Liegenschaft!$B$14:$B$25,0),Kosten!$I$19)/INDEX(Liegenschaft!$C$26:$G$26,1,Kosten!$I$19),0),"")</f>
        <v/>
      </c>
      <c r="F26" s="38">
        <f>IF(Kosten!$H$19="Ja",IF(Kosten!D19="Heizung/Warmwasser",INDEX(Mieter!L:L,$C$2+5),INDEX(Mieter!K:K,$C$2+5)),"")</f>
        <v/>
      </c>
      <c r="G26" s="37">
        <f>IF(Kosten!$H$19="Ja",INDEX(Verteilung!Q:Q,$C$2+5),"")</f>
        <v/>
      </c>
    </row>
    <row r="27">
      <c r="B27" s="36">
        <f>IF(Kosten!$H$20="Ja",Kosten!B20,"")</f>
        <v/>
      </c>
      <c r="C27" s="37">
        <f>IF(Kosten!$H$20="Ja",Kosten!C20,"")</f>
        <v/>
      </c>
      <c r="D27" s="36">
        <f>IF(Kosten!$H$20="Ja",Kosten!E20,"")</f>
        <v/>
      </c>
      <c r="E27" s="38">
        <f>IF(Kosten!$H$20="Ja",IFERROR(INDEX(Liegenschaft!$C$14:$G$25,MATCH(INDEX(Mieter!C:C,$C$2+5),Liegenschaft!$B$14:$B$25,0),Kosten!$I$20)/INDEX(Liegenschaft!$C$26:$G$26,1,Kosten!$I$20),0),"")</f>
        <v/>
      </c>
      <c r="F27" s="38">
        <f>IF(Kosten!$H$20="Ja",IF(Kosten!D20="Heizung/Warmwasser",INDEX(Mieter!L:L,$C$2+5),INDEX(Mieter!K:K,$C$2+5)),"")</f>
        <v/>
      </c>
      <c r="G27" s="37">
        <f>IF(Kosten!$H$20="Ja",INDEX(Verteilung!R:R,$C$2+5),"")</f>
        <v/>
      </c>
    </row>
    <row r="28">
      <c r="B28" s="36">
        <f>IF(Kosten!$H$21="Ja",Kosten!B21,"")</f>
        <v/>
      </c>
      <c r="C28" s="37">
        <f>IF(Kosten!$H$21="Ja",Kosten!C21,"")</f>
        <v/>
      </c>
      <c r="D28" s="36">
        <f>IF(Kosten!$H$21="Ja",Kosten!E21,"")</f>
        <v/>
      </c>
      <c r="E28" s="38">
        <f>IF(Kosten!$H$21="Ja",IFERROR(INDEX(Liegenschaft!$C$14:$G$25,MATCH(INDEX(Mieter!C:C,$C$2+5),Liegenschaft!$B$14:$B$25,0),Kosten!$I$21)/INDEX(Liegenschaft!$C$26:$G$26,1,Kosten!$I$21),0),"")</f>
        <v/>
      </c>
      <c r="F28" s="38">
        <f>IF(Kosten!$H$21="Ja",IF(Kosten!D21="Heizung/Warmwasser",INDEX(Mieter!L:L,$C$2+5),INDEX(Mieter!K:K,$C$2+5)),"")</f>
        <v/>
      </c>
      <c r="G28" s="37">
        <f>IF(Kosten!$H$21="Ja",INDEX(Verteilung!S:S,$C$2+5),"")</f>
        <v/>
      </c>
    </row>
    <row r="29">
      <c r="B29" s="36">
        <f>IF(Kosten!$H$22="Ja",Kosten!B22,"")</f>
        <v/>
      </c>
      <c r="C29" s="37">
        <f>IF(Kosten!$H$22="Ja",Kosten!C22,"")</f>
        <v/>
      </c>
      <c r="D29" s="36">
        <f>IF(Kosten!$H$22="Ja",Kosten!E22,"")</f>
        <v/>
      </c>
      <c r="E29" s="38">
        <f>IF(Kosten!$H$22="Ja",IFERROR(INDEX(Liegenschaft!$C$14:$G$25,MATCH(INDEX(Mieter!C:C,$C$2+5),Liegenschaft!$B$14:$B$25,0),Kosten!$I$22)/INDEX(Liegenschaft!$C$26:$G$26,1,Kosten!$I$22),0),"")</f>
        <v/>
      </c>
      <c r="F29" s="38">
        <f>IF(Kosten!$H$22="Ja",IF(Kosten!D22="Heizung/Warmwasser",INDEX(Mieter!L:L,$C$2+5),INDEX(Mieter!K:K,$C$2+5)),"")</f>
        <v/>
      </c>
      <c r="G29" s="37">
        <f>IF(Kosten!$H$22="Ja",INDEX(Verteilung!T:T,$C$2+5),"")</f>
        <v/>
      </c>
    </row>
    <row r="30">
      <c r="B30" s="36">
        <f>IF(Kosten!$H$23="Ja",Kosten!B23,"")</f>
        <v/>
      </c>
      <c r="C30" s="37">
        <f>IF(Kosten!$H$23="Ja",Kosten!C23,"")</f>
        <v/>
      </c>
      <c r="D30" s="36">
        <f>IF(Kosten!$H$23="Ja",Kosten!E23,"")</f>
        <v/>
      </c>
      <c r="E30" s="38">
        <f>IF(Kosten!$H$23="Ja",IFERROR(INDEX(Liegenschaft!$C$14:$G$25,MATCH(INDEX(Mieter!C:C,$C$2+5),Liegenschaft!$B$14:$B$25,0),Kosten!$I$23)/INDEX(Liegenschaft!$C$26:$G$26,1,Kosten!$I$23),0),"")</f>
        <v/>
      </c>
      <c r="F30" s="38">
        <f>IF(Kosten!$H$23="Ja",IF(Kosten!D23="Heizung/Warmwasser",INDEX(Mieter!L:L,$C$2+5),INDEX(Mieter!K:K,$C$2+5)),"")</f>
        <v/>
      </c>
      <c r="G30" s="37">
        <f>IF(Kosten!$H$23="Ja",INDEX(Verteilung!U:U,$C$2+5),"")</f>
        <v/>
      </c>
    </row>
    <row r="31">
      <c r="B31" s="36">
        <f>IF(Kosten!$H$24="Ja",Kosten!B24,"")</f>
        <v/>
      </c>
      <c r="C31" s="37">
        <f>IF(Kosten!$H$24="Ja",Kosten!C24,"")</f>
        <v/>
      </c>
      <c r="D31" s="36">
        <f>IF(Kosten!$H$24="Ja",Kosten!E24,"")</f>
        <v/>
      </c>
      <c r="E31" s="38">
        <f>IF(Kosten!$H$24="Ja",IFERROR(INDEX(Liegenschaft!$C$14:$G$25,MATCH(INDEX(Mieter!C:C,$C$2+5),Liegenschaft!$B$14:$B$25,0),Kosten!$I$24)/INDEX(Liegenschaft!$C$26:$G$26,1,Kosten!$I$24),0),"")</f>
        <v/>
      </c>
      <c r="F31" s="38">
        <f>IF(Kosten!$H$24="Ja",IF(Kosten!D24="Heizung/Warmwasser",INDEX(Mieter!L:L,$C$2+5),INDEX(Mieter!K:K,$C$2+5)),"")</f>
        <v/>
      </c>
      <c r="G31" s="37">
        <f>IF(Kosten!$H$24="Ja",INDEX(Verteilung!V:V,$C$2+5),"")</f>
        <v/>
      </c>
    </row>
    <row r="32">
      <c r="B32" s="36">
        <f>IF(Kosten!$H$25="Ja",Kosten!B25,"")</f>
        <v/>
      </c>
      <c r="C32" s="37">
        <f>IF(Kosten!$H$25="Ja",Kosten!C25,"")</f>
        <v/>
      </c>
      <c r="D32" s="36">
        <f>IF(Kosten!$H$25="Ja",Kosten!E25,"")</f>
        <v/>
      </c>
      <c r="E32" s="38">
        <f>IF(Kosten!$H$25="Ja",IFERROR(INDEX(Liegenschaft!$C$14:$G$25,MATCH(INDEX(Mieter!C:C,$C$2+5),Liegenschaft!$B$14:$B$25,0),Kosten!$I$25)/INDEX(Liegenschaft!$C$26:$G$26,1,Kosten!$I$25),0),"")</f>
        <v/>
      </c>
      <c r="F32" s="38">
        <f>IF(Kosten!$H$25="Ja",IF(Kosten!D25="Heizung/Warmwasser",INDEX(Mieter!L:L,$C$2+5),INDEX(Mieter!K:K,$C$2+5)),"")</f>
        <v/>
      </c>
      <c r="G32" s="37">
        <f>IF(Kosten!$H$25="Ja",INDEX(Verteilung!W:W,$C$2+5),"")</f>
        <v/>
      </c>
    </row>
    <row r="34">
      <c r="B34" s="4" t="inlineStr">
        <is>
          <t>Total Nebenkosten</t>
        </is>
      </c>
      <c r="G34" s="39">
        <f>INDEX(Verteilung!X:X,$C$2+5)</f>
        <v/>
      </c>
    </row>
    <row r="35">
      <c r="B35" s="4">
        <f>IF(Liegenschaft!C11="Ja","Verwaltungshonorar "&amp;TEXT(Liegenschaft!C10,"0.0%"),"")</f>
        <v/>
      </c>
      <c r="G35" s="39">
        <f>INDEX(Verteilung!Y:Y,$C$2+5)</f>
        <v/>
      </c>
    </row>
    <row r="36">
      <c r="B36" s="40" t="inlineStr">
        <is>
          <t>Total Ihr Anteil</t>
        </is>
      </c>
      <c r="G36" s="41">
        <f>INDEX(Verteilung!Z:Z,$C$2+5)</f>
        <v/>
      </c>
    </row>
    <row r="37">
      <c r="B37" s="4" t="inlineStr">
        <is>
          <t>abzüglich Akontozahlungen</t>
        </is>
      </c>
      <c r="G37" s="39">
        <f>-INDEX(Verteilung!AA:AA,$C$2+5)</f>
        <v/>
      </c>
    </row>
    <row r="38">
      <c r="B38" s="42">
        <f>IF(INDEX(Verteilung!AB:AB,$C$2+5)&gt;=0,"Nachzahlung zu Ihren Lasten","Guthaben zu Ihren Gunsten")</f>
        <v/>
      </c>
      <c r="C38" s="43" t="n"/>
      <c r="D38" s="43" t="n"/>
      <c r="E38" s="43" t="n"/>
      <c r="F38" s="43" t="n"/>
      <c r="G38" s="44">
        <f>ABS(INDEX(Verteilung!AB:AB,$C$2+5))</f>
        <v/>
      </c>
    </row>
    <row r="41">
      <c r="B41" s="29" t="inlineStr">
        <is>
          <t>Die Kosten der Liegenschaft werden nach den im Mietvertrag vereinbarten Schlüsseln verteilt. Heiz- und Warmwasserkosten</t>
        </is>
      </c>
    </row>
    <row r="42">
      <c r="B42" s="29" t="inlineStr">
        <is>
          <t>werden bei Mieterwechseln nach Heizgradtagen, die übrigen Nebenkosten nach Tagen aufgeteilt. Kosten leerstehender</t>
        </is>
      </c>
    </row>
    <row r="43">
      <c r="B43" s="29" t="inlineStr">
        <is>
          <t>Wohnungen trägt die Vermieterschaft. Die Belege können Sie auf Anfrage einsehen (Art. 257b Abs. 2 OR).</t>
        </is>
      </c>
    </row>
    <row r="44">
      <c r="B44" s="29" t="inlineStr"/>
    </row>
    <row r="45">
      <c r="B45" s="29">
        <f>"Bitte überweisen Sie eine Nachzahlung innert 30 Tagen. Ein Guthaben überweisen wir Ihnen auf Ihr Konto."</f>
        <v/>
      </c>
    </row>
    <row r="46">
      <c r="B46" s="29" t="inlineStr"/>
    </row>
    <row r="47">
      <c r="B47" s="29">
        <f>Liegenschaft!C5&amp;", "&amp;TEXT(TODAY(),"DD.MM.YYYY")</f>
        <v/>
      </c>
    </row>
    <row r="48">
      <c r="B48" s="29" t="inlineStr"/>
    </row>
    <row r="49">
      <c r="B49" s="29" t="inlineStr">
        <is>
          <t>_______________________________</t>
        </is>
      </c>
    </row>
    <row r="50">
      <c r="B50" s="29">
        <f>Liegenschaft!C6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2" showDropDown="0" showInputMessage="0" showErrorMessage="0" allowBlank="0" type="whole" operator="between">
      <formula1>1</formula1>
      <formula2>30</formula2>
    </dataValidation>
  </dataValidations>
  <pageMargins left="0.75" right="0.75" top="1" bottom="1" header="0.5" footer="0.5"/>
  <pageSetup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6" customWidth="1" min="3" max="3"/>
    <col width="70" customWidth="1" min="4" max="4"/>
  </cols>
  <sheetData>
    <row r="2">
      <c r="B2" s="1" t="inlineStr">
        <is>
          <t>Mietzinsanpassung berechnen</t>
        </is>
      </c>
    </row>
    <row r="3">
      <c r="B3" s="2" t="inlineStr">
        <is>
          <t>Referenzzinssatz (Art. 13 VMWG), Teuerung (Art. 16 VMWG) und allgemeine Kostensteigerung.</t>
        </is>
      </c>
    </row>
    <row r="5">
      <c r="B5" s="4" t="inlineStr">
        <is>
          <t>Aktueller Nettomietzins pro Monat</t>
        </is>
      </c>
      <c r="C5" s="23" t="n"/>
      <c r="D5" s="5" t="inlineStr"/>
    </row>
    <row r="6">
      <c r="B6" s="4" t="inlineStr">
        <is>
          <t>Referenzzinssatz bei der letzten Anpassung</t>
        </is>
      </c>
      <c r="C6" s="10" t="n"/>
      <c r="D6" s="5" t="inlineStr">
        <is>
          <t>Steht im letzten Mietzinsformular bzw. im Mietvertrag.</t>
        </is>
      </c>
    </row>
    <row r="7">
      <c r="B7" s="4" t="inlineStr">
        <is>
          <t>Aktueller Referenzzinssatz</t>
        </is>
      </c>
      <c r="C7" s="10" t="n">
        <v>0.0125</v>
      </c>
      <c r="D7" s="5" t="inlineStr">
        <is>
          <t>Stand Okt. 2026: 1.25 %. Quartalsweise auf bwo.admin.ch prüfen.</t>
        </is>
      </c>
    </row>
    <row r="8">
      <c r="B8" s="4" t="inlineStr">
        <is>
          <t>Landesindex (LIK) bei der letzten Anpassung</t>
        </is>
      </c>
      <c r="C8" s="15" t="n"/>
      <c r="D8" s="5" t="inlineStr">
        <is>
          <t>Gleiche Basis wie aktueller Wert verwenden (z. B. Dez. 2020 = 100).</t>
        </is>
      </c>
    </row>
    <row r="9">
      <c r="B9" s="4" t="inlineStr">
        <is>
          <t>Landesindex (LIK) aktuell</t>
        </is>
      </c>
      <c r="C9" s="15" t="n"/>
      <c r="D9" s="5" t="inlineStr">
        <is>
          <t>bfs.admin.ch › Landesindex der Konsumentenpreise.</t>
        </is>
      </c>
    </row>
    <row r="10">
      <c r="B10" s="4" t="inlineStr">
        <is>
          <t>Stichtag der letzten Anpassung</t>
        </is>
      </c>
      <c r="C10" s="7" t="n"/>
      <c r="D10" s="5" t="inlineStr">
        <is>
          <t>Ab diesem Datum wird die Kostensteigerung gerechnet.</t>
        </is>
      </c>
    </row>
    <row r="11">
      <c r="B11" s="4" t="inlineStr">
        <is>
          <t>Wirksam werden der neuen Miete (erster Tag)</t>
        </is>
      </c>
      <c r="C11" s="7" t="n"/>
      <c r="D11" s="5" t="inlineStr">
        <is>
          <t>Nächster vertraglicher Kündigungstermin + 1 Tag.</t>
        </is>
      </c>
    </row>
    <row r="12">
      <c r="B12" s="4" t="inlineStr">
        <is>
          <t>Allgemeine Kostensteigerung pro Jahr</t>
        </is>
      </c>
      <c r="C12" s="10" t="n">
        <v>0.005</v>
      </c>
      <c r="D12" s="5" t="inlineStr">
        <is>
          <t>Pauschale gemäss kantonaler Praxis (häufig 0.5 %–1 %). Belegbar halten.</t>
        </is>
      </c>
    </row>
    <row r="13">
      <c r="B13" s="4" t="inlineStr">
        <is>
          <t>Kündigungsfrist in Monaten</t>
        </is>
      </c>
      <c r="C13" s="45" t="n">
        <v>3</v>
      </c>
      <c r="D13" s="5" t="inlineStr">
        <is>
          <t>Wohnungen: mindestens 3 Monate (Art. 266c OR).</t>
        </is>
      </c>
    </row>
    <row r="15">
      <c r="B15" s="12" t="inlineStr">
        <is>
          <t>Komponente</t>
        </is>
      </c>
      <c r="C15" s="12" t="inlineStr">
        <is>
          <t>Veränderung</t>
        </is>
      </c>
      <c r="D15" s="12" t="inlineStr">
        <is>
          <t>Erläuterung</t>
        </is>
      </c>
    </row>
    <row r="16">
      <c r="B16" s="14" t="inlineStr">
        <is>
          <t>Referenzzinssatz</t>
        </is>
      </c>
      <c r="C16" s="46">
        <f>IF(OR(C6="",C7=""),0,IF(ROUND((C7-C6)/0.0025,0)&gt;=0,ROUND((C7-C6)/0.0025,0)*0.03,1/(1+ROUND((C6-C7)/0.0025,0)*0.03)-1))</f>
        <v/>
      </c>
      <c r="D16" s="47">
        <f>IF(OR(C6="",C7=""),"",ROUND((C7-C6)/0.0025,0)&amp;" Schritt(e) à 0.25 %: Erhöhung +3 % je Schritt, Senkung −2.91 % / −5.66 % / …"&amp;IF(MAX(C6,C7)&gt;0.05," ⚠ über 5 %: andere Sätze (Art. 13 VMWG)",""))</f>
        <v/>
      </c>
    </row>
    <row r="17">
      <c r="B17" s="14" t="inlineStr">
        <is>
          <t>Teuerung (40 % der LIK-Veränderung)</t>
        </is>
      </c>
      <c r="C17" s="46">
        <f>IF(OR(N(C8)=0,N(C9)=0),0,(C9/C8-1)*0.4)</f>
        <v/>
      </c>
      <c r="D17" s="47">
        <f>IF(OR(N(C8)=0,N(C9)=0),"","LIK "&amp;TEXT(C9/C8-1,"0.00%")&amp;" × 40 %")</f>
        <v/>
      </c>
    </row>
    <row r="18">
      <c r="B18" s="14" t="inlineStr">
        <is>
          <t>Allgemeine Kostensteigerung</t>
        </is>
      </c>
      <c r="C18" s="46">
        <f>IF(OR(C10="",C11=""),0,C12*MAX(0,(YEAR(C11)-YEAR(C10))*12+MONTH(C11)-MONTH(C10))/12)</f>
        <v/>
      </c>
      <c r="D18" s="47">
        <f>IF(OR(C10="",C11=""),"",MAX(0,(YEAR(C11)-YEAR(C10))*12+MONTH(C11)-MONTH(C10))&amp;" Monate × "&amp;TEXT(C12,"0.00%")&amp;" / 12")</f>
        <v/>
      </c>
    </row>
    <row r="19">
      <c r="B19" s="48" t="inlineStr">
        <is>
          <t>Total Anpassung</t>
        </is>
      </c>
      <c r="C19" s="49">
        <f>C16+C17+C18</f>
        <v/>
      </c>
      <c r="D19" s="47" t="n"/>
    </row>
    <row r="21">
      <c r="B21" s="40" t="inlineStr">
        <is>
          <t>Neuer Nettomietzins pro Monat</t>
        </is>
      </c>
      <c r="C21" s="50">
        <f>IF(N(C5)=0,0,ROUND(C5*(1+C19)*20,0)/20)</f>
        <v/>
      </c>
    </row>
    <row r="22">
      <c r="B22" s="4" t="inlineStr">
        <is>
          <t>Differenz pro Monat</t>
        </is>
      </c>
      <c r="C22" s="51">
        <f>C21-N(C5)</f>
        <v/>
      </c>
    </row>
    <row r="23">
      <c r="B23" s="4" t="inlineStr">
        <is>
          <t>Differenz pro Jahr</t>
        </is>
      </c>
      <c r="C23" s="51">
        <f>C22*12</f>
        <v/>
      </c>
    </row>
    <row r="25">
      <c r="B25" s="34" t="inlineStr">
        <is>
          <t>Ergebnis</t>
        </is>
      </c>
    </row>
    <row r="26" ht="28" customHeight="1">
      <c r="B26" s="52">
        <f>IF(N(C5)=0,"Bitte Eingaben ausfüllen.",IF(C19&gt;0,"Erhöhung möglich. Mitteilung zwingend mit amtlichem kantonalem Formular und Begründung.",IF(C19&lt;0,"Die Mieterschaft hat Anspruch auf eine Senkung, wenn sie diese verlangt. Freiwillige Senkung möglich.","Keine Anpassung.")))</f>
        <v/>
      </c>
    </row>
    <row r="27">
      <c r="B27" t="inlineStr">
        <is>
          <t>Zugang beim Mieter spätestens (inkl. 1 Tag Reserve)</t>
        </is>
      </c>
      <c r="C27" s="53">
        <f>IF(C11="","",EDATE(C11,-C13)-11)</f>
        <v/>
      </c>
      <c r="D27" s="5" t="inlineStr">
        <is>
          <t>Mitteilung muss mind. 10 Tage vor Beginn der Kündigungsfrist eintreffen (Art. 269d OR). Eingeschrieben senden.</t>
        </is>
      </c>
    </row>
    <row r="29" ht="30" customHeight="1">
      <c r="B29" s="54" t="inlineStr">
        <is>
          <t>Methode: Die Komponenten werden addiert (gängige Praxis). Gerundet auf 5 Rappen. Ob eine Anpassung im Einzelfall zulässig ist (z. B. bei übersetztem Ertrag oder vorbehaltenen Reserven), prüfen Sie mit Ihrem Verband oder einer Fachperson.</t>
        </is>
      </c>
    </row>
    <row r="30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26:D26"/>
    <mergeCell ref="B29:D30"/>
  </mergeCells>
  <pageMargins left="0.75" right="0.75" top="1" bottom="1" header="0.5" footer="0.5"/>
  <pageSetup orientation="landscape" paperSize="9" fitToHeight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64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2">
      <c r="B2" s="1" t="inlineStr">
        <is>
          <t>Checkliste Mieterwechsel</t>
        </is>
      </c>
    </row>
    <row r="3">
      <c r="B3" s="2" t="inlineStr">
        <is>
          <t>Auszugsdatum eintragen – die Termine rechnen sich selbst. Überfällige offene Schritte werden rot.</t>
        </is>
      </c>
    </row>
    <row r="4">
      <c r="B4" t="inlineStr">
        <is>
          <t>Wohnung</t>
        </is>
      </c>
      <c r="C4" s="6" t="n"/>
    </row>
    <row r="5">
      <c r="B5" t="inlineStr">
        <is>
          <t>Auszug Vormieter</t>
        </is>
      </c>
      <c r="C5" s="7" t="n"/>
    </row>
    <row r="6">
      <c r="B6" t="inlineStr">
        <is>
          <t>Einzug Nachmieter</t>
        </is>
      </c>
      <c r="C6" s="7" t="n"/>
    </row>
    <row r="8">
      <c r="B8" s="12" t="inlineStr">
        <is>
          <t>Phase</t>
        </is>
      </c>
      <c r="C8" s="12" t="inlineStr">
        <is>
          <t>Schritt</t>
        </is>
      </c>
      <c r="D8" s="12" t="inlineStr">
        <is>
          <t>Tage rel. Auszug</t>
        </is>
      </c>
      <c r="E8" s="12" t="inlineStr">
        <is>
          <t>Fällig am</t>
        </is>
      </c>
      <c r="F8" s="12" t="inlineStr">
        <is>
          <t>Erledigt</t>
        </is>
      </c>
      <c r="G8" s="12" t="inlineStr">
        <is>
          <t>Bemerkung</t>
        </is>
      </c>
    </row>
    <row r="9">
      <c r="B9" s="55" t="inlineStr">
        <is>
          <t>Kündigung</t>
        </is>
      </c>
      <c r="C9" s="56" t="inlineStr">
        <is>
          <t>Kündigung prüfen: Schriftform, beide Ehegatten/Partner unterschrieben, Frist und Termin (Art. 266a ff., 266n OR)</t>
        </is>
      </c>
      <c r="D9" s="55" t="n">
        <v>-90</v>
      </c>
      <c r="E9" s="57">
        <f>IF($C$5="","",$C$5+D9)</f>
        <v/>
      </c>
      <c r="F9" s="6" t="n"/>
      <c r="G9" s="6" t="n"/>
    </row>
    <row r="10">
      <c r="B10" s="55" t="inlineStr">
        <is>
          <t>Kündigung</t>
        </is>
      </c>
      <c r="C10" s="56" t="inlineStr">
        <is>
          <t>Kündigung schriftlich bestätigen, bei ausserterminlicher Kündigung auf Ersatzmieter-Regel hinweisen (Art. 264 OR)</t>
        </is>
      </c>
      <c r="D10" s="55" t="n">
        <v>-88</v>
      </c>
      <c r="E10" s="57">
        <f>IF($C$5="","",$C$5+D10)</f>
        <v/>
      </c>
      <c r="F10" s="6" t="n"/>
      <c r="G10" s="6" t="n"/>
    </row>
    <row r="11">
      <c r="B11" s="55" t="inlineStr">
        <is>
          <t>Kündigung</t>
        </is>
      </c>
      <c r="C11" s="56" t="inlineStr">
        <is>
          <t>Mietzins für Neuvermietung festlegen; in Kantonen mit Formularpflicht Anfangsmietzins-Formular vorbereiten (Art. 270 OR)</t>
        </is>
      </c>
      <c r="D11" s="55" t="n">
        <v>-80</v>
      </c>
      <c r="E11" s="57">
        <f>IF($C$5="","",$C$5+D11)</f>
        <v/>
      </c>
      <c r="F11" s="6" t="n"/>
      <c r="G11" s="6" t="n"/>
    </row>
    <row r="12">
      <c r="B12" s="55" t="inlineStr">
        <is>
          <t>Vermarktung</t>
        </is>
      </c>
      <c r="C12" s="56" t="inlineStr">
        <is>
          <t>Fotos, Inserat und Besichtigungstermine mit Vormieter vereinbaren (Besichtigungsrecht Art. 257h OR)</t>
        </is>
      </c>
      <c r="D12" s="55" t="n">
        <v>-75</v>
      </c>
      <c r="E12" s="57">
        <f>IF($C$5="","",$C$5+D12)</f>
        <v/>
      </c>
      <c r="F12" s="6" t="n"/>
      <c r="G12" s="6" t="n"/>
    </row>
    <row r="13">
      <c r="B13" s="55" t="inlineStr">
        <is>
          <t>Vermarktung</t>
        </is>
      </c>
      <c r="C13" s="56" t="inlineStr">
        <is>
          <t>Bewerbungen prüfen: Betreibungsregisterauszug, Einkommen/Miete-Verhältnis, Referenzen</t>
        </is>
      </c>
      <c r="D13" s="55" t="n">
        <v>-55</v>
      </c>
      <c r="E13" s="57">
        <f>IF($C$5="","",$C$5+D13)</f>
        <v/>
      </c>
      <c r="F13" s="6" t="n"/>
      <c r="G13" s="6" t="n"/>
    </row>
    <row r="14">
      <c r="B14" s="55" t="inlineStr">
        <is>
          <t>Vermarktung</t>
        </is>
      </c>
      <c r="C14" s="56" t="inlineStr">
        <is>
          <t>Mietvertrag erstellen und versenden – Nebenkosten einzeln aufführen (Art. 257a OR)</t>
        </is>
      </c>
      <c r="D14" s="55" t="n">
        <v>-45</v>
      </c>
      <c r="E14" s="57">
        <f>IF($C$5="","",$C$5+D14)</f>
        <v/>
      </c>
      <c r="F14" s="6" t="n"/>
      <c r="G14" s="6" t="n"/>
    </row>
    <row r="15">
      <c r="B15" s="55" t="inlineStr">
        <is>
          <t>Vermarktung</t>
        </is>
      </c>
      <c r="C15" s="56" t="inlineStr">
        <is>
          <t>Unterzeichneten Vertrag erhalten; Mietzinsdepot einfordern (max. 3 Monatsmieten, Sperrkonto, Art. 257e OR)</t>
        </is>
      </c>
      <c r="D15" s="55" t="n">
        <v>-30</v>
      </c>
      <c r="E15" s="57">
        <f>IF($C$5="","",$C$5+D15)</f>
        <v/>
      </c>
      <c r="F15" s="6" t="n"/>
      <c r="G15" s="6" t="n"/>
    </row>
    <row r="16">
      <c r="B16" s="55" t="inlineStr">
        <is>
          <t>Abnahme</t>
        </is>
      </c>
      <c r="C16" s="56" t="inlineStr">
        <is>
          <t>Vorbesichtigung mit Vormieter: absehbare Mängel und Reinigung besprechen</t>
        </is>
      </c>
      <c r="D16" s="55" t="n">
        <v>-21</v>
      </c>
      <c r="E16" s="57">
        <f>IF($C$5="","",$C$5+D16)</f>
        <v/>
      </c>
      <c r="F16" s="6" t="n"/>
      <c r="G16" s="6" t="n"/>
    </row>
    <row r="17">
      <c r="B17" s="55" t="inlineStr">
        <is>
          <t>Abnahme</t>
        </is>
      </c>
      <c r="C17" s="56" t="inlineStr">
        <is>
          <t>Termin Wohnungsabnahme festlegen und schriftlich bestätigen</t>
        </is>
      </c>
      <c r="D17" s="55" t="n">
        <v>-14</v>
      </c>
      <c r="E17" s="57">
        <f>IF($C$5="","",$C$5+D17)</f>
        <v/>
      </c>
      <c r="F17" s="6" t="n"/>
      <c r="G17" s="6" t="n"/>
    </row>
    <row r="18">
      <c r="B18" s="55" t="inlineStr">
        <is>
          <t>Abnahme</t>
        </is>
      </c>
      <c r="C18" s="56" t="inlineStr">
        <is>
          <t>Handwerker (Maler, Bodenleger, Reinigung) provisorisch reservieren</t>
        </is>
      </c>
      <c r="D18" s="55" t="n">
        <v>-10</v>
      </c>
      <c r="E18" s="57">
        <f>IF($C$5="","",$C$5+D18)</f>
        <v/>
      </c>
      <c r="F18" s="6" t="n"/>
      <c r="G18" s="6" t="n"/>
    </row>
    <row r="19">
      <c r="B19" s="55" t="inlineStr">
        <is>
          <t>Abnahme</t>
        </is>
      </c>
      <c r="C19" s="56" t="inlineStr">
        <is>
          <t>Wohnungsabnahme durchführen, Protokoll von beiden Seiten unterzeichnen lassen, Schlüssel zählen</t>
        </is>
      </c>
      <c r="D19" s="55" t="n">
        <v>0</v>
      </c>
      <c r="E19" s="57">
        <f>IF($C$5="","",$C$5+D19)</f>
        <v/>
      </c>
      <c r="F19" s="6" t="n"/>
      <c r="G19" s="6" t="n"/>
    </row>
    <row r="20">
      <c r="B20" s="55" t="inlineStr">
        <is>
          <t>Abnahme</t>
        </is>
      </c>
      <c r="C20" s="56" t="inlineStr">
        <is>
          <t>Zählerstände ablesen; Strom/Gas für Leerstand auf Vermieter melden</t>
        </is>
      </c>
      <c r="D20" s="55" t="n">
        <v>0</v>
      </c>
      <c r="E20" s="57">
        <f>IF($C$5="","",$C$5+D20)</f>
        <v/>
      </c>
      <c r="F20" s="6" t="n"/>
      <c r="G20" s="6" t="n"/>
    </row>
    <row r="21">
      <c r="B21" s="55" t="inlineStr">
        <is>
          <t>Abnahme</t>
        </is>
      </c>
      <c r="C21" s="56" t="inlineStr">
        <is>
          <t>Mängelrüge an Vormieter sofort schriftlich (innert 2–3 Werktagen, sonst Verwirkung – Art. 267a OR)</t>
        </is>
      </c>
      <c r="D21" s="55" t="n">
        <v>2</v>
      </c>
      <c r="E21" s="57">
        <f>IF($C$5="","",$C$5+D21)</f>
        <v/>
      </c>
      <c r="F21" s="6" t="n"/>
      <c r="G21" s="6" t="n"/>
    </row>
    <row r="22">
      <c r="B22" s="55" t="inlineStr">
        <is>
          <t>Instandstellung</t>
        </is>
      </c>
      <c r="C22" s="56" t="inlineStr">
        <is>
          <t>Instandstellungsarbeiten beauftragen und Termine koordinieren</t>
        </is>
      </c>
      <c r="D22" s="55" t="n">
        <v>3</v>
      </c>
      <c r="E22" s="57">
        <f>IF($C$5="","",$C$5+D22)</f>
        <v/>
      </c>
      <c r="F22" s="6" t="n"/>
      <c r="G22" s="6" t="n"/>
    </row>
    <row r="23">
      <c r="B23" s="55" t="inlineStr">
        <is>
          <t>Instandstellung</t>
        </is>
      </c>
      <c r="C23" s="56" t="inlineStr">
        <is>
          <t>Endreinigung / Nachreinigung organisieren, Namensschilder Briefkasten und Klingel bestellen</t>
        </is>
      </c>
      <c r="D23" s="55" t="n">
        <v>7</v>
      </c>
      <c r="E23" s="57">
        <f>IF($C$5="","",$C$5+D23)</f>
        <v/>
      </c>
      <c r="F23" s="6" t="n"/>
      <c r="G23" s="6" t="n"/>
    </row>
    <row r="24">
      <c r="B24" s="55" t="inlineStr">
        <is>
          <t>Übergabe</t>
        </is>
      </c>
      <c r="C24" s="56" t="inlineStr">
        <is>
          <t>Prüfen, ob Mietzinsdepot des Nachmieters eingegangen ist – erst dann Schlüssel übergeben</t>
        </is>
      </c>
      <c r="D24" s="55" t="inlineStr">
        <is>
          <t>Einzug</t>
        </is>
      </c>
      <c r="E24" s="57">
        <f>IF($C$6="","",$C$6)</f>
        <v/>
      </c>
      <c r="F24" s="6" t="n"/>
      <c r="G24" s="6" t="n"/>
    </row>
    <row r="25">
      <c r="B25" s="55" t="inlineStr">
        <is>
          <t>Übergabe</t>
        </is>
      </c>
      <c r="C25" s="56" t="inlineStr">
        <is>
          <t>Übergabe an Nachmieter mit Antrittsprotokoll; Frist für Mängelliste nennen (üblich 10–30 Tage)</t>
        </is>
      </c>
      <c r="D25" s="55" t="inlineStr">
        <is>
          <t>Einzug</t>
        </is>
      </c>
      <c r="E25" s="57">
        <f>IF($C$6="","",$C$6)</f>
        <v/>
      </c>
      <c r="F25" s="6" t="n"/>
      <c r="G25" s="6" t="n"/>
    </row>
    <row r="26">
      <c r="B26" s="55" t="inlineStr">
        <is>
          <t>Übergabe</t>
        </is>
      </c>
      <c r="C26" s="56" t="inlineStr">
        <is>
          <t>Zählerstände an Werke melden (Wechsel auf Nachmieter), Mieterliste/Hauswart informieren</t>
        </is>
      </c>
      <c r="D26" s="55" t="inlineStr">
        <is>
          <t>Einzug</t>
        </is>
      </c>
      <c r="E26" s="57">
        <f>IF($C$6="","",$C$6)</f>
        <v/>
      </c>
      <c r="F26" s="6" t="n"/>
      <c r="G26" s="6" t="n"/>
    </row>
    <row r="27">
      <c r="B27" s="55" t="inlineStr">
        <is>
          <t>Abrechnung</t>
        </is>
      </c>
      <c r="C27" s="56" t="inlineStr">
        <is>
          <t>Schadensabrechnung Vormieter nach Lebensdauertabelle (Altersentwertung, Blatt «Abnahme»)</t>
        </is>
      </c>
      <c r="D27" s="55" t="n">
        <v>30</v>
      </c>
      <c r="E27" s="57">
        <f>IF($C$5="","",$C$5+D27)</f>
        <v/>
      </c>
      <c r="F27" s="6" t="n"/>
      <c r="G27" s="6" t="n"/>
    </row>
    <row r="28">
      <c r="B28" s="55" t="inlineStr">
        <is>
          <t>Abrechnung</t>
        </is>
      </c>
      <c r="C28" s="56" t="inlineStr">
        <is>
          <t>Nebenkosten-Teilabrechnung Vormieter erstellen oder in der Jahresabrechnung berücksichtigen</t>
        </is>
      </c>
      <c r="D28" s="55" t="n">
        <v>45</v>
      </c>
      <c r="E28" s="57">
        <f>IF($C$5="","",$C$5+D28)</f>
        <v/>
      </c>
      <c r="F28" s="6" t="n"/>
      <c r="G28" s="6" t="n"/>
    </row>
    <row r="29">
      <c r="B29" s="55" t="inlineStr">
        <is>
          <t>Abrechnung</t>
        </is>
      </c>
      <c r="C29" s="56" t="inlineStr">
        <is>
          <t>Mietzinsdepot Vormieter freigeben bzw. mit Forderungen verrechnen</t>
        </is>
      </c>
      <c r="D29" s="55" t="n">
        <v>60</v>
      </c>
      <c r="E29" s="57">
        <f>IF($C$5="","",$C$5+D29)</f>
        <v/>
      </c>
      <c r="F29" s="6" t="n"/>
      <c r="G29" s="6" t="n"/>
    </row>
    <row r="31">
      <c r="B31" s="19" t="inlineStr">
        <is>
          <t>Offene Schritte</t>
        </is>
      </c>
      <c r="C31">
        <f>COUNTIF(F9:F29,"")&amp;" von 21 offen, davon überfällig: "&amp;SUMPRODUCT((F9:F29="")*ISNUMBER(E9:E29)*(E9:E29&lt;TODAY()))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9:G29">
    <cfRule type="expression" priority="1" dxfId="0">
      <formula>AND($E9&lt;&gt;"",$E9&lt;TODAY(),$F9="")</formula>
    </cfRule>
    <cfRule type="expression" priority="2" dxfId="1">
      <formula>$F9&lt;&gt;""</formula>
    </cfRule>
  </conditionalFormatting>
  <dataValidations count="1">
    <dataValidation sqref="F9:F29" showDropDown="0" showInputMessage="0" showErrorMessage="0" allowBlank="1" type="list">
      <formula1>"Ja,n. erf."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G7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14" customWidth="1" min="4" max="4"/>
    <col width="38" customWidth="1" min="5" max="5"/>
    <col width="12" customWidth="1" min="6" max="6"/>
    <col width="12" customWidth="1" min="7" max="7"/>
  </cols>
  <sheetData>
    <row r="2">
      <c r="B2" s="1" t="inlineStr">
        <is>
          <t>Wohnungsabnahmeprotokoll</t>
        </is>
      </c>
    </row>
    <row r="3">
      <c r="B3" s="2" t="inlineStr">
        <is>
          <t>Ausdrucken oder am Tablet ausfüllen. Mängel konkret beschreiben (Ort, Grösse, Foto-Nr.).</t>
        </is>
      </c>
    </row>
    <row r="4">
      <c r="B4" s="8" t="inlineStr">
        <is>
          <t>Liegenschaft / Wohnung</t>
        </is>
      </c>
      <c r="C4" s="6" t="n"/>
    </row>
    <row r="5">
      <c r="B5" s="8" t="inlineStr">
        <is>
          <t>Mieter/in (ausziehend)</t>
        </is>
      </c>
      <c r="C5" s="6" t="n"/>
    </row>
    <row r="6">
      <c r="B6" s="8" t="inlineStr">
        <is>
          <t>Mieter/in (einziehend)</t>
        </is>
      </c>
      <c r="C6" s="6" t="n"/>
    </row>
    <row r="7">
      <c r="B7" s="8" t="inlineStr">
        <is>
          <t>Datum / Uhrzeit</t>
        </is>
      </c>
      <c r="C7" s="6" t="n"/>
    </row>
    <row r="8">
      <c r="B8" s="8" t="inlineStr">
        <is>
          <t>Anwesend</t>
        </is>
      </c>
      <c r="C8" s="6" t="n"/>
    </row>
    <row r="10">
      <c r="B10" s="12" t="inlineStr">
        <is>
          <t>Raum</t>
        </is>
      </c>
      <c r="C10" s="12" t="inlineStr">
        <is>
          <t>Bauteil</t>
        </is>
      </c>
      <c r="D10" s="12" t="inlineStr">
        <is>
          <t>Zustand</t>
        </is>
      </c>
      <c r="E10" s="12" t="inlineStr">
        <is>
          <t>Mangel / Bemerkung</t>
        </is>
      </c>
      <c r="F10" s="12" t="inlineStr">
        <is>
          <t>zulasten Mieter?</t>
        </is>
      </c>
      <c r="G10" s="12" t="inlineStr">
        <is>
          <t>Foto-Nr.</t>
        </is>
      </c>
    </row>
    <row r="11">
      <c r="B11" s="58" t="inlineStr">
        <is>
          <t>Eingang/Korridor</t>
        </is>
      </c>
      <c r="C11" s="55" t="inlineStr">
        <is>
          <t>Boden</t>
        </is>
      </c>
      <c r="D11" s="6" t="n"/>
      <c r="E11" s="6" t="n"/>
      <c r="F11" s="6" t="n"/>
      <c r="G11" s="6" t="n"/>
    </row>
    <row r="12">
      <c r="B12" s="55" t="inlineStr"/>
      <c r="C12" s="55" t="inlineStr">
        <is>
          <t>Wände/Decke</t>
        </is>
      </c>
      <c r="D12" s="6" t="n"/>
      <c r="E12" s="6" t="n"/>
      <c r="F12" s="6" t="n"/>
      <c r="G12" s="6" t="n"/>
    </row>
    <row r="13">
      <c r="B13" s="55" t="inlineStr"/>
      <c r="C13" s="55" t="inlineStr">
        <is>
          <t>Fenster/Storen</t>
        </is>
      </c>
      <c r="D13" s="6" t="n"/>
      <c r="E13" s="6" t="n"/>
      <c r="F13" s="6" t="n"/>
      <c r="G13" s="6" t="n"/>
    </row>
    <row r="14">
      <c r="B14" s="55" t="inlineStr"/>
      <c r="C14" s="55" t="inlineStr">
        <is>
          <t>Türen/Schlösser</t>
        </is>
      </c>
      <c r="D14" s="6" t="n"/>
      <c r="E14" s="6" t="n"/>
      <c r="F14" s="6" t="n"/>
      <c r="G14" s="6" t="n"/>
    </row>
    <row r="15">
      <c r="B15" s="55" t="inlineStr"/>
      <c r="C15" s="55" t="inlineStr">
        <is>
          <t>Elektro/Lampen</t>
        </is>
      </c>
      <c r="D15" s="6" t="n"/>
      <c r="E15" s="6" t="n"/>
      <c r="F15" s="6" t="n"/>
      <c r="G15" s="6" t="n"/>
    </row>
    <row r="16">
      <c r="B16" s="55" t="inlineStr"/>
      <c r="C16" s="55" t="inlineStr">
        <is>
          <t>Einbauten/Geräte</t>
        </is>
      </c>
      <c r="D16" s="6" t="n"/>
      <c r="E16" s="6" t="n"/>
      <c r="F16" s="6" t="n"/>
      <c r="G16" s="6" t="n"/>
    </row>
    <row r="17">
      <c r="B17" s="58" t="inlineStr">
        <is>
          <t>Wohnzimmer</t>
        </is>
      </c>
      <c r="C17" s="55" t="inlineStr">
        <is>
          <t>Boden</t>
        </is>
      </c>
      <c r="D17" s="6" t="n"/>
      <c r="E17" s="6" t="n"/>
      <c r="F17" s="6" t="n"/>
      <c r="G17" s="6" t="n"/>
    </row>
    <row r="18">
      <c r="B18" s="55" t="inlineStr"/>
      <c r="C18" s="55" t="inlineStr">
        <is>
          <t>Wände/Decke</t>
        </is>
      </c>
      <c r="D18" s="6" t="n"/>
      <c r="E18" s="6" t="n"/>
      <c r="F18" s="6" t="n"/>
      <c r="G18" s="6" t="n"/>
    </row>
    <row r="19">
      <c r="B19" s="55" t="inlineStr"/>
      <c r="C19" s="55" t="inlineStr">
        <is>
          <t>Fenster/Storen</t>
        </is>
      </c>
      <c r="D19" s="6" t="n"/>
      <c r="E19" s="6" t="n"/>
      <c r="F19" s="6" t="n"/>
      <c r="G19" s="6" t="n"/>
    </row>
    <row r="20">
      <c r="B20" s="55" t="inlineStr"/>
      <c r="C20" s="55" t="inlineStr">
        <is>
          <t>Türen/Schlösser</t>
        </is>
      </c>
      <c r="D20" s="6" t="n"/>
      <c r="E20" s="6" t="n"/>
      <c r="F20" s="6" t="n"/>
      <c r="G20" s="6" t="n"/>
    </row>
    <row r="21">
      <c r="B21" s="55" t="inlineStr"/>
      <c r="C21" s="55" t="inlineStr">
        <is>
          <t>Elektro/Lampen</t>
        </is>
      </c>
      <c r="D21" s="6" t="n"/>
      <c r="E21" s="6" t="n"/>
      <c r="F21" s="6" t="n"/>
      <c r="G21" s="6" t="n"/>
    </row>
    <row r="22">
      <c r="B22" s="55" t="inlineStr"/>
      <c r="C22" s="55" t="inlineStr">
        <is>
          <t>Einbauten/Geräte</t>
        </is>
      </c>
      <c r="D22" s="6" t="n"/>
      <c r="E22" s="6" t="n"/>
      <c r="F22" s="6" t="n"/>
      <c r="G22" s="6" t="n"/>
    </row>
    <row r="23">
      <c r="B23" s="58" t="inlineStr">
        <is>
          <t>Zimmer 1</t>
        </is>
      </c>
      <c r="C23" s="55" t="inlineStr">
        <is>
          <t>Boden</t>
        </is>
      </c>
      <c r="D23" s="6" t="n"/>
      <c r="E23" s="6" t="n"/>
      <c r="F23" s="6" t="n"/>
      <c r="G23" s="6" t="n"/>
    </row>
    <row r="24">
      <c r="B24" s="55" t="inlineStr"/>
      <c r="C24" s="55" t="inlineStr">
        <is>
          <t>Wände/Decke</t>
        </is>
      </c>
      <c r="D24" s="6" t="n"/>
      <c r="E24" s="6" t="n"/>
      <c r="F24" s="6" t="n"/>
      <c r="G24" s="6" t="n"/>
    </row>
    <row r="25">
      <c r="B25" s="55" t="inlineStr"/>
      <c r="C25" s="55" t="inlineStr">
        <is>
          <t>Fenster/Storen</t>
        </is>
      </c>
      <c r="D25" s="6" t="n"/>
      <c r="E25" s="6" t="n"/>
      <c r="F25" s="6" t="n"/>
      <c r="G25" s="6" t="n"/>
    </row>
    <row r="26">
      <c r="B26" s="55" t="inlineStr"/>
      <c r="C26" s="55" t="inlineStr">
        <is>
          <t>Türen/Schlösser</t>
        </is>
      </c>
      <c r="D26" s="6" t="n"/>
      <c r="E26" s="6" t="n"/>
      <c r="F26" s="6" t="n"/>
      <c r="G26" s="6" t="n"/>
    </row>
    <row r="27">
      <c r="B27" s="55" t="inlineStr"/>
      <c r="C27" s="55" t="inlineStr">
        <is>
          <t>Elektro/Lampen</t>
        </is>
      </c>
      <c r="D27" s="6" t="n"/>
      <c r="E27" s="6" t="n"/>
      <c r="F27" s="6" t="n"/>
      <c r="G27" s="6" t="n"/>
    </row>
    <row r="28">
      <c r="B28" s="55" t="inlineStr"/>
      <c r="C28" s="55" t="inlineStr">
        <is>
          <t>Einbauten/Geräte</t>
        </is>
      </c>
      <c r="D28" s="6" t="n"/>
      <c r="E28" s="6" t="n"/>
      <c r="F28" s="6" t="n"/>
      <c r="G28" s="6" t="n"/>
    </row>
    <row r="29">
      <c r="B29" s="58" t="inlineStr">
        <is>
          <t>Zimmer 2</t>
        </is>
      </c>
      <c r="C29" s="55" t="inlineStr">
        <is>
          <t>Boden</t>
        </is>
      </c>
      <c r="D29" s="6" t="n"/>
      <c r="E29" s="6" t="n"/>
      <c r="F29" s="6" t="n"/>
      <c r="G29" s="6" t="n"/>
    </row>
    <row r="30">
      <c r="B30" s="55" t="inlineStr"/>
      <c r="C30" s="55" t="inlineStr">
        <is>
          <t>Wände/Decke</t>
        </is>
      </c>
      <c r="D30" s="6" t="n"/>
      <c r="E30" s="6" t="n"/>
      <c r="F30" s="6" t="n"/>
      <c r="G30" s="6" t="n"/>
    </row>
    <row r="31">
      <c r="B31" s="55" t="inlineStr"/>
      <c r="C31" s="55" t="inlineStr">
        <is>
          <t>Fenster/Storen</t>
        </is>
      </c>
      <c r="D31" s="6" t="n"/>
      <c r="E31" s="6" t="n"/>
      <c r="F31" s="6" t="n"/>
      <c r="G31" s="6" t="n"/>
    </row>
    <row r="32">
      <c r="B32" s="55" t="inlineStr"/>
      <c r="C32" s="55" t="inlineStr">
        <is>
          <t>Türen/Schlösser</t>
        </is>
      </c>
      <c r="D32" s="6" t="n"/>
      <c r="E32" s="6" t="n"/>
      <c r="F32" s="6" t="n"/>
      <c r="G32" s="6" t="n"/>
    </row>
    <row r="33">
      <c r="B33" s="55" t="inlineStr"/>
      <c r="C33" s="55" t="inlineStr">
        <is>
          <t>Elektro/Lampen</t>
        </is>
      </c>
      <c r="D33" s="6" t="n"/>
      <c r="E33" s="6" t="n"/>
      <c r="F33" s="6" t="n"/>
      <c r="G33" s="6" t="n"/>
    </row>
    <row r="34">
      <c r="B34" s="55" t="inlineStr"/>
      <c r="C34" s="55" t="inlineStr">
        <is>
          <t>Einbauten/Geräte</t>
        </is>
      </c>
      <c r="D34" s="6" t="n"/>
      <c r="E34" s="6" t="n"/>
      <c r="F34" s="6" t="n"/>
      <c r="G34" s="6" t="n"/>
    </row>
    <row r="35">
      <c r="B35" s="58" t="inlineStr">
        <is>
          <t>Küche</t>
        </is>
      </c>
      <c r="C35" s="55" t="inlineStr">
        <is>
          <t>Boden</t>
        </is>
      </c>
      <c r="D35" s="6" t="n"/>
      <c r="E35" s="6" t="n"/>
      <c r="F35" s="6" t="n"/>
      <c r="G35" s="6" t="n"/>
    </row>
    <row r="36">
      <c r="B36" s="55" t="inlineStr"/>
      <c r="C36" s="55" t="inlineStr">
        <is>
          <t>Wände/Decke</t>
        </is>
      </c>
      <c r="D36" s="6" t="n"/>
      <c r="E36" s="6" t="n"/>
      <c r="F36" s="6" t="n"/>
      <c r="G36" s="6" t="n"/>
    </row>
    <row r="37">
      <c r="B37" s="55" t="inlineStr"/>
      <c r="C37" s="55" t="inlineStr">
        <is>
          <t>Fenster/Storen</t>
        </is>
      </c>
      <c r="D37" s="6" t="n"/>
      <c r="E37" s="6" t="n"/>
      <c r="F37" s="6" t="n"/>
      <c r="G37" s="6" t="n"/>
    </row>
    <row r="38">
      <c r="B38" s="55" t="inlineStr"/>
      <c r="C38" s="55" t="inlineStr">
        <is>
          <t>Türen/Schlösser</t>
        </is>
      </c>
      <c r="D38" s="6" t="n"/>
      <c r="E38" s="6" t="n"/>
      <c r="F38" s="6" t="n"/>
      <c r="G38" s="6" t="n"/>
    </row>
    <row r="39">
      <c r="B39" s="55" t="inlineStr"/>
      <c r="C39" s="55" t="inlineStr">
        <is>
          <t>Elektro/Lampen</t>
        </is>
      </c>
      <c r="D39" s="6" t="n"/>
      <c r="E39" s="6" t="n"/>
      <c r="F39" s="6" t="n"/>
      <c r="G39" s="6" t="n"/>
    </row>
    <row r="40">
      <c r="B40" s="55" t="inlineStr"/>
      <c r="C40" s="55" t="inlineStr">
        <is>
          <t>Einbauten/Geräte</t>
        </is>
      </c>
      <c r="D40" s="6" t="n"/>
      <c r="E40" s="6" t="n"/>
      <c r="F40" s="6" t="n"/>
      <c r="G40" s="6" t="n"/>
    </row>
    <row r="41">
      <c r="B41" s="58" t="inlineStr">
        <is>
          <t>Bad/WC</t>
        </is>
      </c>
      <c r="C41" s="55" t="inlineStr">
        <is>
          <t>Boden</t>
        </is>
      </c>
      <c r="D41" s="6" t="n"/>
      <c r="E41" s="6" t="n"/>
      <c r="F41" s="6" t="n"/>
      <c r="G41" s="6" t="n"/>
    </row>
    <row r="42">
      <c r="B42" s="55" t="inlineStr"/>
      <c r="C42" s="55" t="inlineStr">
        <is>
          <t>Wände/Decke</t>
        </is>
      </c>
      <c r="D42" s="6" t="n"/>
      <c r="E42" s="6" t="n"/>
      <c r="F42" s="6" t="n"/>
      <c r="G42" s="6" t="n"/>
    </row>
    <row r="43">
      <c r="B43" s="55" t="inlineStr"/>
      <c r="C43" s="55" t="inlineStr">
        <is>
          <t>Fenster/Storen</t>
        </is>
      </c>
      <c r="D43" s="6" t="n"/>
      <c r="E43" s="6" t="n"/>
      <c r="F43" s="6" t="n"/>
      <c r="G43" s="6" t="n"/>
    </row>
    <row r="44">
      <c r="B44" s="55" t="inlineStr"/>
      <c r="C44" s="55" t="inlineStr">
        <is>
          <t>Türen/Schlösser</t>
        </is>
      </c>
      <c r="D44" s="6" t="n"/>
      <c r="E44" s="6" t="n"/>
      <c r="F44" s="6" t="n"/>
      <c r="G44" s="6" t="n"/>
    </row>
    <row r="45">
      <c r="B45" s="55" t="inlineStr"/>
      <c r="C45" s="55" t="inlineStr">
        <is>
          <t>Elektro/Lampen</t>
        </is>
      </c>
      <c r="D45" s="6" t="n"/>
      <c r="E45" s="6" t="n"/>
      <c r="F45" s="6" t="n"/>
      <c r="G45" s="6" t="n"/>
    </row>
    <row r="46">
      <c r="B46" s="55" t="inlineStr"/>
      <c r="C46" s="55" t="inlineStr">
        <is>
          <t>Einbauten/Geräte</t>
        </is>
      </c>
      <c r="D46" s="6" t="n"/>
      <c r="E46" s="6" t="n"/>
      <c r="F46" s="6" t="n"/>
      <c r="G46" s="6" t="n"/>
    </row>
    <row r="47">
      <c r="B47" s="58" t="inlineStr">
        <is>
          <t>Balkon/Keller</t>
        </is>
      </c>
      <c r="C47" s="55" t="inlineStr">
        <is>
          <t>Boden</t>
        </is>
      </c>
      <c r="D47" s="6" t="n"/>
      <c r="E47" s="6" t="n"/>
      <c r="F47" s="6" t="n"/>
      <c r="G47" s="6" t="n"/>
    </row>
    <row r="48">
      <c r="B48" s="55" t="inlineStr"/>
      <c r="C48" s="55" t="inlineStr">
        <is>
          <t>Wände/Decke</t>
        </is>
      </c>
      <c r="D48" s="6" t="n"/>
      <c r="E48" s="6" t="n"/>
      <c r="F48" s="6" t="n"/>
      <c r="G48" s="6" t="n"/>
    </row>
    <row r="49">
      <c r="B49" s="55" t="inlineStr"/>
      <c r="C49" s="55" t="inlineStr">
        <is>
          <t>Fenster/Storen</t>
        </is>
      </c>
      <c r="D49" s="6" t="n"/>
      <c r="E49" s="6" t="n"/>
      <c r="F49" s="6" t="n"/>
      <c r="G49" s="6" t="n"/>
    </row>
    <row r="50">
      <c r="B50" s="55" t="inlineStr"/>
      <c r="C50" s="55" t="inlineStr">
        <is>
          <t>Türen/Schlösser</t>
        </is>
      </c>
      <c r="D50" s="6" t="n"/>
      <c r="E50" s="6" t="n"/>
      <c r="F50" s="6" t="n"/>
      <c r="G50" s="6" t="n"/>
    </row>
    <row r="51">
      <c r="B51" s="55" t="inlineStr"/>
      <c r="C51" s="55" t="inlineStr">
        <is>
          <t>Elektro/Lampen</t>
        </is>
      </c>
      <c r="D51" s="6" t="n"/>
      <c r="E51" s="6" t="n"/>
      <c r="F51" s="6" t="n"/>
      <c r="G51" s="6" t="n"/>
    </row>
    <row r="52">
      <c r="B52" s="55" t="inlineStr"/>
      <c r="C52" s="55" t="inlineStr">
        <is>
          <t>Einbauten/Geräte</t>
        </is>
      </c>
      <c r="D52" s="6" t="n"/>
      <c r="E52" s="6" t="n"/>
      <c r="F52" s="6" t="n"/>
      <c r="G52" s="6" t="n"/>
    </row>
    <row r="54">
      <c r="B54" s="34" t="inlineStr">
        <is>
          <t>Schlüssel</t>
        </is>
      </c>
      <c r="D54" s="34" t="inlineStr">
        <is>
          <t>Zählerstände</t>
        </is>
      </c>
    </row>
    <row r="55">
      <c r="B55" t="inlineStr">
        <is>
          <t>Wohnung</t>
        </is>
      </c>
      <c r="C55" s="45" t="n"/>
      <c r="D55" t="inlineStr">
        <is>
          <t>Strom</t>
        </is>
      </c>
      <c r="E55" s="6" t="n"/>
    </row>
    <row r="56">
      <c r="B56" t="inlineStr">
        <is>
          <t>Briefkasten</t>
        </is>
      </c>
      <c r="C56" s="45" t="n"/>
      <c r="D56" t="inlineStr">
        <is>
          <t>Gas</t>
        </is>
      </c>
      <c r="E56" s="6" t="n"/>
    </row>
    <row r="57">
      <c r="B57" t="inlineStr">
        <is>
          <t>Keller/Estrich</t>
        </is>
      </c>
      <c r="C57" s="45" t="n"/>
      <c r="D57" t="inlineStr">
        <is>
          <t>Wasser</t>
        </is>
      </c>
      <c r="E57" s="6" t="n"/>
    </row>
    <row r="58">
      <c r="B58" t="inlineStr">
        <is>
          <t>Garage/Velo</t>
        </is>
      </c>
      <c r="C58" s="45" t="n"/>
      <c r="D58" t="inlineStr">
        <is>
          <t>Wärme/HKV</t>
        </is>
      </c>
      <c r="E58" s="6" t="n"/>
    </row>
    <row r="59">
      <c r="B59" t="inlineStr">
        <is>
          <t>Badges</t>
        </is>
      </c>
      <c r="C59" s="45" t="n"/>
    </row>
    <row r="62">
      <c r="B62" s="34" t="inlineStr">
        <is>
          <t>Altersentwertung (Lebensdauer gemäss paritätischer Lebensdauertabelle eintragen)</t>
        </is>
      </c>
    </row>
    <row r="63">
      <c r="B63" s="12" t="inlineStr">
        <is>
          <t>Bauteil</t>
        </is>
      </c>
      <c r="C63" s="12" t="inlineStr">
        <is>
          <t>Neuwert/Kosten CHF</t>
        </is>
      </c>
      <c r="D63" s="12" t="inlineStr">
        <is>
          <t>Lebensdauer J.</t>
        </is>
      </c>
      <c r="E63" s="12" t="inlineStr">
        <is>
          <t>Alter J.</t>
        </is>
      </c>
      <c r="F63" s="12" t="inlineStr">
        <is>
          <t>Restwert %</t>
        </is>
      </c>
      <c r="G63" s="12" t="inlineStr">
        <is>
          <t>zulasten Mieter CHF</t>
        </is>
      </c>
    </row>
    <row r="64">
      <c r="B64" s="6" t="n"/>
      <c r="C64" s="23" t="n"/>
      <c r="D64" s="45" t="n"/>
      <c r="E64" s="15" t="n"/>
      <c r="F64" s="59">
        <f>IF(N(D64)=0,"",MAX(0,1-N(E64)/D64))</f>
        <v/>
      </c>
      <c r="G64" s="51">
        <f>IF(F64="","",ROUND(N(C64)*F64*20,0)/20)</f>
        <v/>
      </c>
    </row>
    <row r="65">
      <c r="B65" s="6" t="n"/>
      <c r="C65" s="23" t="n"/>
      <c r="D65" s="45" t="n"/>
      <c r="E65" s="15" t="n"/>
      <c r="F65" s="59">
        <f>IF(N(D65)=0,"",MAX(0,1-N(E65)/D65))</f>
        <v/>
      </c>
      <c r="G65" s="51">
        <f>IF(F65="","",ROUND(N(C65)*F65*20,0)/20)</f>
        <v/>
      </c>
    </row>
    <row r="66">
      <c r="B66" s="6" t="n"/>
      <c r="C66" s="23" t="n"/>
      <c r="D66" s="45" t="n"/>
      <c r="E66" s="15" t="n"/>
      <c r="F66" s="59">
        <f>IF(N(D66)=0,"",MAX(0,1-N(E66)/D66))</f>
        <v/>
      </c>
      <c r="G66" s="51">
        <f>IF(F66="","",ROUND(N(C66)*F66*20,0)/20)</f>
        <v/>
      </c>
    </row>
    <row r="67">
      <c r="B67" s="6" t="n"/>
      <c r="C67" s="23" t="n"/>
      <c r="D67" s="45" t="n"/>
      <c r="E67" s="15" t="n"/>
      <c r="F67" s="59">
        <f>IF(N(D67)=0,"",MAX(0,1-N(E67)/D67))</f>
        <v/>
      </c>
      <c r="G67" s="51">
        <f>IF(F67="","",ROUND(N(C67)*F67*20,0)/20)</f>
        <v/>
      </c>
    </row>
    <row r="68">
      <c r="B68" s="6" t="n"/>
      <c r="C68" s="23" t="n"/>
      <c r="D68" s="45" t="n"/>
      <c r="E68" s="15" t="n"/>
      <c r="F68" s="59">
        <f>IF(N(D68)=0,"",MAX(0,1-N(E68)/D68))</f>
        <v/>
      </c>
      <c r="G68" s="51">
        <f>IF(F68="","",ROUND(N(C68)*F68*20,0)/20)</f>
        <v/>
      </c>
    </row>
    <row r="69">
      <c r="B69" s="6" t="n"/>
      <c r="C69" s="23" t="n"/>
      <c r="D69" s="45" t="n"/>
      <c r="E69" s="15" t="n"/>
      <c r="F69" s="59">
        <f>IF(N(D69)=0,"",MAX(0,1-N(E69)/D69))</f>
        <v/>
      </c>
      <c r="G69" s="51">
        <f>IF(F69="","",ROUND(N(C69)*F69*20,0)/20)</f>
        <v/>
      </c>
    </row>
    <row r="70">
      <c r="F70" t="inlineStr">
        <is>
          <t>Total</t>
        </is>
      </c>
      <c r="G70" s="30">
        <f>SUM(G64:G69)</f>
        <v/>
      </c>
    </row>
    <row r="72">
      <c r="B72" s="60" t="inlineStr">
        <is>
          <t>Die Unterzeichnenden bestätigen den festgehaltenen Zustand. Mit der Unterschrift anerkennt der Mieter nur die mit «Ja» bezeichneten Mängel.</t>
        </is>
      </c>
    </row>
    <row r="75">
      <c r="B75" s="4" t="inlineStr">
        <is>
          <t>______________________</t>
        </is>
      </c>
      <c r="D75" s="4" t="inlineStr">
        <is>
          <t>______________________</t>
        </is>
      </c>
      <c r="F75" s="4" t="inlineStr">
        <is>
          <t>______________________</t>
        </is>
      </c>
    </row>
    <row r="76">
      <c r="B76" s="61" t="inlineStr">
        <is>
          <t>Vermieter/in</t>
        </is>
      </c>
      <c r="D76" s="61" t="inlineStr">
        <is>
          <t>Mieter/in ausziehend</t>
        </is>
      </c>
      <c r="F76" s="61" t="inlineStr">
        <is>
          <t>Mieter/in einziehend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C4:G4"/>
    <mergeCell ref="C7:G7"/>
    <mergeCell ref="C6:G6"/>
    <mergeCell ref="C5:G5"/>
    <mergeCell ref="C8:G8"/>
  </mergeCells>
  <conditionalFormatting sqref="B11:G52">
    <cfRule type="expression" priority="1" dxfId="0">
      <formula>$D11="Mangel"</formula>
    </cfRule>
  </conditionalFormatting>
  <dataValidations count="2">
    <dataValidation sqref="D11:D52" showDropDown="0" showInputMessage="0" showErrorMessage="0" allowBlank="1" type="list">
      <formula1>"in Ordnung,normale Abnützung,Mangel"</formula1>
    </dataValidation>
    <dataValidation sqref="F11:F52" showDropDown="0" showInputMessage="0" showErrorMessage="0" allowBlank="1" type="list">
      <formula1>"Ja,Nein,strittig"</formula1>
    </dataValidation>
  </dataValidation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2026-10-06T21:50:38Z</dcterms:created>
  <dcterms:modified xmlns:dcterms="http://purl.org/dc/terms/" xmlns:xsi="http://www.w3.org/2001/XMLSchema-instance" xsi:type="dcterms:W3CDTF">2026-10-06T21:50:39Z</dcterms:modified>
</cp:coreProperties>
</file>