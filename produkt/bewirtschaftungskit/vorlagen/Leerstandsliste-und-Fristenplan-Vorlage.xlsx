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rzanleitung" sheetId="1" state="visible" r:id="rId1"/>
    <sheet name="Leerstandsliste" sheetId="2" state="visible" r:id="rId2"/>
    <sheet name="Fristenrech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1">
    <font>
      <name val="Calibri"/>
      <family val="2"/>
      <color theme="1"/>
      <sz val="11"/>
      <scheme val="minor"/>
    </font>
    <font>
      <name val="Arial"/>
      <b val="1"/>
      <color rgb="000F5C6E"/>
      <sz val="16"/>
    </font>
    <font>
      <name val="Arial"/>
      <color rgb="001A1A1A"/>
      <sz val="10"/>
    </font>
    <font>
      <name val="Arial"/>
      <b val="1"/>
      <color rgb="000F5C6E"/>
      <sz val="12"/>
    </font>
    <font>
      <name val="Arial"/>
      <b val="1"/>
      <color rgb="00FFFFFF"/>
      <sz val="10"/>
    </font>
    <font>
      <name val="Arial"/>
      <color rgb="003A3A3A"/>
      <sz val="10"/>
    </font>
    <font>
      <name val="Arial"/>
      <b val="1"/>
      <color rgb="000F5C6E"/>
      <sz val="14"/>
    </font>
    <font>
      <name val="Arial"/>
      <b val="1"/>
      <color rgb="001A1A1A"/>
      <sz val="10"/>
    </font>
    <font>
      <name val="Arial"/>
      <color rgb="000F5C6E"/>
      <sz val="10"/>
    </font>
    <font>
      <name val="Arial"/>
      <color rgb="006B6B6B"/>
      <sz val="9"/>
    </font>
    <font>
      <name val="Arial"/>
      <color rgb="008A1F11"/>
      <sz val="9"/>
    </font>
  </fonts>
  <fills count="6">
    <fill>
      <patternFill/>
    </fill>
    <fill>
      <patternFill patternType="gray125"/>
    </fill>
    <fill>
      <patternFill patternType="solid">
        <fgColor rgb="000F5C6E"/>
      </patternFill>
    </fill>
    <fill>
      <patternFill patternType="solid">
        <fgColor rgb="00F2F5F6"/>
      </patternFill>
    </fill>
    <fill>
      <patternFill patternType="solid">
        <fgColor rgb="00EDF1F2"/>
      </patternFill>
    </fill>
    <fill>
      <patternFill patternType="solid">
        <fgColor rgb="00E4F0E8"/>
      </patternFill>
    </fill>
  </fills>
  <borders count="2">
    <border>
      <left/>
      <right/>
      <top/>
      <bottom/>
      <diagonal/>
    </border>
    <border>
      <left style="thin">
        <color rgb="00C6D0D5"/>
      </left>
      <right style="thin">
        <color rgb="00C6D0D5"/>
      </right>
      <top style="thin">
        <color rgb="00C6D0D5"/>
      </top>
      <bottom style="thin">
        <color rgb="00C6D0D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49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  <xf numFmtId="1" fontId="5" fillId="3" borderId="1" pivotButton="0" quotePrefix="0" xfId="0"/>
    <xf numFmtId="3" fontId="5" fillId="3" borderId="1" pivotButton="0" quotePrefix="0" xfId="0"/>
    <xf numFmtId="49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164" fontId="8" fillId="4" borderId="1" pivotButton="0" quotePrefix="0" xfId="0"/>
    <xf numFmtId="0" fontId="9" fillId="0" borderId="0" pivotButton="0" quotePrefix="0" xfId="0"/>
    <xf numFmtId="0" fontId="8" fillId="4" borderId="1" pivotButton="0" quotePrefix="0" xfId="0"/>
    <xf numFmtId="164" fontId="2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BE4E2"/>
        </patternFill>
      </fill>
    </dxf>
    <dxf>
      <fill>
        <patternFill patternType="solid">
          <fgColor rgb="00FBF0D9"/>
        </patternFill>
      </fill>
    </dxf>
    <dxf>
      <fill>
        <patternFill patternType="solid">
          <fgColor rgb="00E4F0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Leerstandsliste" displayName="Leerstandsliste" ref="A1:N61" headerRowCount="1">
  <autoFilter ref="A1:N61"/>
  <tableColumns count="14">
    <tableColumn id="1" name="Fall-Nr."/>
    <tableColumn id="2" name="Liegenschaft"/>
    <tableColumn id="3" name="Wohnung/Objekt"/>
    <tableColumn id="4" name="bisheriger Mieter"/>
    <tableColumn id="5" name="gekuendigt per"/>
    <tableColumn id="6" name="Rueckgabetermin"/>
    <tableColumn id="7" name="Vermarktung gestartet am"/>
    <tableColumn id="8" name="Neuvermietung ab"/>
    <tableColumn id="9" name="Nettomiete/Monat"/>
    <tableColumn id="10" name="Leerstandstage"/>
    <tableColumn id="11" name="Leerstandskosten"/>
    <tableColumn id="12" name="Status"/>
    <tableColumn id="13" name="Verantwortlich"/>
    <tableColumn id="14" name="Bemerku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Leerstandsliste &amp; Fristenplan - Kurzanleitung</t>
        </is>
      </c>
    </row>
    <row r="2">
      <c r="A2" s="2" t="inlineStr"/>
    </row>
    <row r="3">
      <c r="A3" s="3" t="inlineStr">
        <is>
          <t>1. Tabellenblatt 'Leerstandsliste'</t>
        </is>
      </c>
    </row>
    <row r="4">
      <c r="A4" s="2" t="inlineStr">
        <is>
          <t>Eine Zeile pro Wohnung/Objekt im Kuendigungs- oder Leerstandsprozess.</t>
        </is>
      </c>
    </row>
    <row r="5">
      <c r="A5" s="2" t="inlineStr">
        <is>
          <t>Weisse Spalten von Hand eintragen, graue Spalten rechnen automatisch.</t>
        </is>
      </c>
    </row>
    <row r="6">
      <c r="A6" s="2" t="inlineStr">
        <is>
          <t>Die Ampel-Spalte 'Status' zeigt rot/gelb/gruen je nach Leerstandsdauer.</t>
        </is>
      </c>
    </row>
    <row r="7">
      <c r="A7" s="2" t="inlineStr"/>
    </row>
    <row r="8">
      <c r="A8" s="3" t="inlineStr">
        <is>
          <t>2. Tabellenblatt 'Fristenrechner'</t>
        </is>
      </c>
    </row>
    <row r="9">
      <c r="A9" s="2" t="inlineStr">
        <is>
          <t>Kuendigungseingang und Kuendigungsfrist eintragen -&gt; die Vorlage</t>
        </is>
      </c>
    </row>
    <row r="10">
      <c r="A10" s="2" t="inlineStr">
        <is>
          <t>berechnet Kuendigungstermin, letzten Rueckgabetermin und den</t>
        </is>
      </c>
    </row>
    <row r="11">
      <c r="A11" s="2" t="inlineStr">
        <is>
          <t>empfohlenen Start der Vermarktung (Standard: 8 Wochen vorher).</t>
        </is>
      </c>
    </row>
    <row r="12">
      <c r="A12" s="2" t="inlineStr">
        <is>
          <t>Die 8 Wochen in Zelle B9 sind ein Erfahrungswert - anpassbar.</t>
        </is>
      </c>
    </row>
    <row r="13">
      <c r="A13" s="2" t="inlineStr"/>
    </row>
    <row r="14">
      <c r="A14" s="3" t="inlineStr">
        <is>
          <t>3. Wichtig</t>
        </is>
      </c>
    </row>
    <row r="15">
      <c r="A15" s="2" t="inlineStr">
        <is>
          <t>Diese Vorlage ersetzt keine Rechtsberatung. Fristen und Kuendigungs-</t>
        </is>
      </c>
    </row>
    <row r="16">
      <c r="A16" s="2" t="inlineStr">
        <is>
          <t>termine gemaess Mietvertrag und OR pruefen, insbesondere bei</t>
        </is>
      </c>
    </row>
    <row r="17">
      <c r="A17" s="2" t="inlineStr">
        <is>
          <t>ausserordentlichen Kuendigungen, Befristungen oder Staffelmieten.</t>
        </is>
      </c>
    </row>
    <row r="18">
      <c r="A18" s="2" t="inlineStr"/>
    </row>
    <row r="19">
      <c r="A19" s="2" t="inlineStr">
        <is>
          <t>Fragen? kontakt@bewirtschaftungskit.ch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0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2" customWidth="1" min="10" max="10"/>
    <col width="14" customWidth="1" min="11" max="11"/>
    <col width="12" customWidth="1" min="12" max="12"/>
    <col width="16" customWidth="1" min="13" max="13"/>
    <col width="30" customWidth="1" min="14" max="14"/>
  </cols>
  <sheetData>
    <row r="1">
      <c r="A1" s="4" t="inlineStr">
        <is>
          <t>Fall-Nr.</t>
        </is>
      </c>
      <c r="B1" s="4" t="inlineStr">
        <is>
          <t>Liegenschaft</t>
        </is>
      </c>
      <c r="C1" s="4" t="inlineStr">
        <is>
          <t>Wohnung/Objekt</t>
        </is>
      </c>
      <c r="D1" s="4" t="inlineStr">
        <is>
          <t>bisheriger Mieter</t>
        </is>
      </c>
      <c r="E1" s="4" t="inlineStr">
        <is>
          <t>gekuendigt per</t>
        </is>
      </c>
      <c r="F1" s="4" t="inlineStr">
        <is>
          <t>Rueckgabetermin</t>
        </is>
      </c>
      <c r="G1" s="4" t="inlineStr">
        <is>
          <t>Vermarktung gestartet am</t>
        </is>
      </c>
      <c r="H1" s="4" t="inlineStr">
        <is>
          <t>Neuvermietung ab</t>
        </is>
      </c>
      <c r="I1" s="4" t="inlineStr">
        <is>
          <t>Nettomiete/Monat</t>
        </is>
      </c>
      <c r="J1" s="4" t="inlineStr">
        <is>
          <t>Leerstandstage</t>
        </is>
      </c>
      <c r="K1" s="4" t="inlineStr">
        <is>
          <t>Leerstandskosten</t>
        </is>
      </c>
      <c r="L1" s="4" t="inlineStr">
        <is>
          <t>Status</t>
        </is>
      </c>
      <c r="M1" s="4" t="inlineStr">
        <is>
          <t>Verantwortlich</t>
        </is>
      </c>
      <c r="N1" s="4" t="inlineStr">
        <is>
          <t>Bemerkung</t>
        </is>
      </c>
    </row>
    <row r="2">
      <c r="A2" s="5" t="n"/>
      <c r="B2" s="5" t="n"/>
      <c r="C2" s="5" t="n"/>
      <c r="D2" s="5" t="n"/>
      <c r="E2" s="6" t="n"/>
      <c r="F2" s="6" t="n"/>
      <c r="G2" s="6" t="n"/>
      <c r="H2" s="6" t="n"/>
      <c r="I2" s="7" t="n"/>
      <c r="J2" s="8">
        <f>IF(F2="","",IF(H2="",TODAY()-F2,H2-F2))</f>
        <v/>
      </c>
      <c r="K2" s="9">
        <f>IF(OR(J2="",I2=""),"",J2/30*I2)</f>
        <v/>
      </c>
      <c r="L2" s="10">
        <f>IF(F2="","",IF(H2&lt;&gt;"","vermietet",IF(J2&lt;=30,"in Frist","ueberfaellig")))</f>
        <v/>
      </c>
      <c r="M2" s="5" t="n"/>
      <c r="N2" s="5" t="n"/>
    </row>
    <row r="3">
      <c r="A3" s="5" t="n"/>
      <c r="B3" s="5" t="n"/>
      <c r="C3" s="5" t="n"/>
      <c r="D3" s="5" t="n"/>
      <c r="E3" s="6" t="n"/>
      <c r="F3" s="6" t="n"/>
      <c r="G3" s="6" t="n"/>
      <c r="H3" s="6" t="n"/>
      <c r="I3" s="7" t="n"/>
      <c r="J3" s="8">
        <f>IF(F3="","",IF(H3="",TODAY()-F3,H3-F3))</f>
        <v/>
      </c>
      <c r="K3" s="9">
        <f>IF(OR(J3="",I3=""),"",J3/30*I3)</f>
        <v/>
      </c>
      <c r="L3" s="10">
        <f>IF(F3="","",IF(H3&lt;&gt;"","vermietet",IF(J3&lt;=30,"in Frist","ueberfaellig")))</f>
        <v/>
      </c>
      <c r="M3" s="5" t="n"/>
      <c r="N3" s="5" t="n"/>
    </row>
    <row r="4">
      <c r="A4" s="5" t="n"/>
      <c r="B4" s="5" t="n"/>
      <c r="C4" s="5" t="n"/>
      <c r="D4" s="5" t="n"/>
      <c r="E4" s="6" t="n"/>
      <c r="F4" s="6" t="n"/>
      <c r="G4" s="6" t="n"/>
      <c r="H4" s="6" t="n"/>
      <c r="I4" s="7" t="n"/>
      <c r="J4" s="8">
        <f>IF(F4="","",IF(H4="",TODAY()-F4,H4-F4))</f>
        <v/>
      </c>
      <c r="K4" s="9">
        <f>IF(OR(J4="",I4=""),"",J4/30*I4)</f>
        <v/>
      </c>
      <c r="L4" s="10">
        <f>IF(F4="","",IF(H4&lt;&gt;"","vermietet",IF(J4&lt;=30,"in Frist","ueberfaellig")))</f>
        <v/>
      </c>
      <c r="M4" s="5" t="n"/>
      <c r="N4" s="5" t="n"/>
    </row>
    <row r="5">
      <c r="A5" s="5" t="n"/>
      <c r="B5" s="5" t="n"/>
      <c r="C5" s="5" t="n"/>
      <c r="D5" s="5" t="n"/>
      <c r="E5" s="6" t="n"/>
      <c r="F5" s="6" t="n"/>
      <c r="G5" s="6" t="n"/>
      <c r="H5" s="6" t="n"/>
      <c r="I5" s="7" t="n"/>
      <c r="J5" s="8">
        <f>IF(F5="","",IF(H5="",TODAY()-F5,H5-F5))</f>
        <v/>
      </c>
      <c r="K5" s="9">
        <f>IF(OR(J5="",I5=""),"",J5/30*I5)</f>
        <v/>
      </c>
      <c r="L5" s="10">
        <f>IF(F5="","",IF(H5&lt;&gt;"","vermietet",IF(J5&lt;=30,"in Frist","ueberfaellig")))</f>
        <v/>
      </c>
      <c r="M5" s="5" t="n"/>
      <c r="N5" s="5" t="n"/>
    </row>
    <row r="6">
      <c r="A6" s="5" t="n"/>
      <c r="B6" s="5" t="n"/>
      <c r="C6" s="5" t="n"/>
      <c r="D6" s="5" t="n"/>
      <c r="E6" s="6" t="n"/>
      <c r="F6" s="6" t="n"/>
      <c r="G6" s="6" t="n"/>
      <c r="H6" s="6" t="n"/>
      <c r="I6" s="7" t="n"/>
      <c r="J6" s="8">
        <f>IF(F6="","",IF(H6="",TODAY()-F6,H6-F6))</f>
        <v/>
      </c>
      <c r="K6" s="9">
        <f>IF(OR(J6="",I6=""),"",J6/30*I6)</f>
        <v/>
      </c>
      <c r="L6" s="10">
        <f>IF(F6="","",IF(H6&lt;&gt;"","vermietet",IF(J6&lt;=30,"in Frist","ueberfaellig")))</f>
        <v/>
      </c>
      <c r="M6" s="5" t="n"/>
      <c r="N6" s="5" t="n"/>
    </row>
    <row r="7">
      <c r="A7" s="5" t="n"/>
      <c r="B7" s="5" t="n"/>
      <c r="C7" s="5" t="n"/>
      <c r="D7" s="5" t="n"/>
      <c r="E7" s="6" t="n"/>
      <c r="F7" s="6" t="n"/>
      <c r="G7" s="6" t="n"/>
      <c r="H7" s="6" t="n"/>
      <c r="I7" s="7" t="n"/>
      <c r="J7" s="8">
        <f>IF(F7="","",IF(H7="",TODAY()-F7,H7-F7))</f>
        <v/>
      </c>
      <c r="K7" s="9">
        <f>IF(OR(J7="",I7=""),"",J7/30*I7)</f>
        <v/>
      </c>
      <c r="L7" s="10">
        <f>IF(F7="","",IF(H7&lt;&gt;"","vermietet",IF(J7&lt;=30,"in Frist","ueberfaellig")))</f>
        <v/>
      </c>
      <c r="M7" s="5" t="n"/>
      <c r="N7" s="5" t="n"/>
    </row>
    <row r="8">
      <c r="A8" s="5" t="n"/>
      <c r="B8" s="5" t="n"/>
      <c r="C8" s="5" t="n"/>
      <c r="D8" s="5" t="n"/>
      <c r="E8" s="6" t="n"/>
      <c r="F8" s="6" t="n"/>
      <c r="G8" s="6" t="n"/>
      <c r="H8" s="6" t="n"/>
      <c r="I8" s="7" t="n"/>
      <c r="J8" s="8">
        <f>IF(F8="","",IF(H8="",TODAY()-F8,H8-F8))</f>
        <v/>
      </c>
      <c r="K8" s="9">
        <f>IF(OR(J8="",I8=""),"",J8/30*I8)</f>
        <v/>
      </c>
      <c r="L8" s="10">
        <f>IF(F8="","",IF(H8&lt;&gt;"","vermietet",IF(J8&lt;=30,"in Frist","ueberfaellig")))</f>
        <v/>
      </c>
      <c r="M8" s="5" t="n"/>
      <c r="N8" s="5" t="n"/>
    </row>
    <row r="9">
      <c r="A9" s="5" t="n"/>
      <c r="B9" s="5" t="n"/>
      <c r="C9" s="5" t="n"/>
      <c r="D9" s="5" t="n"/>
      <c r="E9" s="6" t="n"/>
      <c r="F9" s="6" t="n"/>
      <c r="G9" s="6" t="n"/>
      <c r="H9" s="6" t="n"/>
      <c r="I9" s="7" t="n"/>
      <c r="J9" s="8">
        <f>IF(F9="","",IF(H9="",TODAY()-F9,H9-F9))</f>
        <v/>
      </c>
      <c r="K9" s="9">
        <f>IF(OR(J9="",I9=""),"",J9/30*I9)</f>
        <v/>
      </c>
      <c r="L9" s="10">
        <f>IF(F9="","",IF(H9&lt;&gt;"","vermietet",IF(J9&lt;=30,"in Frist","ueberfaellig")))</f>
        <v/>
      </c>
      <c r="M9" s="5" t="n"/>
      <c r="N9" s="5" t="n"/>
    </row>
    <row r="10">
      <c r="A10" s="5" t="n"/>
      <c r="B10" s="5" t="n"/>
      <c r="C10" s="5" t="n"/>
      <c r="D10" s="5" t="n"/>
      <c r="E10" s="6" t="n"/>
      <c r="F10" s="6" t="n"/>
      <c r="G10" s="6" t="n"/>
      <c r="H10" s="6" t="n"/>
      <c r="I10" s="7" t="n"/>
      <c r="J10" s="8">
        <f>IF(F10="","",IF(H10="",TODAY()-F10,H10-F10))</f>
        <v/>
      </c>
      <c r="K10" s="9">
        <f>IF(OR(J10="",I10=""),"",J10/30*I10)</f>
        <v/>
      </c>
      <c r="L10" s="10">
        <f>IF(F10="","",IF(H10&lt;&gt;"","vermietet",IF(J10&lt;=30,"in Frist","ueberfaellig")))</f>
        <v/>
      </c>
      <c r="M10" s="5" t="n"/>
      <c r="N10" s="5" t="n"/>
    </row>
    <row r="11">
      <c r="A11" s="5" t="n"/>
      <c r="B11" s="5" t="n"/>
      <c r="C11" s="5" t="n"/>
      <c r="D11" s="5" t="n"/>
      <c r="E11" s="6" t="n"/>
      <c r="F11" s="6" t="n"/>
      <c r="G11" s="6" t="n"/>
      <c r="H11" s="6" t="n"/>
      <c r="I11" s="7" t="n"/>
      <c r="J11" s="8">
        <f>IF(F11="","",IF(H11="",TODAY()-F11,H11-F11))</f>
        <v/>
      </c>
      <c r="K11" s="9">
        <f>IF(OR(J11="",I11=""),"",J11/30*I11)</f>
        <v/>
      </c>
      <c r="L11" s="10">
        <f>IF(F11="","",IF(H11&lt;&gt;"","vermietet",IF(J11&lt;=30,"in Frist","ueberfaellig")))</f>
        <v/>
      </c>
      <c r="M11" s="5" t="n"/>
      <c r="N11" s="5" t="n"/>
    </row>
    <row r="12">
      <c r="A12" s="5" t="n"/>
      <c r="B12" s="5" t="n"/>
      <c r="C12" s="5" t="n"/>
      <c r="D12" s="5" t="n"/>
      <c r="E12" s="6" t="n"/>
      <c r="F12" s="6" t="n"/>
      <c r="G12" s="6" t="n"/>
      <c r="H12" s="6" t="n"/>
      <c r="I12" s="7" t="n"/>
      <c r="J12" s="8">
        <f>IF(F12="","",IF(H12="",TODAY()-F12,H12-F12))</f>
        <v/>
      </c>
      <c r="K12" s="9">
        <f>IF(OR(J12="",I12=""),"",J12/30*I12)</f>
        <v/>
      </c>
      <c r="L12" s="10">
        <f>IF(F12="","",IF(H12&lt;&gt;"","vermietet",IF(J12&lt;=30,"in Frist","ueberfaellig")))</f>
        <v/>
      </c>
      <c r="M12" s="5" t="n"/>
      <c r="N12" s="5" t="n"/>
    </row>
    <row r="13">
      <c r="A13" s="5" t="n"/>
      <c r="B13" s="5" t="n"/>
      <c r="C13" s="5" t="n"/>
      <c r="D13" s="5" t="n"/>
      <c r="E13" s="6" t="n"/>
      <c r="F13" s="6" t="n"/>
      <c r="G13" s="6" t="n"/>
      <c r="H13" s="6" t="n"/>
      <c r="I13" s="7" t="n"/>
      <c r="J13" s="8">
        <f>IF(F13="","",IF(H13="",TODAY()-F13,H13-F13))</f>
        <v/>
      </c>
      <c r="K13" s="9">
        <f>IF(OR(J13="",I13=""),"",J13/30*I13)</f>
        <v/>
      </c>
      <c r="L13" s="10">
        <f>IF(F13="","",IF(H13&lt;&gt;"","vermietet",IF(J13&lt;=30,"in Frist","ueberfaellig")))</f>
        <v/>
      </c>
      <c r="M13" s="5" t="n"/>
      <c r="N13" s="5" t="n"/>
    </row>
    <row r="14">
      <c r="A14" s="5" t="n"/>
      <c r="B14" s="5" t="n"/>
      <c r="C14" s="5" t="n"/>
      <c r="D14" s="5" t="n"/>
      <c r="E14" s="6" t="n"/>
      <c r="F14" s="6" t="n"/>
      <c r="G14" s="6" t="n"/>
      <c r="H14" s="6" t="n"/>
      <c r="I14" s="7" t="n"/>
      <c r="J14" s="8">
        <f>IF(F14="","",IF(H14="",TODAY()-F14,H14-F14))</f>
        <v/>
      </c>
      <c r="K14" s="9">
        <f>IF(OR(J14="",I14=""),"",J14/30*I14)</f>
        <v/>
      </c>
      <c r="L14" s="10">
        <f>IF(F14="","",IF(H14&lt;&gt;"","vermietet",IF(J14&lt;=30,"in Frist","ueberfaellig")))</f>
        <v/>
      </c>
      <c r="M14" s="5" t="n"/>
      <c r="N14" s="5" t="n"/>
    </row>
    <row r="15">
      <c r="A15" s="5" t="n"/>
      <c r="B15" s="5" t="n"/>
      <c r="C15" s="5" t="n"/>
      <c r="D15" s="5" t="n"/>
      <c r="E15" s="6" t="n"/>
      <c r="F15" s="6" t="n"/>
      <c r="G15" s="6" t="n"/>
      <c r="H15" s="6" t="n"/>
      <c r="I15" s="7" t="n"/>
      <c r="J15" s="8">
        <f>IF(F15="","",IF(H15="",TODAY()-F15,H15-F15))</f>
        <v/>
      </c>
      <c r="K15" s="9">
        <f>IF(OR(J15="",I15=""),"",J15/30*I15)</f>
        <v/>
      </c>
      <c r="L15" s="10">
        <f>IF(F15="","",IF(H15&lt;&gt;"","vermietet",IF(J15&lt;=30,"in Frist","ueberfaellig")))</f>
        <v/>
      </c>
      <c r="M15" s="5" t="n"/>
      <c r="N15" s="5" t="n"/>
    </row>
    <row r="16">
      <c r="A16" s="5" t="n"/>
      <c r="B16" s="5" t="n"/>
      <c r="C16" s="5" t="n"/>
      <c r="D16" s="5" t="n"/>
      <c r="E16" s="6" t="n"/>
      <c r="F16" s="6" t="n"/>
      <c r="G16" s="6" t="n"/>
      <c r="H16" s="6" t="n"/>
      <c r="I16" s="7" t="n"/>
      <c r="J16" s="8">
        <f>IF(F16="","",IF(H16="",TODAY()-F16,H16-F16))</f>
        <v/>
      </c>
      <c r="K16" s="9">
        <f>IF(OR(J16="",I16=""),"",J16/30*I16)</f>
        <v/>
      </c>
      <c r="L16" s="10">
        <f>IF(F16="","",IF(H16&lt;&gt;"","vermietet",IF(J16&lt;=30,"in Frist","ueberfaellig")))</f>
        <v/>
      </c>
      <c r="M16" s="5" t="n"/>
      <c r="N16" s="5" t="n"/>
    </row>
    <row r="17">
      <c r="A17" s="5" t="n"/>
      <c r="B17" s="5" t="n"/>
      <c r="C17" s="5" t="n"/>
      <c r="D17" s="5" t="n"/>
      <c r="E17" s="6" t="n"/>
      <c r="F17" s="6" t="n"/>
      <c r="G17" s="6" t="n"/>
      <c r="H17" s="6" t="n"/>
      <c r="I17" s="7" t="n"/>
      <c r="J17" s="8">
        <f>IF(F17="","",IF(H17="",TODAY()-F17,H17-F17))</f>
        <v/>
      </c>
      <c r="K17" s="9">
        <f>IF(OR(J17="",I17=""),"",J17/30*I17)</f>
        <v/>
      </c>
      <c r="L17" s="10">
        <f>IF(F17="","",IF(H17&lt;&gt;"","vermietet",IF(J17&lt;=30,"in Frist","ueberfaellig")))</f>
        <v/>
      </c>
      <c r="M17" s="5" t="n"/>
      <c r="N17" s="5" t="n"/>
    </row>
    <row r="18">
      <c r="A18" s="5" t="n"/>
      <c r="B18" s="5" t="n"/>
      <c r="C18" s="5" t="n"/>
      <c r="D18" s="5" t="n"/>
      <c r="E18" s="6" t="n"/>
      <c r="F18" s="6" t="n"/>
      <c r="G18" s="6" t="n"/>
      <c r="H18" s="6" t="n"/>
      <c r="I18" s="7" t="n"/>
      <c r="J18" s="8">
        <f>IF(F18="","",IF(H18="",TODAY()-F18,H18-F18))</f>
        <v/>
      </c>
      <c r="K18" s="9">
        <f>IF(OR(J18="",I18=""),"",J18/30*I18)</f>
        <v/>
      </c>
      <c r="L18" s="10">
        <f>IF(F18="","",IF(H18&lt;&gt;"","vermietet",IF(J18&lt;=30,"in Frist","ueberfaellig")))</f>
        <v/>
      </c>
      <c r="M18" s="5" t="n"/>
      <c r="N18" s="5" t="n"/>
    </row>
    <row r="19">
      <c r="A19" s="5" t="n"/>
      <c r="B19" s="5" t="n"/>
      <c r="C19" s="5" t="n"/>
      <c r="D19" s="5" t="n"/>
      <c r="E19" s="6" t="n"/>
      <c r="F19" s="6" t="n"/>
      <c r="G19" s="6" t="n"/>
      <c r="H19" s="6" t="n"/>
      <c r="I19" s="7" t="n"/>
      <c r="J19" s="8">
        <f>IF(F19="","",IF(H19="",TODAY()-F19,H19-F19))</f>
        <v/>
      </c>
      <c r="K19" s="9">
        <f>IF(OR(J19="",I19=""),"",J19/30*I19)</f>
        <v/>
      </c>
      <c r="L19" s="10">
        <f>IF(F19="","",IF(H19&lt;&gt;"","vermietet",IF(J19&lt;=30,"in Frist","ueberfaellig")))</f>
        <v/>
      </c>
      <c r="M19" s="5" t="n"/>
      <c r="N19" s="5" t="n"/>
    </row>
    <row r="20">
      <c r="A20" s="5" t="n"/>
      <c r="B20" s="5" t="n"/>
      <c r="C20" s="5" t="n"/>
      <c r="D20" s="5" t="n"/>
      <c r="E20" s="6" t="n"/>
      <c r="F20" s="6" t="n"/>
      <c r="G20" s="6" t="n"/>
      <c r="H20" s="6" t="n"/>
      <c r="I20" s="7" t="n"/>
      <c r="J20" s="8">
        <f>IF(F20="","",IF(H20="",TODAY()-F20,H20-F20))</f>
        <v/>
      </c>
      <c r="K20" s="9">
        <f>IF(OR(J20="",I20=""),"",J20/30*I20)</f>
        <v/>
      </c>
      <c r="L20" s="10">
        <f>IF(F20="","",IF(H20&lt;&gt;"","vermietet",IF(J20&lt;=30,"in Frist","ueberfaellig")))</f>
        <v/>
      </c>
      <c r="M20" s="5" t="n"/>
      <c r="N20" s="5" t="n"/>
    </row>
    <row r="21">
      <c r="A21" s="5" t="n"/>
      <c r="B21" s="5" t="n"/>
      <c r="C21" s="5" t="n"/>
      <c r="D21" s="5" t="n"/>
      <c r="E21" s="6" t="n"/>
      <c r="F21" s="6" t="n"/>
      <c r="G21" s="6" t="n"/>
      <c r="H21" s="6" t="n"/>
      <c r="I21" s="7" t="n"/>
      <c r="J21" s="8">
        <f>IF(F21="","",IF(H21="",TODAY()-F21,H21-F21))</f>
        <v/>
      </c>
      <c r="K21" s="9">
        <f>IF(OR(J21="",I21=""),"",J21/30*I21)</f>
        <v/>
      </c>
      <c r="L21" s="10">
        <f>IF(F21="","",IF(H21&lt;&gt;"","vermietet",IF(J21&lt;=30,"in Frist","ueberfaellig")))</f>
        <v/>
      </c>
      <c r="M21" s="5" t="n"/>
      <c r="N21" s="5" t="n"/>
    </row>
    <row r="22">
      <c r="A22" s="5" t="n"/>
      <c r="B22" s="5" t="n"/>
      <c r="C22" s="5" t="n"/>
      <c r="D22" s="5" t="n"/>
      <c r="E22" s="6" t="n"/>
      <c r="F22" s="6" t="n"/>
      <c r="G22" s="6" t="n"/>
      <c r="H22" s="6" t="n"/>
      <c r="I22" s="7" t="n"/>
      <c r="J22" s="8">
        <f>IF(F22="","",IF(H22="",TODAY()-F22,H22-F22))</f>
        <v/>
      </c>
      <c r="K22" s="9">
        <f>IF(OR(J22="",I22=""),"",J22/30*I22)</f>
        <v/>
      </c>
      <c r="L22" s="10">
        <f>IF(F22="","",IF(H22&lt;&gt;"","vermietet",IF(J22&lt;=30,"in Frist","ueberfaellig")))</f>
        <v/>
      </c>
      <c r="M22" s="5" t="n"/>
      <c r="N22" s="5" t="n"/>
    </row>
    <row r="23">
      <c r="A23" s="5" t="n"/>
      <c r="B23" s="5" t="n"/>
      <c r="C23" s="5" t="n"/>
      <c r="D23" s="5" t="n"/>
      <c r="E23" s="6" t="n"/>
      <c r="F23" s="6" t="n"/>
      <c r="G23" s="6" t="n"/>
      <c r="H23" s="6" t="n"/>
      <c r="I23" s="7" t="n"/>
      <c r="J23" s="8">
        <f>IF(F23="","",IF(H23="",TODAY()-F23,H23-F23))</f>
        <v/>
      </c>
      <c r="K23" s="9">
        <f>IF(OR(J23="",I23=""),"",J23/30*I23)</f>
        <v/>
      </c>
      <c r="L23" s="10">
        <f>IF(F23="","",IF(H23&lt;&gt;"","vermietet",IF(J23&lt;=30,"in Frist","ueberfaellig")))</f>
        <v/>
      </c>
      <c r="M23" s="5" t="n"/>
      <c r="N23" s="5" t="n"/>
    </row>
    <row r="24">
      <c r="A24" s="5" t="n"/>
      <c r="B24" s="5" t="n"/>
      <c r="C24" s="5" t="n"/>
      <c r="D24" s="5" t="n"/>
      <c r="E24" s="6" t="n"/>
      <c r="F24" s="6" t="n"/>
      <c r="G24" s="6" t="n"/>
      <c r="H24" s="6" t="n"/>
      <c r="I24" s="7" t="n"/>
      <c r="J24" s="8">
        <f>IF(F24="","",IF(H24="",TODAY()-F24,H24-F24))</f>
        <v/>
      </c>
      <c r="K24" s="9">
        <f>IF(OR(J24="",I24=""),"",J24/30*I24)</f>
        <v/>
      </c>
      <c r="L24" s="10">
        <f>IF(F24="","",IF(H24&lt;&gt;"","vermietet",IF(J24&lt;=30,"in Frist","ueberfaellig")))</f>
        <v/>
      </c>
      <c r="M24" s="5" t="n"/>
      <c r="N24" s="5" t="n"/>
    </row>
    <row r="25">
      <c r="A25" s="5" t="n"/>
      <c r="B25" s="5" t="n"/>
      <c r="C25" s="5" t="n"/>
      <c r="D25" s="5" t="n"/>
      <c r="E25" s="6" t="n"/>
      <c r="F25" s="6" t="n"/>
      <c r="G25" s="6" t="n"/>
      <c r="H25" s="6" t="n"/>
      <c r="I25" s="7" t="n"/>
      <c r="J25" s="8">
        <f>IF(F25="","",IF(H25="",TODAY()-F25,H25-F25))</f>
        <v/>
      </c>
      <c r="K25" s="9">
        <f>IF(OR(J25="",I25=""),"",J25/30*I25)</f>
        <v/>
      </c>
      <c r="L25" s="10">
        <f>IF(F25="","",IF(H25&lt;&gt;"","vermietet",IF(J25&lt;=30,"in Frist","ueberfaellig")))</f>
        <v/>
      </c>
      <c r="M25" s="5" t="n"/>
      <c r="N25" s="5" t="n"/>
    </row>
    <row r="26">
      <c r="A26" s="5" t="n"/>
      <c r="B26" s="5" t="n"/>
      <c r="C26" s="5" t="n"/>
      <c r="D26" s="5" t="n"/>
      <c r="E26" s="6" t="n"/>
      <c r="F26" s="6" t="n"/>
      <c r="G26" s="6" t="n"/>
      <c r="H26" s="6" t="n"/>
      <c r="I26" s="7" t="n"/>
      <c r="J26" s="8">
        <f>IF(F26="","",IF(H26="",TODAY()-F26,H26-F26))</f>
        <v/>
      </c>
      <c r="K26" s="9">
        <f>IF(OR(J26="",I26=""),"",J26/30*I26)</f>
        <v/>
      </c>
      <c r="L26" s="10">
        <f>IF(F26="","",IF(H26&lt;&gt;"","vermietet",IF(J26&lt;=30,"in Frist","ueberfaellig")))</f>
        <v/>
      </c>
      <c r="M26" s="5" t="n"/>
      <c r="N26" s="5" t="n"/>
    </row>
    <row r="27">
      <c r="A27" s="5" t="n"/>
      <c r="B27" s="5" t="n"/>
      <c r="C27" s="5" t="n"/>
      <c r="D27" s="5" t="n"/>
      <c r="E27" s="6" t="n"/>
      <c r="F27" s="6" t="n"/>
      <c r="G27" s="6" t="n"/>
      <c r="H27" s="6" t="n"/>
      <c r="I27" s="7" t="n"/>
      <c r="J27" s="8">
        <f>IF(F27="","",IF(H27="",TODAY()-F27,H27-F27))</f>
        <v/>
      </c>
      <c r="K27" s="9">
        <f>IF(OR(J27="",I27=""),"",J27/30*I27)</f>
        <v/>
      </c>
      <c r="L27" s="10">
        <f>IF(F27="","",IF(H27&lt;&gt;"","vermietet",IF(J27&lt;=30,"in Frist","ueberfaellig")))</f>
        <v/>
      </c>
      <c r="M27" s="5" t="n"/>
      <c r="N27" s="5" t="n"/>
    </row>
    <row r="28">
      <c r="A28" s="5" t="n"/>
      <c r="B28" s="5" t="n"/>
      <c r="C28" s="5" t="n"/>
      <c r="D28" s="5" t="n"/>
      <c r="E28" s="6" t="n"/>
      <c r="F28" s="6" t="n"/>
      <c r="G28" s="6" t="n"/>
      <c r="H28" s="6" t="n"/>
      <c r="I28" s="7" t="n"/>
      <c r="J28" s="8">
        <f>IF(F28="","",IF(H28="",TODAY()-F28,H28-F28))</f>
        <v/>
      </c>
      <c r="K28" s="9">
        <f>IF(OR(J28="",I28=""),"",J28/30*I28)</f>
        <v/>
      </c>
      <c r="L28" s="10">
        <f>IF(F28="","",IF(H28&lt;&gt;"","vermietet",IF(J28&lt;=30,"in Frist","ueberfaellig")))</f>
        <v/>
      </c>
      <c r="M28" s="5" t="n"/>
      <c r="N28" s="5" t="n"/>
    </row>
    <row r="29">
      <c r="A29" s="5" t="n"/>
      <c r="B29" s="5" t="n"/>
      <c r="C29" s="5" t="n"/>
      <c r="D29" s="5" t="n"/>
      <c r="E29" s="6" t="n"/>
      <c r="F29" s="6" t="n"/>
      <c r="G29" s="6" t="n"/>
      <c r="H29" s="6" t="n"/>
      <c r="I29" s="7" t="n"/>
      <c r="J29" s="8">
        <f>IF(F29="","",IF(H29="",TODAY()-F29,H29-F29))</f>
        <v/>
      </c>
      <c r="K29" s="9">
        <f>IF(OR(J29="",I29=""),"",J29/30*I29)</f>
        <v/>
      </c>
      <c r="L29" s="10">
        <f>IF(F29="","",IF(H29&lt;&gt;"","vermietet",IF(J29&lt;=30,"in Frist","ueberfaellig")))</f>
        <v/>
      </c>
      <c r="M29" s="5" t="n"/>
      <c r="N29" s="5" t="n"/>
    </row>
    <row r="30">
      <c r="A30" s="5" t="n"/>
      <c r="B30" s="5" t="n"/>
      <c r="C30" s="5" t="n"/>
      <c r="D30" s="5" t="n"/>
      <c r="E30" s="6" t="n"/>
      <c r="F30" s="6" t="n"/>
      <c r="G30" s="6" t="n"/>
      <c r="H30" s="6" t="n"/>
      <c r="I30" s="7" t="n"/>
      <c r="J30" s="8">
        <f>IF(F30="","",IF(H30="",TODAY()-F30,H30-F30))</f>
        <v/>
      </c>
      <c r="K30" s="9">
        <f>IF(OR(J30="",I30=""),"",J30/30*I30)</f>
        <v/>
      </c>
      <c r="L30" s="10">
        <f>IF(F30="","",IF(H30&lt;&gt;"","vermietet",IF(J30&lt;=30,"in Frist","ueberfaellig")))</f>
        <v/>
      </c>
      <c r="M30" s="5" t="n"/>
      <c r="N30" s="5" t="n"/>
    </row>
    <row r="31">
      <c r="A31" s="5" t="n"/>
      <c r="B31" s="5" t="n"/>
      <c r="C31" s="5" t="n"/>
      <c r="D31" s="5" t="n"/>
      <c r="E31" s="6" t="n"/>
      <c r="F31" s="6" t="n"/>
      <c r="G31" s="6" t="n"/>
      <c r="H31" s="6" t="n"/>
      <c r="I31" s="7" t="n"/>
      <c r="J31" s="8">
        <f>IF(F31="","",IF(H31="",TODAY()-F31,H31-F31))</f>
        <v/>
      </c>
      <c r="K31" s="9">
        <f>IF(OR(J31="",I31=""),"",J31/30*I31)</f>
        <v/>
      </c>
      <c r="L31" s="10">
        <f>IF(F31="","",IF(H31&lt;&gt;"","vermietet",IF(J31&lt;=30,"in Frist","ueberfaellig")))</f>
        <v/>
      </c>
      <c r="M31" s="5" t="n"/>
      <c r="N31" s="5" t="n"/>
    </row>
    <row r="32">
      <c r="A32" s="5" t="n"/>
      <c r="B32" s="5" t="n"/>
      <c r="C32" s="5" t="n"/>
      <c r="D32" s="5" t="n"/>
      <c r="E32" s="6" t="n"/>
      <c r="F32" s="6" t="n"/>
      <c r="G32" s="6" t="n"/>
      <c r="H32" s="6" t="n"/>
      <c r="I32" s="7" t="n"/>
      <c r="J32" s="8">
        <f>IF(F32="","",IF(H32="",TODAY()-F32,H32-F32))</f>
        <v/>
      </c>
      <c r="K32" s="9">
        <f>IF(OR(J32="",I32=""),"",J32/30*I32)</f>
        <v/>
      </c>
      <c r="L32" s="10">
        <f>IF(F32="","",IF(H32&lt;&gt;"","vermietet",IF(J32&lt;=30,"in Frist","ueberfaellig")))</f>
        <v/>
      </c>
      <c r="M32" s="5" t="n"/>
      <c r="N32" s="5" t="n"/>
    </row>
    <row r="33">
      <c r="A33" s="5" t="n"/>
      <c r="B33" s="5" t="n"/>
      <c r="C33" s="5" t="n"/>
      <c r="D33" s="5" t="n"/>
      <c r="E33" s="6" t="n"/>
      <c r="F33" s="6" t="n"/>
      <c r="G33" s="6" t="n"/>
      <c r="H33" s="6" t="n"/>
      <c r="I33" s="7" t="n"/>
      <c r="J33" s="8">
        <f>IF(F33="","",IF(H33="",TODAY()-F33,H33-F33))</f>
        <v/>
      </c>
      <c r="K33" s="9">
        <f>IF(OR(J33="",I33=""),"",J33/30*I33)</f>
        <v/>
      </c>
      <c r="L33" s="10">
        <f>IF(F33="","",IF(H33&lt;&gt;"","vermietet",IF(J33&lt;=30,"in Frist","ueberfaellig")))</f>
        <v/>
      </c>
      <c r="M33" s="5" t="n"/>
      <c r="N33" s="5" t="n"/>
    </row>
    <row r="34">
      <c r="A34" s="5" t="n"/>
      <c r="B34" s="5" t="n"/>
      <c r="C34" s="5" t="n"/>
      <c r="D34" s="5" t="n"/>
      <c r="E34" s="6" t="n"/>
      <c r="F34" s="6" t="n"/>
      <c r="G34" s="6" t="n"/>
      <c r="H34" s="6" t="n"/>
      <c r="I34" s="7" t="n"/>
      <c r="J34" s="8">
        <f>IF(F34="","",IF(H34="",TODAY()-F34,H34-F34))</f>
        <v/>
      </c>
      <c r="K34" s="9">
        <f>IF(OR(J34="",I34=""),"",J34/30*I34)</f>
        <v/>
      </c>
      <c r="L34" s="10">
        <f>IF(F34="","",IF(H34&lt;&gt;"","vermietet",IF(J34&lt;=30,"in Frist","ueberfaellig")))</f>
        <v/>
      </c>
      <c r="M34" s="5" t="n"/>
      <c r="N34" s="5" t="n"/>
    </row>
    <row r="35">
      <c r="A35" s="5" t="n"/>
      <c r="B35" s="5" t="n"/>
      <c r="C35" s="5" t="n"/>
      <c r="D35" s="5" t="n"/>
      <c r="E35" s="6" t="n"/>
      <c r="F35" s="6" t="n"/>
      <c r="G35" s="6" t="n"/>
      <c r="H35" s="6" t="n"/>
      <c r="I35" s="7" t="n"/>
      <c r="J35" s="8">
        <f>IF(F35="","",IF(H35="",TODAY()-F35,H35-F35))</f>
        <v/>
      </c>
      <c r="K35" s="9">
        <f>IF(OR(J35="",I35=""),"",J35/30*I35)</f>
        <v/>
      </c>
      <c r="L35" s="10">
        <f>IF(F35="","",IF(H35&lt;&gt;"","vermietet",IF(J35&lt;=30,"in Frist","ueberfaellig")))</f>
        <v/>
      </c>
      <c r="M35" s="5" t="n"/>
      <c r="N35" s="5" t="n"/>
    </row>
    <row r="36">
      <c r="A36" s="5" t="n"/>
      <c r="B36" s="5" t="n"/>
      <c r="C36" s="5" t="n"/>
      <c r="D36" s="5" t="n"/>
      <c r="E36" s="6" t="n"/>
      <c r="F36" s="6" t="n"/>
      <c r="G36" s="6" t="n"/>
      <c r="H36" s="6" t="n"/>
      <c r="I36" s="7" t="n"/>
      <c r="J36" s="8">
        <f>IF(F36="","",IF(H36="",TODAY()-F36,H36-F36))</f>
        <v/>
      </c>
      <c r="K36" s="9">
        <f>IF(OR(J36="",I36=""),"",J36/30*I36)</f>
        <v/>
      </c>
      <c r="L36" s="10">
        <f>IF(F36="","",IF(H36&lt;&gt;"","vermietet",IF(J36&lt;=30,"in Frist","ueberfaellig")))</f>
        <v/>
      </c>
      <c r="M36" s="5" t="n"/>
      <c r="N36" s="5" t="n"/>
    </row>
    <row r="37">
      <c r="A37" s="5" t="n"/>
      <c r="B37" s="5" t="n"/>
      <c r="C37" s="5" t="n"/>
      <c r="D37" s="5" t="n"/>
      <c r="E37" s="6" t="n"/>
      <c r="F37" s="6" t="n"/>
      <c r="G37" s="6" t="n"/>
      <c r="H37" s="6" t="n"/>
      <c r="I37" s="7" t="n"/>
      <c r="J37" s="8">
        <f>IF(F37="","",IF(H37="",TODAY()-F37,H37-F37))</f>
        <v/>
      </c>
      <c r="K37" s="9">
        <f>IF(OR(J37="",I37=""),"",J37/30*I37)</f>
        <v/>
      </c>
      <c r="L37" s="10">
        <f>IF(F37="","",IF(H37&lt;&gt;"","vermietet",IF(J37&lt;=30,"in Frist","ueberfaellig")))</f>
        <v/>
      </c>
      <c r="M37" s="5" t="n"/>
      <c r="N37" s="5" t="n"/>
    </row>
    <row r="38">
      <c r="A38" s="5" t="n"/>
      <c r="B38" s="5" t="n"/>
      <c r="C38" s="5" t="n"/>
      <c r="D38" s="5" t="n"/>
      <c r="E38" s="6" t="n"/>
      <c r="F38" s="6" t="n"/>
      <c r="G38" s="6" t="n"/>
      <c r="H38" s="6" t="n"/>
      <c r="I38" s="7" t="n"/>
      <c r="J38" s="8">
        <f>IF(F38="","",IF(H38="",TODAY()-F38,H38-F38))</f>
        <v/>
      </c>
      <c r="K38" s="9">
        <f>IF(OR(J38="",I38=""),"",J38/30*I38)</f>
        <v/>
      </c>
      <c r="L38" s="10">
        <f>IF(F38="","",IF(H38&lt;&gt;"","vermietet",IF(J38&lt;=30,"in Frist","ueberfaellig")))</f>
        <v/>
      </c>
      <c r="M38" s="5" t="n"/>
      <c r="N38" s="5" t="n"/>
    </row>
    <row r="39">
      <c r="A39" s="5" t="n"/>
      <c r="B39" s="5" t="n"/>
      <c r="C39" s="5" t="n"/>
      <c r="D39" s="5" t="n"/>
      <c r="E39" s="6" t="n"/>
      <c r="F39" s="6" t="n"/>
      <c r="G39" s="6" t="n"/>
      <c r="H39" s="6" t="n"/>
      <c r="I39" s="7" t="n"/>
      <c r="J39" s="8">
        <f>IF(F39="","",IF(H39="",TODAY()-F39,H39-F39))</f>
        <v/>
      </c>
      <c r="K39" s="9">
        <f>IF(OR(J39="",I39=""),"",J39/30*I39)</f>
        <v/>
      </c>
      <c r="L39" s="10">
        <f>IF(F39="","",IF(H39&lt;&gt;"","vermietet",IF(J39&lt;=30,"in Frist","ueberfaellig")))</f>
        <v/>
      </c>
      <c r="M39" s="5" t="n"/>
      <c r="N39" s="5" t="n"/>
    </row>
    <row r="40">
      <c r="A40" s="5" t="n"/>
      <c r="B40" s="5" t="n"/>
      <c r="C40" s="5" t="n"/>
      <c r="D40" s="5" t="n"/>
      <c r="E40" s="6" t="n"/>
      <c r="F40" s="6" t="n"/>
      <c r="G40" s="6" t="n"/>
      <c r="H40" s="6" t="n"/>
      <c r="I40" s="7" t="n"/>
      <c r="J40" s="8">
        <f>IF(F40="","",IF(H40="",TODAY()-F40,H40-F40))</f>
        <v/>
      </c>
      <c r="K40" s="9">
        <f>IF(OR(J40="",I40=""),"",J40/30*I40)</f>
        <v/>
      </c>
      <c r="L40" s="10">
        <f>IF(F40="","",IF(H40&lt;&gt;"","vermietet",IF(J40&lt;=30,"in Frist","ueberfaellig")))</f>
        <v/>
      </c>
      <c r="M40" s="5" t="n"/>
      <c r="N40" s="5" t="n"/>
    </row>
    <row r="41">
      <c r="A41" s="5" t="n"/>
      <c r="B41" s="5" t="n"/>
      <c r="C41" s="5" t="n"/>
      <c r="D41" s="5" t="n"/>
      <c r="E41" s="6" t="n"/>
      <c r="F41" s="6" t="n"/>
      <c r="G41" s="6" t="n"/>
      <c r="H41" s="6" t="n"/>
      <c r="I41" s="7" t="n"/>
      <c r="J41" s="8">
        <f>IF(F41="","",IF(H41="",TODAY()-F41,H41-F41))</f>
        <v/>
      </c>
      <c r="K41" s="9">
        <f>IF(OR(J41="",I41=""),"",J41/30*I41)</f>
        <v/>
      </c>
      <c r="L41" s="10">
        <f>IF(F41="","",IF(H41&lt;&gt;"","vermietet",IF(J41&lt;=30,"in Frist","ueberfaellig")))</f>
        <v/>
      </c>
      <c r="M41" s="5" t="n"/>
      <c r="N41" s="5" t="n"/>
    </row>
    <row r="42">
      <c r="A42" s="5" t="n"/>
      <c r="B42" s="5" t="n"/>
      <c r="C42" s="5" t="n"/>
      <c r="D42" s="5" t="n"/>
      <c r="E42" s="6" t="n"/>
      <c r="F42" s="6" t="n"/>
      <c r="G42" s="6" t="n"/>
      <c r="H42" s="6" t="n"/>
      <c r="I42" s="7" t="n"/>
      <c r="J42" s="8">
        <f>IF(F42="","",IF(H42="",TODAY()-F42,H42-F42))</f>
        <v/>
      </c>
      <c r="K42" s="9">
        <f>IF(OR(J42="",I42=""),"",J42/30*I42)</f>
        <v/>
      </c>
      <c r="L42" s="10">
        <f>IF(F42="","",IF(H42&lt;&gt;"","vermietet",IF(J42&lt;=30,"in Frist","ueberfaellig")))</f>
        <v/>
      </c>
      <c r="M42" s="5" t="n"/>
      <c r="N42" s="5" t="n"/>
    </row>
    <row r="43">
      <c r="A43" s="5" t="n"/>
      <c r="B43" s="5" t="n"/>
      <c r="C43" s="5" t="n"/>
      <c r="D43" s="5" t="n"/>
      <c r="E43" s="6" t="n"/>
      <c r="F43" s="6" t="n"/>
      <c r="G43" s="6" t="n"/>
      <c r="H43" s="6" t="n"/>
      <c r="I43" s="7" t="n"/>
      <c r="J43" s="8">
        <f>IF(F43="","",IF(H43="",TODAY()-F43,H43-F43))</f>
        <v/>
      </c>
      <c r="K43" s="9">
        <f>IF(OR(J43="",I43=""),"",J43/30*I43)</f>
        <v/>
      </c>
      <c r="L43" s="10">
        <f>IF(F43="","",IF(H43&lt;&gt;"","vermietet",IF(J43&lt;=30,"in Frist","ueberfaellig")))</f>
        <v/>
      </c>
      <c r="M43" s="5" t="n"/>
      <c r="N43" s="5" t="n"/>
    </row>
    <row r="44">
      <c r="A44" s="5" t="n"/>
      <c r="B44" s="5" t="n"/>
      <c r="C44" s="5" t="n"/>
      <c r="D44" s="5" t="n"/>
      <c r="E44" s="6" t="n"/>
      <c r="F44" s="6" t="n"/>
      <c r="G44" s="6" t="n"/>
      <c r="H44" s="6" t="n"/>
      <c r="I44" s="7" t="n"/>
      <c r="J44" s="8">
        <f>IF(F44="","",IF(H44="",TODAY()-F44,H44-F44))</f>
        <v/>
      </c>
      <c r="K44" s="9">
        <f>IF(OR(J44="",I44=""),"",J44/30*I44)</f>
        <v/>
      </c>
      <c r="L44" s="10">
        <f>IF(F44="","",IF(H44&lt;&gt;"","vermietet",IF(J44&lt;=30,"in Frist","ueberfaellig")))</f>
        <v/>
      </c>
      <c r="M44" s="5" t="n"/>
      <c r="N44" s="5" t="n"/>
    </row>
    <row r="45">
      <c r="A45" s="5" t="n"/>
      <c r="B45" s="5" t="n"/>
      <c r="C45" s="5" t="n"/>
      <c r="D45" s="5" t="n"/>
      <c r="E45" s="6" t="n"/>
      <c r="F45" s="6" t="n"/>
      <c r="G45" s="6" t="n"/>
      <c r="H45" s="6" t="n"/>
      <c r="I45" s="7" t="n"/>
      <c r="J45" s="8">
        <f>IF(F45="","",IF(H45="",TODAY()-F45,H45-F45))</f>
        <v/>
      </c>
      <c r="K45" s="9">
        <f>IF(OR(J45="",I45=""),"",J45/30*I45)</f>
        <v/>
      </c>
      <c r="L45" s="10">
        <f>IF(F45="","",IF(H45&lt;&gt;"","vermietet",IF(J45&lt;=30,"in Frist","ueberfaellig")))</f>
        <v/>
      </c>
      <c r="M45" s="5" t="n"/>
      <c r="N45" s="5" t="n"/>
    </row>
    <row r="46">
      <c r="A46" s="5" t="n"/>
      <c r="B46" s="5" t="n"/>
      <c r="C46" s="5" t="n"/>
      <c r="D46" s="5" t="n"/>
      <c r="E46" s="6" t="n"/>
      <c r="F46" s="6" t="n"/>
      <c r="G46" s="6" t="n"/>
      <c r="H46" s="6" t="n"/>
      <c r="I46" s="7" t="n"/>
      <c r="J46" s="8">
        <f>IF(F46="","",IF(H46="",TODAY()-F46,H46-F46))</f>
        <v/>
      </c>
      <c r="K46" s="9">
        <f>IF(OR(J46="",I46=""),"",J46/30*I46)</f>
        <v/>
      </c>
      <c r="L46" s="10">
        <f>IF(F46="","",IF(H46&lt;&gt;"","vermietet",IF(J46&lt;=30,"in Frist","ueberfaellig")))</f>
        <v/>
      </c>
      <c r="M46" s="5" t="n"/>
      <c r="N46" s="5" t="n"/>
    </row>
    <row r="47">
      <c r="A47" s="5" t="n"/>
      <c r="B47" s="5" t="n"/>
      <c r="C47" s="5" t="n"/>
      <c r="D47" s="5" t="n"/>
      <c r="E47" s="6" t="n"/>
      <c r="F47" s="6" t="n"/>
      <c r="G47" s="6" t="n"/>
      <c r="H47" s="6" t="n"/>
      <c r="I47" s="7" t="n"/>
      <c r="J47" s="8">
        <f>IF(F47="","",IF(H47="",TODAY()-F47,H47-F47))</f>
        <v/>
      </c>
      <c r="K47" s="9">
        <f>IF(OR(J47="",I47=""),"",J47/30*I47)</f>
        <v/>
      </c>
      <c r="L47" s="10">
        <f>IF(F47="","",IF(H47&lt;&gt;"","vermietet",IF(J47&lt;=30,"in Frist","ueberfaellig")))</f>
        <v/>
      </c>
      <c r="M47" s="5" t="n"/>
      <c r="N47" s="5" t="n"/>
    </row>
    <row r="48">
      <c r="A48" s="5" t="n"/>
      <c r="B48" s="5" t="n"/>
      <c r="C48" s="5" t="n"/>
      <c r="D48" s="5" t="n"/>
      <c r="E48" s="6" t="n"/>
      <c r="F48" s="6" t="n"/>
      <c r="G48" s="6" t="n"/>
      <c r="H48" s="6" t="n"/>
      <c r="I48" s="7" t="n"/>
      <c r="J48" s="8">
        <f>IF(F48="","",IF(H48="",TODAY()-F48,H48-F48))</f>
        <v/>
      </c>
      <c r="K48" s="9">
        <f>IF(OR(J48="",I48=""),"",J48/30*I48)</f>
        <v/>
      </c>
      <c r="L48" s="10">
        <f>IF(F48="","",IF(H48&lt;&gt;"","vermietet",IF(J48&lt;=30,"in Frist","ueberfaellig")))</f>
        <v/>
      </c>
      <c r="M48" s="5" t="n"/>
      <c r="N48" s="5" t="n"/>
    </row>
    <row r="49">
      <c r="A49" s="5" t="n"/>
      <c r="B49" s="5" t="n"/>
      <c r="C49" s="5" t="n"/>
      <c r="D49" s="5" t="n"/>
      <c r="E49" s="6" t="n"/>
      <c r="F49" s="6" t="n"/>
      <c r="G49" s="6" t="n"/>
      <c r="H49" s="6" t="n"/>
      <c r="I49" s="7" t="n"/>
      <c r="J49" s="8">
        <f>IF(F49="","",IF(H49="",TODAY()-F49,H49-F49))</f>
        <v/>
      </c>
      <c r="K49" s="9">
        <f>IF(OR(J49="",I49=""),"",J49/30*I49)</f>
        <v/>
      </c>
      <c r="L49" s="10">
        <f>IF(F49="","",IF(H49&lt;&gt;"","vermietet",IF(J49&lt;=30,"in Frist","ueberfaellig")))</f>
        <v/>
      </c>
      <c r="M49" s="5" t="n"/>
      <c r="N49" s="5" t="n"/>
    </row>
    <row r="50">
      <c r="A50" s="5" t="n"/>
      <c r="B50" s="5" t="n"/>
      <c r="C50" s="5" t="n"/>
      <c r="D50" s="5" t="n"/>
      <c r="E50" s="6" t="n"/>
      <c r="F50" s="6" t="n"/>
      <c r="G50" s="6" t="n"/>
      <c r="H50" s="6" t="n"/>
      <c r="I50" s="7" t="n"/>
      <c r="J50" s="8">
        <f>IF(F50="","",IF(H50="",TODAY()-F50,H50-F50))</f>
        <v/>
      </c>
      <c r="K50" s="9">
        <f>IF(OR(J50="",I50=""),"",J50/30*I50)</f>
        <v/>
      </c>
      <c r="L50" s="10">
        <f>IF(F50="","",IF(H50&lt;&gt;"","vermietet",IF(J50&lt;=30,"in Frist","ueberfaellig")))</f>
        <v/>
      </c>
      <c r="M50" s="5" t="n"/>
      <c r="N50" s="5" t="n"/>
    </row>
    <row r="51">
      <c r="A51" s="5" t="n"/>
      <c r="B51" s="5" t="n"/>
      <c r="C51" s="5" t="n"/>
      <c r="D51" s="5" t="n"/>
      <c r="E51" s="6" t="n"/>
      <c r="F51" s="6" t="n"/>
      <c r="G51" s="6" t="n"/>
      <c r="H51" s="6" t="n"/>
      <c r="I51" s="7" t="n"/>
      <c r="J51" s="8">
        <f>IF(F51="","",IF(H51="",TODAY()-F51,H51-F51))</f>
        <v/>
      </c>
      <c r="K51" s="9">
        <f>IF(OR(J51="",I51=""),"",J51/30*I51)</f>
        <v/>
      </c>
      <c r="L51" s="10">
        <f>IF(F51="","",IF(H51&lt;&gt;"","vermietet",IF(J51&lt;=30,"in Frist","ueberfaellig")))</f>
        <v/>
      </c>
      <c r="M51" s="5" t="n"/>
      <c r="N51" s="5" t="n"/>
    </row>
    <row r="52">
      <c r="A52" s="5" t="n"/>
      <c r="B52" s="5" t="n"/>
      <c r="C52" s="5" t="n"/>
      <c r="D52" s="5" t="n"/>
      <c r="E52" s="6" t="n"/>
      <c r="F52" s="6" t="n"/>
      <c r="G52" s="6" t="n"/>
      <c r="H52" s="6" t="n"/>
      <c r="I52" s="7" t="n"/>
      <c r="J52" s="8">
        <f>IF(F52="","",IF(H52="",TODAY()-F52,H52-F52))</f>
        <v/>
      </c>
      <c r="K52" s="9">
        <f>IF(OR(J52="",I52=""),"",J52/30*I52)</f>
        <v/>
      </c>
      <c r="L52" s="10">
        <f>IF(F52="","",IF(H52&lt;&gt;"","vermietet",IF(J52&lt;=30,"in Frist","ueberfaellig")))</f>
        <v/>
      </c>
      <c r="M52" s="5" t="n"/>
      <c r="N52" s="5" t="n"/>
    </row>
    <row r="53">
      <c r="A53" s="5" t="n"/>
      <c r="B53" s="5" t="n"/>
      <c r="C53" s="5" t="n"/>
      <c r="D53" s="5" t="n"/>
      <c r="E53" s="6" t="n"/>
      <c r="F53" s="6" t="n"/>
      <c r="G53" s="6" t="n"/>
      <c r="H53" s="6" t="n"/>
      <c r="I53" s="7" t="n"/>
      <c r="J53" s="8">
        <f>IF(F53="","",IF(H53="",TODAY()-F53,H53-F53))</f>
        <v/>
      </c>
      <c r="K53" s="9">
        <f>IF(OR(J53="",I53=""),"",J53/30*I53)</f>
        <v/>
      </c>
      <c r="L53" s="10">
        <f>IF(F53="","",IF(H53&lt;&gt;"","vermietet",IF(J53&lt;=30,"in Frist","ueberfaellig")))</f>
        <v/>
      </c>
      <c r="M53" s="5" t="n"/>
      <c r="N53" s="5" t="n"/>
    </row>
    <row r="54">
      <c r="A54" s="5" t="n"/>
      <c r="B54" s="5" t="n"/>
      <c r="C54" s="5" t="n"/>
      <c r="D54" s="5" t="n"/>
      <c r="E54" s="6" t="n"/>
      <c r="F54" s="6" t="n"/>
      <c r="G54" s="6" t="n"/>
      <c r="H54" s="6" t="n"/>
      <c r="I54" s="7" t="n"/>
      <c r="J54" s="8">
        <f>IF(F54="","",IF(H54="",TODAY()-F54,H54-F54))</f>
        <v/>
      </c>
      <c r="K54" s="9">
        <f>IF(OR(J54="",I54=""),"",J54/30*I54)</f>
        <v/>
      </c>
      <c r="L54" s="10">
        <f>IF(F54="","",IF(H54&lt;&gt;"","vermietet",IF(J54&lt;=30,"in Frist","ueberfaellig")))</f>
        <v/>
      </c>
      <c r="M54" s="5" t="n"/>
      <c r="N54" s="5" t="n"/>
    </row>
    <row r="55">
      <c r="A55" s="5" t="n"/>
      <c r="B55" s="5" t="n"/>
      <c r="C55" s="5" t="n"/>
      <c r="D55" s="5" t="n"/>
      <c r="E55" s="6" t="n"/>
      <c r="F55" s="6" t="n"/>
      <c r="G55" s="6" t="n"/>
      <c r="H55" s="6" t="n"/>
      <c r="I55" s="7" t="n"/>
      <c r="J55" s="8">
        <f>IF(F55="","",IF(H55="",TODAY()-F55,H55-F55))</f>
        <v/>
      </c>
      <c r="K55" s="9">
        <f>IF(OR(J55="",I55=""),"",J55/30*I55)</f>
        <v/>
      </c>
      <c r="L55" s="10">
        <f>IF(F55="","",IF(H55&lt;&gt;"","vermietet",IF(J55&lt;=30,"in Frist","ueberfaellig")))</f>
        <v/>
      </c>
      <c r="M55" s="5" t="n"/>
      <c r="N55" s="5" t="n"/>
    </row>
    <row r="56">
      <c r="A56" s="5" t="n"/>
      <c r="B56" s="5" t="n"/>
      <c r="C56" s="5" t="n"/>
      <c r="D56" s="5" t="n"/>
      <c r="E56" s="6" t="n"/>
      <c r="F56" s="6" t="n"/>
      <c r="G56" s="6" t="n"/>
      <c r="H56" s="6" t="n"/>
      <c r="I56" s="7" t="n"/>
      <c r="J56" s="8">
        <f>IF(F56="","",IF(H56="",TODAY()-F56,H56-F56))</f>
        <v/>
      </c>
      <c r="K56" s="9">
        <f>IF(OR(J56="",I56=""),"",J56/30*I56)</f>
        <v/>
      </c>
      <c r="L56" s="10">
        <f>IF(F56="","",IF(H56&lt;&gt;"","vermietet",IF(J56&lt;=30,"in Frist","ueberfaellig")))</f>
        <v/>
      </c>
      <c r="M56" s="5" t="n"/>
      <c r="N56" s="5" t="n"/>
    </row>
    <row r="57">
      <c r="A57" s="5" t="n"/>
      <c r="B57" s="5" t="n"/>
      <c r="C57" s="5" t="n"/>
      <c r="D57" s="5" t="n"/>
      <c r="E57" s="6" t="n"/>
      <c r="F57" s="6" t="n"/>
      <c r="G57" s="6" t="n"/>
      <c r="H57" s="6" t="n"/>
      <c r="I57" s="7" t="n"/>
      <c r="J57" s="8">
        <f>IF(F57="","",IF(H57="",TODAY()-F57,H57-F57))</f>
        <v/>
      </c>
      <c r="K57" s="9">
        <f>IF(OR(J57="",I57=""),"",J57/30*I57)</f>
        <v/>
      </c>
      <c r="L57" s="10">
        <f>IF(F57="","",IF(H57&lt;&gt;"","vermietet",IF(J57&lt;=30,"in Frist","ueberfaellig")))</f>
        <v/>
      </c>
      <c r="M57" s="5" t="n"/>
      <c r="N57" s="5" t="n"/>
    </row>
    <row r="58">
      <c r="A58" s="5" t="n"/>
      <c r="B58" s="5" t="n"/>
      <c r="C58" s="5" t="n"/>
      <c r="D58" s="5" t="n"/>
      <c r="E58" s="6" t="n"/>
      <c r="F58" s="6" t="n"/>
      <c r="G58" s="6" t="n"/>
      <c r="H58" s="6" t="n"/>
      <c r="I58" s="7" t="n"/>
      <c r="J58" s="8">
        <f>IF(F58="","",IF(H58="",TODAY()-F58,H58-F58))</f>
        <v/>
      </c>
      <c r="K58" s="9">
        <f>IF(OR(J58="",I58=""),"",J58/30*I58)</f>
        <v/>
      </c>
      <c r="L58" s="10">
        <f>IF(F58="","",IF(H58&lt;&gt;"","vermietet",IF(J58&lt;=30,"in Frist","ueberfaellig")))</f>
        <v/>
      </c>
      <c r="M58" s="5" t="n"/>
      <c r="N58" s="5" t="n"/>
    </row>
    <row r="59">
      <c r="A59" s="5" t="n"/>
      <c r="B59" s="5" t="n"/>
      <c r="C59" s="5" t="n"/>
      <c r="D59" s="5" t="n"/>
      <c r="E59" s="6" t="n"/>
      <c r="F59" s="6" t="n"/>
      <c r="G59" s="6" t="n"/>
      <c r="H59" s="6" t="n"/>
      <c r="I59" s="7" t="n"/>
      <c r="J59" s="8">
        <f>IF(F59="","",IF(H59="",TODAY()-F59,H59-F59))</f>
        <v/>
      </c>
      <c r="K59" s="9">
        <f>IF(OR(J59="",I59=""),"",J59/30*I59)</f>
        <v/>
      </c>
      <c r="L59" s="10">
        <f>IF(F59="","",IF(H59&lt;&gt;"","vermietet",IF(J59&lt;=30,"in Frist","ueberfaellig")))</f>
        <v/>
      </c>
      <c r="M59" s="5" t="n"/>
      <c r="N59" s="5" t="n"/>
    </row>
    <row r="60">
      <c r="A60" s="5" t="n"/>
      <c r="B60" s="5" t="n"/>
      <c r="C60" s="5" t="n"/>
      <c r="D60" s="5" t="n"/>
      <c r="E60" s="6" t="n"/>
      <c r="F60" s="6" t="n"/>
      <c r="G60" s="6" t="n"/>
      <c r="H60" s="6" t="n"/>
      <c r="I60" s="7" t="n"/>
      <c r="J60" s="8">
        <f>IF(F60="","",IF(H60="",TODAY()-F60,H60-F60))</f>
        <v/>
      </c>
      <c r="K60" s="9">
        <f>IF(OR(J60="",I60=""),"",J60/30*I60)</f>
        <v/>
      </c>
      <c r="L60" s="10">
        <f>IF(F60="","",IF(H60&lt;&gt;"","vermietet",IF(J60&lt;=30,"in Frist","ueberfaellig")))</f>
        <v/>
      </c>
      <c r="M60" s="5" t="n"/>
      <c r="N60" s="5" t="n"/>
    </row>
    <row r="61">
      <c r="A61" s="5" t="n"/>
      <c r="B61" s="5" t="n"/>
      <c r="C61" s="5" t="n"/>
      <c r="D61" s="5" t="n"/>
      <c r="E61" s="6" t="n"/>
      <c r="F61" s="6" t="n"/>
      <c r="G61" s="6" t="n"/>
      <c r="H61" s="6" t="n"/>
      <c r="I61" s="7" t="n"/>
      <c r="J61" s="8">
        <f>IF(F61="","",IF(H61="",TODAY()-F61,H61-F61))</f>
        <v/>
      </c>
      <c r="K61" s="9">
        <f>IF(OR(J61="",I61=""),"",J61/30*I61)</f>
        <v/>
      </c>
      <c r="L61" s="10">
        <f>IF(F61="","",IF(H61&lt;&gt;"","vermietet",IF(J61&lt;=30,"in Frist","ueberfaellig")))</f>
        <v/>
      </c>
      <c r="M61" s="5" t="n"/>
      <c r="N61" s="5" t="n"/>
    </row>
  </sheetData>
  <conditionalFormatting sqref="L2:L61">
    <cfRule type="expression" priority="1" dxfId="0">
      <formula>L2="ueberfaellig"</formula>
    </cfRule>
    <cfRule type="expression" priority="2" dxfId="1">
      <formula>L2="in Frist"</formula>
    </cfRule>
    <cfRule type="expression" priority="3" dxfId="2">
      <formula>L2="vermietet"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6" customWidth="1" min="3" max="3"/>
  </cols>
  <sheetData>
    <row r="1">
      <c r="A1" s="11" t="inlineStr">
        <is>
          <t>Fristenrechner Mieterwechsel</t>
        </is>
      </c>
    </row>
    <row r="3">
      <c r="A3" s="12" t="inlineStr">
        <is>
          <t>Kuendigungseingang</t>
        </is>
      </c>
      <c r="B3" s="13" t="inlineStr">
        <is>
          <t>2026-01-15</t>
        </is>
      </c>
      <c r="C3" s="14" t="inlineStr">
        <is>
          <t>Datum, an dem die Kuendigung eingetroffen ist</t>
        </is>
      </c>
    </row>
    <row r="4">
      <c r="A4" s="12" t="inlineStr">
        <is>
          <t>Kuendigungsfrist (Monate)</t>
        </is>
      </c>
      <c r="B4" s="15" t="n">
        <v>3</v>
      </c>
      <c r="C4" s="14" t="inlineStr">
        <is>
          <t>gemaess Mietvertrag, Standard oft 3 Monate</t>
        </is>
      </c>
    </row>
    <row r="5">
      <c r="A5" s="12" t="inlineStr">
        <is>
          <t>naechster Kuendigungstermin (Tag im Monat)</t>
        </is>
      </c>
      <c r="B5" s="15" t="n">
        <v>1</v>
      </c>
      <c r="C5" s="14" t="inlineStr">
        <is>
          <t>1 = Monatsende, sonst gem. Vertrag</t>
        </is>
      </c>
    </row>
    <row r="6">
      <c r="A6" s="12" t="inlineStr">
        <is>
          <t>Vorlaufzeit Vermarktung (Wochen)</t>
        </is>
      </c>
      <c r="B6" s="15" t="n">
        <v>8</v>
      </c>
      <c r="C6" s="14" t="inlineStr">
        <is>
          <t>Erfahrungswert, anpassbar</t>
        </is>
      </c>
    </row>
    <row r="8">
      <c r="A8" s="3" t="inlineStr">
        <is>
          <t>Berechnung</t>
        </is>
      </c>
    </row>
    <row r="9">
      <c r="A9" s="12" t="inlineStr">
        <is>
          <t>fruehestmoeglicher Kuendigungstermin</t>
        </is>
      </c>
      <c r="B9" s="16">
        <f>EDATE(B3,B4)</f>
        <v/>
      </c>
    </row>
    <row r="10">
      <c r="A10" s="12" t="inlineStr">
        <is>
          <t>Rueckgabetermin (=Kuendigungstermin)</t>
        </is>
      </c>
      <c r="B10" s="16">
        <f>B9</f>
        <v/>
      </c>
    </row>
    <row r="11">
      <c r="A11" s="12" t="inlineStr">
        <is>
          <t>empfohlener Start Vermarktung</t>
        </is>
      </c>
      <c r="B11" s="16">
        <f>B10-(B6*7)</f>
        <v/>
      </c>
    </row>
    <row r="14">
      <c r="A14" s="17" t="inlineStr">
        <is>
          <t>Achtung: nur eine Orientierungshilfe. Gesetzliche und vertragliche Kuendigungstermine (z.B. quartalsweise, ortsueblich) im Einzelfall pruefen.</t>
        </is>
      </c>
    </row>
  </sheetData>
  <mergeCells count="1"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2026-09-28T06:00:09Z</dcterms:created>
  <dcterms:modified xsi:type="dcterms:W3CDTF">2026-09-28T06:00:09Z</dcterms:modified>
</cp:coreProperties>
</file>