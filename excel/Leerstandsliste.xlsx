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1.xml" ContentType="application/vnd.openxmlformats-officedocument.spreadsheetml.table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nleitung" sheetId="1" state="visible" r:id="rId1"/>
    <sheet name="Stammdaten" sheetId="2" state="visible" r:id="rId2"/>
    <sheet name="Leerstände" sheetId="3" state="visible" r:id="rId3"/>
    <sheet name="Beispiele" sheetId="4" state="visible" r:id="rId4"/>
    <sheet name="Kennzahlen" sheetId="5" state="visible" r:id="rId5"/>
    <sheet name="Prozessschritte" sheetId="6" state="visible" r:id="rId6"/>
  </sheets>
  <definedNames>
    <definedName name="Bewirtschafterliste">Stammdaten!$A$5:$A$24</definedName>
  </definedNames>
  <calcPr calcId="124519" calcMode="auto" fullCalcOnLoad="1"/>
</workbook>
</file>

<file path=xl/styles.xml><?xml version="1.0" encoding="utf-8"?>
<styleSheet xmlns="http://schemas.openxmlformats.org/spreadsheetml/2006/main">
  <numFmts count="2">
    <numFmt numFmtId="164" formatCode="DD.MM.YYYY"/>
    <numFmt numFmtId="165" formatCode="0.0"/>
  </numFmts>
  <fonts count="16">
    <font>
      <name val="Calibri"/>
      <family val="2"/>
      <color theme="1"/>
      <sz val="11"/>
      <scheme val="minor"/>
    </font>
    <font>
      <name val="Arial"/>
      <b val="1"/>
      <color rgb="000F5C6E"/>
      <sz val="14"/>
    </font>
    <font>
      <name val="Arial"/>
      <color rgb="005A6B76"/>
      <sz val="9"/>
    </font>
    <font>
      <name val="Arial"/>
      <b val="1"/>
      <color rgb="00FFFFFF"/>
      <sz val="10"/>
    </font>
    <font>
      <name val="Arial"/>
      <color rgb="001A1A1A"/>
      <sz val="10"/>
    </font>
    <font>
      <name val="Arial"/>
      <b val="1"/>
      <color rgb="000F5C6E"/>
      <sz val="10"/>
    </font>
    <font>
      <name val="Arial"/>
      <b val="1"/>
      <color rgb="000F5C6E"/>
      <sz val="15"/>
    </font>
    <font>
      <name val="Arial"/>
      <b val="1"/>
      <color rgb="008A5A0B"/>
      <sz val="9"/>
    </font>
    <font>
      <name val="Arial"/>
      <b val="1"/>
      <color rgb="00FFFFFF"/>
      <sz val="9"/>
    </font>
    <font>
      <name val="Arial"/>
      <color rgb="003F4A52"/>
      <sz val="10"/>
    </font>
    <font>
      <name val="Arial"/>
      <b val="1"/>
      <color rgb="001A1A1A"/>
      <sz val="9"/>
    </font>
    <font>
      <name val="Arial"/>
      <color rgb="001A1A1A"/>
      <sz val="9"/>
    </font>
    <font>
      <name val="Arial"/>
      <b val="1"/>
      <color rgb="001A1A1A"/>
      <sz val="10"/>
    </font>
    <font>
      <name val="Arial"/>
      <b val="1"/>
      <color rgb="000F5C6E"/>
      <sz val="11"/>
    </font>
    <font>
      <name val="Arial"/>
      <b val="1"/>
      <color rgb="000F5C6E"/>
      <sz val="16"/>
    </font>
    <font>
      <name val="Arial"/>
      <color rgb="0085939C"/>
      <sz val="9"/>
    </font>
  </fonts>
  <fills count="6">
    <fill>
      <patternFill/>
    </fill>
    <fill>
      <patternFill patternType="gray125"/>
    </fill>
    <fill>
      <patternFill patternType="solid">
        <fgColor rgb="000F5C6E"/>
      </patternFill>
    </fill>
    <fill>
      <patternFill patternType="solid">
        <fgColor rgb="003D8B9D"/>
      </patternFill>
    </fill>
    <fill>
      <patternFill patternType="solid">
        <fgColor rgb="00F2F5F6"/>
      </patternFill>
    </fill>
    <fill>
      <patternFill patternType="solid">
        <fgColor rgb="00EDF1F2"/>
      </patternFill>
    </fill>
  </fills>
  <borders count="2">
    <border>
      <left/>
      <right/>
      <top/>
      <bottom/>
      <diagonal/>
    </border>
    <border>
      <left style="thin">
        <color rgb="00C6D0D5"/>
      </left>
      <right style="thin">
        <color rgb="00C6D0D5"/>
      </right>
      <top style="thin">
        <color rgb="00C6D0D5"/>
      </top>
      <bottom style="thin">
        <color rgb="00C6D0D5"/>
      </bottom>
    </border>
  </borders>
  <cellStyleXfs count="1">
    <xf numFmtId="0" fontId="0" fillId="0" borderId="0"/>
  </cellStyleXfs>
  <cellXfs count="42">
    <xf numFmtId="0" fontId="0" fillId="0" borderId="0" pivotButton="0" quotePrefix="0" xfId="0"/>
    <xf numFmtId="0" fontId="14" fillId="0" borderId="0" pivotButton="0" quotePrefix="0" xfId="0"/>
    <xf numFmtId="0" fontId="4" fillId="0" borderId="0" pivotButton="0" quotePrefix="0" xfId="0"/>
    <xf numFmtId="0" fontId="13" fillId="0" borderId="0" pivotButton="0" quotePrefix="0" xfId="0"/>
    <xf numFmtId="0" fontId="15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pivotButton="0" quotePrefix="0" xfId="0"/>
    <xf numFmtId="0" fontId="5" fillId="0" borderId="0" pivotButton="0" quotePrefix="0" xfId="0"/>
    <xf numFmtId="0" fontId="4" fillId="0" borderId="1" pivotButton="0" quotePrefix="0" xfId="0"/>
    <xf numFmtId="0" fontId="0" fillId="0" borderId="1" pivotButton="0" quotePrefix="0" xfId="0"/>
    <xf numFmtId="0" fontId="6" fillId="0" borderId="0" pivotButton="0" quotePrefix="0" xfId="0"/>
    <xf numFmtId="0" fontId="7" fillId="0" borderId="0" pivotButton="0" quotePrefix="0" xfId="0"/>
    <xf numFmtId="0" fontId="8" fillId="2" borderId="1" applyAlignment="1" pivotButton="0" quotePrefix="0" xfId="0">
      <alignment vertical="center" wrapText="1"/>
    </xf>
    <xf numFmtId="0" fontId="8" fillId="3" borderId="1" applyAlignment="1" pivotButton="0" quotePrefix="0" xfId="0">
      <alignment vertical="center" wrapText="1"/>
    </xf>
    <xf numFmtId="49" fontId="4" fillId="0" borderId="1" applyAlignment="1" applyProtection="1" pivotButton="0" quotePrefix="0" xfId="0">
      <alignment vertical="center"/>
      <protection locked="0" hidden="0"/>
    </xf>
    <xf numFmtId="49" fontId="4" fillId="4" borderId="1" applyAlignment="1" pivotButton="0" quotePrefix="0" xfId="0">
      <alignment vertical="center"/>
    </xf>
    <xf numFmtId="1" fontId="4" fillId="4" borderId="1" applyAlignment="1" pivotButton="0" quotePrefix="0" xfId="0">
      <alignment vertical="center"/>
    </xf>
    <xf numFmtId="164" fontId="4" fillId="0" borderId="1" applyAlignment="1" applyProtection="1" pivotButton="0" quotePrefix="0" xfId="0">
      <alignment vertical="center"/>
      <protection locked="0" hidden="0"/>
    </xf>
    <xf numFmtId="164" fontId="4" fillId="4" borderId="1" applyAlignment="1" pivotButton="0" quotePrefix="0" xfId="0">
      <alignment vertical="center"/>
    </xf>
    <xf numFmtId="165" fontId="4" fillId="0" borderId="1" applyAlignment="1" applyProtection="1" pivotButton="0" quotePrefix="0" xfId="0">
      <alignment vertical="center"/>
      <protection locked="0" hidden="0"/>
    </xf>
    <xf numFmtId="49" fontId="9" fillId="0" borderId="1" applyAlignment="1" pivotButton="0" quotePrefix="0" xfId="0">
      <alignment vertical="center"/>
    </xf>
    <xf numFmtId="49" fontId="9" fillId="4" borderId="1" applyAlignment="1" pivotButton="0" quotePrefix="0" xfId="0">
      <alignment vertical="center"/>
    </xf>
    <xf numFmtId="1" fontId="9" fillId="4" borderId="1" applyAlignment="1" pivotButton="0" quotePrefix="0" xfId="0">
      <alignment vertical="center"/>
    </xf>
    <xf numFmtId="164" fontId="9" fillId="0" borderId="1" applyAlignment="1" pivotButton="0" quotePrefix="0" xfId="0">
      <alignment vertical="center"/>
    </xf>
    <xf numFmtId="164" fontId="9" fillId="4" borderId="1" applyAlignment="1" pivotButton="0" quotePrefix="0" xfId="0">
      <alignment vertical="center"/>
    </xf>
    <xf numFmtId="165" fontId="9" fillId="0" borderId="1" applyAlignment="1" pivotButton="0" quotePrefix="0" xfId="0">
      <alignment vertical="center"/>
    </xf>
    <xf numFmtId="0" fontId="10" fillId="0" borderId="0" pivotButton="0" quotePrefix="0" xfId="0"/>
    <xf numFmtId="164" fontId="11" fillId="0" borderId="0" pivotButton="0" quotePrefix="0" xfId="0"/>
    <xf numFmtId="0" fontId="8" fillId="2" borderId="1" applyAlignment="1" pivotButton="0" quotePrefix="0" xfId="0">
      <alignment horizontal="center" wrapText="1"/>
    </xf>
    <xf numFmtId="1" fontId="4" fillId="0" borderId="1" applyAlignment="1" pivotButton="0" quotePrefix="0" xfId="0">
      <alignment horizontal="center"/>
    </xf>
    <xf numFmtId="0" fontId="12" fillId="5" borderId="1" pivotButton="0" quotePrefix="0" xfId="0"/>
    <xf numFmtId="0" fontId="0" fillId="5" borderId="1" pivotButton="0" quotePrefix="0" xfId="0"/>
    <xf numFmtId="1" fontId="12" fillId="5" borderId="1" applyAlignment="1" pivotButton="0" quotePrefix="0" xfId="0">
      <alignment horizontal="center"/>
    </xf>
    <xf numFmtId="0" fontId="13" fillId="0" borderId="1" pivotButton="0" quotePrefix="0" xfId="0"/>
    <xf numFmtId="1" fontId="13" fillId="0" borderId="1" applyAlignment="1" pivotButton="0" quotePrefix="0" xfId="0">
      <alignment horizontal="center"/>
    </xf>
    <xf numFmtId="0" fontId="4" fillId="0" borderId="1" applyAlignment="1" pivotButton="0" quotePrefix="0" xfId="0">
      <alignment horizontal="center"/>
    </xf>
    <xf numFmtId="0" fontId="12" fillId="0" borderId="0" pivotButton="0" quotePrefix="0" xfId="0"/>
    <xf numFmtId="0" fontId="12" fillId="0" borderId="0" applyAlignment="1" pivotButton="0" quotePrefix="0" xfId="0">
      <alignment horizontal="center"/>
    </xf>
    <xf numFmtId="0" fontId="8" fillId="2" borderId="1" applyAlignment="1" pivotButton="0" quotePrefix="0" xfId="0">
      <alignment wrapText="1"/>
    </xf>
    <xf numFmtId="0" fontId="4" fillId="0" borderId="1" applyAlignment="1" pivotButton="0" quotePrefix="0" xfId="0">
      <alignment vertical="center"/>
    </xf>
    <xf numFmtId="0" fontId="4" fillId="0" borderId="1" applyAlignment="1" pivotButton="0" quotePrefix="0" xfId="0">
      <alignment vertical="center" wrapText="1"/>
    </xf>
  </cellXfs>
  <cellStyles count="1">
    <cellStyle name="Normal" xfId="0" builtinId="0" hidden="0"/>
  </cellStyles>
  <dxfs count="4">
    <dxf>
      <fill>
        <patternFill patternType="solid">
          <fgColor rgb="00FBE4E2"/>
        </patternFill>
      </fill>
    </dxf>
    <dxf>
      <fill>
        <patternFill patternType="solid">
          <fgColor rgb="00E4F0E8"/>
        </patternFill>
      </fill>
    </dxf>
    <dxf>
      <fill>
        <patternFill patternType="solid">
          <fgColor rgb="00EDEFF0"/>
        </patternFill>
      </fill>
    </dxf>
    <dxf>
      <fill>
        <patternFill patternType="solid">
          <fgColor rgb="00FBF0D9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ables/table1.xml><?xml version="1.0" encoding="utf-8"?>
<table xmlns="http://schemas.openxmlformats.org/spreadsheetml/2006/main" id="1" name="Leerstaende" displayName="Leerstaende" ref="A4:AZ404" headerRowCount="1">
  <autoFilter ref="A4:AZ404"/>
  <tableColumns count="52">
    <tableColumn id="1" name="Fall-Nr."/>
    <tableColumn id="2" name="Obj.-Nr."/>
    <tableColumn id="3" name="Liegenschaft"/>
    <tableColumn id="4" name="Stock"/>
    <tableColumn id="5" name="ex-Mieter"/>
    <tableColumn id="6" name="Bewirtschafter"/>
    <tableColumn id="7" name="Team"/>
    <tableColumn id="8" name="Status"/>
    <tableColumn id="9" name="Nächster Schritt"/>
    <tableColumn id="10" name="Leerstandstage"/>
    <tableColumn id="11" name="Prüfhinweis"/>
    <tableColumn id="12" name="gekündigt per"/>
    <tableColumn id="13" name="Haftungsdatum"/>
    <tableColumn id="14" name="Leerstandsbeginn"/>
    <tableColumn id="15" name="Vorlauftage"/>
    <tableColumn id="16" name="Berichtsmonat"/>
    <tableColumn id="17" name="Mieter seit"/>
    <tableColumn id="18" name="neuer Mieter"/>
    <tableColumn id="19" name="Vermietet per"/>
    <tableColumn id="20" name="Arbeitsbereich"/>
    <tableColumn id="21" name="Phase"/>
    <tableColumn id="22" name="Ort"/>
    <tableColumn id="23" name="Anz. Zimmer"/>
    <tableColumn id="24" name="Eigentümer"/>
    <tableColumn id="25" name="Dossier"/>
    <tableColumn id="26" name="WA-Termin"/>
    <tableColumn id="27" name="Sollfrist Abnahmetermin"/>
    <tableColumn id="28" name="Sollfrist Handwerker"/>
    <tableColumn id="29" name="Vertrag retour bis"/>
    <tableColumn id="30" name="Schlüsselübergabe-Termin"/>
    <tableColumn id="31" name="Kündigung bestätigt / G-Rem"/>
    <tableColumn id="32" name="Meldung Werke / EGT"/>
    <tableColumn id="33" name="Vorbesichtigung"/>
    <tableColumn id="34" name="VMZ aktualisiert"/>
    <tableColumn id="35" name="Inserat online"/>
    <tableColumn id="36" name="Wohnungsabnahme durchgeführt"/>
    <tableColumn id="37" name="Handwerker aufgeboten"/>
    <tableColumn id="38" name="Zustimmungserklärung"/>
    <tableColumn id="39" name="Instandstellungen beauftragt"/>
    <tableColumn id="40" name="Vertrag versendet"/>
    <tableColumn id="41" name="Vertrag retour"/>
    <tableColumn id="42" name="Info Werke / EGT"/>
    <tableColumn id="43" name="Schlüsselübergabe erfolgt"/>
    <tableColumn id="44" name="Reinigung veranlasst"/>
    <tableColumn id="45" name="Namensschilder"/>
    <tableColumn id="46" name="Kaution / G-Rem mutiert"/>
    <tableColumn id="47" name="Instandstellungs-RG"/>
    <tableColumn id="48" name="Schlussabrechnung"/>
    <tableColumn id="49" name="Zahlungseingang"/>
    <tableColumn id="50" name="zurückgestellt bis"/>
    <tableColumn id="51" name="Fall abgeschlossen"/>
    <tableColumn id="52" name="Notiz"/>
  </tableColumns>
  <tableStyleInfo name="TableStyleLight1" showFirstColumn="0" showLastColumn="0" showRowStripes="0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49"/>
  <sheetViews>
    <sheetView showGridLines="0" workbookViewId="0">
      <selection activeCell="A1" sqref="A1"/>
    </sheetView>
  </sheetViews>
  <sheetFormatPr baseColWidth="8" defaultRowHeight="15"/>
  <cols>
    <col width="118" customWidth="1" min="1" max="1"/>
  </cols>
  <sheetData>
    <row r="1">
      <c r="A1" s="1" t="inlineStr">
        <is>
          <t>Leerstandsliste – Kurzanleitung</t>
        </is>
      </c>
    </row>
    <row r="3">
      <c r="A3" s="2" t="inlineStr"/>
    </row>
    <row r="4">
      <c r="A4" s="3" t="inlineStr">
        <is>
          <t>Wozu diese Datei da ist</t>
        </is>
      </c>
    </row>
    <row r="5">
      <c r="A5" s="2" t="inlineStr">
        <is>
          <t>Sie stellt sicher, dass keine Kündigung, keine Abnahme und keine Schlussabrechnung vergessen geht.</t>
        </is>
      </c>
    </row>
    <row r="6">
      <c r="A6" s="2" t="inlineStr">
        <is>
          <t>Mieter-, Objekt- und Eigentümerdaten bleiben in Garaio REM, Dokumente im Dossier, Inserate in der VMZ.</t>
        </is>
      </c>
    </row>
    <row r="7">
      <c r="A7" s="2" t="inlineStr">
        <is>
          <t>Ein Eintrag hier hält nur fest, dass der Schritt im zuständigen System erledigt wurde.</t>
        </is>
      </c>
    </row>
    <row r="8">
      <c r="A8" s="2" t="inlineStr"/>
    </row>
    <row r="9">
      <c r="A9" s="3" t="inlineStr">
        <is>
          <t>Die Blätter</t>
        </is>
      </c>
    </row>
    <row r="10">
      <c r="A10" s="2" t="inlineStr">
        <is>
          <t>Leerstände – hier wird gearbeitet. Eine Zeile je Mieterwechsel. Beim Start leer.</t>
        </is>
      </c>
    </row>
    <row r="11">
      <c r="A11" s="2" t="inlineStr">
        <is>
          <t>Beispiele – zehn ausgefüllte Fälle zum Nachschlagen. Ändert keine Kennzahl.</t>
        </is>
      </c>
    </row>
    <row r="12">
      <c r="A12" s="2" t="inlineStr">
        <is>
          <t>Kennzahlen – rechnet sich selbst aus den Leerständen. Nur lesen.</t>
        </is>
      </c>
    </row>
    <row r="13">
      <c r="A13" s="2" t="inlineStr">
        <is>
          <t>Prozessschritte – Nachschlagewerk: wo ein Schritt auszuführen ist.</t>
        </is>
      </c>
    </row>
    <row r="14">
      <c r="A14" s="2" t="inlineStr">
        <is>
          <t>Stammdaten – Bewirtschafter und Teams. Hier neue Personen erfassen.</t>
        </is>
      </c>
    </row>
    <row r="15">
      <c r="A15" s="2" t="inlineStr"/>
    </row>
    <row r="16">
      <c r="A16" s="3" t="inlineStr">
        <is>
          <t>So wird ein Schritt erfasst</t>
        </is>
      </c>
    </row>
    <row r="17">
      <c r="A17" s="2" t="inlineStr">
        <is>
          <t>Erledigt  →  Erledigungsdatum in die Spalte des Schritts eintragen.</t>
        </is>
      </c>
    </row>
    <row r="18">
      <c r="A18" s="2" t="inlineStr">
        <is>
          <t>Entfällt  →  «n.e.» eintragen. Damit ist festgehalten, dass der Schritt bewusst übersprungen wurde.</t>
        </is>
      </c>
    </row>
    <row r="19">
      <c r="A19" s="2" t="inlineStr">
        <is>
          <t>Offen     →  Zelle leer lassen.</t>
        </is>
      </c>
    </row>
    <row r="20">
      <c r="A20" s="2" t="inlineStr">
        <is>
          <t>Etwas anderes als ein Datum oder «n.e.» lässt Excel nicht zu.</t>
        </is>
      </c>
    </row>
    <row r="21">
      <c r="A21" s="2" t="inlineStr"/>
    </row>
    <row r="22">
      <c r="A22" s="3" t="inlineStr">
        <is>
          <t>Was die Datei selbst rechnet</t>
        </is>
      </c>
    </row>
    <row r="23">
      <c r="A23" s="2" t="inlineStr">
        <is>
          <t>Leerstandsbeginn = Haftungsdatum + 1 Tag. Das Haftungsdatum ist der letzte Tag der Mieterhaftung.</t>
        </is>
      </c>
    </row>
    <row r="24">
      <c r="A24" s="2" t="inlineStr">
        <is>
          <t>Leerstandstage = leere Kalendertage bis zum Tag vor der Neuvermietung, bei laufenden Fällen bis heute.</t>
        </is>
      </c>
    </row>
    <row r="25">
      <c r="A25" s="2" t="inlineStr">
        <is>
          <t>Haftung bis 31.08. und Vermietung ab 01.09. ergeben 0 Leerstandstage.</t>
        </is>
      </c>
    </row>
    <row r="26">
      <c r="A26" s="2" t="inlineStr">
        <is>
          <t>Sollfrist Abnahmetermin = Haftungsdatum − 30 Tage.</t>
        </is>
      </c>
    </row>
    <row r="27">
      <c r="A27" s="2" t="inlineStr">
        <is>
          <t>Sollfrist Handwerker = Abnahmedatum + 3 Tage. Entsteht erst mit der durchgeführten Abnahme.</t>
        </is>
      </c>
    </row>
    <row r="28">
      <c r="A28" s="2" t="inlineStr">
        <is>
          <t>Status, Phase, Arbeitsbereich, Nächster Schritt und Prüfhinweis ergeben sich aus den Eingaben.</t>
        </is>
      </c>
    </row>
    <row r="29">
      <c r="A29" s="2" t="inlineStr">
        <is>
          <t>«Nächster Schritt» nennt zuerst die verstrichene Frist, sonst die nächste offene Handlung.</t>
        </is>
      </c>
    </row>
    <row r="30">
      <c r="A30" s="2" t="inlineStr">
        <is>
          <t>«zurückgestellt bis» parkt einen Fall bis zu diesem Tag – er erscheint dann nicht als überfällig.</t>
        </is>
      </c>
    </row>
    <row r="31">
      <c r="A31" s="2" t="inlineStr"/>
    </row>
    <row r="32">
      <c r="A32" s="3" t="inlineStr">
        <is>
          <t>Farben</t>
        </is>
      </c>
    </row>
    <row r="33">
      <c r="A33" s="2" t="inlineStr">
        <is>
          <t>Rot = überfällig. Eine Frist ist verstrichen und der Schritt ist noch offen.</t>
        </is>
      </c>
    </row>
    <row r="34">
      <c r="A34" s="2" t="inlineStr">
        <is>
          <t>Grün = abgeschlossen.   Grau = zurückgestellt.   Gelb in «Prüfhinweis» = bitte prüfen.</t>
        </is>
      </c>
    </row>
    <row r="35">
      <c r="A35" s="2" t="inlineStr"/>
    </row>
    <row r="36">
      <c r="A36" s="3" t="inlineStr">
        <is>
          <t>Täglicher Ablauf</t>
        </is>
      </c>
    </row>
    <row r="37">
      <c r="A37" s="2" t="inlineStr">
        <is>
          <t>1. Auf «Status» filtern: überfällig zuerst.</t>
        </is>
      </c>
    </row>
    <row r="38">
      <c r="A38" s="2" t="inlineStr">
        <is>
          <t>2. Spalte «Nächster Schritt» sagt, was ansteht – bei roten Zeilen die überfällige Frist.</t>
        </is>
      </c>
    </row>
    <row r="39">
      <c r="A39" s="2" t="inlineStr">
        <is>
          <t>3. Schritt im zuständigen System erledigen, danach hier das Datum eintragen.</t>
        </is>
      </c>
    </row>
    <row r="40">
      <c r="A40" s="2" t="inlineStr">
        <is>
          <t>4. Spalte «Prüfhinweis» durchgehen – dort stehen Dateneingabefehler und Doppelerfassungen.</t>
        </is>
      </c>
    </row>
    <row r="41">
      <c r="A41" s="2" t="inlineStr"/>
    </row>
    <row r="42">
      <c r="A42" s="3" t="inlineStr">
        <is>
          <t>Wichtig</t>
        </is>
      </c>
    </row>
    <row r="43">
      <c r="A43" s="2" t="inlineStr">
        <is>
          <t>Graue Spalten enthalten Formeln und sind gesperrt. Sie dürfen nicht überschrieben werden.</t>
        </is>
      </c>
    </row>
    <row r="44">
      <c r="A44" s="2" t="inlineStr">
        <is>
          <t>Das Blatt «Leerstände» ist leer und kann sofort verwendet werden. Es muss nichts gelöscht werden.</t>
        </is>
      </c>
    </row>
    <row r="45">
      <c r="A45" s="2" t="inlineStr">
        <is>
          <t>Wer sehen will, wie ein ausgefüllter Fall aussieht: Blatt «Beispiele».</t>
        </is>
      </c>
    </row>
    <row r="46">
      <c r="A46" s="2" t="inlineStr">
        <is>
          <t>Die Tabelle reicht bis Zeile 404. Wird mehr gebraucht: Blattschutz aufheben (Überprüfen → Blattschutz aufheben, kein Passwort), dann erweitert sich die Tabelle beim Tippen von selbst.</t>
        </is>
      </c>
    </row>
    <row r="47">
      <c r="A47" s="2" t="inlineStr">
        <is>
          <t>Die Datei ist für die gemeinsame Bearbeitung auf SharePoint gedacht. Keine Makros, keine Verknüpfungen zu anderen Dateien – sie funktioniert auch in Excel im Browser.</t>
        </is>
      </c>
    </row>
    <row r="48">
      <c r="A48" s="2" t="inlineStr"/>
    </row>
    <row r="49">
      <c r="A49" s="4" t="inlineStr">
        <is>
          <t>Erstellt am 22.09.2026 · Fachliche Grundlage: Prozessbeschreibung Mieterwechsel</t>
        </is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cols>
    <col width="22" customWidth="1" min="1" max="1"/>
    <col width="12" customWidth="1" min="2" max="2"/>
    <col width="60" customWidth="1" min="4" max="4"/>
  </cols>
  <sheetData>
    <row r="1">
      <c r="A1" s="5" t="inlineStr">
        <is>
          <t>Stammdaten</t>
        </is>
      </c>
    </row>
    <row r="2">
      <c r="A2" s="6" t="inlineStr">
        <is>
          <t>Bewirtschafter und Teamzuordnung. Wird von der Spalte «Team» und den Auswahllisten gelesen.</t>
        </is>
      </c>
    </row>
    <row r="4">
      <c r="A4" s="7" t="inlineStr">
        <is>
          <t>Bewirtschafter</t>
        </is>
      </c>
      <c r="B4" s="7" t="inlineStr">
        <is>
          <t>Team</t>
        </is>
      </c>
      <c r="D4" s="8" t="inlineStr">
        <is>
          <t>Teams</t>
        </is>
      </c>
    </row>
    <row r="5">
      <c r="A5" s="9" t="inlineStr">
        <is>
          <t>Moren</t>
        </is>
      </c>
      <c r="B5" s="9" t="inlineStr">
        <is>
          <t>BS 02</t>
        </is>
      </c>
      <c r="D5" s="2" t="inlineStr">
        <is>
          <t>BS 01</t>
        </is>
      </c>
    </row>
    <row r="6">
      <c r="A6" s="9" t="inlineStr">
        <is>
          <t>Ryser</t>
        </is>
      </c>
      <c r="B6" s="9" t="inlineStr">
        <is>
          <t>BS 02</t>
        </is>
      </c>
      <c r="D6" s="2" t="inlineStr">
        <is>
          <t>BS 02</t>
        </is>
      </c>
    </row>
    <row r="7">
      <c r="A7" s="9" t="inlineStr">
        <is>
          <t>Scherb</t>
        </is>
      </c>
      <c r="B7" s="9" t="inlineStr">
        <is>
          <t>BS 02</t>
        </is>
      </c>
    </row>
    <row r="8">
      <c r="A8" s="9" t="inlineStr">
        <is>
          <t>Ademi</t>
        </is>
      </c>
      <c r="B8" s="9" t="inlineStr">
        <is>
          <t>BS 02</t>
        </is>
      </c>
      <c r="D8" s="6" t="inlineStr">
        <is>
          <t>Weitere Bewirtschafter einfach in Spalte A und B ergänzen (bis Zeile 24).</t>
        </is>
      </c>
    </row>
    <row r="9">
      <c r="A9" s="9" t="inlineStr">
        <is>
          <t>Fazliu</t>
        </is>
      </c>
      <c r="B9" s="9" t="inlineStr">
        <is>
          <t>BS 02</t>
        </is>
      </c>
    </row>
    <row r="10">
      <c r="A10" s="9" t="inlineStr">
        <is>
          <t>Brandenburger</t>
        </is>
      </c>
      <c r="B10" s="9" t="inlineStr">
        <is>
          <t>BS 01</t>
        </is>
      </c>
    </row>
    <row r="11">
      <c r="A11" s="9" t="inlineStr">
        <is>
          <t>Breitmeier</t>
        </is>
      </c>
      <c r="B11" s="9" t="inlineStr">
        <is>
          <t>BS 01</t>
        </is>
      </c>
    </row>
    <row r="12">
      <c r="A12" s="9" t="inlineStr">
        <is>
          <t>Loa</t>
        </is>
      </c>
      <c r="B12" s="9" t="inlineStr">
        <is>
          <t>BS 01</t>
        </is>
      </c>
    </row>
    <row r="13">
      <c r="A13" s="9" t="inlineStr">
        <is>
          <t>Sivanesan</t>
        </is>
      </c>
      <c r="B13" s="9" t="inlineStr">
        <is>
          <t>BS 01</t>
        </is>
      </c>
    </row>
    <row r="14">
      <c r="A14" s="10" t="n"/>
      <c r="B14" s="10" t="n"/>
    </row>
    <row r="15">
      <c r="A15" s="10" t="n"/>
      <c r="B15" s="10" t="n"/>
    </row>
    <row r="16">
      <c r="A16" s="10" t="n"/>
      <c r="B16" s="10" t="n"/>
    </row>
    <row r="17">
      <c r="A17" s="10" t="n"/>
      <c r="B17" s="10" t="n"/>
    </row>
    <row r="18">
      <c r="A18" s="10" t="n"/>
      <c r="B18" s="10" t="n"/>
    </row>
    <row r="19">
      <c r="A19" s="10" t="n"/>
      <c r="B19" s="10" t="n"/>
    </row>
    <row r="20">
      <c r="A20" s="10" t="n"/>
      <c r="B20" s="10" t="n"/>
    </row>
    <row r="21">
      <c r="A21" s="10" t="n"/>
      <c r="B21" s="10" t="n"/>
    </row>
    <row r="22">
      <c r="A22" s="10" t="n"/>
      <c r="B22" s="10" t="n"/>
    </row>
    <row r="23">
      <c r="A23" s="10" t="n"/>
      <c r="B23" s="10" t="n"/>
    </row>
    <row r="24">
      <c r="A24" s="10" t="n"/>
      <c r="B24" s="10" t="n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Z404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4" customWidth="1" min="2" max="2"/>
    <col width="24" customWidth="1" min="3" max="3"/>
    <col width="9" customWidth="1" min="4" max="4"/>
    <col width="22" customWidth="1" min="5" max="5"/>
    <col width="16" customWidth="1" min="6" max="6"/>
    <col width="9" customWidth="1" min="7" max="7"/>
    <col width="14" customWidth="1" min="8" max="8"/>
    <col width="30" customWidth="1" min="9" max="9"/>
    <col width="10" customWidth="1" min="10" max="10"/>
    <col width="34" customWidth="1" min="11" max="11"/>
    <col width="13" customWidth="1" min="12" max="12"/>
    <col width="13" customWidth="1" min="13" max="13"/>
    <col width="14" customWidth="1" min="14" max="14"/>
    <col width="10" customWidth="1" min="15" max="15"/>
    <col width="12" customWidth="1" min="16" max="16"/>
    <col width="12" customWidth="1" min="17" max="17"/>
    <col width="20" customWidth="1" min="18" max="18"/>
    <col width="13" customWidth="1" min="19" max="19"/>
    <col width="20" customWidth="1" min="20" max="20"/>
    <col width="22" customWidth="1" min="21" max="21"/>
    <col width="16" customWidth="1" min="22" max="22"/>
    <col width="10" customWidth="1" min="23" max="23"/>
    <col width="22" customWidth="1" min="24" max="24"/>
    <col width="26" customWidth="1" min="25" max="25"/>
    <col width="12" customWidth="1" min="26" max="26"/>
    <col width="14" customWidth="1" min="27" max="27"/>
    <col width="14" customWidth="1" min="28" max="28"/>
    <col width="13" customWidth="1" min="29" max="29"/>
    <col width="14" customWidth="1" min="30" max="30"/>
    <col width="16" customWidth="1" min="31" max="31"/>
    <col width="16" customWidth="1" min="32" max="32"/>
    <col width="15" customWidth="1" min="33" max="33"/>
    <col width="15" customWidth="1" min="34" max="34"/>
    <col width="14" customWidth="1" min="35" max="35"/>
    <col width="17" customWidth="1" min="36" max="36"/>
    <col width="16" customWidth="1" min="37" max="37"/>
    <col width="16" customWidth="1" min="38" max="38"/>
    <col width="17" customWidth="1" min="39" max="39"/>
    <col width="14" customWidth="1" min="40" max="40"/>
    <col width="14" customWidth="1" min="41" max="41"/>
    <col width="14" customWidth="1" min="42" max="42"/>
    <col width="16" customWidth="1" min="43" max="43"/>
    <col width="15" customWidth="1" min="44" max="44"/>
    <col width="14" customWidth="1" min="45" max="45"/>
    <col width="16" customWidth="1" min="46" max="46"/>
    <col width="15" customWidth="1" min="47" max="47"/>
    <col width="15" customWidth="1" min="48" max="48"/>
    <col width="15" customWidth="1" min="49" max="49"/>
    <col width="13" customWidth="1" min="50" max="50"/>
    <col width="14" customWidth="1" min="51" max="51"/>
    <col width="40" customWidth="1" min="52" max="52"/>
  </cols>
  <sheetData>
    <row r="1">
      <c r="A1" s="11" t="inlineStr">
        <is>
          <t>Leerstandsliste – Pendenzen zu Mieterwechseln</t>
        </is>
      </c>
    </row>
    <row r="2">
      <c r="A2" s="6" t="inlineStr">
        <is>
          <t>Datenführung bleibt in Garaio REM. Hier wird nur festgehalten, dass ein Schritt erledigt ist. Graue Spalten rechnen selbst – bitte nicht überschreiben.</t>
        </is>
      </c>
    </row>
    <row r="3">
      <c r="A3" s="12" t="inlineStr">
        <is>
          <t>Schrittspalten: Erledigungsdatum eintragen, oder «n.e.» wenn der Schritt entfällt. Leer bedeutet offen.   |   Das Blatt ist leer und einsatzbereit – zehn ausgefüllte Beispielfälle stehen im Blatt «Beispiele».</t>
        </is>
      </c>
    </row>
    <row r="4" ht="42" customHeight="1">
      <c r="A4" s="13" t="inlineStr">
        <is>
          <t>Fall-Nr.</t>
        </is>
      </c>
      <c r="B4" s="13" t="inlineStr">
        <is>
          <t>Obj.-Nr.</t>
        </is>
      </c>
      <c r="C4" s="13" t="inlineStr">
        <is>
          <t>Liegenschaft</t>
        </is>
      </c>
      <c r="D4" s="13" t="inlineStr">
        <is>
          <t>Stock</t>
        </is>
      </c>
      <c r="E4" s="13" t="inlineStr">
        <is>
          <t>ex-Mieter</t>
        </is>
      </c>
      <c r="F4" s="13" t="inlineStr">
        <is>
          <t>Bewirtschafter</t>
        </is>
      </c>
      <c r="G4" s="14" t="inlineStr">
        <is>
          <t>Team</t>
        </is>
      </c>
      <c r="H4" s="14" t="inlineStr">
        <is>
          <t>Status</t>
        </is>
      </c>
      <c r="I4" s="14" t="inlineStr">
        <is>
          <t>Nächster Schritt</t>
        </is>
      </c>
      <c r="J4" s="14" t="inlineStr">
        <is>
          <t>Leerstandstage</t>
        </is>
      </c>
      <c r="K4" s="14" t="inlineStr">
        <is>
          <t>Prüfhinweis</t>
        </is>
      </c>
      <c r="L4" s="13" t="inlineStr">
        <is>
          <t>gekündigt per</t>
        </is>
      </c>
      <c r="M4" s="13" t="inlineStr">
        <is>
          <t>Haftungsdatum</t>
        </is>
      </c>
      <c r="N4" s="14" t="inlineStr">
        <is>
          <t>Leerstandsbeginn</t>
        </is>
      </c>
      <c r="O4" s="14" t="inlineStr">
        <is>
          <t>Vorlauftage</t>
        </is>
      </c>
      <c r="P4" s="14" t="inlineStr">
        <is>
          <t>Berichtsmonat</t>
        </is>
      </c>
      <c r="Q4" s="13" t="inlineStr">
        <is>
          <t>Mieter seit</t>
        </is>
      </c>
      <c r="R4" s="13" t="inlineStr">
        <is>
          <t>neuer Mieter</t>
        </is>
      </c>
      <c r="S4" s="13" t="inlineStr">
        <is>
          <t>Vermietet per</t>
        </is>
      </c>
      <c r="T4" s="14" t="inlineStr">
        <is>
          <t>Arbeitsbereich</t>
        </is>
      </c>
      <c r="U4" s="14" t="inlineStr">
        <is>
          <t>Phase</t>
        </is>
      </c>
      <c r="V4" s="13" t="inlineStr">
        <is>
          <t>Ort</t>
        </is>
      </c>
      <c r="W4" s="13" t="inlineStr">
        <is>
          <t>Anz. Zimmer</t>
        </is>
      </c>
      <c r="X4" s="13" t="inlineStr">
        <is>
          <t>Eigentümer</t>
        </is>
      </c>
      <c r="Y4" s="13" t="inlineStr">
        <is>
          <t>Dossier</t>
        </is>
      </c>
      <c r="Z4" s="13" t="inlineStr">
        <is>
          <t>WA-Termin</t>
        </is>
      </c>
      <c r="AA4" s="14" t="inlineStr">
        <is>
          <t>Sollfrist Abnahmetermin</t>
        </is>
      </c>
      <c r="AB4" s="14" t="inlineStr">
        <is>
          <t>Sollfrist Handwerker</t>
        </is>
      </c>
      <c r="AC4" s="13" t="inlineStr">
        <is>
          <t>Vertrag retour bis</t>
        </is>
      </c>
      <c r="AD4" s="13" t="inlineStr">
        <is>
          <t>Schlüsselübergabe-Termin</t>
        </is>
      </c>
      <c r="AE4" s="13" t="inlineStr">
        <is>
          <t>Kündigung bestätigt / G-Rem</t>
        </is>
      </c>
      <c r="AF4" s="13" t="inlineStr">
        <is>
          <t>Meldung Werke / EGT</t>
        </is>
      </c>
      <c r="AG4" s="13" t="inlineStr">
        <is>
          <t>Vorbesichtigung</t>
        </is>
      </c>
      <c r="AH4" s="13" t="inlineStr">
        <is>
          <t>VMZ aktualisiert</t>
        </is>
      </c>
      <c r="AI4" s="13" t="inlineStr">
        <is>
          <t>Inserat online</t>
        </is>
      </c>
      <c r="AJ4" s="13" t="inlineStr">
        <is>
          <t>Wohnungsabnahme durchgeführt</t>
        </is>
      </c>
      <c r="AK4" s="13" t="inlineStr">
        <is>
          <t>Handwerker aufgeboten</t>
        </is>
      </c>
      <c r="AL4" s="13" t="inlineStr">
        <is>
          <t>Zustimmungserklärung</t>
        </is>
      </c>
      <c r="AM4" s="13" t="inlineStr">
        <is>
          <t>Instandstellungen beauftragt</t>
        </is>
      </c>
      <c r="AN4" s="13" t="inlineStr">
        <is>
          <t>Vertrag versendet</t>
        </is>
      </c>
      <c r="AO4" s="13" t="inlineStr">
        <is>
          <t>Vertrag retour</t>
        </is>
      </c>
      <c r="AP4" s="13" t="inlineStr">
        <is>
          <t>Info Werke / EGT</t>
        </is>
      </c>
      <c r="AQ4" s="13" t="inlineStr">
        <is>
          <t>Schlüsselübergabe erfolgt</t>
        </is>
      </c>
      <c r="AR4" s="13" t="inlineStr">
        <is>
          <t>Reinigung veranlasst</t>
        </is>
      </c>
      <c r="AS4" s="13" t="inlineStr">
        <is>
          <t>Namensschilder</t>
        </is>
      </c>
      <c r="AT4" s="13" t="inlineStr">
        <is>
          <t>Kaution / G-Rem mutiert</t>
        </is>
      </c>
      <c r="AU4" s="13" t="inlineStr">
        <is>
          <t>Instandstellungs-RG</t>
        </is>
      </c>
      <c r="AV4" s="13" t="inlineStr">
        <is>
          <t>Schlussabrechnung</t>
        </is>
      </c>
      <c r="AW4" s="13" t="inlineStr">
        <is>
          <t>Zahlungseingang</t>
        </is>
      </c>
      <c r="AX4" s="13" t="inlineStr">
        <is>
          <t>zurückgestellt bis</t>
        </is>
      </c>
      <c r="AY4" s="13" t="inlineStr">
        <is>
          <t>Fall abgeschlossen</t>
        </is>
      </c>
      <c r="AZ4" s="13" t="inlineStr">
        <is>
          <t>Notiz</t>
        </is>
      </c>
    </row>
    <row r="5">
      <c r="A5" s="15" t="n"/>
      <c r="B5" s="15" t="n"/>
      <c r="C5" s="15" t="n"/>
      <c r="D5" s="15" t="n"/>
      <c r="E5" s="15" t="n"/>
      <c r="F5" s="15" t="n"/>
      <c r="G5" s="16">
        <f>IF(F5="","",IFERROR(INDEX(Stammdaten!$B$5:$B$24,MATCH(F5,Stammdaten!$A$5:$A$24,0)),"unbekannt"))</f>
        <v/>
      </c>
      <c r="H5" s="16">
        <f>IF($B5="","",IF(AY5&lt;&gt;"","abgeschlossen",IF(AND(ISNUMBER(AX5),AX5&gt;=TODAY()),"zurückgestellt",IF(OR(AND(ISNUMBER(AA5),AA5&lt;TODAY(),Z5="",AJ5=""),AND(ISNUMBER(Z5),Z5&lt;TODAY(),AJ5=""),AND(ISNUMBER(AB5),AB5&lt;TODAY(),AK5=""),AND(ISNUMBER(AC5),AC5&lt;TODAY(),AO5=""),AND(ISNUMBER(AD5),AD5&lt;TODAY(),AQ5="")),"überfällig","offen"))))</f>
        <v/>
      </c>
      <c r="I5" s="16">
        <f>IF($B5="","",IF(AY5&lt;&gt;"","—",IF(AND(ISNUMBER(AA5),AA5&lt;TODAY(),Z5="",AJ5=""),"Abnahmetermin vereinbaren – Sollfrist verstrichen",IF(AND(ISNUMBER(Z5),Z5&lt;TODAY(),AJ5=""),"Wohnungsabnahme nachtragen – Termin war fällig",IF(AND(ISNUMBER(AB5),AB5&lt;TODAY(),AK5=""),"Handwerker aufbieten – Frist verstrichen",IF(AND(ISNUMBER(AC5),AC5&lt;TODAY(),AO5=""),"Vertrag retour mahnen – Frist verstrichen",IF(AND(ISNUMBER(AD5),AD5&lt;TODAY(),AQ5=""),"Schlüsselübergabe nachtragen – Termin war fällig",IF(M5="","Haftungsdatum erfassen",IF(E5="","ex-Mieter erfassen",IF(AE5="","Kündigung bestätigen / G-Rem",IF(AF5="","Werke / EGT melden",IF(AG5="","Vorbesichtigung (oder n.e.)",IF(AH5="","VMZ aktualisieren",IF(AI5="","Inserat aufschalten",IF(AND(Z5="",AJ5=""),"Abnahmetermin vereinbaren",IF(AJ5="","Wohnungsabnahme durchführen",IF(AK5="","Handwerker aufbieten",IF(AL5="","Zustimmungserklärung einholen",IF(AM5="","Instandstellungen beauftragen",IF(R5="","Nachmieter erfassen",IF(AN5="","Vertrag versenden",IF(AO5="","Vertrag retour erfassen",IF(S5="","Vermietet per erfassen",IF(AP5="","Werke / EGT über Einzug informieren",IF(AND(AD5="",AQ5=""),"Schlüsselübergabe terminieren",IF(AQ5="","Schlüsselübergabe durchführen",IF(AR5="","Reinigung veranlassen",IF(AS5="","Namensschilder bestellen",IF(AT5="","Kaution prüfen / G-Rem mutieren",IF(AU5="","Instandstellungs-Rechnung erfassen",IF(AV5="","Schlussabrechnung erstellen",IF(AW5="","Zahlungseingang kontrollieren","Fall abschliessen"))))))))))))))))))))))))))))))))</f>
        <v/>
      </c>
      <c r="J5" s="17">
        <f>IF(M5="","",IF(S5&lt;&gt;"",MAX(0,S5-M5-1),MAX(0,TODAY()-M5)))</f>
        <v/>
      </c>
      <c r="K5" s="16">
        <f>IF($B5="","",TRIM(IF(AND(L5&lt;&gt;"",M5&lt;&gt;"",M5&lt;L5),"Haftungsdatum vor Kündigung. ","")&amp;IF(AND(S5&lt;&gt;"",M5&lt;&gt;"",S5&lt;M5),"Vermietung vor Leerstandsbeginn. ","")&amp;IF(AND(Z5&lt;&gt;"",L5&lt;&gt;"",Z5&lt;L5),"WA-Termin vor Kündigung. ","")&amp;IF(COUNTIFS($B$5:$B$404,$B5,$AY$5:$AY$404,"")&gt;1,"Zweiter offener Fall zum selben Objekt. ","")&amp;IF(AND($A5&lt;&gt;"",COUNTIFS($A$5:$A$404,$A5)&gt;1),"Fall-Nr. doppelt vergeben. ","")&amp;IF(E5="","ex-Mieter fehlt. ","")&amp;IF(M5="","Haftungsdatum fehlt. ","")&amp;IF(F5="","Bewirtschafter fehlt. ","")&amp;IF(AND(AY5&lt;&gt;"",AW5=""),"Abgeschlossen trotz offener Schlussabrechnung. ","")&amp;IF(AND(AY5="",S5="",ISNUMBER(J5),J5&gt;60),"Langläufer über 60 Tage. ","")))</f>
        <v/>
      </c>
      <c r="L5" s="18" t="n"/>
      <c r="M5" s="18" t="n"/>
      <c r="N5" s="19">
        <f>IF(M5="","",M5+1)</f>
        <v/>
      </c>
      <c r="O5" s="17">
        <f>IF(OR(L5="",M5=""),"",M5-L5)</f>
        <v/>
      </c>
      <c r="P5" s="16">
        <f>IF(M5="","",YEAR(M5+1)&amp;"-"&amp;TEXT(MONTH(M5+1),"00"))</f>
        <v/>
      </c>
      <c r="Q5" s="18" t="n"/>
      <c r="R5" s="15" t="n"/>
      <c r="S5" s="18" t="n"/>
      <c r="T5" s="16">
        <f>IF(U5="","",IF(LEFT(U5,1)="6","abgeschlossen",IF(OR(LEFT(U5,1)="1",LEFT(U5,1)="2"),"Kündigung &amp; Abnahme",IF(OR(LEFT(U5,1)="3",LEFT(U5,1)="4"),"Wiedervermietung","Schlussabrechnung"))))</f>
        <v/>
      </c>
      <c r="U5" s="16">
        <f>IF($B5="","",IF(AY5&lt;&gt;"","6 · abgeschlossen",IF(AW5&lt;&gt;"","5 · bereit zum Abschluss",IF(AT5&lt;&gt;"","5 · Schlussabrechnung",IF(AO5&lt;&gt;"","4 · Übergabe",IF(AM5&lt;&gt;"","3 · Neuvermietung",IF(M5&lt;&gt;"","2 · Abnahme &amp; Vermarktung","1 · Erfassung")))))))</f>
        <v/>
      </c>
      <c r="V5" s="15" t="n"/>
      <c r="W5" s="20" t="n"/>
      <c r="X5" s="15" t="n"/>
      <c r="Y5" s="15" t="n"/>
      <c r="Z5" s="18" t="n"/>
      <c r="AA5" s="19">
        <f>IF(M5="","",M5-30)</f>
        <v/>
      </c>
      <c r="AB5" s="19">
        <f>IF(ISNUMBER(AJ5),AJ5+3,"")</f>
        <v/>
      </c>
      <c r="AC5" s="18" t="n"/>
      <c r="AD5" s="18" t="n"/>
      <c r="AE5" s="18" t="n"/>
      <c r="AF5" s="18" t="n"/>
      <c r="AG5" s="18" t="n"/>
      <c r="AH5" s="18" t="n"/>
      <c r="AI5" s="18" t="n"/>
      <c r="AJ5" s="18" t="n"/>
      <c r="AK5" s="18" t="n"/>
      <c r="AL5" s="18" t="n"/>
      <c r="AM5" s="18" t="n"/>
      <c r="AN5" s="18" t="n"/>
      <c r="AO5" s="18" t="n"/>
      <c r="AP5" s="18" t="n"/>
      <c r="AQ5" s="18" t="n"/>
      <c r="AR5" s="18" t="n"/>
      <c r="AS5" s="18" t="n"/>
      <c r="AT5" s="18" t="n"/>
      <c r="AU5" s="18" t="n"/>
      <c r="AV5" s="18" t="n"/>
      <c r="AW5" s="18" t="n"/>
      <c r="AX5" s="18" t="n"/>
      <c r="AY5" s="18" t="n"/>
      <c r="AZ5" s="15" t="n"/>
    </row>
    <row r="6">
      <c r="A6" s="15" t="n"/>
      <c r="B6" s="15" t="n"/>
      <c r="C6" s="15" t="n"/>
      <c r="D6" s="15" t="n"/>
      <c r="E6" s="15" t="n"/>
      <c r="F6" s="15" t="n"/>
      <c r="G6" s="16">
        <f>IF(F6="","",IFERROR(INDEX(Stammdaten!$B$5:$B$24,MATCH(F6,Stammdaten!$A$5:$A$24,0)),"unbekannt"))</f>
        <v/>
      </c>
      <c r="H6" s="16">
        <f>IF($B6="","",IF(AY6&lt;&gt;"","abgeschlossen",IF(AND(ISNUMBER(AX6),AX6&gt;=TODAY()),"zurückgestellt",IF(OR(AND(ISNUMBER(AA6),AA6&lt;TODAY(),Z6="",AJ6=""),AND(ISNUMBER(Z6),Z6&lt;TODAY(),AJ6=""),AND(ISNUMBER(AB6),AB6&lt;TODAY(),AK6=""),AND(ISNUMBER(AC6),AC6&lt;TODAY(),AO6=""),AND(ISNUMBER(AD6),AD6&lt;TODAY(),AQ6="")),"überfällig","offen"))))</f>
        <v/>
      </c>
      <c r="I6" s="16">
        <f>IF($B6="","",IF(AY6&lt;&gt;"","—",IF(AND(ISNUMBER(AA6),AA6&lt;TODAY(),Z6="",AJ6=""),"Abnahmetermin vereinbaren – Sollfrist verstrichen",IF(AND(ISNUMBER(Z6),Z6&lt;TODAY(),AJ6=""),"Wohnungsabnahme nachtragen – Termin war fällig",IF(AND(ISNUMBER(AB6),AB6&lt;TODAY(),AK6=""),"Handwerker aufbieten – Frist verstrichen",IF(AND(ISNUMBER(AC6),AC6&lt;TODAY(),AO6=""),"Vertrag retour mahnen – Frist verstrichen",IF(AND(ISNUMBER(AD6),AD6&lt;TODAY(),AQ6=""),"Schlüsselübergabe nachtragen – Termin war fällig",IF(M6="","Haftungsdatum erfassen",IF(E6="","ex-Mieter erfassen",IF(AE6="","Kündigung bestätigen / G-Rem",IF(AF6="","Werke / EGT melden",IF(AG6="","Vorbesichtigung (oder n.e.)",IF(AH6="","VMZ aktualisieren",IF(AI6="","Inserat aufschalten",IF(AND(Z6="",AJ6=""),"Abnahmetermin vereinbaren",IF(AJ6="","Wohnungsabnahme durchführen",IF(AK6="","Handwerker aufbieten",IF(AL6="","Zustimmungserklärung einholen",IF(AM6="","Instandstellungen beauftragen",IF(R6="","Nachmieter erfassen",IF(AN6="","Vertrag versenden",IF(AO6="","Vertrag retour erfassen",IF(S6="","Vermietet per erfassen",IF(AP6="","Werke / EGT über Einzug informieren",IF(AND(AD6="",AQ6=""),"Schlüsselübergabe terminieren",IF(AQ6="","Schlüsselübergabe durchführen",IF(AR6="","Reinigung veranlassen",IF(AS6="","Namensschilder bestellen",IF(AT6="","Kaution prüfen / G-Rem mutieren",IF(AU6="","Instandstellungs-Rechnung erfassen",IF(AV6="","Schlussabrechnung erstellen",IF(AW6="","Zahlungseingang kontrollieren","Fall abschliessen"))))))))))))))))))))))))))))))))</f>
        <v/>
      </c>
      <c r="J6" s="17">
        <f>IF(M6="","",IF(S6&lt;&gt;"",MAX(0,S6-M6-1),MAX(0,TODAY()-M6)))</f>
        <v/>
      </c>
      <c r="K6" s="16">
        <f>IF($B6="","",TRIM(IF(AND(L6&lt;&gt;"",M6&lt;&gt;"",M6&lt;L6),"Haftungsdatum vor Kündigung. ","")&amp;IF(AND(S6&lt;&gt;"",M6&lt;&gt;"",S6&lt;M6),"Vermietung vor Leerstandsbeginn. ","")&amp;IF(AND(Z6&lt;&gt;"",L6&lt;&gt;"",Z6&lt;L6),"WA-Termin vor Kündigung. ","")&amp;IF(COUNTIFS($B$5:$B$404,$B6,$AY$5:$AY$404,"")&gt;1,"Zweiter offener Fall zum selben Objekt. ","")&amp;IF(AND($A6&lt;&gt;"",COUNTIFS($A$5:$A$404,$A6)&gt;1),"Fall-Nr. doppelt vergeben. ","")&amp;IF(E6="","ex-Mieter fehlt. ","")&amp;IF(M6="","Haftungsdatum fehlt. ","")&amp;IF(F6="","Bewirtschafter fehlt. ","")&amp;IF(AND(AY6&lt;&gt;"",AW6=""),"Abgeschlossen trotz offener Schlussabrechnung. ","")&amp;IF(AND(AY6="",S6="",ISNUMBER(J6),J6&gt;60),"Langläufer über 60 Tage. ","")))</f>
        <v/>
      </c>
      <c r="L6" s="18" t="n"/>
      <c r="M6" s="18" t="n"/>
      <c r="N6" s="19">
        <f>IF(M6="","",M6+1)</f>
        <v/>
      </c>
      <c r="O6" s="17">
        <f>IF(OR(L6="",M6=""),"",M6-L6)</f>
        <v/>
      </c>
      <c r="P6" s="16">
        <f>IF(M6="","",YEAR(M6+1)&amp;"-"&amp;TEXT(MONTH(M6+1),"00"))</f>
        <v/>
      </c>
      <c r="Q6" s="18" t="n"/>
      <c r="R6" s="15" t="n"/>
      <c r="S6" s="18" t="n"/>
      <c r="T6" s="16">
        <f>IF(U6="","",IF(LEFT(U6,1)="6","abgeschlossen",IF(OR(LEFT(U6,1)="1",LEFT(U6,1)="2"),"Kündigung &amp; Abnahme",IF(OR(LEFT(U6,1)="3",LEFT(U6,1)="4"),"Wiedervermietung","Schlussabrechnung"))))</f>
        <v/>
      </c>
      <c r="U6" s="16">
        <f>IF($B6="","",IF(AY6&lt;&gt;"","6 · abgeschlossen",IF(AW6&lt;&gt;"","5 · bereit zum Abschluss",IF(AT6&lt;&gt;"","5 · Schlussabrechnung",IF(AO6&lt;&gt;"","4 · Übergabe",IF(AM6&lt;&gt;"","3 · Neuvermietung",IF(M6&lt;&gt;"","2 · Abnahme &amp; Vermarktung","1 · Erfassung")))))))</f>
        <v/>
      </c>
      <c r="V6" s="15" t="n"/>
      <c r="W6" s="20" t="n"/>
      <c r="X6" s="15" t="n"/>
      <c r="Y6" s="15" t="n"/>
      <c r="Z6" s="18" t="n"/>
      <c r="AA6" s="19">
        <f>IF(M6="","",M6-30)</f>
        <v/>
      </c>
      <c r="AB6" s="19">
        <f>IF(ISNUMBER(AJ6),AJ6+3,"")</f>
        <v/>
      </c>
      <c r="AC6" s="18" t="n"/>
      <c r="AD6" s="18" t="n"/>
      <c r="AE6" s="18" t="n"/>
      <c r="AF6" s="18" t="n"/>
      <c r="AG6" s="18" t="n"/>
      <c r="AH6" s="18" t="n"/>
      <c r="AI6" s="18" t="n"/>
      <c r="AJ6" s="18" t="n"/>
      <c r="AK6" s="18" t="n"/>
      <c r="AL6" s="18" t="n"/>
      <c r="AM6" s="18" t="n"/>
      <c r="AN6" s="18" t="n"/>
      <c r="AO6" s="18" t="n"/>
      <c r="AP6" s="18" t="n"/>
      <c r="AQ6" s="18" t="n"/>
      <c r="AR6" s="18" t="n"/>
      <c r="AS6" s="18" t="n"/>
      <c r="AT6" s="18" t="n"/>
      <c r="AU6" s="18" t="n"/>
      <c r="AV6" s="18" t="n"/>
      <c r="AW6" s="18" t="n"/>
      <c r="AX6" s="18" t="n"/>
      <c r="AY6" s="18" t="n"/>
      <c r="AZ6" s="15" t="n"/>
    </row>
    <row r="7">
      <c r="A7" s="15" t="n"/>
      <c r="B7" s="15" t="n"/>
      <c r="C7" s="15" t="n"/>
      <c r="D7" s="15" t="n"/>
      <c r="E7" s="15" t="n"/>
      <c r="F7" s="15" t="n"/>
      <c r="G7" s="16">
        <f>IF(F7="","",IFERROR(INDEX(Stammdaten!$B$5:$B$24,MATCH(F7,Stammdaten!$A$5:$A$24,0)),"unbekannt"))</f>
        <v/>
      </c>
      <c r="H7" s="16">
        <f>IF($B7="","",IF(AY7&lt;&gt;"","abgeschlossen",IF(AND(ISNUMBER(AX7),AX7&gt;=TODAY()),"zurückgestellt",IF(OR(AND(ISNUMBER(AA7),AA7&lt;TODAY(),Z7="",AJ7=""),AND(ISNUMBER(Z7),Z7&lt;TODAY(),AJ7=""),AND(ISNUMBER(AB7),AB7&lt;TODAY(),AK7=""),AND(ISNUMBER(AC7),AC7&lt;TODAY(),AO7=""),AND(ISNUMBER(AD7),AD7&lt;TODAY(),AQ7="")),"überfällig","offen"))))</f>
        <v/>
      </c>
      <c r="I7" s="16">
        <f>IF($B7="","",IF(AY7&lt;&gt;"","—",IF(AND(ISNUMBER(AA7),AA7&lt;TODAY(),Z7="",AJ7=""),"Abnahmetermin vereinbaren – Sollfrist verstrichen",IF(AND(ISNUMBER(Z7),Z7&lt;TODAY(),AJ7=""),"Wohnungsabnahme nachtragen – Termin war fällig",IF(AND(ISNUMBER(AB7),AB7&lt;TODAY(),AK7=""),"Handwerker aufbieten – Frist verstrichen",IF(AND(ISNUMBER(AC7),AC7&lt;TODAY(),AO7=""),"Vertrag retour mahnen – Frist verstrichen",IF(AND(ISNUMBER(AD7),AD7&lt;TODAY(),AQ7=""),"Schlüsselübergabe nachtragen – Termin war fällig",IF(M7="","Haftungsdatum erfassen",IF(E7="","ex-Mieter erfassen",IF(AE7="","Kündigung bestätigen / G-Rem",IF(AF7="","Werke / EGT melden",IF(AG7="","Vorbesichtigung (oder n.e.)",IF(AH7="","VMZ aktualisieren",IF(AI7="","Inserat aufschalten",IF(AND(Z7="",AJ7=""),"Abnahmetermin vereinbaren",IF(AJ7="","Wohnungsabnahme durchführen",IF(AK7="","Handwerker aufbieten",IF(AL7="","Zustimmungserklärung einholen",IF(AM7="","Instandstellungen beauftragen",IF(R7="","Nachmieter erfassen",IF(AN7="","Vertrag versenden",IF(AO7="","Vertrag retour erfassen",IF(S7="","Vermietet per erfassen",IF(AP7="","Werke / EGT über Einzug informieren",IF(AND(AD7="",AQ7=""),"Schlüsselübergabe terminieren",IF(AQ7="","Schlüsselübergabe durchführen",IF(AR7="","Reinigung veranlassen",IF(AS7="","Namensschilder bestellen",IF(AT7="","Kaution prüfen / G-Rem mutieren",IF(AU7="","Instandstellungs-Rechnung erfassen",IF(AV7="","Schlussabrechnung erstellen",IF(AW7="","Zahlungseingang kontrollieren","Fall abschliessen"))))))))))))))))))))))))))))))))</f>
        <v/>
      </c>
      <c r="J7" s="17">
        <f>IF(M7="","",IF(S7&lt;&gt;"",MAX(0,S7-M7-1),MAX(0,TODAY()-M7)))</f>
        <v/>
      </c>
      <c r="K7" s="16">
        <f>IF($B7="","",TRIM(IF(AND(L7&lt;&gt;"",M7&lt;&gt;"",M7&lt;L7),"Haftungsdatum vor Kündigung. ","")&amp;IF(AND(S7&lt;&gt;"",M7&lt;&gt;"",S7&lt;M7),"Vermietung vor Leerstandsbeginn. ","")&amp;IF(AND(Z7&lt;&gt;"",L7&lt;&gt;"",Z7&lt;L7),"WA-Termin vor Kündigung. ","")&amp;IF(COUNTIFS($B$5:$B$404,$B7,$AY$5:$AY$404,"")&gt;1,"Zweiter offener Fall zum selben Objekt. ","")&amp;IF(AND($A7&lt;&gt;"",COUNTIFS($A$5:$A$404,$A7)&gt;1),"Fall-Nr. doppelt vergeben. ","")&amp;IF(E7="","ex-Mieter fehlt. ","")&amp;IF(M7="","Haftungsdatum fehlt. ","")&amp;IF(F7="","Bewirtschafter fehlt. ","")&amp;IF(AND(AY7&lt;&gt;"",AW7=""),"Abgeschlossen trotz offener Schlussabrechnung. ","")&amp;IF(AND(AY7="",S7="",ISNUMBER(J7),J7&gt;60),"Langläufer über 60 Tage. ","")))</f>
        <v/>
      </c>
      <c r="L7" s="18" t="n"/>
      <c r="M7" s="18" t="n"/>
      <c r="N7" s="19">
        <f>IF(M7="","",M7+1)</f>
        <v/>
      </c>
      <c r="O7" s="17">
        <f>IF(OR(L7="",M7=""),"",M7-L7)</f>
        <v/>
      </c>
      <c r="P7" s="16">
        <f>IF(M7="","",YEAR(M7+1)&amp;"-"&amp;TEXT(MONTH(M7+1),"00"))</f>
        <v/>
      </c>
      <c r="Q7" s="18" t="n"/>
      <c r="R7" s="15" t="n"/>
      <c r="S7" s="18" t="n"/>
      <c r="T7" s="16">
        <f>IF(U7="","",IF(LEFT(U7,1)="6","abgeschlossen",IF(OR(LEFT(U7,1)="1",LEFT(U7,1)="2"),"Kündigung &amp; Abnahme",IF(OR(LEFT(U7,1)="3",LEFT(U7,1)="4"),"Wiedervermietung","Schlussabrechnung"))))</f>
        <v/>
      </c>
      <c r="U7" s="16">
        <f>IF($B7="","",IF(AY7&lt;&gt;"","6 · abgeschlossen",IF(AW7&lt;&gt;"","5 · bereit zum Abschluss",IF(AT7&lt;&gt;"","5 · Schlussabrechnung",IF(AO7&lt;&gt;"","4 · Übergabe",IF(AM7&lt;&gt;"","3 · Neuvermietung",IF(M7&lt;&gt;"","2 · Abnahme &amp; Vermarktung","1 · Erfassung")))))))</f>
        <v/>
      </c>
      <c r="V7" s="15" t="n"/>
      <c r="W7" s="20" t="n"/>
      <c r="X7" s="15" t="n"/>
      <c r="Y7" s="15" t="n"/>
      <c r="Z7" s="18" t="n"/>
      <c r="AA7" s="19">
        <f>IF(M7="","",M7-30)</f>
        <v/>
      </c>
      <c r="AB7" s="19">
        <f>IF(ISNUMBER(AJ7),AJ7+3,"")</f>
        <v/>
      </c>
      <c r="AC7" s="18" t="n"/>
      <c r="AD7" s="18" t="n"/>
      <c r="AE7" s="18" t="n"/>
      <c r="AF7" s="18" t="n"/>
      <c r="AG7" s="18" t="n"/>
      <c r="AH7" s="18" t="n"/>
      <c r="AI7" s="18" t="n"/>
      <c r="AJ7" s="18" t="n"/>
      <c r="AK7" s="18" t="n"/>
      <c r="AL7" s="18" t="n"/>
      <c r="AM7" s="18" t="n"/>
      <c r="AN7" s="18" t="n"/>
      <c r="AO7" s="18" t="n"/>
      <c r="AP7" s="18" t="n"/>
      <c r="AQ7" s="18" t="n"/>
      <c r="AR7" s="18" t="n"/>
      <c r="AS7" s="18" t="n"/>
      <c r="AT7" s="18" t="n"/>
      <c r="AU7" s="18" t="n"/>
      <c r="AV7" s="18" t="n"/>
      <c r="AW7" s="18" t="n"/>
      <c r="AX7" s="18" t="n"/>
      <c r="AY7" s="18" t="n"/>
      <c r="AZ7" s="15" t="n"/>
    </row>
    <row r="8">
      <c r="A8" s="15" t="n"/>
      <c r="B8" s="15" t="n"/>
      <c r="C8" s="15" t="n"/>
      <c r="D8" s="15" t="n"/>
      <c r="E8" s="15" t="n"/>
      <c r="F8" s="15" t="n"/>
      <c r="G8" s="16">
        <f>IF(F8="","",IFERROR(INDEX(Stammdaten!$B$5:$B$24,MATCH(F8,Stammdaten!$A$5:$A$24,0)),"unbekannt"))</f>
        <v/>
      </c>
      <c r="H8" s="16">
        <f>IF($B8="","",IF(AY8&lt;&gt;"","abgeschlossen",IF(AND(ISNUMBER(AX8),AX8&gt;=TODAY()),"zurückgestellt",IF(OR(AND(ISNUMBER(AA8),AA8&lt;TODAY(),Z8="",AJ8=""),AND(ISNUMBER(Z8),Z8&lt;TODAY(),AJ8=""),AND(ISNUMBER(AB8),AB8&lt;TODAY(),AK8=""),AND(ISNUMBER(AC8),AC8&lt;TODAY(),AO8=""),AND(ISNUMBER(AD8),AD8&lt;TODAY(),AQ8="")),"überfällig","offen"))))</f>
        <v/>
      </c>
      <c r="I8" s="16">
        <f>IF($B8="","",IF(AY8&lt;&gt;"","—",IF(AND(ISNUMBER(AA8),AA8&lt;TODAY(),Z8="",AJ8=""),"Abnahmetermin vereinbaren – Sollfrist verstrichen",IF(AND(ISNUMBER(Z8),Z8&lt;TODAY(),AJ8=""),"Wohnungsabnahme nachtragen – Termin war fällig",IF(AND(ISNUMBER(AB8),AB8&lt;TODAY(),AK8=""),"Handwerker aufbieten – Frist verstrichen",IF(AND(ISNUMBER(AC8),AC8&lt;TODAY(),AO8=""),"Vertrag retour mahnen – Frist verstrichen",IF(AND(ISNUMBER(AD8),AD8&lt;TODAY(),AQ8=""),"Schlüsselübergabe nachtragen – Termin war fällig",IF(M8="","Haftungsdatum erfassen",IF(E8="","ex-Mieter erfassen",IF(AE8="","Kündigung bestätigen / G-Rem",IF(AF8="","Werke / EGT melden",IF(AG8="","Vorbesichtigung (oder n.e.)",IF(AH8="","VMZ aktualisieren",IF(AI8="","Inserat aufschalten",IF(AND(Z8="",AJ8=""),"Abnahmetermin vereinbaren",IF(AJ8="","Wohnungsabnahme durchführen",IF(AK8="","Handwerker aufbieten",IF(AL8="","Zustimmungserklärung einholen",IF(AM8="","Instandstellungen beauftragen",IF(R8="","Nachmieter erfassen",IF(AN8="","Vertrag versenden",IF(AO8="","Vertrag retour erfassen",IF(S8="","Vermietet per erfassen",IF(AP8="","Werke / EGT über Einzug informieren",IF(AND(AD8="",AQ8=""),"Schlüsselübergabe terminieren",IF(AQ8="","Schlüsselübergabe durchführen",IF(AR8="","Reinigung veranlassen",IF(AS8="","Namensschilder bestellen",IF(AT8="","Kaution prüfen / G-Rem mutieren",IF(AU8="","Instandstellungs-Rechnung erfassen",IF(AV8="","Schlussabrechnung erstellen",IF(AW8="","Zahlungseingang kontrollieren","Fall abschliessen"))))))))))))))))))))))))))))))))</f>
        <v/>
      </c>
      <c r="J8" s="17">
        <f>IF(M8="","",IF(S8&lt;&gt;"",MAX(0,S8-M8-1),MAX(0,TODAY()-M8)))</f>
        <v/>
      </c>
      <c r="K8" s="16">
        <f>IF($B8="","",TRIM(IF(AND(L8&lt;&gt;"",M8&lt;&gt;"",M8&lt;L8),"Haftungsdatum vor Kündigung. ","")&amp;IF(AND(S8&lt;&gt;"",M8&lt;&gt;"",S8&lt;M8),"Vermietung vor Leerstandsbeginn. ","")&amp;IF(AND(Z8&lt;&gt;"",L8&lt;&gt;"",Z8&lt;L8),"WA-Termin vor Kündigung. ","")&amp;IF(COUNTIFS($B$5:$B$404,$B8,$AY$5:$AY$404,"")&gt;1,"Zweiter offener Fall zum selben Objekt. ","")&amp;IF(AND($A8&lt;&gt;"",COUNTIFS($A$5:$A$404,$A8)&gt;1),"Fall-Nr. doppelt vergeben. ","")&amp;IF(E8="","ex-Mieter fehlt. ","")&amp;IF(M8="","Haftungsdatum fehlt. ","")&amp;IF(F8="","Bewirtschafter fehlt. ","")&amp;IF(AND(AY8&lt;&gt;"",AW8=""),"Abgeschlossen trotz offener Schlussabrechnung. ","")&amp;IF(AND(AY8="",S8="",ISNUMBER(J8),J8&gt;60),"Langläufer über 60 Tage. ","")))</f>
        <v/>
      </c>
      <c r="L8" s="18" t="n"/>
      <c r="M8" s="18" t="n"/>
      <c r="N8" s="19">
        <f>IF(M8="","",M8+1)</f>
        <v/>
      </c>
      <c r="O8" s="17">
        <f>IF(OR(L8="",M8=""),"",M8-L8)</f>
        <v/>
      </c>
      <c r="P8" s="16">
        <f>IF(M8="","",YEAR(M8+1)&amp;"-"&amp;TEXT(MONTH(M8+1),"00"))</f>
        <v/>
      </c>
      <c r="Q8" s="18" t="n"/>
      <c r="R8" s="15" t="n"/>
      <c r="S8" s="18" t="n"/>
      <c r="T8" s="16">
        <f>IF(U8="","",IF(LEFT(U8,1)="6","abgeschlossen",IF(OR(LEFT(U8,1)="1",LEFT(U8,1)="2"),"Kündigung &amp; Abnahme",IF(OR(LEFT(U8,1)="3",LEFT(U8,1)="4"),"Wiedervermietung","Schlussabrechnung"))))</f>
        <v/>
      </c>
      <c r="U8" s="16">
        <f>IF($B8="","",IF(AY8&lt;&gt;"","6 · abgeschlossen",IF(AW8&lt;&gt;"","5 · bereit zum Abschluss",IF(AT8&lt;&gt;"","5 · Schlussabrechnung",IF(AO8&lt;&gt;"","4 · Übergabe",IF(AM8&lt;&gt;"","3 · Neuvermietung",IF(M8&lt;&gt;"","2 · Abnahme &amp; Vermarktung","1 · Erfassung")))))))</f>
        <v/>
      </c>
      <c r="V8" s="15" t="n"/>
      <c r="W8" s="20" t="n"/>
      <c r="X8" s="15" t="n"/>
      <c r="Y8" s="15" t="n"/>
      <c r="Z8" s="18" t="n"/>
      <c r="AA8" s="19">
        <f>IF(M8="","",M8-30)</f>
        <v/>
      </c>
      <c r="AB8" s="19">
        <f>IF(ISNUMBER(AJ8),AJ8+3,"")</f>
        <v/>
      </c>
      <c r="AC8" s="18" t="n"/>
      <c r="AD8" s="18" t="n"/>
      <c r="AE8" s="18" t="n"/>
      <c r="AF8" s="18" t="n"/>
      <c r="AG8" s="18" t="n"/>
      <c r="AH8" s="18" t="n"/>
      <c r="AI8" s="18" t="n"/>
      <c r="AJ8" s="18" t="n"/>
      <c r="AK8" s="18" t="n"/>
      <c r="AL8" s="18" t="n"/>
      <c r="AM8" s="18" t="n"/>
      <c r="AN8" s="18" t="n"/>
      <c r="AO8" s="18" t="n"/>
      <c r="AP8" s="18" t="n"/>
      <c r="AQ8" s="18" t="n"/>
      <c r="AR8" s="18" t="n"/>
      <c r="AS8" s="18" t="n"/>
      <c r="AT8" s="18" t="n"/>
      <c r="AU8" s="18" t="n"/>
      <c r="AV8" s="18" t="n"/>
      <c r="AW8" s="18" t="n"/>
      <c r="AX8" s="18" t="n"/>
      <c r="AY8" s="18" t="n"/>
      <c r="AZ8" s="15" t="n"/>
    </row>
    <row r="9">
      <c r="A9" s="15" t="n"/>
      <c r="B9" s="15" t="n"/>
      <c r="C9" s="15" t="n"/>
      <c r="D9" s="15" t="n"/>
      <c r="E9" s="15" t="n"/>
      <c r="F9" s="15" t="n"/>
      <c r="G9" s="16">
        <f>IF(F9="","",IFERROR(INDEX(Stammdaten!$B$5:$B$24,MATCH(F9,Stammdaten!$A$5:$A$24,0)),"unbekannt"))</f>
        <v/>
      </c>
      <c r="H9" s="16">
        <f>IF($B9="","",IF(AY9&lt;&gt;"","abgeschlossen",IF(AND(ISNUMBER(AX9),AX9&gt;=TODAY()),"zurückgestellt",IF(OR(AND(ISNUMBER(AA9),AA9&lt;TODAY(),Z9="",AJ9=""),AND(ISNUMBER(Z9),Z9&lt;TODAY(),AJ9=""),AND(ISNUMBER(AB9),AB9&lt;TODAY(),AK9=""),AND(ISNUMBER(AC9),AC9&lt;TODAY(),AO9=""),AND(ISNUMBER(AD9),AD9&lt;TODAY(),AQ9="")),"überfällig","offen"))))</f>
        <v/>
      </c>
      <c r="I9" s="16">
        <f>IF($B9="","",IF(AY9&lt;&gt;"","—",IF(AND(ISNUMBER(AA9),AA9&lt;TODAY(),Z9="",AJ9=""),"Abnahmetermin vereinbaren – Sollfrist verstrichen",IF(AND(ISNUMBER(Z9),Z9&lt;TODAY(),AJ9=""),"Wohnungsabnahme nachtragen – Termin war fällig",IF(AND(ISNUMBER(AB9),AB9&lt;TODAY(),AK9=""),"Handwerker aufbieten – Frist verstrichen",IF(AND(ISNUMBER(AC9),AC9&lt;TODAY(),AO9=""),"Vertrag retour mahnen – Frist verstrichen",IF(AND(ISNUMBER(AD9),AD9&lt;TODAY(),AQ9=""),"Schlüsselübergabe nachtragen – Termin war fällig",IF(M9="","Haftungsdatum erfassen",IF(E9="","ex-Mieter erfassen",IF(AE9="","Kündigung bestätigen / G-Rem",IF(AF9="","Werke / EGT melden",IF(AG9="","Vorbesichtigung (oder n.e.)",IF(AH9="","VMZ aktualisieren",IF(AI9="","Inserat aufschalten",IF(AND(Z9="",AJ9=""),"Abnahmetermin vereinbaren",IF(AJ9="","Wohnungsabnahme durchführen",IF(AK9="","Handwerker aufbieten",IF(AL9="","Zustimmungserklärung einholen",IF(AM9="","Instandstellungen beauftragen",IF(R9="","Nachmieter erfassen",IF(AN9="","Vertrag versenden",IF(AO9="","Vertrag retour erfassen",IF(S9="","Vermietet per erfassen",IF(AP9="","Werke / EGT über Einzug informieren",IF(AND(AD9="",AQ9=""),"Schlüsselübergabe terminieren",IF(AQ9="","Schlüsselübergabe durchführen",IF(AR9="","Reinigung veranlassen",IF(AS9="","Namensschilder bestellen",IF(AT9="","Kaution prüfen / G-Rem mutieren",IF(AU9="","Instandstellungs-Rechnung erfassen",IF(AV9="","Schlussabrechnung erstellen",IF(AW9="","Zahlungseingang kontrollieren","Fall abschliessen"))))))))))))))))))))))))))))))))</f>
        <v/>
      </c>
      <c r="J9" s="17">
        <f>IF(M9="","",IF(S9&lt;&gt;"",MAX(0,S9-M9-1),MAX(0,TODAY()-M9)))</f>
        <v/>
      </c>
      <c r="K9" s="16">
        <f>IF($B9="","",TRIM(IF(AND(L9&lt;&gt;"",M9&lt;&gt;"",M9&lt;L9),"Haftungsdatum vor Kündigung. ","")&amp;IF(AND(S9&lt;&gt;"",M9&lt;&gt;"",S9&lt;M9),"Vermietung vor Leerstandsbeginn. ","")&amp;IF(AND(Z9&lt;&gt;"",L9&lt;&gt;"",Z9&lt;L9),"WA-Termin vor Kündigung. ","")&amp;IF(COUNTIFS($B$5:$B$404,$B9,$AY$5:$AY$404,"")&gt;1,"Zweiter offener Fall zum selben Objekt. ","")&amp;IF(AND($A9&lt;&gt;"",COUNTIFS($A$5:$A$404,$A9)&gt;1),"Fall-Nr. doppelt vergeben. ","")&amp;IF(E9="","ex-Mieter fehlt. ","")&amp;IF(M9="","Haftungsdatum fehlt. ","")&amp;IF(F9="","Bewirtschafter fehlt. ","")&amp;IF(AND(AY9&lt;&gt;"",AW9=""),"Abgeschlossen trotz offener Schlussabrechnung. ","")&amp;IF(AND(AY9="",S9="",ISNUMBER(J9),J9&gt;60),"Langläufer über 60 Tage. ","")))</f>
        <v/>
      </c>
      <c r="L9" s="18" t="n"/>
      <c r="M9" s="18" t="n"/>
      <c r="N9" s="19">
        <f>IF(M9="","",M9+1)</f>
        <v/>
      </c>
      <c r="O9" s="17">
        <f>IF(OR(L9="",M9=""),"",M9-L9)</f>
        <v/>
      </c>
      <c r="P9" s="16">
        <f>IF(M9="","",YEAR(M9+1)&amp;"-"&amp;TEXT(MONTH(M9+1),"00"))</f>
        <v/>
      </c>
      <c r="Q9" s="18" t="n"/>
      <c r="R9" s="15" t="n"/>
      <c r="S9" s="18" t="n"/>
      <c r="T9" s="16">
        <f>IF(U9="","",IF(LEFT(U9,1)="6","abgeschlossen",IF(OR(LEFT(U9,1)="1",LEFT(U9,1)="2"),"Kündigung &amp; Abnahme",IF(OR(LEFT(U9,1)="3",LEFT(U9,1)="4"),"Wiedervermietung","Schlussabrechnung"))))</f>
        <v/>
      </c>
      <c r="U9" s="16">
        <f>IF($B9="","",IF(AY9&lt;&gt;"","6 · abgeschlossen",IF(AW9&lt;&gt;"","5 · bereit zum Abschluss",IF(AT9&lt;&gt;"","5 · Schlussabrechnung",IF(AO9&lt;&gt;"","4 · Übergabe",IF(AM9&lt;&gt;"","3 · Neuvermietung",IF(M9&lt;&gt;"","2 · Abnahme &amp; Vermarktung","1 · Erfassung")))))))</f>
        <v/>
      </c>
      <c r="V9" s="15" t="n"/>
      <c r="W9" s="20" t="n"/>
      <c r="X9" s="15" t="n"/>
      <c r="Y9" s="15" t="n"/>
      <c r="Z9" s="18" t="n"/>
      <c r="AA9" s="19">
        <f>IF(M9="","",M9-30)</f>
        <v/>
      </c>
      <c r="AB9" s="19">
        <f>IF(ISNUMBER(AJ9),AJ9+3,"")</f>
        <v/>
      </c>
      <c r="AC9" s="18" t="n"/>
      <c r="AD9" s="18" t="n"/>
      <c r="AE9" s="18" t="n"/>
      <c r="AF9" s="18" t="n"/>
      <c r="AG9" s="18" t="n"/>
      <c r="AH9" s="18" t="n"/>
      <c r="AI9" s="18" t="n"/>
      <c r="AJ9" s="18" t="n"/>
      <c r="AK9" s="18" t="n"/>
      <c r="AL9" s="18" t="n"/>
      <c r="AM9" s="18" t="n"/>
      <c r="AN9" s="18" t="n"/>
      <c r="AO9" s="18" t="n"/>
      <c r="AP9" s="18" t="n"/>
      <c r="AQ9" s="18" t="n"/>
      <c r="AR9" s="18" t="n"/>
      <c r="AS9" s="18" t="n"/>
      <c r="AT9" s="18" t="n"/>
      <c r="AU9" s="18" t="n"/>
      <c r="AV9" s="18" t="n"/>
      <c r="AW9" s="18" t="n"/>
      <c r="AX9" s="18" t="n"/>
      <c r="AY9" s="18" t="n"/>
      <c r="AZ9" s="15" t="n"/>
    </row>
    <row r="10">
      <c r="A10" s="15" t="n"/>
      <c r="B10" s="15" t="n"/>
      <c r="C10" s="15" t="n"/>
      <c r="D10" s="15" t="n"/>
      <c r="E10" s="15" t="n"/>
      <c r="F10" s="15" t="n"/>
      <c r="G10" s="16">
        <f>IF(F10="","",IFERROR(INDEX(Stammdaten!$B$5:$B$24,MATCH(F10,Stammdaten!$A$5:$A$24,0)),"unbekannt"))</f>
        <v/>
      </c>
      <c r="H10" s="16">
        <f>IF($B10="","",IF(AY10&lt;&gt;"","abgeschlossen",IF(AND(ISNUMBER(AX10),AX10&gt;=TODAY()),"zurückgestellt",IF(OR(AND(ISNUMBER(AA10),AA10&lt;TODAY(),Z10="",AJ10=""),AND(ISNUMBER(Z10),Z10&lt;TODAY(),AJ10=""),AND(ISNUMBER(AB10),AB10&lt;TODAY(),AK10=""),AND(ISNUMBER(AC10),AC10&lt;TODAY(),AO10=""),AND(ISNUMBER(AD10),AD10&lt;TODAY(),AQ10="")),"überfällig","offen"))))</f>
        <v/>
      </c>
      <c r="I10" s="16">
        <f>IF($B10="","",IF(AY10&lt;&gt;"","—",IF(AND(ISNUMBER(AA10),AA10&lt;TODAY(),Z10="",AJ10=""),"Abnahmetermin vereinbaren – Sollfrist verstrichen",IF(AND(ISNUMBER(Z10),Z10&lt;TODAY(),AJ10=""),"Wohnungsabnahme nachtragen – Termin war fällig",IF(AND(ISNUMBER(AB10),AB10&lt;TODAY(),AK10=""),"Handwerker aufbieten – Frist verstrichen",IF(AND(ISNUMBER(AC10),AC10&lt;TODAY(),AO10=""),"Vertrag retour mahnen – Frist verstrichen",IF(AND(ISNUMBER(AD10),AD10&lt;TODAY(),AQ10=""),"Schlüsselübergabe nachtragen – Termin war fällig",IF(M10="","Haftungsdatum erfassen",IF(E10="","ex-Mieter erfassen",IF(AE10="","Kündigung bestätigen / G-Rem",IF(AF10="","Werke / EGT melden",IF(AG10="","Vorbesichtigung (oder n.e.)",IF(AH10="","VMZ aktualisieren",IF(AI10="","Inserat aufschalten",IF(AND(Z10="",AJ10=""),"Abnahmetermin vereinbaren",IF(AJ10="","Wohnungsabnahme durchführen",IF(AK10="","Handwerker aufbieten",IF(AL10="","Zustimmungserklärung einholen",IF(AM10="","Instandstellungen beauftragen",IF(R10="","Nachmieter erfassen",IF(AN10="","Vertrag versenden",IF(AO10="","Vertrag retour erfassen",IF(S10="","Vermietet per erfassen",IF(AP10="","Werke / EGT über Einzug informieren",IF(AND(AD10="",AQ10=""),"Schlüsselübergabe terminieren",IF(AQ10="","Schlüsselübergabe durchführen",IF(AR10="","Reinigung veranlassen",IF(AS10="","Namensschilder bestellen",IF(AT10="","Kaution prüfen / G-Rem mutieren",IF(AU10="","Instandstellungs-Rechnung erfassen",IF(AV10="","Schlussabrechnung erstellen",IF(AW10="","Zahlungseingang kontrollieren","Fall abschliessen"))))))))))))))))))))))))))))))))</f>
        <v/>
      </c>
      <c r="J10" s="17">
        <f>IF(M10="","",IF(S10&lt;&gt;"",MAX(0,S10-M10-1),MAX(0,TODAY()-M10)))</f>
        <v/>
      </c>
      <c r="K10" s="16">
        <f>IF($B10="","",TRIM(IF(AND(L10&lt;&gt;"",M10&lt;&gt;"",M10&lt;L10),"Haftungsdatum vor Kündigung. ","")&amp;IF(AND(S10&lt;&gt;"",M10&lt;&gt;"",S10&lt;M10),"Vermietung vor Leerstandsbeginn. ","")&amp;IF(AND(Z10&lt;&gt;"",L10&lt;&gt;"",Z10&lt;L10),"WA-Termin vor Kündigung. ","")&amp;IF(COUNTIFS($B$5:$B$404,$B10,$AY$5:$AY$404,"")&gt;1,"Zweiter offener Fall zum selben Objekt. ","")&amp;IF(AND($A10&lt;&gt;"",COUNTIFS($A$5:$A$404,$A10)&gt;1),"Fall-Nr. doppelt vergeben. ","")&amp;IF(E10="","ex-Mieter fehlt. ","")&amp;IF(M10="","Haftungsdatum fehlt. ","")&amp;IF(F10="","Bewirtschafter fehlt. ","")&amp;IF(AND(AY10&lt;&gt;"",AW10=""),"Abgeschlossen trotz offener Schlussabrechnung. ","")&amp;IF(AND(AY10="",S10="",ISNUMBER(J10),J10&gt;60),"Langläufer über 60 Tage. ","")))</f>
        <v/>
      </c>
      <c r="L10" s="18" t="n"/>
      <c r="M10" s="18" t="n"/>
      <c r="N10" s="19">
        <f>IF(M10="","",M10+1)</f>
        <v/>
      </c>
      <c r="O10" s="17">
        <f>IF(OR(L10="",M10=""),"",M10-L10)</f>
        <v/>
      </c>
      <c r="P10" s="16">
        <f>IF(M10="","",YEAR(M10+1)&amp;"-"&amp;TEXT(MONTH(M10+1),"00"))</f>
        <v/>
      </c>
      <c r="Q10" s="18" t="n"/>
      <c r="R10" s="15" t="n"/>
      <c r="S10" s="18" t="n"/>
      <c r="T10" s="16">
        <f>IF(U10="","",IF(LEFT(U10,1)="6","abgeschlossen",IF(OR(LEFT(U10,1)="1",LEFT(U10,1)="2"),"Kündigung &amp; Abnahme",IF(OR(LEFT(U10,1)="3",LEFT(U10,1)="4"),"Wiedervermietung","Schlussabrechnung"))))</f>
        <v/>
      </c>
      <c r="U10" s="16">
        <f>IF($B10="","",IF(AY10&lt;&gt;"","6 · abgeschlossen",IF(AW10&lt;&gt;"","5 · bereit zum Abschluss",IF(AT10&lt;&gt;"","5 · Schlussabrechnung",IF(AO10&lt;&gt;"","4 · Übergabe",IF(AM10&lt;&gt;"","3 · Neuvermietung",IF(M10&lt;&gt;"","2 · Abnahme &amp; Vermarktung","1 · Erfassung")))))))</f>
        <v/>
      </c>
      <c r="V10" s="15" t="n"/>
      <c r="W10" s="20" t="n"/>
      <c r="X10" s="15" t="n"/>
      <c r="Y10" s="15" t="n"/>
      <c r="Z10" s="18" t="n"/>
      <c r="AA10" s="19">
        <f>IF(M10="","",M10-30)</f>
        <v/>
      </c>
      <c r="AB10" s="19">
        <f>IF(ISNUMBER(AJ10),AJ10+3,"")</f>
        <v/>
      </c>
      <c r="AC10" s="18" t="n"/>
      <c r="AD10" s="18" t="n"/>
      <c r="AE10" s="18" t="n"/>
      <c r="AF10" s="18" t="n"/>
      <c r="AG10" s="18" t="n"/>
      <c r="AH10" s="18" t="n"/>
      <c r="AI10" s="18" t="n"/>
      <c r="AJ10" s="18" t="n"/>
      <c r="AK10" s="18" t="n"/>
      <c r="AL10" s="18" t="n"/>
      <c r="AM10" s="18" t="n"/>
      <c r="AN10" s="18" t="n"/>
      <c r="AO10" s="18" t="n"/>
      <c r="AP10" s="18" t="n"/>
      <c r="AQ10" s="18" t="n"/>
      <c r="AR10" s="18" t="n"/>
      <c r="AS10" s="18" t="n"/>
      <c r="AT10" s="18" t="n"/>
      <c r="AU10" s="18" t="n"/>
      <c r="AV10" s="18" t="n"/>
      <c r="AW10" s="18" t="n"/>
      <c r="AX10" s="18" t="n"/>
      <c r="AY10" s="18" t="n"/>
      <c r="AZ10" s="15" t="n"/>
    </row>
    <row r="11">
      <c r="A11" s="15" t="n"/>
      <c r="B11" s="15" t="n"/>
      <c r="C11" s="15" t="n"/>
      <c r="D11" s="15" t="n"/>
      <c r="E11" s="15" t="n"/>
      <c r="F11" s="15" t="n"/>
      <c r="G11" s="16">
        <f>IF(F11="","",IFERROR(INDEX(Stammdaten!$B$5:$B$24,MATCH(F11,Stammdaten!$A$5:$A$24,0)),"unbekannt"))</f>
        <v/>
      </c>
      <c r="H11" s="16">
        <f>IF($B11="","",IF(AY11&lt;&gt;"","abgeschlossen",IF(AND(ISNUMBER(AX11),AX11&gt;=TODAY()),"zurückgestellt",IF(OR(AND(ISNUMBER(AA11),AA11&lt;TODAY(),Z11="",AJ11=""),AND(ISNUMBER(Z11),Z11&lt;TODAY(),AJ11=""),AND(ISNUMBER(AB11),AB11&lt;TODAY(),AK11=""),AND(ISNUMBER(AC11),AC11&lt;TODAY(),AO11=""),AND(ISNUMBER(AD11),AD11&lt;TODAY(),AQ11="")),"überfällig","offen"))))</f>
        <v/>
      </c>
      <c r="I11" s="16">
        <f>IF($B11="","",IF(AY11&lt;&gt;"","—",IF(AND(ISNUMBER(AA11),AA11&lt;TODAY(),Z11="",AJ11=""),"Abnahmetermin vereinbaren – Sollfrist verstrichen",IF(AND(ISNUMBER(Z11),Z11&lt;TODAY(),AJ11=""),"Wohnungsabnahme nachtragen – Termin war fällig",IF(AND(ISNUMBER(AB11),AB11&lt;TODAY(),AK11=""),"Handwerker aufbieten – Frist verstrichen",IF(AND(ISNUMBER(AC11),AC11&lt;TODAY(),AO11=""),"Vertrag retour mahnen – Frist verstrichen",IF(AND(ISNUMBER(AD11),AD11&lt;TODAY(),AQ11=""),"Schlüsselübergabe nachtragen – Termin war fällig",IF(M11="","Haftungsdatum erfassen",IF(E11="","ex-Mieter erfassen",IF(AE11="","Kündigung bestätigen / G-Rem",IF(AF11="","Werke / EGT melden",IF(AG11="","Vorbesichtigung (oder n.e.)",IF(AH11="","VMZ aktualisieren",IF(AI11="","Inserat aufschalten",IF(AND(Z11="",AJ11=""),"Abnahmetermin vereinbaren",IF(AJ11="","Wohnungsabnahme durchführen",IF(AK11="","Handwerker aufbieten",IF(AL11="","Zustimmungserklärung einholen",IF(AM11="","Instandstellungen beauftragen",IF(R11="","Nachmieter erfassen",IF(AN11="","Vertrag versenden",IF(AO11="","Vertrag retour erfassen",IF(S11="","Vermietet per erfassen",IF(AP11="","Werke / EGT über Einzug informieren",IF(AND(AD11="",AQ11=""),"Schlüsselübergabe terminieren",IF(AQ11="","Schlüsselübergabe durchführen",IF(AR11="","Reinigung veranlassen",IF(AS11="","Namensschilder bestellen",IF(AT11="","Kaution prüfen / G-Rem mutieren",IF(AU11="","Instandstellungs-Rechnung erfassen",IF(AV11="","Schlussabrechnung erstellen",IF(AW11="","Zahlungseingang kontrollieren","Fall abschliessen"))))))))))))))))))))))))))))))))</f>
        <v/>
      </c>
      <c r="J11" s="17">
        <f>IF(M11="","",IF(S11&lt;&gt;"",MAX(0,S11-M11-1),MAX(0,TODAY()-M11)))</f>
        <v/>
      </c>
      <c r="K11" s="16">
        <f>IF($B11="","",TRIM(IF(AND(L11&lt;&gt;"",M11&lt;&gt;"",M11&lt;L11),"Haftungsdatum vor Kündigung. ","")&amp;IF(AND(S11&lt;&gt;"",M11&lt;&gt;"",S11&lt;M11),"Vermietung vor Leerstandsbeginn. ","")&amp;IF(AND(Z11&lt;&gt;"",L11&lt;&gt;"",Z11&lt;L11),"WA-Termin vor Kündigung. ","")&amp;IF(COUNTIFS($B$5:$B$404,$B11,$AY$5:$AY$404,"")&gt;1,"Zweiter offener Fall zum selben Objekt. ","")&amp;IF(AND($A11&lt;&gt;"",COUNTIFS($A$5:$A$404,$A11)&gt;1),"Fall-Nr. doppelt vergeben. ","")&amp;IF(E11="","ex-Mieter fehlt. ","")&amp;IF(M11="","Haftungsdatum fehlt. ","")&amp;IF(F11="","Bewirtschafter fehlt. ","")&amp;IF(AND(AY11&lt;&gt;"",AW11=""),"Abgeschlossen trotz offener Schlussabrechnung. ","")&amp;IF(AND(AY11="",S11="",ISNUMBER(J11),J11&gt;60),"Langläufer über 60 Tage. ","")))</f>
        <v/>
      </c>
      <c r="L11" s="18" t="n"/>
      <c r="M11" s="18" t="n"/>
      <c r="N11" s="19">
        <f>IF(M11="","",M11+1)</f>
        <v/>
      </c>
      <c r="O11" s="17">
        <f>IF(OR(L11="",M11=""),"",M11-L11)</f>
        <v/>
      </c>
      <c r="P11" s="16">
        <f>IF(M11="","",YEAR(M11+1)&amp;"-"&amp;TEXT(MONTH(M11+1),"00"))</f>
        <v/>
      </c>
      <c r="Q11" s="18" t="n"/>
      <c r="R11" s="15" t="n"/>
      <c r="S11" s="18" t="n"/>
      <c r="T11" s="16">
        <f>IF(U11="","",IF(LEFT(U11,1)="6","abgeschlossen",IF(OR(LEFT(U11,1)="1",LEFT(U11,1)="2"),"Kündigung &amp; Abnahme",IF(OR(LEFT(U11,1)="3",LEFT(U11,1)="4"),"Wiedervermietung","Schlussabrechnung"))))</f>
        <v/>
      </c>
      <c r="U11" s="16">
        <f>IF($B11="","",IF(AY11&lt;&gt;"","6 · abgeschlossen",IF(AW11&lt;&gt;"","5 · bereit zum Abschluss",IF(AT11&lt;&gt;"","5 · Schlussabrechnung",IF(AO11&lt;&gt;"","4 · Übergabe",IF(AM11&lt;&gt;"","3 · Neuvermietung",IF(M11&lt;&gt;"","2 · Abnahme &amp; Vermarktung","1 · Erfassung")))))))</f>
        <v/>
      </c>
      <c r="V11" s="15" t="n"/>
      <c r="W11" s="20" t="n"/>
      <c r="X11" s="15" t="n"/>
      <c r="Y11" s="15" t="n"/>
      <c r="Z11" s="18" t="n"/>
      <c r="AA11" s="19">
        <f>IF(M11="","",M11-30)</f>
        <v/>
      </c>
      <c r="AB11" s="19">
        <f>IF(ISNUMBER(AJ11),AJ11+3,"")</f>
        <v/>
      </c>
      <c r="AC11" s="18" t="n"/>
      <c r="AD11" s="18" t="n"/>
      <c r="AE11" s="18" t="n"/>
      <c r="AF11" s="18" t="n"/>
      <c r="AG11" s="18" t="n"/>
      <c r="AH11" s="18" t="n"/>
      <c r="AI11" s="18" t="n"/>
      <c r="AJ11" s="18" t="n"/>
      <c r="AK11" s="18" t="n"/>
      <c r="AL11" s="18" t="n"/>
      <c r="AM11" s="18" t="n"/>
      <c r="AN11" s="18" t="n"/>
      <c r="AO11" s="18" t="n"/>
      <c r="AP11" s="18" t="n"/>
      <c r="AQ11" s="18" t="n"/>
      <c r="AR11" s="18" t="n"/>
      <c r="AS11" s="18" t="n"/>
      <c r="AT11" s="18" t="n"/>
      <c r="AU11" s="18" t="n"/>
      <c r="AV11" s="18" t="n"/>
      <c r="AW11" s="18" t="n"/>
      <c r="AX11" s="18" t="n"/>
      <c r="AY11" s="18" t="n"/>
      <c r="AZ11" s="15" t="n"/>
    </row>
    <row r="12">
      <c r="A12" s="15" t="n"/>
      <c r="B12" s="15" t="n"/>
      <c r="C12" s="15" t="n"/>
      <c r="D12" s="15" t="n"/>
      <c r="E12" s="15" t="n"/>
      <c r="F12" s="15" t="n"/>
      <c r="G12" s="16">
        <f>IF(F12="","",IFERROR(INDEX(Stammdaten!$B$5:$B$24,MATCH(F12,Stammdaten!$A$5:$A$24,0)),"unbekannt"))</f>
        <v/>
      </c>
      <c r="H12" s="16">
        <f>IF($B12="","",IF(AY12&lt;&gt;"","abgeschlossen",IF(AND(ISNUMBER(AX12),AX12&gt;=TODAY()),"zurückgestellt",IF(OR(AND(ISNUMBER(AA12),AA12&lt;TODAY(),Z12="",AJ12=""),AND(ISNUMBER(Z12),Z12&lt;TODAY(),AJ12=""),AND(ISNUMBER(AB12),AB12&lt;TODAY(),AK12=""),AND(ISNUMBER(AC12),AC12&lt;TODAY(),AO12=""),AND(ISNUMBER(AD12),AD12&lt;TODAY(),AQ12="")),"überfällig","offen"))))</f>
        <v/>
      </c>
      <c r="I12" s="16">
        <f>IF($B12="","",IF(AY12&lt;&gt;"","—",IF(AND(ISNUMBER(AA12),AA12&lt;TODAY(),Z12="",AJ12=""),"Abnahmetermin vereinbaren – Sollfrist verstrichen",IF(AND(ISNUMBER(Z12),Z12&lt;TODAY(),AJ12=""),"Wohnungsabnahme nachtragen – Termin war fällig",IF(AND(ISNUMBER(AB12),AB12&lt;TODAY(),AK12=""),"Handwerker aufbieten – Frist verstrichen",IF(AND(ISNUMBER(AC12),AC12&lt;TODAY(),AO12=""),"Vertrag retour mahnen – Frist verstrichen",IF(AND(ISNUMBER(AD12),AD12&lt;TODAY(),AQ12=""),"Schlüsselübergabe nachtragen – Termin war fällig",IF(M12="","Haftungsdatum erfassen",IF(E12="","ex-Mieter erfassen",IF(AE12="","Kündigung bestätigen / G-Rem",IF(AF12="","Werke / EGT melden",IF(AG12="","Vorbesichtigung (oder n.e.)",IF(AH12="","VMZ aktualisieren",IF(AI12="","Inserat aufschalten",IF(AND(Z12="",AJ12=""),"Abnahmetermin vereinbaren",IF(AJ12="","Wohnungsabnahme durchführen",IF(AK12="","Handwerker aufbieten",IF(AL12="","Zustimmungserklärung einholen",IF(AM12="","Instandstellungen beauftragen",IF(R12="","Nachmieter erfassen",IF(AN12="","Vertrag versenden",IF(AO12="","Vertrag retour erfassen",IF(S12="","Vermietet per erfassen",IF(AP12="","Werke / EGT über Einzug informieren",IF(AND(AD12="",AQ12=""),"Schlüsselübergabe terminieren",IF(AQ12="","Schlüsselübergabe durchführen",IF(AR12="","Reinigung veranlassen",IF(AS12="","Namensschilder bestellen",IF(AT12="","Kaution prüfen / G-Rem mutieren",IF(AU12="","Instandstellungs-Rechnung erfassen",IF(AV12="","Schlussabrechnung erstellen",IF(AW12="","Zahlungseingang kontrollieren","Fall abschliessen"))))))))))))))))))))))))))))))))</f>
        <v/>
      </c>
      <c r="J12" s="17">
        <f>IF(M12="","",IF(S12&lt;&gt;"",MAX(0,S12-M12-1),MAX(0,TODAY()-M12)))</f>
        <v/>
      </c>
      <c r="K12" s="16">
        <f>IF($B12="","",TRIM(IF(AND(L12&lt;&gt;"",M12&lt;&gt;"",M12&lt;L12),"Haftungsdatum vor Kündigung. ","")&amp;IF(AND(S12&lt;&gt;"",M12&lt;&gt;"",S12&lt;M12),"Vermietung vor Leerstandsbeginn. ","")&amp;IF(AND(Z12&lt;&gt;"",L12&lt;&gt;"",Z12&lt;L12),"WA-Termin vor Kündigung. ","")&amp;IF(COUNTIFS($B$5:$B$404,$B12,$AY$5:$AY$404,"")&gt;1,"Zweiter offener Fall zum selben Objekt. ","")&amp;IF(AND($A12&lt;&gt;"",COUNTIFS($A$5:$A$404,$A12)&gt;1),"Fall-Nr. doppelt vergeben. ","")&amp;IF(E12="","ex-Mieter fehlt. ","")&amp;IF(M12="","Haftungsdatum fehlt. ","")&amp;IF(F12="","Bewirtschafter fehlt. ","")&amp;IF(AND(AY12&lt;&gt;"",AW12=""),"Abgeschlossen trotz offener Schlussabrechnung. ","")&amp;IF(AND(AY12="",S12="",ISNUMBER(J12),J12&gt;60),"Langläufer über 60 Tage. ","")))</f>
        <v/>
      </c>
      <c r="L12" s="18" t="n"/>
      <c r="M12" s="18" t="n"/>
      <c r="N12" s="19">
        <f>IF(M12="","",M12+1)</f>
        <v/>
      </c>
      <c r="O12" s="17">
        <f>IF(OR(L12="",M12=""),"",M12-L12)</f>
        <v/>
      </c>
      <c r="P12" s="16">
        <f>IF(M12="","",YEAR(M12+1)&amp;"-"&amp;TEXT(MONTH(M12+1),"00"))</f>
        <v/>
      </c>
      <c r="Q12" s="18" t="n"/>
      <c r="R12" s="15" t="n"/>
      <c r="S12" s="18" t="n"/>
      <c r="T12" s="16">
        <f>IF(U12="","",IF(LEFT(U12,1)="6","abgeschlossen",IF(OR(LEFT(U12,1)="1",LEFT(U12,1)="2"),"Kündigung &amp; Abnahme",IF(OR(LEFT(U12,1)="3",LEFT(U12,1)="4"),"Wiedervermietung","Schlussabrechnung"))))</f>
        <v/>
      </c>
      <c r="U12" s="16">
        <f>IF($B12="","",IF(AY12&lt;&gt;"","6 · abgeschlossen",IF(AW12&lt;&gt;"","5 · bereit zum Abschluss",IF(AT12&lt;&gt;"","5 · Schlussabrechnung",IF(AO12&lt;&gt;"","4 · Übergabe",IF(AM12&lt;&gt;"","3 · Neuvermietung",IF(M12&lt;&gt;"","2 · Abnahme &amp; Vermarktung","1 · Erfassung")))))))</f>
        <v/>
      </c>
      <c r="V12" s="15" t="n"/>
      <c r="W12" s="20" t="n"/>
      <c r="X12" s="15" t="n"/>
      <c r="Y12" s="15" t="n"/>
      <c r="Z12" s="18" t="n"/>
      <c r="AA12" s="19">
        <f>IF(M12="","",M12-30)</f>
        <v/>
      </c>
      <c r="AB12" s="19">
        <f>IF(ISNUMBER(AJ12),AJ12+3,"")</f>
        <v/>
      </c>
      <c r="AC12" s="18" t="n"/>
      <c r="AD12" s="18" t="n"/>
      <c r="AE12" s="18" t="n"/>
      <c r="AF12" s="18" t="n"/>
      <c r="AG12" s="18" t="n"/>
      <c r="AH12" s="18" t="n"/>
      <c r="AI12" s="18" t="n"/>
      <c r="AJ12" s="18" t="n"/>
      <c r="AK12" s="18" t="n"/>
      <c r="AL12" s="18" t="n"/>
      <c r="AM12" s="18" t="n"/>
      <c r="AN12" s="18" t="n"/>
      <c r="AO12" s="18" t="n"/>
      <c r="AP12" s="18" t="n"/>
      <c r="AQ12" s="18" t="n"/>
      <c r="AR12" s="18" t="n"/>
      <c r="AS12" s="18" t="n"/>
      <c r="AT12" s="18" t="n"/>
      <c r="AU12" s="18" t="n"/>
      <c r="AV12" s="18" t="n"/>
      <c r="AW12" s="18" t="n"/>
      <c r="AX12" s="18" t="n"/>
      <c r="AY12" s="18" t="n"/>
      <c r="AZ12" s="15" t="n"/>
    </row>
    <row r="13">
      <c r="A13" s="15" t="n"/>
      <c r="B13" s="15" t="n"/>
      <c r="C13" s="15" t="n"/>
      <c r="D13" s="15" t="n"/>
      <c r="E13" s="15" t="n"/>
      <c r="F13" s="15" t="n"/>
      <c r="G13" s="16">
        <f>IF(F13="","",IFERROR(INDEX(Stammdaten!$B$5:$B$24,MATCH(F13,Stammdaten!$A$5:$A$24,0)),"unbekannt"))</f>
        <v/>
      </c>
      <c r="H13" s="16">
        <f>IF($B13="","",IF(AY13&lt;&gt;"","abgeschlossen",IF(AND(ISNUMBER(AX13),AX13&gt;=TODAY()),"zurückgestellt",IF(OR(AND(ISNUMBER(AA13),AA13&lt;TODAY(),Z13="",AJ13=""),AND(ISNUMBER(Z13),Z13&lt;TODAY(),AJ13=""),AND(ISNUMBER(AB13),AB13&lt;TODAY(),AK13=""),AND(ISNUMBER(AC13),AC13&lt;TODAY(),AO13=""),AND(ISNUMBER(AD13),AD13&lt;TODAY(),AQ13="")),"überfällig","offen"))))</f>
        <v/>
      </c>
      <c r="I13" s="16">
        <f>IF($B13="","",IF(AY13&lt;&gt;"","—",IF(AND(ISNUMBER(AA13),AA13&lt;TODAY(),Z13="",AJ13=""),"Abnahmetermin vereinbaren – Sollfrist verstrichen",IF(AND(ISNUMBER(Z13),Z13&lt;TODAY(),AJ13=""),"Wohnungsabnahme nachtragen – Termin war fällig",IF(AND(ISNUMBER(AB13),AB13&lt;TODAY(),AK13=""),"Handwerker aufbieten – Frist verstrichen",IF(AND(ISNUMBER(AC13),AC13&lt;TODAY(),AO13=""),"Vertrag retour mahnen – Frist verstrichen",IF(AND(ISNUMBER(AD13),AD13&lt;TODAY(),AQ13=""),"Schlüsselübergabe nachtragen – Termin war fällig",IF(M13="","Haftungsdatum erfassen",IF(E13="","ex-Mieter erfassen",IF(AE13="","Kündigung bestätigen / G-Rem",IF(AF13="","Werke / EGT melden",IF(AG13="","Vorbesichtigung (oder n.e.)",IF(AH13="","VMZ aktualisieren",IF(AI13="","Inserat aufschalten",IF(AND(Z13="",AJ13=""),"Abnahmetermin vereinbaren",IF(AJ13="","Wohnungsabnahme durchführen",IF(AK13="","Handwerker aufbieten",IF(AL13="","Zustimmungserklärung einholen",IF(AM13="","Instandstellungen beauftragen",IF(R13="","Nachmieter erfassen",IF(AN13="","Vertrag versenden",IF(AO13="","Vertrag retour erfassen",IF(S13="","Vermietet per erfassen",IF(AP13="","Werke / EGT über Einzug informieren",IF(AND(AD13="",AQ13=""),"Schlüsselübergabe terminieren",IF(AQ13="","Schlüsselübergabe durchführen",IF(AR13="","Reinigung veranlassen",IF(AS13="","Namensschilder bestellen",IF(AT13="","Kaution prüfen / G-Rem mutieren",IF(AU13="","Instandstellungs-Rechnung erfassen",IF(AV13="","Schlussabrechnung erstellen",IF(AW13="","Zahlungseingang kontrollieren","Fall abschliessen"))))))))))))))))))))))))))))))))</f>
        <v/>
      </c>
      <c r="J13" s="17">
        <f>IF(M13="","",IF(S13&lt;&gt;"",MAX(0,S13-M13-1),MAX(0,TODAY()-M13)))</f>
        <v/>
      </c>
      <c r="K13" s="16">
        <f>IF($B13="","",TRIM(IF(AND(L13&lt;&gt;"",M13&lt;&gt;"",M13&lt;L13),"Haftungsdatum vor Kündigung. ","")&amp;IF(AND(S13&lt;&gt;"",M13&lt;&gt;"",S13&lt;M13),"Vermietung vor Leerstandsbeginn. ","")&amp;IF(AND(Z13&lt;&gt;"",L13&lt;&gt;"",Z13&lt;L13),"WA-Termin vor Kündigung. ","")&amp;IF(COUNTIFS($B$5:$B$404,$B13,$AY$5:$AY$404,"")&gt;1,"Zweiter offener Fall zum selben Objekt. ","")&amp;IF(AND($A13&lt;&gt;"",COUNTIFS($A$5:$A$404,$A13)&gt;1),"Fall-Nr. doppelt vergeben. ","")&amp;IF(E13="","ex-Mieter fehlt. ","")&amp;IF(M13="","Haftungsdatum fehlt. ","")&amp;IF(F13="","Bewirtschafter fehlt. ","")&amp;IF(AND(AY13&lt;&gt;"",AW13=""),"Abgeschlossen trotz offener Schlussabrechnung. ","")&amp;IF(AND(AY13="",S13="",ISNUMBER(J13),J13&gt;60),"Langläufer über 60 Tage. ","")))</f>
        <v/>
      </c>
      <c r="L13" s="18" t="n"/>
      <c r="M13" s="18" t="n"/>
      <c r="N13" s="19">
        <f>IF(M13="","",M13+1)</f>
        <v/>
      </c>
      <c r="O13" s="17">
        <f>IF(OR(L13="",M13=""),"",M13-L13)</f>
        <v/>
      </c>
      <c r="P13" s="16">
        <f>IF(M13="","",YEAR(M13+1)&amp;"-"&amp;TEXT(MONTH(M13+1),"00"))</f>
        <v/>
      </c>
      <c r="Q13" s="18" t="n"/>
      <c r="R13" s="15" t="n"/>
      <c r="S13" s="18" t="n"/>
      <c r="T13" s="16">
        <f>IF(U13="","",IF(LEFT(U13,1)="6","abgeschlossen",IF(OR(LEFT(U13,1)="1",LEFT(U13,1)="2"),"Kündigung &amp; Abnahme",IF(OR(LEFT(U13,1)="3",LEFT(U13,1)="4"),"Wiedervermietung","Schlussabrechnung"))))</f>
        <v/>
      </c>
      <c r="U13" s="16">
        <f>IF($B13="","",IF(AY13&lt;&gt;"","6 · abgeschlossen",IF(AW13&lt;&gt;"","5 · bereit zum Abschluss",IF(AT13&lt;&gt;"","5 · Schlussabrechnung",IF(AO13&lt;&gt;"","4 · Übergabe",IF(AM13&lt;&gt;"","3 · Neuvermietung",IF(M13&lt;&gt;"","2 · Abnahme &amp; Vermarktung","1 · Erfassung")))))))</f>
        <v/>
      </c>
      <c r="V13" s="15" t="n"/>
      <c r="W13" s="20" t="n"/>
      <c r="X13" s="15" t="n"/>
      <c r="Y13" s="15" t="n"/>
      <c r="Z13" s="18" t="n"/>
      <c r="AA13" s="19">
        <f>IF(M13="","",M13-30)</f>
        <v/>
      </c>
      <c r="AB13" s="19">
        <f>IF(ISNUMBER(AJ13),AJ13+3,"")</f>
        <v/>
      </c>
      <c r="AC13" s="18" t="n"/>
      <c r="AD13" s="18" t="n"/>
      <c r="AE13" s="18" t="n"/>
      <c r="AF13" s="18" t="n"/>
      <c r="AG13" s="18" t="n"/>
      <c r="AH13" s="18" t="n"/>
      <c r="AI13" s="18" t="n"/>
      <c r="AJ13" s="18" t="n"/>
      <c r="AK13" s="18" t="n"/>
      <c r="AL13" s="18" t="n"/>
      <c r="AM13" s="18" t="n"/>
      <c r="AN13" s="18" t="n"/>
      <c r="AO13" s="18" t="n"/>
      <c r="AP13" s="18" t="n"/>
      <c r="AQ13" s="18" t="n"/>
      <c r="AR13" s="18" t="n"/>
      <c r="AS13" s="18" t="n"/>
      <c r="AT13" s="18" t="n"/>
      <c r="AU13" s="18" t="n"/>
      <c r="AV13" s="18" t="n"/>
      <c r="AW13" s="18" t="n"/>
      <c r="AX13" s="18" t="n"/>
      <c r="AY13" s="18" t="n"/>
      <c r="AZ13" s="15" t="n"/>
    </row>
    <row r="14">
      <c r="A14" s="15" t="n"/>
      <c r="B14" s="15" t="n"/>
      <c r="C14" s="15" t="n"/>
      <c r="D14" s="15" t="n"/>
      <c r="E14" s="15" t="n"/>
      <c r="F14" s="15" t="n"/>
      <c r="G14" s="16">
        <f>IF(F14="","",IFERROR(INDEX(Stammdaten!$B$5:$B$24,MATCH(F14,Stammdaten!$A$5:$A$24,0)),"unbekannt"))</f>
        <v/>
      </c>
      <c r="H14" s="16">
        <f>IF($B14="","",IF(AY14&lt;&gt;"","abgeschlossen",IF(AND(ISNUMBER(AX14),AX14&gt;=TODAY()),"zurückgestellt",IF(OR(AND(ISNUMBER(AA14),AA14&lt;TODAY(),Z14="",AJ14=""),AND(ISNUMBER(Z14),Z14&lt;TODAY(),AJ14=""),AND(ISNUMBER(AB14),AB14&lt;TODAY(),AK14=""),AND(ISNUMBER(AC14),AC14&lt;TODAY(),AO14=""),AND(ISNUMBER(AD14),AD14&lt;TODAY(),AQ14="")),"überfällig","offen"))))</f>
        <v/>
      </c>
      <c r="I14" s="16">
        <f>IF($B14="","",IF(AY14&lt;&gt;"","—",IF(AND(ISNUMBER(AA14),AA14&lt;TODAY(),Z14="",AJ14=""),"Abnahmetermin vereinbaren – Sollfrist verstrichen",IF(AND(ISNUMBER(Z14),Z14&lt;TODAY(),AJ14=""),"Wohnungsabnahme nachtragen – Termin war fällig",IF(AND(ISNUMBER(AB14),AB14&lt;TODAY(),AK14=""),"Handwerker aufbieten – Frist verstrichen",IF(AND(ISNUMBER(AC14),AC14&lt;TODAY(),AO14=""),"Vertrag retour mahnen – Frist verstrichen",IF(AND(ISNUMBER(AD14),AD14&lt;TODAY(),AQ14=""),"Schlüsselübergabe nachtragen – Termin war fällig",IF(M14="","Haftungsdatum erfassen",IF(E14="","ex-Mieter erfassen",IF(AE14="","Kündigung bestätigen / G-Rem",IF(AF14="","Werke / EGT melden",IF(AG14="","Vorbesichtigung (oder n.e.)",IF(AH14="","VMZ aktualisieren",IF(AI14="","Inserat aufschalten",IF(AND(Z14="",AJ14=""),"Abnahmetermin vereinbaren",IF(AJ14="","Wohnungsabnahme durchführen",IF(AK14="","Handwerker aufbieten",IF(AL14="","Zustimmungserklärung einholen",IF(AM14="","Instandstellungen beauftragen",IF(R14="","Nachmieter erfassen",IF(AN14="","Vertrag versenden",IF(AO14="","Vertrag retour erfassen",IF(S14="","Vermietet per erfassen",IF(AP14="","Werke / EGT über Einzug informieren",IF(AND(AD14="",AQ14=""),"Schlüsselübergabe terminieren",IF(AQ14="","Schlüsselübergabe durchführen",IF(AR14="","Reinigung veranlassen",IF(AS14="","Namensschilder bestellen",IF(AT14="","Kaution prüfen / G-Rem mutieren",IF(AU14="","Instandstellungs-Rechnung erfassen",IF(AV14="","Schlussabrechnung erstellen",IF(AW14="","Zahlungseingang kontrollieren","Fall abschliessen"))))))))))))))))))))))))))))))))</f>
        <v/>
      </c>
      <c r="J14" s="17">
        <f>IF(M14="","",IF(S14&lt;&gt;"",MAX(0,S14-M14-1),MAX(0,TODAY()-M14)))</f>
        <v/>
      </c>
      <c r="K14" s="16">
        <f>IF($B14="","",TRIM(IF(AND(L14&lt;&gt;"",M14&lt;&gt;"",M14&lt;L14),"Haftungsdatum vor Kündigung. ","")&amp;IF(AND(S14&lt;&gt;"",M14&lt;&gt;"",S14&lt;M14),"Vermietung vor Leerstandsbeginn. ","")&amp;IF(AND(Z14&lt;&gt;"",L14&lt;&gt;"",Z14&lt;L14),"WA-Termin vor Kündigung. ","")&amp;IF(COUNTIFS($B$5:$B$404,$B14,$AY$5:$AY$404,"")&gt;1,"Zweiter offener Fall zum selben Objekt. ","")&amp;IF(AND($A14&lt;&gt;"",COUNTIFS($A$5:$A$404,$A14)&gt;1),"Fall-Nr. doppelt vergeben. ","")&amp;IF(E14="","ex-Mieter fehlt. ","")&amp;IF(M14="","Haftungsdatum fehlt. ","")&amp;IF(F14="","Bewirtschafter fehlt. ","")&amp;IF(AND(AY14&lt;&gt;"",AW14=""),"Abgeschlossen trotz offener Schlussabrechnung. ","")&amp;IF(AND(AY14="",S14="",ISNUMBER(J14),J14&gt;60),"Langläufer über 60 Tage. ","")))</f>
        <v/>
      </c>
      <c r="L14" s="18" t="n"/>
      <c r="M14" s="18" t="n"/>
      <c r="N14" s="19">
        <f>IF(M14="","",M14+1)</f>
        <v/>
      </c>
      <c r="O14" s="17">
        <f>IF(OR(L14="",M14=""),"",M14-L14)</f>
        <v/>
      </c>
      <c r="P14" s="16">
        <f>IF(M14="","",YEAR(M14+1)&amp;"-"&amp;TEXT(MONTH(M14+1),"00"))</f>
        <v/>
      </c>
      <c r="Q14" s="18" t="n"/>
      <c r="R14" s="15" t="n"/>
      <c r="S14" s="18" t="n"/>
      <c r="T14" s="16">
        <f>IF(U14="","",IF(LEFT(U14,1)="6","abgeschlossen",IF(OR(LEFT(U14,1)="1",LEFT(U14,1)="2"),"Kündigung &amp; Abnahme",IF(OR(LEFT(U14,1)="3",LEFT(U14,1)="4"),"Wiedervermietung","Schlussabrechnung"))))</f>
        <v/>
      </c>
      <c r="U14" s="16">
        <f>IF($B14="","",IF(AY14&lt;&gt;"","6 · abgeschlossen",IF(AW14&lt;&gt;"","5 · bereit zum Abschluss",IF(AT14&lt;&gt;"","5 · Schlussabrechnung",IF(AO14&lt;&gt;"","4 · Übergabe",IF(AM14&lt;&gt;"","3 · Neuvermietung",IF(M14&lt;&gt;"","2 · Abnahme &amp; Vermarktung","1 · Erfassung")))))))</f>
        <v/>
      </c>
      <c r="V14" s="15" t="n"/>
      <c r="W14" s="20" t="n"/>
      <c r="X14" s="15" t="n"/>
      <c r="Y14" s="15" t="n"/>
      <c r="Z14" s="18" t="n"/>
      <c r="AA14" s="19">
        <f>IF(M14="","",M14-30)</f>
        <v/>
      </c>
      <c r="AB14" s="19">
        <f>IF(ISNUMBER(AJ14),AJ14+3,"")</f>
        <v/>
      </c>
      <c r="AC14" s="18" t="n"/>
      <c r="AD14" s="18" t="n"/>
      <c r="AE14" s="18" t="n"/>
      <c r="AF14" s="18" t="n"/>
      <c r="AG14" s="18" t="n"/>
      <c r="AH14" s="18" t="n"/>
      <c r="AI14" s="18" t="n"/>
      <c r="AJ14" s="18" t="n"/>
      <c r="AK14" s="18" t="n"/>
      <c r="AL14" s="18" t="n"/>
      <c r="AM14" s="18" t="n"/>
      <c r="AN14" s="18" t="n"/>
      <c r="AO14" s="18" t="n"/>
      <c r="AP14" s="18" t="n"/>
      <c r="AQ14" s="18" t="n"/>
      <c r="AR14" s="18" t="n"/>
      <c r="AS14" s="18" t="n"/>
      <c r="AT14" s="18" t="n"/>
      <c r="AU14" s="18" t="n"/>
      <c r="AV14" s="18" t="n"/>
      <c r="AW14" s="18" t="n"/>
      <c r="AX14" s="18" t="n"/>
      <c r="AY14" s="18" t="n"/>
      <c r="AZ14" s="15" t="n"/>
    </row>
    <row r="15">
      <c r="A15" s="15" t="n"/>
      <c r="B15" s="15" t="n"/>
      <c r="C15" s="15" t="n"/>
      <c r="D15" s="15" t="n"/>
      <c r="E15" s="15" t="n"/>
      <c r="F15" s="15" t="n"/>
      <c r="G15" s="16">
        <f>IF(F15="","",IFERROR(INDEX(Stammdaten!$B$5:$B$24,MATCH(F15,Stammdaten!$A$5:$A$24,0)),"unbekannt"))</f>
        <v/>
      </c>
      <c r="H15" s="16">
        <f>IF($B15="","",IF(AY15&lt;&gt;"","abgeschlossen",IF(AND(ISNUMBER(AX15),AX15&gt;=TODAY()),"zurückgestellt",IF(OR(AND(ISNUMBER(AA15),AA15&lt;TODAY(),Z15="",AJ15=""),AND(ISNUMBER(Z15),Z15&lt;TODAY(),AJ15=""),AND(ISNUMBER(AB15),AB15&lt;TODAY(),AK15=""),AND(ISNUMBER(AC15),AC15&lt;TODAY(),AO15=""),AND(ISNUMBER(AD15),AD15&lt;TODAY(),AQ15="")),"überfällig","offen"))))</f>
        <v/>
      </c>
      <c r="I15" s="16">
        <f>IF($B15="","",IF(AY15&lt;&gt;"","—",IF(AND(ISNUMBER(AA15),AA15&lt;TODAY(),Z15="",AJ15=""),"Abnahmetermin vereinbaren – Sollfrist verstrichen",IF(AND(ISNUMBER(Z15),Z15&lt;TODAY(),AJ15=""),"Wohnungsabnahme nachtragen – Termin war fällig",IF(AND(ISNUMBER(AB15),AB15&lt;TODAY(),AK15=""),"Handwerker aufbieten – Frist verstrichen",IF(AND(ISNUMBER(AC15),AC15&lt;TODAY(),AO15=""),"Vertrag retour mahnen – Frist verstrichen",IF(AND(ISNUMBER(AD15),AD15&lt;TODAY(),AQ15=""),"Schlüsselübergabe nachtragen – Termin war fällig",IF(M15="","Haftungsdatum erfassen",IF(E15="","ex-Mieter erfassen",IF(AE15="","Kündigung bestätigen / G-Rem",IF(AF15="","Werke / EGT melden",IF(AG15="","Vorbesichtigung (oder n.e.)",IF(AH15="","VMZ aktualisieren",IF(AI15="","Inserat aufschalten",IF(AND(Z15="",AJ15=""),"Abnahmetermin vereinbaren",IF(AJ15="","Wohnungsabnahme durchführen",IF(AK15="","Handwerker aufbieten",IF(AL15="","Zustimmungserklärung einholen",IF(AM15="","Instandstellungen beauftragen",IF(R15="","Nachmieter erfassen",IF(AN15="","Vertrag versenden",IF(AO15="","Vertrag retour erfassen",IF(S15="","Vermietet per erfassen",IF(AP15="","Werke / EGT über Einzug informieren",IF(AND(AD15="",AQ15=""),"Schlüsselübergabe terminieren",IF(AQ15="","Schlüsselübergabe durchführen",IF(AR15="","Reinigung veranlassen",IF(AS15="","Namensschilder bestellen",IF(AT15="","Kaution prüfen / G-Rem mutieren",IF(AU15="","Instandstellungs-Rechnung erfassen",IF(AV15="","Schlussabrechnung erstellen",IF(AW15="","Zahlungseingang kontrollieren","Fall abschliessen"))))))))))))))))))))))))))))))))</f>
        <v/>
      </c>
      <c r="J15" s="17">
        <f>IF(M15="","",IF(S15&lt;&gt;"",MAX(0,S15-M15-1),MAX(0,TODAY()-M15)))</f>
        <v/>
      </c>
      <c r="K15" s="16">
        <f>IF($B15="","",TRIM(IF(AND(L15&lt;&gt;"",M15&lt;&gt;"",M15&lt;L15),"Haftungsdatum vor Kündigung. ","")&amp;IF(AND(S15&lt;&gt;"",M15&lt;&gt;"",S15&lt;M15),"Vermietung vor Leerstandsbeginn. ","")&amp;IF(AND(Z15&lt;&gt;"",L15&lt;&gt;"",Z15&lt;L15),"WA-Termin vor Kündigung. ","")&amp;IF(COUNTIFS($B$5:$B$404,$B15,$AY$5:$AY$404,"")&gt;1,"Zweiter offener Fall zum selben Objekt. ","")&amp;IF(AND($A15&lt;&gt;"",COUNTIFS($A$5:$A$404,$A15)&gt;1),"Fall-Nr. doppelt vergeben. ","")&amp;IF(E15="","ex-Mieter fehlt. ","")&amp;IF(M15="","Haftungsdatum fehlt. ","")&amp;IF(F15="","Bewirtschafter fehlt. ","")&amp;IF(AND(AY15&lt;&gt;"",AW15=""),"Abgeschlossen trotz offener Schlussabrechnung. ","")&amp;IF(AND(AY15="",S15="",ISNUMBER(J15),J15&gt;60),"Langläufer über 60 Tage. ","")))</f>
        <v/>
      </c>
      <c r="L15" s="18" t="n"/>
      <c r="M15" s="18" t="n"/>
      <c r="N15" s="19">
        <f>IF(M15="","",M15+1)</f>
        <v/>
      </c>
      <c r="O15" s="17">
        <f>IF(OR(L15="",M15=""),"",M15-L15)</f>
        <v/>
      </c>
      <c r="P15" s="16">
        <f>IF(M15="","",YEAR(M15+1)&amp;"-"&amp;TEXT(MONTH(M15+1),"00"))</f>
        <v/>
      </c>
      <c r="Q15" s="18" t="n"/>
      <c r="R15" s="15" t="n"/>
      <c r="S15" s="18" t="n"/>
      <c r="T15" s="16">
        <f>IF(U15="","",IF(LEFT(U15,1)="6","abgeschlossen",IF(OR(LEFT(U15,1)="1",LEFT(U15,1)="2"),"Kündigung &amp; Abnahme",IF(OR(LEFT(U15,1)="3",LEFT(U15,1)="4"),"Wiedervermietung","Schlussabrechnung"))))</f>
        <v/>
      </c>
      <c r="U15" s="16">
        <f>IF($B15="","",IF(AY15&lt;&gt;"","6 · abgeschlossen",IF(AW15&lt;&gt;"","5 · bereit zum Abschluss",IF(AT15&lt;&gt;"","5 · Schlussabrechnung",IF(AO15&lt;&gt;"","4 · Übergabe",IF(AM15&lt;&gt;"","3 · Neuvermietung",IF(M15&lt;&gt;"","2 · Abnahme &amp; Vermarktung","1 · Erfassung")))))))</f>
        <v/>
      </c>
      <c r="V15" s="15" t="n"/>
      <c r="W15" s="20" t="n"/>
      <c r="X15" s="15" t="n"/>
      <c r="Y15" s="15" t="n"/>
      <c r="Z15" s="18" t="n"/>
      <c r="AA15" s="19">
        <f>IF(M15="","",M15-30)</f>
        <v/>
      </c>
      <c r="AB15" s="19">
        <f>IF(ISNUMBER(AJ15),AJ15+3,"")</f>
        <v/>
      </c>
      <c r="AC15" s="18" t="n"/>
      <c r="AD15" s="18" t="n"/>
      <c r="AE15" s="18" t="n"/>
      <c r="AF15" s="18" t="n"/>
      <c r="AG15" s="18" t="n"/>
      <c r="AH15" s="18" t="n"/>
      <c r="AI15" s="18" t="n"/>
      <c r="AJ15" s="18" t="n"/>
      <c r="AK15" s="18" t="n"/>
      <c r="AL15" s="18" t="n"/>
      <c r="AM15" s="18" t="n"/>
      <c r="AN15" s="18" t="n"/>
      <c r="AO15" s="18" t="n"/>
      <c r="AP15" s="18" t="n"/>
      <c r="AQ15" s="18" t="n"/>
      <c r="AR15" s="18" t="n"/>
      <c r="AS15" s="18" t="n"/>
      <c r="AT15" s="18" t="n"/>
      <c r="AU15" s="18" t="n"/>
      <c r="AV15" s="18" t="n"/>
      <c r="AW15" s="18" t="n"/>
      <c r="AX15" s="18" t="n"/>
      <c r="AY15" s="18" t="n"/>
      <c r="AZ15" s="15" t="n"/>
    </row>
    <row r="16">
      <c r="A16" s="15" t="n"/>
      <c r="B16" s="15" t="n"/>
      <c r="C16" s="15" t="n"/>
      <c r="D16" s="15" t="n"/>
      <c r="E16" s="15" t="n"/>
      <c r="F16" s="15" t="n"/>
      <c r="G16" s="16">
        <f>IF(F16="","",IFERROR(INDEX(Stammdaten!$B$5:$B$24,MATCH(F16,Stammdaten!$A$5:$A$24,0)),"unbekannt"))</f>
        <v/>
      </c>
      <c r="H16" s="16">
        <f>IF($B16="","",IF(AY16&lt;&gt;"","abgeschlossen",IF(AND(ISNUMBER(AX16),AX16&gt;=TODAY()),"zurückgestellt",IF(OR(AND(ISNUMBER(AA16),AA16&lt;TODAY(),Z16="",AJ16=""),AND(ISNUMBER(Z16),Z16&lt;TODAY(),AJ16=""),AND(ISNUMBER(AB16),AB16&lt;TODAY(),AK16=""),AND(ISNUMBER(AC16),AC16&lt;TODAY(),AO16=""),AND(ISNUMBER(AD16),AD16&lt;TODAY(),AQ16="")),"überfällig","offen"))))</f>
        <v/>
      </c>
      <c r="I16" s="16">
        <f>IF($B16="","",IF(AY16&lt;&gt;"","—",IF(AND(ISNUMBER(AA16),AA16&lt;TODAY(),Z16="",AJ16=""),"Abnahmetermin vereinbaren – Sollfrist verstrichen",IF(AND(ISNUMBER(Z16),Z16&lt;TODAY(),AJ16=""),"Wohnungsabnahme nachtragen – Termin war fällig",IF(AND(ISNUMBER(AB16),AB16&lt;TODAY(),AK16=""),"Handwerker aufbieten – Frist verstrichen",IF(AND(ISNUMBER(AC16),AC16&lt;TODAY(),AO16=""),"Vertrag retour mahnen – Frist verstrichen",IF(AND(ISNUMBER(AD16),AD16&lt;TODAY(),AQ16=""),"Schlüsselübergabe nachtragen – Termin war fällig",IF(M16="","Haftungsdatum erfassen",IF(E16="","ex-Mieter erfassen",IF(AE16="","Kündigung bestätigen / G-Rem",IF(AF16="","Werke / EGT melden",IF(AG16="","Vorbesichtigung (oder n.e.)",IF(AH16="","VMZ aktualisieren",IF(AI16="","Inserat aufschalten",IF(AND(Z16="",AJ16=""),"Abnahmetermin vereinbaren",IF(AJ16="","Wohnungsabnahme durchführen",IF(AK16="","Handwerker aufbieten",IF(AL16="","Zustimmungserklärung einholen",IF(AM16="","Instandstellungen beauftragen",IF(R16="","Nachmieter erfassen",IF(AN16="","Vertrag versenden",IF(AO16="","Vertrag retour erfassen",IF(S16="","Vermietet per erfassen",IF(AP16="","Werke / EGT über Einzug informieren",IF(AND(AD16="",AQ16=""),"Schlüsselübergabe terminieren",IF(AQ16="","Schlüsselübergabe durchführen",IF(AR16="","Reinigung veranlassen",IF(AS16="","Namensschilder bestellen",IF(AT16="","Kaution prüfen / G-Rem mutieren",IF(AU16="","Instandstellungs-Rechnung erfassen",IF(AV16="","Schlussabrechnung erstellen",IF(AW16="","Zahlungseingang kontrollieren","Fall abschliessen"))))))))))))))))))))))))))))))))</f>
        <v/>
      </c>
      <c r="J16" s="17">
        <f>IF(M16="","",IF(S16&lt;&gt;"",MAX(0,S16-M16-1),MAX(0,TODAY()-M16)))</f>
        <v/>
      </c>
      <c r="K16" s="16">
        <f>IF($B16="","",TRIM(IF(AND(L16&lt;&gt;"",M16&lt;&gt;"",M16&lt;L16),"Haftungsdatum vor Kündigung. ","")&amp;IF(AND(S16&lt;&gt;"",M16&lt;&gt;"",S16&lt;M16),"Vermietung vor Leerstandsbeginn. ","")&amp;IF(AND(Z16&lt;&gt;"",L16&lt;&gt;"",Z16&lt;L16),"WA-Termin vor Kündigung. ","")&amp;IF(COUNTIFS($B$5:$B$404,$B16,$AY$5:$AY$404,"")&gt;1,"Zweiter offener Fall zum selben Objekt. ","")&amp;IF(AND($A16&lt;&gt;"",COUNTIFS($A$5:$A$404,$A16)&gt;1),"Fall-Nr. doppelt vergeben. ","")&amp;IF(E16="","ex-Mieter fehlt. ","")&amp;IF(M16="","Haftungsdatum fehlt. ","")&amp;IF(F16="","Bewirtschafter fehlt. ","")&amp;IF(AND(AY16&lt;&gt;"",AW16=""),"Abgeschlossen trotz offener Schlussabrechnung. ","")&amp;IF(AND(AY16="",S16="",ISNUMBER(J16),J16&gt;60),"Langläufer über 60 Tage. ","")))</f>
        <v/>
      </c>
      <c r="L16" s="18" t="n"/>
      <c r="M16" s="18" t="n"/>
      <c r="N16" s="19">
        <f>IF(M16="","",M16+1)</f>
        <v/>
      </c>
      <c r="O16" s="17">
        <f>IF(OR(L16="",M16=""),"",M16-L16)</f>
        <v/>
      </c>
      <c r="P16" s="16">
        <f>IF(M16="","",YEAR(M16+1)&amp;"-"&amp;TEXT(MONTH(M16+1),"00"))</f>
        <v/>
      </c>
      <c r="Q16" s="18" t="n"/>
      <c r="R16" s="15" t="n"/>
      <c r="S16" s="18" t="n"/>
      <c r="T16" s="16">
        <f>IF(U16="","",IF(LEFT(U16,1)="6","abgeschlossen",IF(OR(LEFT(U16,1)="1",LEFT(U16,1)="2"),"Kündigung &amp; Abnahme",IF(OR(LEFT(U16,1)="3",LEFT(U16,1)="4"),"Wiedervermietung","Schlussabrechnung"))))</f>
        <v/>
      </c>
      <c r="U16" s="16">
        <f>IF($B16="","",IF(AY16&lt;&gt;"","6 · abgeschlossen",IF(AW16&lt;&gt;"","5 · bereit zum Abschluss",IF(AT16&lt;&gt;"","5 · Schlussabrechnung",IF(AO16&lt;&gt;"","4 · Übergabe",IF(AM16&lt;&gt;"","3 · Neuvermietung",IF(M16&lt;&gt;"","2 · Abnahme &amp; Vermarktung","1 · Erfassung")))))))</f>
        <v/>
      </c>
      <c r="V16" s="15" t="n"/>
      <c r="W16" s="20" t="n"/>
      <c r="X16" s="15" t="n"/>
      <c r="Y16" s="15" t="n"/>
      <c r="Z16" s="18" t="n"/>
      <c r="AA16" s="19">
        <f>IF(M16="","",M16-30)</f>
        <v/>
      </c>
      <c r="AB16" s="19">
        <f>IF(ISNUMBER(AJ16),AJ16+3,"")</f>
        <v/>
      </c>
      <c r="AC16" s="18" t="n"/>
      <c r="AD16" s="18" t="n"/>
      <c r="AE16" s="18" t="n"/>
      <c r="AF16" s="18" t="n"/>
      <c r="AG16" s="18" t="n"/>
      <c r="AH16" s="18" t="n"/>
      <c r="AI16" s="18" t="n"/>
      <c r="AJ16" s="18" t="n"/>
      <c r="AK16" s="18" t="n"/>
      <c r="AL16" s="18" t="n"/>
      <c r="AM16" s="18" t="n"/>
      <c r="AN16" s="18" t="n"/>
      <c r="AO16" s="18" t="n"/>
      <c r="AP16" s="18" t="n"/>
      <c r="AQ16" s="18" t="n"/>
      <c r="AR16" s="18" t="n"/>
      <c r="AS16" s="18" t="n"/>
      <c r="AT16" s="18" t="n"/>
      <c r="AU16" s="18" t="n"/>
      <c r="AV16" s="18" t="n"/>
      <c r="AW16" s="18" t="n"/>
      <c r="AX16" s="18" t="n"/>
      <c r="AY16" s="18" t="n"/>
      <c r="AZ16" s="15" t="n"/>
    </row>
    <row r="17">
      <c r="A17" s="15" t="n"/>
      <c r="B17" s="15" t="n"/>
      <c r="C17" s="15" t="n"/>
      <c r="D17" s="15" t="n"/>
      <c r="E17" s="15" t="n"/>
      <c r="F17" s="15" t="n"/>
      <c r="G17" s="16">
        <f>IF(F17="","",IFERROR(INDEX(Stammdaten!$B$5:$B$24,MATCH(F17,Stammdaten!$A$5:$A$24,0)),"unbekannt"))</f>
        <v/>
      </c>
      <c r="H17" s="16">
        <f>IF($B17="","",IF(AY17&lt;&gt;"","abgeschlossen",IF(AND(ISNUMBER(AX17),AX17&gt;=TODAY()),"zurückgestellt",IF(OR(AND(ISNUMBER(AA17),AA17&lt;TODAY(),Z17="",AJ17=""),AND(ISNUMBER(Z17),Z17&lt;TODAY(),AJ17=""),AND(ISNUMBER(AB17),AB17&lt;TODAY(),AK17=""),AND(ISNUMBER(AC17),AC17&lt;TODAY(),AO17=""),AND(ISNUMBER(AD17),AD17&lt;TODAY(),AQ17="")),"überfällig","offen"))))</f>
        <v/>
      </c>
      <c r="I17" s="16">
        <f>IF($B17="","",IF(AY17&lt;&gt;"","—",IF(AND(ISNUMBER(AA17),AA17&lt;TODAY(),Z17="",AJ17=""),"Abnahmetermin vereinbaren – Sollfrist verstrichen",IF(AND(ISNUMBER(Z17),Z17&lt;TODAY(),AJ17=""),"Wohnungsabnahme nachtragen – Termin war fällig",IF(AND(ISNUMBER(AB17),AB17&lt;TODAY(),AK17=""),"Handwerker aufbieten – Frist verstrichen",IF(AND(ISNUMBER(AC17),AC17&lt;TODAY(),AO17=""),"Vertrag retour mahnen – Frist verstrichen",IF(AND(ISNUMBER(AD17),AD17&lt;TODAY(),AQ17=""),"Schlüsselübergabe nachtragen – Termin war fällig",IF(M17="","Haftungsdatum erfassen",IF(E17="","ex-Mieter erfassen",IF(AE17="","Kündigung bestätigen / G-Rem",IF(AF17="","Werke / EGT melden",IF(AG17="","Vorbesichtigung (oder n.e.)",IF(AH17="","VMZ aktualisieren",IF(AI17="","Inserat aufschalten",IF(AND(Z17="",AJ17=""),"Abnahmetermin vereinbaren",IF(AJ17="","Wohnungsabnahme durchführen",IF(AK17="","Handwerker aufbieten",IF(AL17="","Zustimmungserklärung einholen",IF(AM17="","Instandstellungen beauftragen",IF(R17="","Nachmieter erfassen",IF(AN17="","Vertrag versenden",IF(AO17="","Vertrag retour erfassen",IF(S17="","Vermietet per erfassen",IF(AP17="","Werke / EGT über Einzug informieren",IF(AND(AD17="",AQ17=""),"Schlüsselübergabe terminieren",IF(AQ17="","Schlüsselübergabe durchführen",IF(AR17="","Reinigung veranlassen",IF(AS17="","Namensschilder bestellen",IF(AT17="","Kaution prüfen / G-Rem mutieren",IF(AU17="","Instandstellungs-Rechnung erfassen",IF(AV17="","Schlussabrechnung erstellen",IF(AW17="","Zahlungseingang kontrollieren","Fall abschliessen"))))))))))))))))))))))))))))))))</f>
        <v/>
      </c>
      <c r="J17" s="17">
        <f>IF(M17="","",IF(S17&lt;&gt;"",MAX(0,S17-M17-1),MAX(0,TODAY()-M17)))</f>
        <v/>
      </c>
      <c r="K17" s="16">
        <f>IF($B17="","",TRIM(IF(AND(L17&lt;&gt;"",M17&lt;&gt;"",M17&lt;L17),"Haftungsdatum vor Kündigung. ","")&amp;IF(AND(S17&lt;&gt;"",M17&lt;&gt;"",S17&lt;M17),"Vermietung vor Leerstandsbeginn. ","")&amp;IF(AND(Z17&lt;&gt;"",L17&lt;&gt;"",Z17&lt;L17),"WA-Termin vor Kündigung. ","")&amp;IF(COUNTIFS($B$5:$B$404,$B17,$AY$5:$AY$404,"")&gt;1,"Zweiter offener Fall zum selben Objekt. ","")&amp;IF(AND($A17&lt;&gt;"",COUNTIFS($A$5:$A$404,$A17)&gt;1),"Fall-Nr. doppelt vergeben. ","")&amp;IF(E17="","ex-Mieter fehlt. ","")&amp;IF(M17="","Haftungsdatum fehlt. ","")&amp;IF(F17="","Bewirtschafter fehlt. ","")&amp;IF(AND(AY17&lt;&gt;"",AW17=""),"Abgeschlossen trotz offener Schlussabrechnung. ","")&amp;IF(AND(AY17="",S17="",ISNUMBER(J17),J17&gt;60),"Langläufer über 60 Tage. ","")))</f>
        <v/>
      </c>
      <c r="L17" s="18" t="n"/>
      <c r="M17" s="18" t="n"/>
      <c r="N17" s="19">
        <f>IF(M17="","",M17+1)</f>
        <v/>
      </c>
      <c r="O17" s="17">
        <f>IF(OR(L17="",M17=""),"",M17-L17)</f>
        <v/>
      </c>
      <c r="P17" s="16">
        <f>IF(M17="","",YEAR(M17+1)&amp;"-"&amp;TEXT(MONTH(M17+1),"00"))</f>
        <v/>
      </c>
      <c r="Q17" s="18" t="n"/>
      <c r="R17" s="15" t="n"/>
      <c r="S17" s="18" t="n"/>
      <c r="T17" s="16">
        <f>IF(U17="","",IF(LEFT(U17,1)="6","abgeschlossen",IF(OR(LEFT(U17,1)="1",LEFT(U17,1)="2"),"Kündigung &amp; Abnahme",IF(OR(LEFT(U17,1)="3",LEFT(U17,1)="4"),"Wiedervermietung","Schlussabrechnung"))))</f>
        <v/>
      </c>
      <c r="U17" s="16">
        <f>IF($B17="","",IF(AY17&lt;&gt;"","6 · abgeschlossen",IF(AW17&lt;&gt;"","5 · bereit zum Abschluss",IF(AT17&lt;&gt;"","5 · Schlussabrechnung",IF(AO17&lt;&gt;"","4 · Übergabe",IF(AM17&lt;&gt;"","3 · Neuvermietung",IF(M17&lt;&gt;"","2 · Abnahme &amp; Vermarktung","1 · Erfassung")))))))</f>
        <v/>
      </c>
      <c r="V17" s="15" t="n"/>
      <c r="W17" s="20" t="n"/>
      <c r="X17" s="15" t="n"/>
      <c r="Y17" s="15" t="n"/>
      <c r="Z17" s="18" t="n"/>
      <c r="AA17" s="19">
        <f>IF(M17="","",M17-30)</f>
        <v/>
      </c>
      <c r="AB17" s="19">
        <f>IF(ISNUMBER(AJ17),AJ17+3,"")</f>
        <v/>
      </c>
      <c r="AC17" s="18" t="n"/>
      <c r="AD17" s="18" t="n"/>
      <c r="AE17" s="18" t="n"/>
      <c r="AF17" s="18" t="n"/>
      <c r="AG17" s="18" t="n"/>
      <c r="AH17" s="18" t="n"/>
      <c r="AI17" s="18" t="n"/>
      <c r="AJ17" s="18" t="n"/>
      <c r="AK17" s="18" t="n"/>
      <c r="AL17" s="18" t="n"/>
      <c r="AM17" s="18" t="n"/>
      <c r="AN17" s="18" t="n"/>
      <c r="AO17" s="18" t="n"/>
      <c r="AP17" s="18" t="n"/>
      <c r="AQ17" s="18" t="n"/>
      <c r="AR17" s="18" t="n"/>
      <c r="AS17" s="18" t="n"/>
      <c r="AT17" s="18" t="n"/>
      <c r="AU17" s="18" t="n"/>
      <c r="AV17" s="18" t="n"/>
      <c r="AW17" s="18" t="n"/>
      <c r="AX17" s="18" t="n"/>
      <c r="AY17" s="18" t="n"/>
      <c r="AZ17" s="15" t="n"/>
    </row>
    <row r="18">
      <c r="A18" s="15" t="n"/>
      <c r="B18" s="15" t="n"/>
      <c r="C18" s="15" t="n"/>
      <c r="D18" s="15" t="n"/>
      <c r="E18" s="15" t="n"/>
      <c r="F18" s="15" t="n"/>
      <c r="G18" s="16">
        <f>IF(F18="","",IFERROR(INDEX(Stammdaten!$B$5:$B$24,MATCH(F18,Stammdaten!$A$5:$A$24,0)),"unbekannt"))</f>
        <v/>
      </c>
      <c r="H18" s="16">
        <f>IF($B18="","",IF(AY18&lt;&gt;"","abgeschlossen",IF(AND(ISNUMBER(AX18),AX18&gt;=TODAY()),"zurückgestellt",IF(OR(AND(ISNUMBER(AA18),AA18&lt;TODAY(),Z18="",AJ18=""),AND(ISNUMBER(Z18),Z18&lt;TODAY(),AJ18=""),AND(ISNUMBER(AB18),AB18&lt;TODAY(),AK18=""),AND(ISNUMBER(AC18),AC18&lt;TODAY(),AO18=""),AND(ISNUMBER(AD18),AD18&lt;TODAY(),AQ18="")),"überfällig","offen"))))</f>
        <v/>
      </c>
      <c r="I18" s="16">
        <f>IF($B18="","",IF(AY18&lt;&gt;"","—",IF(AND(ISNUMBER(AA18),AA18&lt;TODAY(),Z18="",AJ18=""),"Abnahmetermin vereinbaren – Sollfrist verstrichen",IF(AND(ISNUMBER(Z18),Z18&lt;TODAY(),AJ18=""),"Wohnungsabnahme nachtragen – Termin war fällig",IF(AND(ISNUMBER(AB18),AB18&lt;TODAY(),AK18=""),"Handwerker aufbieten – Frist verstrichen",IF(AND(ISNUMBER(AC18),AC18&lt;TODAY(),AO18=""),"Vertrag retour mahnen – Frist verstrichen",IF(AND(ISNUMBER(AD18),AD18&lt;TODAY(),AQ18=""),"Schlüsselübergabe nachtragen – Termin war fällig",IF(M18="","Haftungsdatum erfassen",IF(E18="","ex-Mieter erfassen",IF(AE18="","Kündigung bestätigen / G-Rem",IF(AF18="","Werke / EGT melden",IF(AG18="","Vorbesichtigung (oder n.e.)",IF(AH18="","VMZ aktualisieren",IF(AI18="","Inserat aufschalten",IF(AND(Z18="",AJ18=""),"Abnahmetermin vereinbaren",IF(AJ18="","Wohnungsabnahme durchführen",IF(AK18="","Handwerker aufbieten",IF(AL18="","Zustimmungserklärung einholen",IF(AM18="","Instandstellungen beauftragen",IF(R18="","Nachmieter erfassen",IF(AN18="","Vertrag versenden",IF(AO18="","Vertrag retour erfassen",IF(S18="","Vermietet per erfassen",IF(AP18="","Werke / EGT über Einzug informieren",IF(AND(AD18="",AQ18=""),"Schlüsselübergabe terminieren",IF(AQ18="","Schlüsselübergabe durchführen",IF(AR18="","Reinigung veranlassen",IF(AS18="","Namensschilder bestellen",IF(AT18="","Kaution prüfen / G-Rem mutieren",IF(AU18="","Instandstellungs-Rechnung erfassen",IF(AV18="","Schlussabrechnung erstellen",IF(AW18="","Zahlungseingang kontrollieren","Fall abschliessen"))))))))))))))))))))))))))))))))</f>
        <v/>
      </c>
      <c r="J18" s="17">
        <f>IF(M18="","",IF(S18&lt;&gt;"",MAX(0,S18-M18-1),MAX(0,TODAY()-M18)))</f>
        <v/>
      </c>
      <c r="K18" s="16">
        <f>IF($B18="","",TRIM(IF(AND(L18&lt;&gt;"",M18&lt;&gt;"",M18&lt;L18),"Haftungsdatum vor Kündigung. ","")&amp;IF(AND(S18&lt;&gt;"",M18&lt;&gt;"",S18&lt;M18),"Vermietung vor Leerstandsbeginn. ","")&amp;IF(AND(Z18&lt;&gt;"",L18&lt;&gt;"",Z18&lt;L18),"WA-Termin vor Kündigung. ","")&amp;IF(COUNTIFS($B$5:$B$404,$B18,$AY$5:$AY$404,"")&gt;1,"Zweiter offener Fall zum selben Objekt. ","")&amp;IF(AND($A18&lt;&gt;"",COUNTIFS($A$5:$A$404,$A18)&gt;1),"Fall-Nr. doppelt vergeben. ","")&amp;IF(E18="","ex-Mieter fehlt. ","")&amp;IF(M18="","Haftungsdatum fehlt. ","")&amp;IF(F18="","Bewirtschafter fehlt. ","")&amp;IF(AND(AY18&lt;&gt;"",AW18=""),"Abgeschlossen trotz offener Schlussabrechnung. ","")&amp;IF(AND(AY18="",S18="",ISNUMBER(J18),J18&gt;60),"Langläufer über 60 Tage. ","")))</f>
        <v/>
      </c>
      <c r="L18" s="18" t="n"/>
      <c r="M18" s="18" t="n"/>
      <c r="N18" s="19">
        <f>IF(M18="","",M18+1)</f>
        <v/>
      </c>
      <c r="O18" s="17">
        <f>IF(OR(L18="",M18=""),"",M18-L18)</f>
        <v/>
      </c>
      <c r="P18" s="16">
        <f>IF(M18="","",YEAR(M18+1)&amp;"-"&amp;TEXT(MONTH(M18+1),"00"))</f>
        <v/>
      </c>
      <c r="Q18" s="18" t="n"/>
      <c r="R18" s="15" t="n"/>
      <c r="S18" s="18" t="n"/>
      <c r="T18" s="16">
        <f>IF(U18="","",IF(LEFT(U18,1)="6","abgeschlossen",IF(OR(LEFT(U18,1)="1",LEFT(U18,1)="2"),"Kündigung &amp; Abnahme",IF(OR(LEFT(U18,1)="3",LEFT(U18,1)="4"),"Wiedervermietung","Schlussabrechnung"))))</f>
        <v/>
      </c>
      <c r="U18" s="16">
        <f>IF($B18="","",IF(AY18&lt;&gt;"","6 · abgeschlossen",IF(AW18&lt;&gt;"","5 · bereit zum Abschluss",IF(AT18&lt;&gt;"","5 · Schlussabrechnung",IF(AO18&lt;&gt;"","4 · Übergabe",IF(AM18&lt;&gt;"","3 · Neuvermietung",IF(M18&lt;&gt;"","2 · Abnahme &amp; Vermarktung","1 · Erfassung")))))))</f>
        <v/>
      </c>
      <c r="V18" s="15" t="n"/>
      <c r="W18" s="20" t="n"/>
      <c r="X18" s="15" t="n"/>
      <c r="Y18" s="15" t="n"/>
      <c r="Z18" s="18" t="n"/>
      <c r="AA18" s="19">
        <f>IF(M18="","",M18-30)</f>
        <v/>
      </c>
      <c r="AB18" s="19">
        <f>IF(ISNUMBER(AJ18),AJ18+3,"")</f>
        <v/>
      </c>
      <c r="AC18" s="18" t="n"/>
      <c r="AD18" s="18" t="n"/>
      <c r="AE18" s="18" t="n"/>
      <c r="AF18" s="18" t="n"/>
      <c r="AG18" s="18" t="n"/>
      <c r="AH18" s="18" t="n"/>
      <c r="AI18" s="18" t="n"/>
      <c r="AJ18" s="18" t="n"/>
      <c r="AK18" s="18" t="n"/>
      <c r="AL18" s="18" t="n"/>
      <c r="AM18" s="18" t="n"/>
      <c r="AN18" s="18" t="n"/>
      <c r="AO18" s="18" t="n"/>
      <c r="AP18" s="18" t="n"/>
      <c r="AQ18" s="18" t="n"/>
      <c r="AR18" s="18" t="n"/>
      <c r="AS18" s="18" t="n"/>
      <c r="AT18" s="18" t="n"/>
      <c r="AU18" s="18" t="n"/>
      <c r="AV18" s="18" t="n"/>
      <c r="AW18" s="18" t="n"/>
      <c r="AX18" s="18" t="n"/>
      <c r="AY18" s="18" t="n"/>
      <c r="AZ18" s="15" t="n"/>
    </row>
    <row r="19">
      <c r="A19" s="15" t="n"/>
      <c r="B19" s="15" t="n"/>
      <c r="C19" s="15" t="n"/>
      <c r="D19" s="15" t="n"/>
      <c r="E19" s="15" t="n"/>
      <c r="F19" s="15" t="n"/>
      <c r="G19" s="16">
        <f>IF(F19="","",IFERROR(INDEX(Stammdaten!$B$5:$B$24,MATCH(F19,Stammdaten!$A$5:$A$24,0)),"unbekannt"))</f>
        <v/>
      </c>
      <c r="H19" s="16">
        <f>IF($B19="","",IF(AY19&lt;&gt;"","abgeschlossen",IF(AND(ISNUMBER(AX19),AX19&gt;=TODAY()),"zurückgestellt",IF(OR(AND(ISNUMBER(AA19),AA19&lt;TODAY(),Z19="",AJ19=""),AND(ISNUMBER(Z19),Z19&lt;TODAY(),AJ19=""),AND(ISNUMBER(AB19),AB19&lt;TODAY(),AK19=""),AND(ISNUMBER(AC19),AC19&lt;TODAY(),AO19=""),AND(ISNUMBER(AD19),AD19&lt;TODAY(),AQ19="")),"überfällig","offen"))))</f>
        <v/>
      </c>
      <c r="I19" s="16">
        <f>IF($B19="","",IF(AY19&lt;&gt;"","—",IF(AND(ISNUMBER(AA19),AA19&lt;TODAY(),Z19="",AJ19=""),"Abnahmetermin vereinbaren – Sollfrist verstrichen",IF(AND(ISNUMBER(Z19),Z19&lt;TODAY(),AJ19=""),"Wohnungsabnahme nachtragen – Termin war fällig",IF(AND(ISNUMBER(AB19),AB19&lt;TODAY(),AK19=""),"Handwerker aufbieten – Frist verstrichen",IF(AND(ISNUMBER(AC19),AC19&lt;TODAY(),AO19=""),"Vertrag retour mahnen – Frist verstrichen",IF(AND(ISNUMBER(AD19),AD19&lt;TODAY(),AQ19=""),"Schlüsselübergabe nachtragen – Termin war fällig",IF(M19="","Haftungsdatum erfassen",IF(E19="","ex-Mieter erfassen",IF(AE19="","Kündigung bestätigen / G-Rem",IF(AF19="","Werke / EGT melden",IF(AG19="","Vorbesichtigung (oder n.e.)",IF(AH19="","VMZ aktualisieren",IF(AI19="","Inserat aufschalten",IF(AND(Z19="",AJ19=""),"Abnahmetermin vereinbaren",IF(AJ19="","Wohnungsabnahme durchführen",IF(AK19="","Handwerker aufbieten",IF(AL19="","Zustimmungserklärung einholen",IF(AM19="","Instandstellungen beauftragen",IF(R19="","Nachmieter erfassen",IF(AN19="","Vertrag versenden",IF(AO19="","Vertrag retour erfassen",IF(S19="","Vermietet per erfassen",IF(AP19="","Werke / EGT über Einzug informieren",IF(AND(AD19="",AQ19=""),"Schlüsselübergabe terminieren",IF(AQ19="","Schlüsselübergabe durchführen",IF(AR19="","Reinigung veranlassen",IF(AS19="","Namensschilder bestellen",IF(AT19="","Kaution prüfen / G-Rem mutieren",IF(AU19="","Instandstellungs-Rechnung erfassen",IF(AV19="","Schlussabrechnung erstellen",IF(AW19="","Zahlungseingang kontrollieren","Fall abschliessen"))))))))))))))))))))))))))))))))</f>
        <v/>
      </c>
      <c r="J19" s="17">
        <f>IF(M19="","",IF(S19&lt;&gt;"",MAX(0,S19-M19-1),MAX(0,TODAY()-M19)))</f>
        <v/>
      </c>
      <c r="K19" s="16">
        <f>IF($B19="","",TRIM(IF(AND(L19&lt;&gt;"",M19&lt;&gt;"",M19&lt;L19),"Haftungsdatum vor Kündigung. ","")&amp;IF(AND(S19&lt;&gt;"",M19&lt;&gt;"",S19&lt;M19),"Vermietung vor Leerstandsbeginn. ","")&amp;IF(AND(Z19&lt;&gt;"",L19&lt;&gt;"",Z19&lt;L19),"WA-Termin vor Kündigung. ","")&amp;IF(COUNTIFS($B$5:$B$404,$B19,$AY$5:$AY$404,"")&gt;1,"Zweiter offener Fall zum selben Objekt. ","")&amp;IF(AND($A19&lt;&gt;"",COUNTIFS($A$5:$A$404,$A19)&gt;1),"Fall-Nr. doppelt vergeben. ","")&amp;IF(E19="","ex-Mieter fehlt. ","")&amp;IF(M19="","Haftungsdatum fehlt. ","")&amp;IF(F19="","Bewirtschafter fehlt. ","")&amp;IF(AND(AY19&lt;&gt;"",AW19=""),"Abgeschlossen trotz offener Schlussabrechnung. ","")&amp;IF(AND(AY19="",S19="",ISNUMBER(J19),J19&gt;60),"Langläufer über 60 Tage. ","")))</f>
        <v/>
      </c>
      <c r="L19" s="18" t="n"/>
      <c r="M19" s="18" t="n"/>
      <c r="N19" s="19">
        <f>IF(M19="","",M19+1)</f>
        <v/>
      </c>
      <c r="O19" s="17">
        <f>IF(OR(L19="",M19=""),"",M19-L19)</f>
        <v/>
      </c>
      <c r="P19" s="16">
        <f>IF(M19="","",YEAR(M19+1)&amp;"-"&amp;TEXT(MONTH(M19+1),"00"))</f>
        <v/>
      </c>
      <c r="Q19" s="18" t="n"/>
      <c r="R19" s="15" t="n"/>
      <c r="S19" s="18" t="n"/>
      <c r="T19" s="16">
        <f>IF(U19="","",IF(LEFT(U19,1)="6","abgeschlossen",IF(OR(LEFT(U19,1)="1",LEFT(U19,1)="2"),"Kündigung &amp; Abnahme",IF(OR(LEFT(U19,1)="3",LEFT(U19,1)="4"),"Wiedervermietung","Schlussabrechnung"))))</f>
        <v/>
      </c>
      <c r="U19" s="16">
        <f>IF($B19="","",IF(AY19&lt;&gt;"","6 · abgeschlossen",IF(AW19&lt;&gt;"","5 · bereit zum Abschluss",IF(AT19&lt;&gt;"","5 · Schlussabrechnung",IF(AO19&lt;&gt;"","4 · Übergabe",IF(AM19&lt;&gt;"","3 · Neuvermietung",IF(M19&lt;&gt;"","2 · Abnahme &amp; Vermarktung","1 · Erfassung")))))))</f>
        <v/>
      </c>
      <c r="V19" s="15" t="n"/>
      <c r="W19" s="20" t="n"/>
      <c r="X19" s="15" t="n"/>
      <c r="Y19" s="15" t="n"/>
      <c r="Z19" s="18" t="n"/>
      <c r="AA19" s="19">
        <f>IF(M19="","",M19-30)</f>
        <v/>
      </c>
      <c r="AB19" s="19">
        <f>IF(ISNUMBER(AJ19),AJ19+3,"")</f>
        <v/>
      </c>
      <c r="AC19" s="18" t="n"/>
      <c r="AD19" s="18" t="n"/>
      <c r="AE19" s="18" t="n"/>
      <c r="AF19" s="18" t="n"/>
      <c r="AG19" s="18" t="n"/>
      <c r="AH19" s="18" t="n"/>
      <c r="AI19" s="18" t="n"/>
      <c r="AJ19" s="18" t="n"/>
      <c r="AK19" s="18" t="n"/>
      <c r="AL19" s="18" t="n"/>
      <c r="AM19" s="18" t="n"/>
      <c r="AN19" s="18" t="n"/>
      <c r="AO19" s="18" t="n"/>
      <c r="AP19" s="18" t="n"/>
      <c r="AQ19" s="18" t="n"/>
      <c r="AR19" s="18" t="n"/>
      <c r="AS19" s="18" t="n"/>
      <c r="AT19" s="18" t="n"/>
      <c r="AU19" s="18" t="n"/>
      <c r="AV19" s="18" t="n"/>
      <c r="AW19" s="18" t="n"/>
      <c r="AX19" s="18" t="n"/>
      <c r="AY19" s="18" t="n"/>
      <c r="AZ19" s="15" t="n"/>
    </row>
    <row r="20">
      <c r="A20" s="15" t="n"/>
      <c r="B20" s="15" t="n"/>
      <c r="C20" s="15" t="n"/>
      <c r="D20" s="15" t="n"/>
      <c r="E20" s="15" t="n"/>
      <c r="F20" s="15" t="n"/>
      <c r="G20" s="16">
        <f>IF(F20="","",IFERROR(INDEX(Stammdaten!$B$5:$B$24,MATCH(F20,Stammdaten!$A$5:$A$24,0)),"unbekannt"))</f>
        <v/>
      </c>
      <c r="H20" s="16">
        <f>IF($B20="","",IF(AY20&lt;&gt;"","abgeschlossen",IF(AND(ISNUMBER(AX20),AX20&gt;=TODAY()),"zurückgestellt",IF(OR(AND(ISNUMBER(AA20),AA20&lt;TODAY(),Z20="",AJ20=""),AND(ISNUMBER(Z20),Z20&lt;TODAY(),AJ20=""),AND(ISNUMBER(AB20),AB20&lt;TODAY(),AK20=""),AND(ISNUMBER(AC20),AC20&lt;TODAY(),AO20=""),AND(ISNUMBER(AD20),AD20&lt;TODAY(),AQ20="")),"überfällig","offen"))))</f>
        <v/>
      </c>
      <c r="I20" s="16">
        <f>IF($B20="","",IF(AY20&lt;&gt;"","—",IF(AND(ISNUMBER(AA20),AA20&lt;TODAY(),Z20="",AJ20=""),"Abnahmetermin vereinbaren – Sollfrist verstrichen",IF(AND(ISNUMBER(Z20),Z20&lt;TODAY(),AJ20=""),"Wohnungsabnahme nachtragen – Termin war fällig",IF(AND(ISNUMBER(AB20),AB20&lt;TODAY(),AK20=""),"Handwerker aufbieten – Frist verstrichen",IF(AND(ISNUMBER(AC20),AC20&lt;TODAY(),AO20=""),"Vertrag retour mahnen – Frist verstrichen",IF(AND(ISNUMBER(AD20),AD20&lt;TODAY(),AQ20=""),"Schlüsselübergabe nachtragen – Termin war fällig",IF(M20="","Haftungsdatum erfassen",IF(E20="","ex-Mieter erfassen",IF(AE20="","Kündigung bestätigen / G-Rem",IF(AF20="","Werke / EGT melden",IF(AG20="","Vorbesichtigung (oder n.e.)",IF(AH20="","VMZ aktualisieren",IF(AI20="","Inserat aufschalten",IF(AND(Z20="",AJ20=""),"Abnahmetermin vereinbaren",IF(AJ20="","Wohnungsabnahme durchführen",IF(AK20="","Handwerker aufbieten",IF(AL20="","Zustimmungserklärung einholen",IF(AM20="","Instandstellungen beauftragen",IF(R20="","Nachmieter erfassen",IF(AN20="","Vertrag versenden",IF(AO20="","Vertrag retour erfassen",IF(S20="","Vermietet per erfassen",IF(AP20="","Werke / EGT über Einzug informieren",IF(AND(AD20="",AQ20=""),"Schlüsselübergabe terminieren",IF(AQ20="","Schlüsselübergabe durchführen",IF(AR20="","Reinigung veranlassen",IF(AS20="","Namensschilder bestellen",IF(AT20="","Kaution prüfen / G-Rem mutieren",IF(AU20="","Instandstellungs-Rechnung erfassen",IF(AV20="","Schlussabrechnung erstellen",IF(AW20="","Zahlungseingang kontrollieren","Fall abschliessen"))))))))))))))))))))))))))))))))</f>
        <v/>
      </c>
      <c r="J20" s="17">
        <f>IF(M20="","",IF(S20&lt;&gt;"",MAX(0,S20-M20-1),MAX(0,TODAY()-M20)))</f>
        <v/>
      </c>
      <c r="K20" s="16">
        <f>IF($B20="","",TRIM(IF(AND(L20&lt;&gt;"",M20&lt;&gt;"",M20&lt;L20),"Haftungsdatum vor Kündigung. ","")&amp;IF(AND(S20&lt;&gt;"",M20&lt;&gt;"",S20&lt;M20),"Vermietung vor Leerstandsbeginn. ","")&amp;IF(AND(Z20&lt;&gt;"",L20&lt;&gt;"",Z20&lt;L20),"WA-Termin vor Kündigung. ","")&amp;IF(COUNTIFS($B$5:$B$404,$B20,$AY$5:$AY$404,"")&gt;1,"Zweiter offener Fall zum selben Objekt. ","")&amp;IF(AND($A20&lt;&gt;"",COUNTIFS($A$5:$A$404,$A20)&gt;1),"Fall-Nr. doppelt vergeben. ","")&amp;IF(E20="","ex-Mieter fehlt. ","")&amp;IF(M20="","Haftungsdatum fehlt. ","")&amp;IF(F20="","Bewirtschafter fehlt. ","")&amp;IF(AND(AY20&lt;&gt;"",AW20=""),"Abgeschlossen trotz offener Schlussabrechnung. ","")&amp;IF(AND(AY20="",S20="",ISNUMBER(J20),J20&gt;60),"Langläufer über 60 Tage. ","")))</f>
        <v/>
      </c>
      <c r="L20" s="18" t="n"/>
      <c r="M20" s="18" t="n"/>
      <c r="N20" s="19">
        <f>IF(M20="","",M20+1)</f>
        <v/>
      </c>
      <c r="O20" s="17">
        <f>IF(OR(L20="",M20=""),"",M20-L20)</f>
        <v/>
      </c>
      <c r="P20" s="16">
        <f>IF(M20="","",YEAR(M20+1)&amp;"-"&amp;TEXT(MONTH(M20+1),"00"))</f>
        <v/>
      </c>
      <c r="Q20" s="18" t="n"/>
      <c r="R20" s="15" t="n"/>
      <c r="S20" s="18" t="n"/>
      <c r="T20" s="16">
        <f>IF(U20="","",IF(LEFT(U20,1)="6","abgeschlossen",IF(OR(LEFT(U20,1)="1",LEFT(U20,1)="2"),"Kündigung &amp; Abnahme",IF(OR(LEFT(U20,1)="3",LEFT(U20,1)="4"),"Wiedervermietung","Schlussabrechnung"))))</f>
        <v/>
      </c>
      <c r="U20" s="16">
        <f>IF($B20="","",IF(AY20&lt;&gt;"","6 · abgeschlossen",IF(AW20&lt;&gt;"","5 · bereit zum Abschluss",IF(AT20&lt;&gt;"","5 · Schlussabrechnung",IF(AO20&lt;&gt;"","4 · Übergabe",IF(AM20&lt;&gt;"","3 · Neuvermietung",IF(M20&lt;&gt;"","2 · Abnahme &amp; Vermarktung","1 · Erfassung")))))))</f>
        <v/>
      </c>
      <c r="V20" s="15" t="n"/>
      <c r="W20" s="20" t="n"/>
      <c r="X20" s="15" t="n"/>
      <c r="Y20" s="15" t="n"/>
      <c r="Z20" s="18" t="n"/>
      <c r="AA20" s="19">
        <f>IF(M20="","",M20-30)</f>
        <v/>
      </c>
      <c r="AB20" s="19">
        <f>IF(ISNUMBER(AJ20),AJ20+3,"")</f>
        <v/>
      </c>
      <c r="AC20" s="18" t="n"/>
      <c r="AD20" s="18" t="n"/>
      <c r="AE20" s="18" t="n"/>
      <c r="AF20" s="18" t="n"/>
      <c r="AG20" s="18" t="n"/>
      <c r="AH20" s="18" t="n"/>
      <c r="AI20" s="18" t="n"/>
      <c r="AJ20" s="18" t="n"/>
      <c r="AK20" s="18" t="n"/>
      <c r="AL20" s="18" t="n"/>
      <c r="AM20" s="18" t="n"/>
      <c r="AN20" s="18" t="n"/>
      <c r="AO20" s="18" t="n"/>
      <c r="AP20" s="18" t="n"/>
      <c r="AQ20" s="18" t="n"/>
      <c r="AR20" s="18" t="n"/>
      <c r="AS20" s="18" t="n"/>
      <c r="AT20" s="18" t="n"/>
      <c r="AU20" s="18" t="n"/>
      <c r="AV20" s="18" t="n"/>
      <c r="AW20" s="18" t="n"/>
      <c r="AX20" s="18" t="n"/>
      <c r="AY20" s="18" t="n"/>
      <c r="AZ20" s="15" t="n"/>
    </row>
    <row r="21">
      <c r="A21" s="15" t="n"/>
      <c r="B21" s="15" t="n"/>
      <c r="C21" s="15" t="n"/>
      <c r="D21" s="15" t="n"/>
      <c r="E21" s="15" t="n"/>
      <c r="F21" s="15" t="n"/>
      <c r="G21" s="16">
        <f>IF(F21="","",IFERROR(INDEX(Stammdaten!$B$5:$B$24,MATCH(F21,Stammdaten!$A$5:$A$24,0)),"unbekannt"))</f>
        <v/>
      </c>
      <c r="H21" s="16">
        <f>IF($B21="","",IF(AY21&lt;&gt;"","abgeschlossen",IF(AND(ISNUMBER(AX21),AX21&gt;=TODAY()),"zurückgestellt",IF(OR(AND(ISNUMBER(AA21),AA21&lt;TODAY(),Z21="",AJ21=""),AND(ISNUMBER(Z21),Z21&lt;TODAY(),AJ21=""),AND(ISNUMBER(AB21),AB21&lt;TODAY(),AK21=""),AND(ISNUMBER(AC21),AC21&lt;TODAY(),AO21=""),AND(ISNUMBER(AD21),AD21&lt;TODAY(),AQ21="")),"überfällig","offen"))))</f>
        <v/>
      </c>
      <c r="I21" s="16">
        <f>IF($B21="","",IF(AY21&lt;&gt;"","—",IF(AND(ISNUMBER(AA21),AA21&lt;TODAY(),Z21="",AJ21=""),"Abnahmetermin vereinbaren – Sollfrist verstrichen",IF(AND(ISNUMBER(Z21),Z21&lt;TODAY(),AJ21=""),"Wohnungsabnahme nachtragen – Termin war fällig",IF(AND(ISNUMBER(AB21),AB21&lt;TODAY(),AK21=""),"Handwerker aufbieten – Frist verstrichen",IF(AND(ISNUMBER(AC21),AC21&lt;TODAY(),AO21=""),"Vertrag retour mahnen – Frist verstrichen",IF(AND(ISNUMBER(AD21),AD21&lt;TODAY(),AQ21=""),"Schlüsselübergabe nachtragen – Termin war fällig",IF(M21="","Haftungsdatum erfassen",IF(E21="","ex-Mieter erfassen",IF(AE21="","Kündigung bestätigen / G-Rem",IF(AF21="","Werke / EGT melden",IF(AG21="","Vorbesichtigung (oder n.e.)",IF(AH21="","VMZ aktualisieren",IF(AI21="","Inserat aufschalten",IF(AND(Z21="",AJ21=""),"Abnahmetermin vereinbaren",IF(AJ21="","Wohnungsabnahme durchführen",IF(AK21="","Handwerker aufbieten",IF(AL21="","Zustimmungserklärung einholen",IF(AM21="","Instandstellungen beauftragen",IF(R21="","Nachmieter erfassen",IF(AN21="","Vertrag versenden",IF(AO21="","Vertrag retour erfassen",IF(S21="","Vermietet per erfassen",IF(AP21="","Werke / EGT über Einzug informieren",IF(AND(AD21="",AQ21=""),"Schlüsselübergabe terminieren",IF(AQ21="","Schlüsselübergabe durchführen",IF(AR21="","Reinigung veranlassen",IF(AS21="","Namensschilder bestellen",IF(AT21="","Kaution prüfen / G-Rem mutieren",IF(AU21="","Instandstellungs-Rechnung erfassen",IF(AV21="","Schlussabrechnung erstellen",IF(AW21="","Zahlungseingang kontrollieren","Fall abschliessen"))))))))))))))))))))))))))))))))</f>
        <v/>
      </c>
      <c r="J21" s="17">
        <f>IF(M21="","",IF(S21&lt;&gt;"",MAX(0,S21-M21-1),MAX(0,TODAY()-M21)))</f>
        <v/>
      </c>
      <c r="K21" s="16">
        <f>IF($B21="","",TRIM(IF(AND(L21&lt;&gt;"",M21&lt;&gt;"",M21&lt;L21),"Haftungsdatum vor Kündigung. ","")&amp;IF(AND(S21&lt;&gt;"",M21&lt;&gt;"",S21&lt;M21),"Vermietung vor Leerstandsbeginn. ","")&amp;IF(AND(Z21&lt;&gt;"",L21&lt;&gt;"",Z21&lt;L21),"WA-Termin vor Kündigung. ","")&amp;IF(COUNTIFS($B$5:$B$404,$B21,$AY$5:$AY$404,"")&gt;1,"Zweiter offener Fall zum selben Objekt. ","")&amp;IF(AND($A21&lt;&gt;"",COUNTIFS($A$5:$A$404,$A21)&gt;1),"Fall-Nr. doppelt vergeben. ","")&amp;IF(E21="","ex-Mieter fehlt. ","")&amp;IF(M21="","Haftungsdatum fehlt. ","")&amp;IF(F21="","Bewirtschafter fehlt. ","")&amp;IF(AND(AY21&lt;&gt;"",AW21=""),"Abgeschlossen trotz offener Schlussabrechnung. ","")&amp;IF(AND(AY21="",S21="",ISNUMBER(J21),J21&gt;60),"Langläufer über 60 Tage. ","")))</f>
        <v/>
      </c>
      <c r="L21" s="18" t="n"/>
      <c r="M21" s="18" t="n"/>
      <c r="N21" s="19">
        <f>IF(M21="","",M21+1)</f>
        <v/>
      </c>
      <c r="O21" s="17">
        <f>IF(OR(L21="",M21=""),"",M21-L21)</f>
        <v/>
      </c>
      <c r="P21" s="16">
        <f>IF(M21="","",YEAR(M21+1)&amp;"-"&amp;TEXT(MONTH(M21+1),"00"))</f>
        <v/>
      </c>
      <c r="Q21" s="18" t="n"/>
      <c r="R21" s="15" t="n"/>
      <c r="S21" s="18" t="n"/>
      <c r="T21" s="16">
        <f>IF(U21="","",IF(LEFT(U21,1)="6","abgeschlossen",IF(OR(LEFT(U21,1)="1",LEFT(U21,1)="2"),"Kündigung &amp; Abnahme",IF(OR(LEFT(U21,1)="3",LEFT(U21,1)="4"),"Wiedervermietung","Schlussabrechnung"))))</f>
        <v/>
      </c>
      <c r="U21" s="16">
        <f>IF($B21="","",IF(AY21&lt;&gt;"","6 · abgeschlossen",IF(AW21&lt;&gt;"","5 · bereit zum Abschluss",IF(AT21&lt;&gt;"","5 · Schlussabrechnung",IF(AO21&lt;&gt;"","4 · Übergabe",IF(AM21&lt;&gt;"","3 · Neuvermietung",IF(M21&lt;&gt;"","2 · Abnahme &amp; Vermarktung","1 · Erfassung")))))))</f>
        <v/>
      </c>
      <c r="V21" s="15" t="n"/>
      <c r="W21" s="20" t="n"/>
      <c r="X21" s="15" t="n"/>
      <c r="Y21" s="15" t="n"/>
      <c r="Z21" s="18" t="n"/>
      <c r="AA21" s="19">
        <f>IF(M21="","",M21-30)</f>
        <v/>
      </c>
      <c r="AB21" s="19">
        <f>IF(ISNUMBER(AJ21),AJ21+3,"")</f>
        <v/>
      </c>
      <c r="AC21" s="18" t="n"/>
      <c r="AD21" s="18" t="n"/>
      <c r="AE21" s="18" t="n"/>
      <c r="AF21" s="18" t="n"/>
      <c r="AG21" s="18" t="n"/>
      <c r="AH21" s="18" t="n"/>
      <c r="AI21" s="18" t="n"/>
      <c r="AJ21" s="18" t="n"/>
      <c r="AK21" s="18" t="n"/>
      <c r="AL21" s="18" t="n"/>
      <c r="AM21" s="18" t="n"/>
      <c r="AN21" s="18" t="n"/>
      <c r="AO21" s="18" t="n"/>
      <c r="AP21" s="18" t="n"/>
      <c r="AQ21" s="18" t="n"/>
      <c r="AR21" s="18" t="n"/>
      <c r="AS21" s="18" t="n"/>
      <c r="AT21" s="18" t="n"/>
      <c r="AU21" s="18" t="n"/>
      <c r="AV21" s="18" t="n"/>
      <c r="AW21" s="18" t="n"/>
      <c r="AX21" s="18" t="n"/>
      <c r="AY21" s="18" t="n"/>
      <c r="AZ21" s="15" t="n"/>
    </row>
    <row r="22">
      <c r="A22" s="15" t="n"/>
      <c r="B22" s="15" t="n"/>
      <c r="C22" s="15" t="n"/>
      <c r="D22" s="15" t="n"/>
      <c r="E22" s="15" t="n"/>
      <c r="F22" s="15" t="n"/>
      <c r="G22" s="16">
        <f>IF(F22="","",IFERROR(INDEX(Stammdaten!$B$5:$B$24,MATCH(F22,Stammdaten!$A$5:$A$24,0)),"unbekannt"))</f>
        <v/>
      </c>
      <c r="H22" s="16">
        <f>IF($B22="","",IF(AY22&lt;&gt;"","abgeschlossen",IF(AND(ISNUMBER(AX22),AX22&gt;=TODAY()),"zurückgestellt",IF(OR(AND(ISNUMBER(AA22),AA22&lt;TODAY(),Z22="",AJ22=""),AND(ISNUMBER(Z22),Z22&lt;TODAY(),AJ22=""),AND(ISNUMBER(AB22),AB22&lt;TODAY(),AK22=""),AND(ISNUMBER(AC22),AC22&lt;TODAY(),AO22=""),AND(ISNUMBER(AD22),AD22&lt;TODAY(),AQ22="")),"überfällig","offen"))))</f>
        <v/>
      </c>
      <c r="I22" s="16">
        <f>IF($B22="","",IF(AY22&lt;&gt;"","—",IF(AND(ISNUMBER(AA22),AA22&lt;TODAY(),Z22="",AJ22=""),"Abnahmetermin vereinbaren – Sollfrist verstrichen",IF(AND(ISNUMBER(Z22),Z22&lt;TODAY(),AJ22=""),"Wohnungsabnahme nachtragen – Termin war fällig",IF(AND(ISNUMBER(AB22),AB22&lt;TODAY(),AK22=""),"Handwerker aufbieten – Frist verstrichen",IF(AND(ISNUMBER(AC22),AC22&lt;TODAY(),AO22=""),"Vertrag retour mahnen – Frist verstrichen",IF(AND(ISNUMBER(AD22),AD22&lt;TODAY(),AQ22=""),"Schlüsselübergabe nachtragen – Termin war fällig",IF(M22="","Haftungsdatum erfassen",IF(E22="","ex-Mieter erfassen",IF(AE22="","Kündigung bestätigen / G-Rem",IF(AF22="","Werke / EGT melden",IF(AG22="","Vorbesichtigung (oder n.e.)",IF(AH22="","VMZ aktualisieren",IF(AI22="","Inserat aufschalten",IF(AND(Z22="",AJ22=""),"Abnahmetermin vereinbaren",IF(AJ22="","Wohnungsabnahme durchführen",IF(AK22="","Handwerker aufbieten",IF(AL22="","Zustimmungserklärung einholen",IF(AM22="","Instandstellungen beauftragen",IF(R22="","Nachmieter erfassen",IF(AN22="","Vertrag versenden",IF(AO22="","Vertrag retour erfassen",IF(S22="","Vermietet per erfassen",IF(AP22="","Werke / EGT über Einzug informieren",IF(AND(AD22="",AQ22=""),"Schlüsselübergabe terminieren",IF(AQ22="","Schlüsselübergabe durchführen",IF(AR22="","Reinigung veranlassen",IF(AS22="","Namensschilder bestellen",IF(AT22="","Kaution prüfen / G-Rem mutieren",IF(AU22="","Instandstellungs-Rechnung erfassen",IF(AV22="","Schlussabrechnung erstellen",IF(AW22="","Zahlungseingang kontrollieren","Fall abschliessen"))))))))))))))))))))))))))))))))</f>
        <v/>
      </c>
      <c r="J22" s="17">
        <f>IF(M22="","",IF(S22&lt;&gt;"",MAX(0,S22-M22-1),MAX(0,TODAY()-M22)))</f>
        <v/>
      </c>
      <c r="K22" s="16">
        <f>IF($B22="","",TRIM(IF(AND(L22&lt;&gt;"",M22&lt;&gt;"",M22&lt;L22),"Haftungsdatum vor Kündigung. ","")&amp;IF(AND(S22&lt;&gt;"",M22&lt;&gt;"",S22&lt;M22),"Vermietung vor Leerstandsbeginn. ","")&amp;IF(AND(Z22&lt;&gt;"",L22&lt;&gt;"",Z22&lt;L22),"WA-Termin vor Kündigung. ","")&amp;IF(COUNTIFS($B$5:$B$404,$B22,$AY$5:$AY$404,"")&gt;1,"Zweiter offener Fall zum selben Objekt. ","")&amp;IF(AND($A22&lt;&gt;"",COUNTIFS($A$5:$A$404,$A22)&gt;1),"Fall-Nr. doppelt vergeben. ","")&amp;IF(E22="","ex-Mieter fehlt. ","")&amp;IF(M22="","Haftungsdatum fehlt. ","")&amp;IF(F22="","Bewirtschafter fehlt. ","")&amp;IF(AND(AY22&lt;&gt;"",AW22=""),"Abgeschlossen trotz offener Schlussabrechnung. ","")&amp;IF(AND(AY22="",S22="",ISNUMBER(J22),J22&gt;60),"Langläufer über 60 Tage. ","")))</f>
        <v/>
      </c>
      <c r="L22" s="18" t="n"/>
      <c r="M22" s="18" t="n"/>
      <c r="N22" s="19">
        <f>IF(M22="","",M22+1)</f>
        <v/>
      </c>
      <c r="O22" s="17">
        <f>IF(OR(L22="",M22=""),"",M22-L22)</f>
        <v/>
      </c>
      <c r="P22" s="16">
        <f>IF(M22="","",YEAR(M22+1)&amp;"-"&amp;TEXT(MONTH(M22+1),"00"))</f>
        <v/>
      </c>
      <c r="Q22" s="18" t="n"/>
      <c r="R22" s="15" t="n"/>
      <c r="S22" s="18" t="n"/>
      <c r="T22" s="16">
        <f>IF(U22="","",IF(LEFT(U22,1)="6","abgeschlossen",IF(OR(LEFT(U22,1)="1",LEFT(U22,1)="2"),"Kündigung &amp; Abnahme",IF(OR(LEFT(U22,1)="3",LEFT(U22,1)="4"),"Wiedervermietung","Schlussabrechnung"))))</f>
        <v/>
      </c>
      <c r="U22" s="16">
        <f>IF($B22="","",IF(AY22&lt;&gt;"","6 · abgeschlossen",IF(AW22&lt;&gt;"","5 · bereit zum Abschluss",IF(AT22&lt;&gt;"","5 · Schlussabrechnung",IF(AO22&lt;&gt;"","4 · Übergabe",IF(AM22&lt;&gt;"","3 · Neuvermietung",IF(M22&lt;&gt;"","2 · Abnahme &amp; Vermarktung","1 · Erfassung")))))))</f>
        <v/>
      </c>
      <c r="V22" s="15" t="n"/>
      <c r="W22" s="20" t="n"/>
      <c r="X22" s="15" t="n"/>
      <c r="Y22" s="15" t="n"/>
      <c r="Z22" s="18" t="n"/>
      <c r="AA22" s="19">
        <f>IF(M22="","",M22-30)</f>
        <v/>
      </c>
      <c r="AB22" s="19">
        <f>IF(ISNUMBER(AJ22),AJ22+3,"")</f>
        <v/>
      </c>
      <c r="AC22" s="18" t="n"/>
      <c r="AD22" s="18" t="n"/>
      <c r="AE22" s="18" t="n"/>
      <c r="AF22" s="18" t="n"/>
      <c r="AG22" s="18" t="n"/>
      <c r="AH22" s="18" t="n"/>
      <c r="AI22" s="18" t="n"/>
      <c r="AJ22" s="18" t="n"/>
      <c r="AK22" s="18" t="n"/>
      <c r="AL22" s="18" t="n"/>
      <c r="AM22" s="18" t="n"/>
      <c r="AN22" s="18" t="n"/>
      <c r="AO22" s="18" t="n"/>
      <c r="AP22" s="18" t="n"/>
      <c r="AQ22" s="18" t="n"/>
      <c r="AR22" s="18" t="n"/>
      <c r="AS22" s="18" t="n"/>
      <c r="AT22" s="18" t="n"/>
      <c r="AU22" s="18" t="n"/>
      <c r="AV22" s="18" t="n"/>
      <c r="AW22" s="18" t="n"/>
      <c r="AX22" s="18" t="n"/>
      <c r="AY22" s="18" t="n"/>
      <c r="AZ22" s="15" t="n"/>
    </row>
    <row r="23">
      <c r="A23" s="15" t="n"/>
      <c r="B23" s="15" t="n"/>
      <c r="C23" s="15" t="n"/>
      <c r="D23" s="15" t="n"/>
      <c r="E23" s="15" t="n"/>
      <c r="F23" s="15" t="n"/>
      <c r="G23" s="16">
        <f>IF(F23="","",IFERROR(INDEX(Stammdaten!$B$5:$B$24,MATCH(F23,Stammdaten!$A$5:$A$24,0)),"unbekannt"))</f>
        <v/>
      </c>
      <c r="H23" s="16">
        <f>IF($B23="","",IF(AY23&lt;&gt;"","abgeschlossen",IF(AND(ISNUMBER(AX23),AX23&gt;=TODAY()),"zurückgestellt",IF(OR(AND(ISNUMBER(AA23),AA23&lt;TODAY(),Z23="",AJ23=""),AND(ISNUMBER(Z23),Z23&lt;TODAY(),AJ23=""),AND(ISNUMBER(AB23),AB23&lt;TODAY(),AK23=""),AND(ISNUMBER(AC23),AC23&lt;TODAY(),AO23=""),AND(ISNUMBER(AD23),AD23&lt;TODAY(),AQ23="")),"überfällig","offen"))))</f>
        <v/>
      </c>
      <c r="I23" s="16">
        <f>IF($B23="","",IF(AY23&lt;&gt;"","—",IF(AND(ISNUMBER(AA23),AA23&lt;TODAY(),Z23="",AJ23=""),"Abnahmetermin vereinbaren – Sollfrist verstrichen",IF(AND(ISNUMBER(Z23),Z23&lt;TODAY(),AJ23=""),"Wohnungsabnahme nachtragen – Termin war fällig",IF(AND(ISNUMBER(AB23),AB23&lt;TODAY(),AK23=""),"Handwerker aufbieten – Frist verstrichen",IF(AND(ISNUMBER(AC23),AC23&lt;TODAY(),AO23=""),"Vertrag retour mahnen – Frist verstrichen",IF(AND(ISNUMBER(AD23),AD23&lt;TODAY(),AQ23=""),"Schlüsselübergabe nachtragen – Termin war fällig",IF(M23="","Haftungsdatum erfassen",IF(E23="","ex-Mieter erfassen",IF(AE23="","Kündigung bestätigen / G-Rem",IF(AF23="","Werke / EGT melden",IF(AG23="","Vorbesichtigung (oder n.e.)",IF(AH23="","VMZ aktualisieren",IF(AI23="","Inserat aufschalten",IF(AND(Z23="",AJ23=""),"Abnahmetermin vereinbaren",IF(AJ23="","Wohnungsabnahme durchführen",IF(AK23="","Handwerker aufbieten",IF(AL23="","Zustimmungserklärung einholen",IF(AM23="","Instandstellungen beauftragen",IF(R23="","Nachmieter erfassen",IF(AN23="","Vertrag versenden",IF(AO23="","Vertrag retour erfassen",IF(S23="","Vermietet per erfassen",IF(AP23="","Werke / EGT über Einzug informieren",IF(AND(AD23="",AQ23=""),"Schlüsselübergabe terminieren",IF(AQ23="","Schlüsselübergabe durchführen",IF(AR23="","Reinigung veranlassen",IF(AS23="","Namensschilder bestellen",IF(AT23="","Kaution prüfen / G-Rem mutieren",IF(AU23="","Instandstellungs-Rechnung erfassen",IF(AV23="","Schlussabrechnung erstellen",IF(AW23="","Zahlungseingang kontrollieren","Fall abschliessen"))))))))))))))))))))))))))))))))</f>
        <v/>
      </c>
      <c r="J23" s="17">
        <f>IF(M23="","",IF(S23&lt;&gt;"",MAX(0,S23-M23-1),MAX(0,TODAY()-M23)))</f>
        <v/>
      </c>
      <c r="K23" s="16">
        <f>IF($B23="","",TRIM(IF(AND(L23&lt;&gt;"",M23&lt;&gt;"",M23&lt;L23),"Haftungsdatum vor Kündigung. ","")&amp;IF(AND(S23&lt;&gt;"",M23&lt;&gt;"",S23&lt;M23),"Vermietung vor Leerstandsbeginn. ","")&amp;IF(AND(Z23&lt;&gt;"",L23&lt;&gt;"",Z23&lt;L23),"WA-Termin vor Kündigung. ","")&amp;IF(COUNTIFS($B$5:$B$404,$B23,$AY$5:$AY$404,"")&gt;1,"Zweiter offener Fall zum selben Objekt. ","")&amp;IF(AND($A23&lt;&gt;"",COUNTIFS($A$5:$A$404,$A23)&gt;1),"Fall-Nr. doppelt vergeben. ","")&amp;IF(E23="","ex-Mieter fehlt. ","")&amp;IF(M23="","Haftungsdatum fehlt. ","")&amp;IF(F23="","Bewirtschafter fehlt. ","")&amp;IF(AND(AY23&lt;&gt;"",AW23=""),"Abgeschlossen trotz offener Schlussabrechnung. ","")&amp;IF(AND(AY23="",S23="",ISNUMBER(J23),J23&gt;60),"Langläufer über 60 Tage. ","")))</f>
        <v/>
      </c>
      <c r="L23" s="18" t="n"/>
      <c r="M23" s="18" t="n"/>
      <c r="N23" s="19">
        <f>IF(M23="","",M23+1)</f>
        <v/>
      </c>
      <c r="O23" s="17">
        <f>IF(OR(L23="",M23=""),"",M23-L23)</f>
        <v/>
      </c>
      <c r="P23" s="16">
        <f>IF(M23="","",YEAR(M23+1)&amp;"-"&amp;TEXT(MONTH(M23+1),"00"))</f>
        <v/>
      </c>
      <c r="Q23" s="18" t="n"/>
      <c r="R23" s="15" t="n"/>
      <c r="S23" s="18" t="n"/>
      <c r="T23" s="16">
        <f>IF(U23="","",IF(LEFT(U23,1)="6","abgeschlossen",IF(OR(LEFT(U23,1)="1",LEFT(U23,1)="2"),"Kündigung &amp; Abnahme",IF(OR(LEFT(U23,1)="3",LEFT(U23,1)="4"),"Wiedervermietung","Schlussabrechnung"))))</f>
        <v/>
      </c>
      <c r="U23" s="16">
        <f>IF($B23="","",IF(AY23&lt;&gt;"","6 · abgeschlossen",IF(AW23&lt;&gt;"","5 · bereit zum Abschluss",IF(AT23&lt;&gt;"","5 · Schlussabrechnung",IF(AO23&lt;&gt;"","4 · Übergabe",IF(AM23&lt;&gt;"","3 · Neuvermietung",IF(M23&lt;&gt;"","2 · Abnahme &amp; Vermarktung","1 · Erfassung")))))))</f>
        <v/>
      </c>
      <c r="V23" s="15" t="n"/>
      <c r="W23" s="20" t="n"/>
      <c r="X23" s="15" t="n"/>
      <c r="Y23" s="15" t="n"/>
      <c r="Z23" s="18" t="n"/>
      <c r="AA23" s="19">
        <f>IF(M23="","",M23-30)</f>
        <v/>
      </c>
      <c r="AB23" s="19">
        <f>IF(ISNUMBER(AJ23),AJ23+3,"")</f>
        <v/>
      </c>
      <c r="AC23" s="18" t="n"/>
      <c r="AD23" s="18" t="n"/>
      <c r="AE23" s="18" t="n"/>
      <c r="AF23" s="18" t="n"/>
      <c r="AG23" s="18" t="n"/>
      <c r="AH23" s="18" t="n"/>
      <c r="AI23" s="18" t="n"/>
      <c r="AJ23" s="18" t="n"/>
      <c r="AK23" s="18" t="n"/>
      <c r="AL23" s="18" t="n"/>
      <c r="AM23" s="18" t="n"/>
      <c r="AN23" s="18" t="n"/>
      <c r="AO23" s="18" t="n"/>
      <c r="AP23" s="18" t="n"/>
      <c r="AQ23" s="18" t="n"/>
      <c r="AR23" s="18" t="n"/>
      <c r="AS23" s="18" t="n"/>
      <c r="AT23" s="18" t="n"/>
      <c r="AU23" s="18" t="n"/>
      <c r="AV23" s="18" t="n"/>
      <c r="AW23" s="18" t="n"/>
      <c r="AX23" s="18" t="n"/>
      <c r="AY23" s="18" t="n"/>
      <c r="AZ23" s="15" t="n"/>
    </row>
    <row r="24">
      <c r="A24" s="15" t="n"/>
      <c r="B24" s="15" t="n"/>
      <c r="C24" s="15" t="n"/>
      <c r="D24" s="15" t="n"/>
      <c r="E24" s="15" t="n"/>
      <c r="F24" s="15" t="n"/>
      <c r="G24" s="16">
        <f>IF(F24="","",IFERROR(INDEX(Stammdaten!$B$5:$B$24,MATCH(F24,Stammdaten!$A$5:$A$24,0)),"unbekannt"))</f>
        <v/>
      </c>
      <c r="H24" s="16">
        <f>IF($B24="","",IF(AY24&lt;&gt;"","abgeschlossen",IF(AND(ISNUMBER(AX24),AX24&gt;=TODAY()),"zurückgestellt",IF(OR(AND(ISNUMBER(AA24),AA24&lt;TODAY(),Z24="",AJ24=""),AND(ISNUMBER(Z24),Z24&lt;TODAY(),AJ24=""),AND(ISNUMBER(AB24),AB24&lt;TODAY(),AK24=""),AND(ISNUMBER(AC24),AC24&lt;TODAY(),AO24=""),AND(ISNUMBER(AD24),AD24&lt;TODAY(),AQ24="")),"überfällig","offen"))))</f>
        <v/>
      </c>
      <c r="I24" s="16">
        <f>IF($B24="","",IF(AY24&lt;&gt;"","—",IF(AND(ISNUMBER(AA24),AA24&lt;TODAY(),Z24="",AJ24=""),"Abnahmetermin vereinbaren – Sollfrist verstrichen",IF(AND(ISNUMBER(Z24),Z24&lt;TODAY(),AJ24=""),"Wohnungsabnahme nachtragen – Termin war fällig",IF(AND(ISNUMBER(AB24),AB24&lt;TODAY(),AK24=""),"Handwerker aufbieten – Frist verstrichen",IF(AND(ISNUMBER(AC24),AC24&lt;TODAY(),AO24=""),"Vertrag retour mahnen – Frist verstrichen",IF(AND(ISNUMBER(AD24),AD24&lt;TODAY(),AQ24=""),"Schlüsselübergabe nachtragen – Termin war fällig",IF(M24="","Haftungsdatum erfassen",IF(E24="","ex-Mieter erfassen",IF(AE24="","Kündigung bestätigen / G-Rem",IF(AF24="","Werke / EGT melden",IF(AG24="","Vorbesichtigung (oder n.e.)",IF(AH24="","VMZ aktualisieren",IF(AI24="","Inserat aufschalten",IF(AND(Z24="",AJ24=""),"Abnahmetermin vereinbaren",IF(AJ24="","Wohnungsabnahme durchführen",IF(AK24="","Handwerker aufbieten",IF(AL24="","Zustimmungserklärung einholen",IF(AM24="","Instandstellungen beauftragen",IF(R24="","Nachmieter erfassen",IF(AN24="","Vertrag versenden",IF(AO24="","Vertrag retour erfassen",IF(S24="","Vermietet per erfassen",IF(AP24="","Werke / EGT über Einzug informieren",IF(AND(AD24="",AQ24=""),"Schlüsselübergabe terminieren",IF(AQ24="","Schlüsselübergabe durchführen",IF(AR24="","Reinigung veranlassen",IF(AS24="","Namensschilder bestellen",IF(AT24="","Kaution prüfen / G-Rem mutieren",IF(AU24="","Instandstellungs-Rechnung erfassen",IF(AV24="","Schlussabrechnung erstellen",IF(AW24="","Zahlungseingang kontrollieren","Fall abschliessen"))))))))))))))))))))))))))))))))</f>
        <v/>
      </c>
      <c r="J24" s="17">
        <f>IF(M24="","",IF(S24&lt;&gt;"",MAX(0,S24-M24-1),MAX(0,TODAY()-M24)))</f>
        <v/>
      </c>
      <c r="K24" s="16">
        <f>IF($B24="","",TRIM(IF(AND(L24&lt;&gt;"",M24&lt;&gt;"",M24&lt;L24),"Haftungsdatum vor Kündigung. ","")&amp;IF(AND(S24&lt;&gt;"",M24&lt;&gt;"",S24&lt;M24),"Vermietung vor Leerstandsbeginn. ","")&amp;IF(AND(Z24&lt;&gt;"",L24&lt;&gt;"",Z24&lt;L24),"WA-Termin vor Kündigung. ","")&amp;IF(COUNTIFS($B$5:$B$404,$B24,$AY$5:$AY$404,"")&gt;1,"Zweiter offener Fall zum selben Objekt. ","")&amp;IF(AND($A24&lt;&gt;"",COUNTIFS($A$5:$A$404,$A24)&gt;1),"Fall-Nr. doppelt vergeben. ","")&amp;IF(E24="","ex-Mieter fehlt. ","")&amp;IF(M24="","Haftungsdatum fehlt. ","")&amp;IF(F24="","Bewirtschafter fehlt. ","")&amp;IF(AND(AY24&lt;&gt;"",AW24=""),"Abgeschlossen trotz offener Schlussabrechnung. ","")&amp;IF(AND(AY24="",S24="",ISNUMBER(J24),J24&gt;60),"Langläufer über 60 Tage. ","")))</f>
        <v/>
      </c>
      <c r="L24" s="18" t="n"/>
      <c r="M24" s="18" t="n"/>
      <c r="N24" s="19">
        <f>IF(M24="","",M24+1)</f>
        <v/>
      </c>
      <c r="O24" s="17">
        <f>IF(OR(L24="",M24=""),"",M24-L24)</f>
        <v/>
      </c>
      <c r="P24" s="16">
        <f>IF(M24="","",YEAR(M24+1)&amp;"-"&amp;TEXT(MONTH(M24+1),"00"))</f>
        <v/>
      </c>
      <c r="Q24" s="18" t="n"/>
      <c r="R24" s="15" t="n"/>
      <c r="S24" s="18" t="n"/>
      <c r="T24" s="16">
        <f>IF(U24="","",IF(LEFT(U24,1)="6","abgeschlossen",IF(OR(LEFT(U24,1)="1",LEFT(U24,1)="2"),"Kündigung &amp; Abnahme",IF(OR(LEFT(U24,1)="3",LEFT(U24,1)="4"),"Wiedervermietung","Schlussabrechnung"))))</f>
        <v/>
      </c>
      <c r="U24" s="16">
        <f>IF($B24="","",IF(AY24&lt;&gt;"","6 · abgeschlossen",IF(AW24&lt;&gt;"","5 · bereit zum Abschluss",IF(AT24&lt;&gt;"","5 · Schlussabrechnung",IF(AO24&lt;&gt;"","4 · Übergabe",IF(AM24&lt;&gt;"","3 · Neuvermietung",IF(M24&lt;&gt;"","2 · Abnahme &amp; Vermarktung","1 · Erfassung")))))))</f>
        <v/>
      </c>
      <c r="V24" s="15" t="n"/>
      <c r="W24" s="20" t="n"/>
      <c r="X24" s="15" t="n"/>
      <c r="Y24" s="15" t="n"/>
      <c r="Z24" s="18" t="n"/>
      <c r="AA24" s="19">
        <f>IF(M24="","",M24-30)</f>
        <v/>
      </c>
      <c r="AB24" s="19">
        <f>IF(ISNUMBER(AJ24),AJ24+3,"")</f>
        <v/>
      </c>
      <c r="AC24" s="18" t="n"/>
      <c r="AD24" s="18" t="n"/>
      <c r="AE24" s="18" t="n"/>
      <c r="AF24" s="18" t="n"/>
      <c r="AG24" s="18" t="n"/>
      <c r="AH24" s="18" t="n"/>
      <c r="AI24" s="18" t="n"/>
      <c r="AJ24" s="18" t="n"/>
      <c r="AK24" s="18" t="n"/>
      <c r="AL24" s="18" t="n"/>
      <c r="AM24" s="18" t="n"/>
      <c r="AN24" s="18" t="n"/>
      <c r="AO24" s="18" t="n"/>
      <c r="AP24" s="18" t="n"/>
      <c r="AQ24" s="18" t="n"/>
      <c r="AR24" s="18" t="n"/>
      <c r="AS24" s="18" t="n"/>
      <c r="AT24" s="18" t="n"/>
      <c r="AU24" s="18" t="n"/>
      <c r="AV24" s="18" t="n"/>
      <c r="AW24" s="18" t="n"/>
      <c r="AX24" s="18" t="n"/>
      <c r="AY24" s="18" t="n"/>
      <c r="AZ24" s="15" t="n"/>
    </row>
    <row r="25">
      <c r="A25" s="15" t="n"/>
      <c r="B25" s="15" t="n"/>
      <c r="C25" s="15" t="n"/>
      <c r="D25" s="15" t="n"/>
      <c r="E25" s="15" t="n"/>
      <c r="F25" s="15" t="n"/>
      <c r="G25" s="16">
        <f>IF(F25="","",IFERROR(INDEX(Stammdaten!$B$5:$B$24,MATCH(F25,Stammdaten!$A$5:$A$24,0)),"unbekannt"))</f>
        <v/>
      </c>
      <c r="H25" s="16">
        <f>IF($B25="","",IF(AY25&lt;&gt;"","abgeschlossen",IF(AND(ISNUMBER(AX25),AX25&gt;=TODAY()),"zurückgestellt",IF(OR(AND(ISNUMBER(AA25),AA25&lt;TODAY(),Z25="",AJ25=""),AND(ISNUMBER(Z25),Z25&lt;TODAY(),AJ25=""),AND(ISNUMBER(AB25),AB25&lt;TODAY(),AK25=""),AND(ISNUMBER(AC25),AC25&lt;TODAY(),AO25=""),AND(ISNUMBER(AD25),AD25&lt;TODAY(),AQ25="")),"überfällig","offen"))))</f>
        <v/>
      </c>
      <c r="I25" s="16">
        <f>IF($B25="","",IF(AY25&lt;&gt;"","—",IF(AND(ISNUMBER(AA25),AA25&lt;TODAY(),Z25="",AJ25=""),"Abnahmetermin vereinbaren – Sollfrist verstrichen",IF(AND(ISNUMBER(Z25),Z25&lt;TODAY(),AJ25=""),"Wohnungsabnahme nachtragen – Termin war fällig",IF(AND(ISNUMBER(AB25),AB25&lt;TODAY(),AK25=""),"Handwerker aufbieten – Frist verstrichen",IF(AND(ISNUMBER(AC25),AC25&lt;TODAY(),AO25=""),"Vertrag retour mahnen – Frist verstrichen",IF(AND(ISNUMBER(AD25),AD25&lt;TODAY(),AQ25=""),"Schlüsselübergabe nachtragen – Termin war fällig",IF(M25="","Haftungsdatum erfassen",IF(E25="","ex-Mieter erfassen",IF(AE25="","Kündigung bestätigen / G-Rem",IF(AF25="","Werke / EGT melden",IF(AG25="","Vorbesichtigung (oder n.e.)",IF(AH25="","VMZ aktualisieren",IF(AI25="","Inserat aufschalten",IF(AND(Z25="",AJ25=""),"Abnahmetermin vereinbaren",IF(AJ25="","Wohnungsabnahme durchführen",IF(AK25="","Handwerker aufbieten",IF(AL25="","Zustimmungserklärung einholen",IF(AM25="","Instandstellungen beauftragen",IF(R25="","Nachmieter erfassen",IF(AN25="","Vertrag versenden",IF(AO25="","Vertrag retour erfassen",IF(S25="","Vermietet per erfassen",IF(AP25="","Werke / EGT über Einzug informieren",IF(AND(AD25="",AQ25=""),"Schlüsselübergabe terminieren",IF(AQ25="","Schlüsselübergabe durchführen",IF(AR25="","Reinigung veranlassen",IF(AS25="","Namensschilder bestellen",IF(AT25="","Kaution prüfen / G-Rem mutieren",IF(AU25="","Instandstellungs-Rechnung erfassen",IF(AV25="","Schlussabrechnung erstellen",IF(AW25="","Zahlungseingang kontrollieren","Fall abschliessen"))))))))))))))))))))))))))))))))</f>
        <v/>
      </c>
      <c r="J25" s="17">
        <f>IF(M25="","",IF(S25&lt;&gt;"",MAX(0,S25-M25-1),MAX(0,TODAY()-M25)))</f>
        <v/>
      </c>
      <c r="K25" s="16">
        <f>IF($B25="","",TRIM(IF(AND(L25&lt;&gt;"",M25&lt;&gt;"",M25&lt;L25),"Haftungsdatum vor Kündigung. ","")&amp;IF(AND(S25&lt;&gt;"",M25&lt;&gt;"",S25&lt;M25),"Vermietung vor Leerstandsbeginn. ","")&amp;IF(AND(Z25&lt;&gt;"",L25&lt;&gt;"",Z25&lt;L25),"WA-Termin vor Kündigung. ","")&amp;IF(COUNTIFS($B$5:$B$404,$B25,$AY$5:$AY$404,"")&gt;1,"Zweiter offener Fall zum selben Objekt. ","")&amp;IF(AND($A25&lt;&gt;"",COUNTIFS($A$5:$A$404,$A25)&gt;1),"Fall-Nr. doppelt vergeben. ","")&amp;IF(E25="","ex-Mieter fehlt. ","")&amp;IF(M25="","Haftungsdatum fehlt. ","")&amp;IF(F25="","Bewirtschafter fehlt. ","")&amp;IF(AND(AY25&lt;&gt;"",AW25=""),"Abgeschlossen trotz offener Schlussabrechnung. ","")&amp;IF(AND(AY25="",S25="",ISNUMBER(J25),J25&gt;60),"Langläufer über 60 Tage. ","")))</f>
        <v/>
      </c>
      <c r="L25" s="18" t="n"/>
      <c r="M25" s="18" t="n"/>
      <c r="N25" s="19">
        <f>IF(M25="","",M25+1)</f>
        <v/>
      </c>
      <c r="O25" s="17">
        <f>IF(OR(L25="",M25=""),"",M25-L25)</f>
        <v/>
      </c>
      <c r="P25" s="16">
        <f>IF(M25="","",YEAR(M25+1)&amp;"-"&amp;TEXT(MONTH(M25+1),"00"))</f>
        <v/>
      </c>
      <c r="Q25" s="18" t="n"/>
      <c r="R25" s="15" t="n"/>
      <c r="S25" s="18" t="n"/>
      <c r="T25" s="16">
        <f>IF(U25="","",IF(LEFT(U25,1)="6","abgeschlossen",IF(OR(LEFT(U25,1)="1",LEFT(U25,1)="2"),"Kündigung &amp; Abnahme",IF(OR(LEFT(U25,1)="3",LEFT(U25,1)="4"),"Wiedervermietung","Schlussabrechnung"))))</f>
        <v/>
      </c>
      <c r="U25" s="16">
        <f>IF($B25="","",IF(AY25&lt;&gt;"","6 · abgeschlossen",IF(AW25&lt;&gt;"","5 · bereit zum Abschluss",IF(AT25&lt;&gt;"","5 · Schlussabrechnung",IF(AO25&lt;&gt;"","4 · Übergabe",IF(AM25&lt;&gt;"","3 · Neuvermietung",IF(M25&lt;&gt;"","2 · Abnahme &amp; Vermarktung","1 · Erfassung")))))))</f>
        <v/>
      </c>
      <c r="V25" s="15" t="n"/>
      <c r="W25" s="20" t="n"/>
      <c r="X25" s="15" t="n"/>
      <c r="Y25" s="15" t="n"/>
      <c r="Z25" s="18" t="n"/>
      <c r="AA25" s="19">
        <f>IF(M25="","",M25-30)</f>
        <v/>
      </c>
      <c r="AB25" s="19">
        <f>IF(ISNUMBER(AJ25),AJ25+3,"")</f>
        <v/>
      </c>
      <c r="AC25" s="18" t="n"/>
      <c r="AD25" s="18" t="n"/>
      <c r="AE25" s="18" t="n"/>
      <c r="AF25" s="18" t="n"/>
      <c r="AG25" s="18" t="n"/>
      <c r="AH25" s="18" t="n"/>
      <c r="AI25" s="18" t="n"/>
      <c r="AJ25" s="18" t="n"/>
      <c r="AK25" s="18" t="n"/>
      <c r="AL25" s="18" t="n"/>
      <c r="AM25" s="18" t="n"/>
      <c r="AN25" s="18" t="n"/>
      <c r="AO25" s="18" t="n"/>
      <c r="AP25" s="18" t="n"/>
      <c r="AQ25" s="18" t="n"/>
      <c r="AR25" s="18" t="n"/>
      <c r="AS25" s="18" t="n"/>
      <c r="AT25" s="18" t="n"/>
      <c r="AU25" s="18" t="n"/>
      <c r="AV25" s="18" t="n"/>
      <c r="AW25" s="18" t="n"/>
      <c r="AX25" s="18" t="n"/>
      <c r="AY25" s="18" t="n"/>
      <c r="AZ25" s="15" t="n"/>
    </row>
    <row r="26">
      <c r="A26" s="15" t="n"/>
      <c r="B26" s="15" t="n"/>
      <c r="C26" s="15" t="n"/>
      <c r="D26" s="15" t="n"/>
      <c r="E26" s="15" t="n"/>
      <c r="F26" s="15" t="n"/>
      <c r="G26" s="16">
        <f>IF(F26="","",IFERROR(INDEX(Stammdaten!$B$5:$B$24,MATCH(F26,Stammdaten!$A$5:$A$24,0)),"unbekannt"))</f>
        <v/>
      </c>
      <c r="H26" s="16">
        <f>IF($B26="","",IF(AY26&lt;&gt;"","abgeschlossen",IF(AND(ISNUMBER(AX26),AX26&gt;=TODAY()),"zurückgestellt",IF(OR(AND(ISNUMBER(AA26),AA26&lt;TODAY(),Z26="",AJ26=""),AND(ISNUMBER(Z26),Z26&lt;TODAY(),AJ26=""),AND(ISNUMBER(AB26),AB26&lt;TODAY(),AK26=""),AND(ISNUMBER(AC26),AC26&lt;TODAY(),AO26=""),AND(ISNUMBER(AD26),AD26&lt;TODAY(),AQ26="")),"überfällig","offen"))))</f>
        <v/>
      </c>
      <c r="I26" s="16">
        <f>IF($B26="","",IF(AY26&lt;&gt;"","—",IF(AND(ISNUMBER(AA26),AA26&lt;TODAY(),Z26="",AJ26=""),"Abnahmetermin vereinbaren – Sollfrist verstrichen",IF(AND(ISNUMBER(Z26),Z26&lt;TODAY(),AJ26=""),"Wohnungsabnahme nachtragen – Termin war fällig",IF(AND(ISNUMBER(AB26),AB26&lt;TODAY(),AK26=""),"Handwerker aufbieten – Frist verstrichen",IF(AND(ISNUMBER(AC26),AC26&lt;TODAY(),AO26=""),"Vertrag retour mahnen – Frist verstrichen",IF(AND(ISNUMBER(AD26),AD26&lt;TODAY(),AQ26=""),"Schlüsselübergabe nachtragen – Termin war fällig",IF(M26="","Haftungsdatum erfassen",IF(E26="","ex-Mieter erfassen",IF(AE26="","Kündigung bestätigen / G-Rem",IF(AF26="","Werke / EGT melden",IF(AG26="","Vorbesichtigung (oder n.e.)",IF(AH26="","VMZ aktualisieren",IF(AI26="","Inserat aufschalten",IF(AND(Z26="",AJ26=""),"Abnahmetermin vereinbaren",IF(AJ26="","Wohnungsabnahme durchführen",IF(AK26="","Handwerker aufbieten",IF(AL26="","Zustimmungserklärung einholen",IF(AM26="","Instandstellungen beauftragen",IF(R26="","Nachmieter erfassen",IF(AN26="","Vertrag versenden",IF(AO26="","Vertrag retour erfassen",IF(S26="","Vermietet per erfassen",IF(AP26="","Werke / EGT über Einzug informieren",IF(AND(AD26="",AQ26=""),"Schlüsselübergabe terminieren",IF(AQ26="","Schlüsselübergabe durchführen",IF(AR26="","Reinigung veranlassen",IF(AS26="","Namensschilder bestellen",IF(AT26="","Kaution prüfen / G-Rem mutieren",IF(AU26="","Instandstellungs-Rechnung erfassen",IF(AV26="","Schlussabrechnung erstellen",IF(AW26="","Zahlungseingang kontrollieren","Fall abschliessen"))))))))))))))))))))))))))))))))</f>
        <v/>
      </c>
      <c r="J26" s="17">
        <f>IF(M26="","",IF(S26&lt;&gt;"",MAX(0,S26-M26-1),MAX(0,TODAY()-M26)))</f>
        <v/>
      </c>
      <c r="K26" s="16">
        <f>IF($B26="","",TRIM(IF(AND(L26&lt;&gt;"",M26&lt;&gt;"",M26&lt;L26),"Haftungsdatum vor Kündigung. ","")&amp;IF(AND(S26&lt;&gt;"",M26&lt;&gt;"",S26&lt;M26),"Vermietung vor Leerstandsbeginn. ","")&amp;IF(AND(Z26&lt;&gt;"",L26&lt;&gt;"",Z26&lt;L26),"WA-Termin vor Kündigung. ","")&amp;IF(COUNTIFS($B$5:$B$404,$B26,$AY$5:$AY$404,"")&gt;1,"Zweiter offener Fall zum selben Objekt. ","")&amp;IF(AND($A26&lt;&gt;"",COUNTIFS($A$5:$A$404,$A26)&gt;1),"Fall-Nr. doppelt vergeben. ","")&amp;IF(E26="","ex-Mieter fehlt. ","")&amp;IF(M26="","Haftungsdatum fehlt. ","")&amp;IF(F26="","Bewirtschafter fehlt. ","")&amp;IF(AND(AY26&lt;&gt;"",AW26=""),"Abgeschlossen trotz offener Schlussabrechnung. ","")&amp;IF(AND(AY26="",S26="",ISNUMBER(J26),J26&gt;60),"Langläufer über 60 Tage. ","")))</f>
        <v/>
      </c>
      <c r="L26" s="18" t="n"/>
      <c r="M26" s="18" t="n"/>
      <c r="N26" s="19">
        <f>IF(M26="","",M26+1)</f>
        <v/>
      </c>
      <c r="O26" s="17">
        <f>IF(OR(L26="",M26=""),"",M26-L26)</f>
        <v/>
      </c>
      <c r="P26" s="16">
        <f>IF(M26="","",YEAR(M26+1)&amp;"-"&amp;TEXT(MONTH(M26+1),"00"))</f>
        <v/>
      </c>
      <c r="Q26" s="18" t="n"/>
      <c r="R26" s="15" t="n"/>
      <c r="S26" s="18" t="n"/>
      <c r="T26" s="16">
        <f>IF(U26="","",IF(LEFT(U26,1)="6","abgeschlossen",IF(OR(LEFT(U26,1)="1",LEFT(U26,1)="2"),"Kündigung &amp; Abnahme",IF(OR(LEFT(U26,1)="3",LEFT(U26,1)="4"),"Wiedervermietung","Schlussabrechnung"))))</f>
        <v/>
      </c>
      <c r="U26" s="16">
        <f>IF($B26="","",IF(AY26&lt;&gt;"","6 · abgeschlossen",IF(AW26&lt;&gt;"","5 · bereit zum Abschluss",IF(AT26&lt;&gt;"","5 · Schlussabrechnung",IF(AO26&lt;&gt;"","4 · Übergabe",IF(AM26&lt;&gt;"","3 · Neuvermietung",IF(M26&lt;&gt;"","2 · Abnahme &amp; Vermarktung","1 · Erfassung")))))))</f>
        <v/>
      </c>
      <c r="V26" s="15" t="n"/>
      <c r="W26" s="20" t="n"/>
      <c r="X26" s="15" t="n"/>
      <c r="Y26" s="15" t="n"/>
      <c r="Z26" s="18" t="n"/>
      <c r="AA26" s="19">
        <f>IF(M26="","",M26-30)</f>
        <v/>
      </c>
      <c r="AB26" s="19">
        <f>IF(ISNUMBER(AJ26),AJ26+3,"")</f>
        <v/>
      </c>
      <c r="AC26" s="18" t="n"/>
      <c r="AD26" s="18" t="n"/>
      <c r="AE26" s="18" t="n"/>
      <c r="AF26" s="18" t="n"/>
      <c r="AG26" s="18" t="n"/>
      <c r="AH26" s="18" t="n"/>
      <c r="AI26" s="18" t="n"/>
      <c r="AJ26" s="18" t="n"/>
      <c r="AK26" s="18" t="n"/>
      <c r="AL26" s="18" t="n"/>
      <c r="AM26" s="18" t="n"/>
      <c r="AN26" s="18" t="n"/>
      <c r="AO26" s="18" t="n"/>
      <c r="AP26" s="18" t="n"/>
      <c r="AQ26" s="18" t="n"/>
      <c r="AR26" s="18" t="n"/>
      <c r="AS26" s="18" t="n"/>
      <c r="AT26" s="18" t="n"/>
      <c r="AU26" s="18" t="n"/>
      <c r="AV26" s="18" t="n"/>
      <c r="AW26" s="18" t="n"/>
      <c r="AX26" s="18" t="n"/>
      <c r="AY26" s="18" t="n"/>
      <c r="AZ26" s="15" t="n"/>
    </row>
    <row r="27">
      <c r="A27" s="15" t="n"/>
      <c r="B27" s="15" t="n"/>
      <c r="C27" s="15" t="n"/>
      <c r="D27" s="15" t="n"/>
      <c r="E27" s="15" t="n"/>
      <c r="F27" s="15" t="n"/>
      <c r="G27" s="16">
        <f>IF(F27="","",IFERROR(INDEX(Stammdaten!$B$5:$B$24,MATCH(F27,Stammdaten!$A$5:$A$24,0)),"unbekannt"))</f>
        <v/>
      </c>
      <c r="H27" s="16">
        <f>IF($B27="","",IF(AY27&lt;&gt;"","abgeschlossen",IF(AND(ISNUMBER(AX27),AX27&gt;=TODAY()),"zurückgestellt",IF(OR(AND(ISNUMBER(AA27),AA27&lt;TODAY(),Z27="",AJ27=""),AND(ISNUMBER(Z27),Z27&lt;TODAY(),AJ27=""),AND(ISNUMBER(AB27),AB27&lt;TODAY(),AK27=""),AND(ISNUMBER(AC27),AC27&lt;TODAY(),AO27=""),AND(ISNUMBER(AD27),AD27&lt;TODAY(),AQ27="")),"überfällig","offen"))))</f>
        <v/>
      </c>
      <c r="I27" s="16">
        <f>IF($B27="","",IF(AY27&lt;&gt;"","—",IF(AND(ISNUMBER(AA27),AA27&lt;TODAY(),Z27="",AJ27=""),"Abnahmetermin vereinbaren – Sollfrist verstrichen",IF(AND(ISNUMBER(Z27),Z27&lt;TODAY(),AJ27=""),"Wohnungsabnahme nachtragen – Termin war fällig",IF(AND(ISNUMBER(AB27),AB27&lt;TODAY(),AK27=""),"Handwerker aufbieten – Frist verstrichen",IF(AND(ISNUMBER(AC27),AC27&lt;TODAY(),AO27=""),"Vertrag retour mahnen – Frist verstrichen",IF(AND(ISNUMBER(AD27),AD27&lt;TODAY(),AQ27=""),"Schlüsselübergabe nachtragen – Termin war fällig",IF(M27="","Haftungsdatum erfassen",IF(E27="","ex-Mieter erfassen",IF(AE27="","Kündigung bestätigen / G-Rem",IF(AF27="","Werke / EGT melden",IF(AG27="","Vorbesichtigung (oder n.e.)",IF(AH27="","VMZ aktualisieren",IF(AI27="","Inserat aufschalten",IF(AND(Z27="",AJ27=""),"Abnahmetermin vereinbaren",IF(AJ27="","Wohnungsabnahme durchführen",IF(AK27="","Handwerker aufbieten",IF(AL27="","Zustimmungserklärung einholen",IF(AM27="","Instandstellungen beauftragen",IF(R27="","Nachmieter erfassen",IF(AN27="","Vertrag versenden",IF(AO27="","Vertrag retour erfassen",IF(S27="","Vermietet per erfassen",IF(AP27="","Werke / EGT über Einzug informieren",IF(AND(AD27="",AQ27=""),"Schlüsselübergabe terminieren",IF(AQ27="","Schlüsselübergabe durchführen",IF(AR27="","Reinigung veranlassen",IF(AS27="","Namensschilder bestellen",IF(AT27="","Kaution prüfen / G-Rem mutieren",IF(AU27="","Instandstellungs-Rechnung erfassen",IF(AV27="","Schlussabrechnung erstellen",IF(AW27="","Zahlungseingang kontrollieren","Fall abschliessen"))))))))))))))))))))))))))))))))</f>
        <v/>
      </c>
      <c r="J27" s="17">
        <f>IF(M27="","",IF(S27&lt;&gt;"",MAX(0,S27-M27-1),MAX(0,TODAY()-M27)))</f>
        <v/>
      </c>
      <c r="K27" s="16">
        <f>IF($B27="","",TRIM(IF(AND(L27&lt;&gt;"",M27&lt;&gt;"",M27&lt;L27),"Haftungsdatum vor Kündigung. ","")&amp;IF(AND(S27&lt;&gt;"",M27&lt;&gt;"",S27&lt;M27),"Vermietung vor Leerstandsbeginn. ","")&amp;IF(AND(Z27&lt;&gt;"",L27&lt;&gt;"",Z27&lt;L27),"WA-Termin vor Kündigung. ","")&amp;IF(COUNTIFS($B$5:$B$404,$B27,$AY$5:$AY$404,"")&gt;1,"Zweiter offener Fall zum selben Objekt. ","")&amp;IF(AND($A27&lt;&gt;"",COUNTIFS($A$5:$A$404,$A27)&gt;1),"Fall-Nr. doppelt vergeben. ","")&amp;IF(E27="","ex-Mieter fehlt. ","")&amp;IF(M27="","Haftungsdatum fehlt. ","")&amp;IF(F27="","Bewirtschafter fehlt. ","")&amp;IF(AND(AY27&lt;&gt;"",AW27=""),"Abgeschlossen trotz offener Schlussabrechnung. ","")&amp;IF(AND(AY27="",S27="",ISNUMBER(J27),J27&gt;60),"Langläufer über 60 Tage. ","")))</f>
        <v/>
      </c>
      <c r="L27" s="18" t="n"/>
      <c r="M27" s="18" t="n"/>
      <c r="N27" s="19">
        <f>IF(M27="","",M27+1)</f>
        <v/>
      </c>
      <c r="O27" s="17">
        <f>IF(OR(L27="",M27=""),"",M27-L27)</f>
        <v/>
      </c>
      <c r="P27" s="16">
        <f>IF(M27="","",YEAR(M27+1)&amp;"-"&amp;TEXT(MONTH(M27+1),"00"))</f>
        <v/>
      </c>
      <c r="Q27" s="18" t="n"/>
      <c r="R27" s="15" t="n"/>
      <c r="S27" s="18" t="n"/>
      <c r="T27" s="16">
        <f>IF(U27="","",IF(LEFT(U27,1)="6","abgeschlossen",IF(OR(LEFT(U27,1)="1",LEFT(U27,1)="2"),"Kündigung &amp; Abnahme",IF(OR(LEFT(U27,1)="3",LEFT(U27,1)="4"),"Wiedervermietung","Schlussabrechnung"))))</f>
        <v/>
      </c>
      <c r="U27" s="16">
        <f>IF($B27="","",IF(AY27&lt;&gt;"","6 · abgeschlossen",IF(AW27&lt;&gt;"","5 · bereit zum Abschluss",IF(AT27&lt;&gt;"","5 · Schlussabrechnung",IF(AO27&lt;&gt;"","4 · Übergabe",IF(AM27&lt;&gt;"","3 · Neuvermietung",IF(M27&lt;&gt;"","2 · Abnahme &amp; Vermarktung","1 · Erfassung")))))))</f>
        <v/>
      </c>
      <c r="V27" s="15" t="n"/>
      <c r="W27" s="20" t="n"/>
      <c r="X27" s="15" t="n"/>
      <c r="Y27" s="15" t="n"/>
      <c r="Z27" s="18" t="n"/>
      <c r="AA27" s="19">
        <f>IF(M27="","",M27-30)</f>
        <v/>
      </c>
      <c r="AB27" s="19">
        <f>IF(ISNUMBER(AJ27),AJ27+3,"")</f>
        <v/>
      </c>
      <c r="AC27" s="18" t="n"/>
      <c r="AD27" s="18" t="n"/>
      <c r="AE27" s="18" t="n"/>
      <c r="AF27" s="18" t="n"/>
      <c r="AG27" s="18" t="n"/>
      <c r="AH27" s="18" t="n"/>
      <c r="AI27" s="18" t="n"/>
      <c r="AJ27" s="18" t="n"/>
      <c r="AK27" s="18" t="n"/>
      <c r="AL27" s="18" t="n"/>
      <c r="AM27" s="18" t="n"/>
      <c r="AN27" s="18" t="n"/>
      <c r="AO27" s="18" t="n"/>
      <c r="AP27" s="18" t="n"/>
      <c r="AQ27" s="18" t="n"/>
      <c r="AR27" s="18" t="n"/>
      <c r="AS27" s="18" t="n"/>
      <c r="AT27" s="18" t="n"/>
      <c r="AU27" s="18" t="n"/>
      <c r="AV27" s="18" t="n"/>
      <c r="AW27" s="18" t="n"/>
      <c r="AX27" s="18" t="n"/>
      <c r="AY27" s="18" t="n"/>
      <c r="AZ27" s="15" t="n"/>
    </row>
    <row r="28">
      <c r="A28" s="15" t="n"/>
      <c r="B28" s="15" t="n"/>
      <c r="C28" s="15" t="n"/>
      <c r="D28" s="15" t="n"/>
      <c r="E28" s="15" t="n"/>
      <c r="F28" s="15" t="n"/>
      <c r="G28" s="16">
        <f>IF(F28="","",IFERROR(INDEX(Stammdaten!$B$5:$B$24,MATCH(F28,Stammdaten!$A$5:$A$24,0)),"unbekannt"))</f>
        <v/>
      </c>
      <c r="H28" s="16">
        <f>IF($B28="","",IF(AY28&lt;&gt;"","abgeschlossen",IF(AND(ISNUMBER(AX28),AX28&gt;=TODAY()),"zurückgestellt",IF(OR(AND(ISNUMBER(AA28),AA28&lt;TODAY(),Z28="",AJ28=""),AND(ISNUMBER(Z28),Z28&lt;TODAY(),AJ28=""),AND(ISNUMBER(AB28),AB28&lt;TODAY(),AK28=""),AND(ISNUMBER(AC28),AC28&lt;TODAY(),AO28=""),AND(ISNUMBER(AD28),AD28&lt;TODAY(),AQ28="")),"überfällig","offen"))))</f>
        <v/>
      </c>
      <c r="I28" s="16">
        <f>IF($B28="","",IF(AY28&lt;&gt;"","—",IF(AND(ISNUMBER(AA28),AA28&lt;TODAY(),Z28="",AJ28=""),"Abnahmetermin vereinbaren – Sollfrist verstrichen",IF(AND(ISNUMBER(Z28),Z28&lt;TODAY(),AJ28=""),"Wohnungsabnahme nachtragen – Termin war fällig",IF(AND(ISNUMBER(AB28),AB28&lt;TODAY(),AK28=""),"Handwerker aufbieten – Frist verstrichen",IF(AND(ISNUMBER(AC28),AC28&lt;TODAY(),AO28=""),"Vertrag retour mahnen – Frist verstrichen",IF(AND(ISNUMBER(AD28),AD28&lt;TODAY(),AQ28=""),"Schlüsselübergabe nachtragen – Termin war fällig",IF(M28="","Haftungsdatum erfassen",IF(E28="","ex-Mieter erfassen",IF(AE28="","Kündigung bestätigen / G-Rem",IF(AF28="","Werke / EGT melden",IF(AG28="","Vorbesichtigung (oder n.e.)",IF(AH28="","VMZ aktualisieren",IF(AI28="","Inserat aufschalten",IF(AND(Z28="",AJ28=""),"Abnahmetermin vereinbaren",IF(AJ28="","Wohnungsabnahme durchführen",IF(AK28="","Handwerker aufbieten",IF(AL28="","Zustimmungserklärung einholen",IF(AM28="","Instandstellungen beauftragen",IF(R28="","Nachmieter erfassen",IF(AN28="","Vertrag versenden",IF(AO28="","Vertrag retour erfassen",IF(S28="","Vermietet per erfassen",IF(AP28="","Werke / EGT über Einzug informieren",IF(AND(AD28="",AQ28=""),"Schlüsselübergabe terminieren",IF(AQ28="","Schlüsselübergabe durchführen",IF(AR28="","Reinigung veranlassen",IF(AS28="","Namensschilder bestellen",IF(AT28="","Kaution prüfen / G-Rem mutieren",IF(AU28="","Instandstellungs-Rechnung erfassen",IF(AV28="","Schlussabrechnung erstellen",IF(AW28="","Zahlungseingang kontrollieren","Fall abschliessen"))))))))))))))))))))))))))))))))</f>
        <v/>
      </c>
      <c r="J28" s="17">
        <f>IF(M28="","",IF(S28&lt;&gt;"",MAX(0,S28-M28-1),MAX(0,TODAY()-M28)))</f>
        <v/>
      </c>
      <c r="K28" s="16">
        <f>IF($B28="","",TRIM(IF(AND(L28&lt;&gt;"",M28&lt;&gt;"",M28&lt;L28),"Haftungsdatum vor Kündigung. ","")&amp;IF(AND(S28&lt;&gt;"",M28&lt;&gt;"",S28&lt;M28),"Vermietung vor Leerstandsbeginn. ","")&amp;IF(AND(Z28&lt;&gt;"",L28&lt;&gt;"",Z28&lt;L28),"WA-Termin vor Kündigung. ","")&amp;IF(COUNTIFS($B$5:$B$404,$B28,$AY$5:$AY$404,"")&gt;1,"Zweiter offener Fall zum selben Objekt. ","")&amp;IF(AND($A28&lt;&gt;"",COUNTIFS($A$5:$A$404,$A28)&gt;1),"Fall-Nr. doppelt vergeben. ","")&amp;IF(E28="","ex-Mieter fehlt. ","")&amp;IF(M28="","Haftungsdatum fehlt. ","")&amp;IF(F28="","Bewirtschafter fehlt. ","")&amp;IF(AND(AY28&lt;&gt;"",AW28=""),"Abgeschlossen trotz offener Schlussabrechnung. ","")&amp;IF(AND(AY28="",S28="",ISNUMBER(J28),J28&gt;60),"Langläufer über 60 Tage. ","")))</f>
        <v/>
      </c>
      <c r="L28" s="18" t="n"/>
      <c r="M28" s="18" t="n"/>
      <c r="N28" s="19">
        <f>IF(M28="","",M28+1)</f>
        <v/>
      </c>
      <c r="O28" s="17">
        <f>IF(OR(L28="",M28=""),"",M28-L28)</f>
        <v/>
      </c>
      <c r="P28" s="16">
        <f>IF(M28="","",YEAR(M28+1)&amp;"-"&amp;TEXT(MONTH(M28+1),"00"))</f>
        <v/>
      </c>
      <c r="Q28" s="18" t="n"/>
      <c r="R28" s="15" t="n"/>
      <c r="S28" s="18" t="n"/>
      <c r="T28" s="16">
        <f>IF(U28="","",IF(LEFT(U28,1)="6","abgeschlossen",IF(OR(LEFT(U28,1)="1",LEFT(U28,1)="2"),"Kündigung &amp; Abnahme",IF(OR(LEFT(U28,1)="3",LEFT(U28,1)="4"),"Wiedervermietung","Schlussabrechnung"))))</f>
        <v/>
      </c>
      <c r="U28" s="16">
        <f>IF($B28="","",IF(AY28&lt;&gt;"","6 · abgeschlossen",IF(AW28&lt;&gt;"","5 · bereit zum Abschluss",IF(AT28&lt;&gt;"","5 · Schlussabrechnung",IF(AO28&lt;&gt;"","4 · Übergabe",IF(AM28&lt;&gt;"","3 · Neuvermietung",IF(M28&lt;&gt;"","2 · Abnahme &amp; Vermarktung","1 · Erfassung")))))))</f>
        <v/>
      </c>
      <c r="V28" s="15" t="n"/>
      <c r="W28" s="20" t="n"/>
      <c r="X28" s="15" t="n"/>
      <c r="Y28" s="15" t="n"/>
      <c r="Z28" s="18" t="n"/>
      <c r="AA28" s="19">
        <f>IF(M28="","",M28-30)</f>
        <v/>
      </c>
      <c r="AB28" s="19">
        <f>IF(ISNUMBER(AJ28),AJ28+3,"")</f>
        <v/>
      </c>
      <c r="AC28" s="18" t="n"/>
      <c r="AD28" s="18" t="n"/>
      <c r="AE28" s="18" t="n"/>
      <c r="AF28" s="18" t="n"/>
      <c r="AG28" s="18" t="n"/>
      <c r="AH28" s="18" t="n"/>
      <c r="AI28" s="18" t="n"/>
      <c r="AJ28" s="18" t="n"/>
      <c r="AK28" s="18" t="n"/>
      <c r="AL28" s="18" t="n"/>
      <c r="AM28" s="18" t="n"/>
      <c r="AN28" s="18" t="n"/>
      <c r="AO28" s="18" t="n"/>
      <c r="AP28" s="18" t="n"/>
      <c r="AQ28" s="18" t="n"/>
      <c r="AR28" s="18" t="n"/>
      <c r="AS28" s="18" t="n"/>
      <c r="AT28" s="18" t="n"/>
      <c r="AU28" s="18" t="n"/>
      <c r="AV28" s="18" t="n"/>
      <c r="AW28" s="18" t="n"/>
      <c r="AX28" s="18" t="n"/>
      <c r="AY28" s="18" t="n"/>
      <c r="AZ28" s="15" t="n"/>
    </row>
    <row r="29">
      <c r="A29" s="15" t="n"/>
      <c r="B29" s="15" t="n"/>
      <c r="C29" s="15" t="n"/>
      <c r="D29" s="15" t="n"/>
      <c r="E29" s="15" t="n"/>
      <c r="F29" s="15" t="n"/>
      <c r="G29" s="16">
        <f>IF(F29="","",IFERROR(INDEX(Stammdaten!$B$5:$B$24,MATCH(F29,Stammdaten!$A$5:$A$24,0)),"unbekannt"))</f>
        <v/>
      </c>
      <c r="H29" s="16">
        <f>IF($B29="","",IF(AY29&lt;&gt;"","abgeschlossen",IF(AND(ISNUMBER(AX29),AX29&gt;=TODAY()),"zurückgestellt",IF(OR(AND(ISNUMBER(AA29),AA29&lt;TODAY(),Z29="",AJ29=""),AND(ISNUMBER(Z29),Z29&lt;TODAY(),AJ29=""),AND(ISNUMBER(AB29),AB29&lt;TODAY(),AK29=""),AND(ISNUMBER(AC29),AC29&lt;TODAY(),AO29=""),AND(ISNUMBER(AD29),AD29&lt;TODAY(),AQ29="")),"überfällig","offen"))))</f>
        <v/>
      </c>
      <c r="I29" s="16">
        <f>IF($B29="","",IF(AY29&lt;&gt;"","—",IF(AND(ISNUMBER(AA29),AA29&lt;TODAY(),Z29="",AJ29=""),"Abnahmetermin vereinbaren – Sollfrist verstrichen",IF(AND(ISNUMBER(Z29),Z29&lt;TODAY(),AJ29=""),"Wohnungsabnahme nachtragen – Termin war fällig",IF(AND(ISNUMBER(AB29),AB29&lt;TODAY(),AK29=""),"Handwerker aufbieten – Frist verstrichen",IF(AND(ISNUMBER(AC29),AC29&lt;TODAY(),AO29=""),"Vertrag retour mahnen – Frist verstrichen",IF(AND(ISNUMBER(AD29),AD29&lt;TODAY(),AQ29=""),"Schlüsselübergabe nachtragen – Termin war fällig",IF(M29="","Haftungsdatum erfassen",IF(E29="","ex-Mieter erfassen",IF(AE29="","Kündigung bestätigen / G-Rem",IF(AF29="","Werke / EGT melden",IF(AG29="","Vorbesichtigung (oder n.e.)",IF(AH29="","VMZ aktualisieren",IF(AI29="","Inserat aufschalten",IF(AND(Z29="",AJ29=""),"Abnahmetermin vereinbaren",IF(AJ29="","Wohnungsabnahme durchführen",IF(AK29="","Handwerker aufbieten",IF(AL29="","Zustimmungserklärung einholen",IF(AM29="","Instandstellungen beauftragen",IF(R29="","Nachmieter erfassen",IF(AN29="","Vertrag versenden",IF(AO29="","Vertrag retour erfassen",IF(S29="","Vermietet per erfassen",IF(AP29="","Werke / EGT über Einzug informieren",IF(AND(AD29="",AQ29=""),"Schlüsselübergabe terminieren",IF(AQ29="","Schlüsselübergabe durchführen",IF(AR29="","Reinigung veranlassen",IF(AS29="","Namensschilder bestellen",IF(AT29="","Kaution prüfen / G-Rem mutieren",IF(AU29="","Instandstellungs-Rechnung erfassen",IF(AV29="","Schlussabrechnung erstellen",IF(AW29="","Zahlungseingang kontrollieren","Fall abschliessen"))))))))))))))))))))))))))))))))</f>
        <v/>
      </c>
      <c r="J29" s="17">
        <f>IF(M29="","",IF(S29&lt;&gt;"",MAX(0,S29-M29-1),MAX(0,TODAY()-M29)))</f>
        <v/>
      </c>
      <c r="K29" s="16">
        <f>IF($B29="","",TRIM(IF(AND(L29&lt;&gt;"",M29&lt;&gt;"",M29&lt;L29),"Haftungsdatum vor Kündigung. ","")&amp;IF(AND(S29&lt;&gt;"",M29&lt;&gt;"",S29&lt;M29),"Vermietung vor Leerstandsbeginn. ","")&amp;IF(AND(Z29&lt;&gt;"",L29&lt;&gt;"",Z29&lt;L29),"WA-Termin vor Kündigung. ","")&amp;IF(COUNTIFS($B$5:$B$404,$B29,$AY$5:$AY$404,"")&gt;1,"Zweiter offener Fall zum selben Objekt. ","")&amp;IF(AND($A29&lt;&gt;"",COUNTIFS($A$5:$A$404,$A29)&gt;1),"Fall-Nr. doppelt vergeben. ","")&amp;IF(E29="","ex-Mieter fehlt. ","")&amp;IF(M29="","Haftungsdatum fehlt. ","")&amp;IF(F29="","Bewirtschafter fehlt. ","")&amp;IF(AND(AY29&lt;&gt;"",AW29=""),"Abgeschlossen trotz offener Schlussabrechnung. ","")&amp;IF(AND(AY29="",S29="",ISNUMBER(J29),J29&gt;60),"Langläufer über 60 Tage. ","")))</f>
        <v/>
      </c>
      <c r="L29" s="18" t="n"/>
      <c r="M29" s="18" t="n"/>
      <c r="N29" s="19">
        <f>IF(M29="","",M29+1)</f>
        <v/>
      </c>
      <c r="O29" s="17">
        <f>IF(OR(L29="",M29=""),"",M29-L29)</f>
        <v/>
      </c>
      <c r="P29" s="16">
        <f>IF(M29="","",YEAR(M29+1)&amp;"-"&amp;TEXT(MONTH(M29+1),"00"))</f>
        <v/>
      </c>
      <c r="Q29" s="18" t="n"/>
      <c r="R29" s="15" t="n"/>
      <c r="S29" s="18" t="n"/>
      <c r="T29" s="16">
        <f>IF(U29="","",IF(LEFT(U29,1)="6","abgeschlossen",IF(OR(LEFT(U29,1)="1",LEFT(U29,1)="2"),"Kündigung &amp; Abnahme",IF(OR(LEFT(U29,1)="3",LEFT(U29,1)="4"),"Wiedervermietung","Schlussabrechnung"))))</f>
        <v/>
      </c>
      <c r="U29" s="16">
        <f>IF($B29="","",IF(AY29&lt;&gt;"","6 · abgeschlossen",IF(AW29&lt;&gt;"","5 · bereit zum Abschluss",IF(AT29&lt;&gt;"","5 · Schlussabrechnung",IF(AO29&lt;&gt;"","4 · Übergabe",IF(AM29&lt;&gt;"","3 · Neuvermietung",IF(M29&lt;&gt;"","2 · Abnahme &amp; Vermarktung","1 · Erfassung")))))))</f>
        <v/>
      </c>
      <c r="V29" s="15" t="n"/>
      <c r="W29" s="20" t="n"/>
      <c r="X29" s="15" t="n"/>
      <c r="Y29" s="15" t="n"/>
      <c r="Z29" s="18" t="n"/>
      <c r="AA29" s="19">
        <f>IF(M29="","",M29-30)</f>
        <v/>
      </c>
      <c r="AB29" s="19">
        <f>IF(ISNUMBER(AJ29),AJ29+3,"")</f>
        <v/>
      </c>
      <c r="AC29" s="18" t="n"/>
      <c r="AD29" s="18" t="n"/>
      <c r="AE29" s="18" t="n"/>
      <c r="AF29" s="18" t="n"/>
      <c r="AG29" s="18" t="n"/>
      <c r="AH29" s="18" t="n"/>
      <c r="AI29" s="18" t="n"/>
      <c r="AJ29" s="18" t="n"/>
      <c r="AK29" s="18" t="n"/>
      <c r="AL29" s="18" t="n"/>
      <c r="AM29" s="18" t="n"/>
      <c r="AN29" s="18" t="n"/>
      <c r="AO29" s="18" t="n"/>
      <c r="AP29" s="18" t="n"/>
      <c r="AQ29" s="18" t="n"/>
      <c r="AR29" s="18" t="n"/>
      <c r="AS29" s="18" t="n"/>
      <c r="AT29" s="18" t="n"/>
      <c r="AU29" s="18" t="n"/>
      <c r="AV29" s="18" t="n"/>
      <c r="AW29" s="18" t="n"/>
      <c r="AX29" s="18" t="n"/>
      <c r="AY29" s="18" t="n"/>
      <c r="AZ29" s="15" t="n"/>
    </row>
    <row r="30">
      <c r="A30" s="15" t="n"/>
      <c r="B30" s="15" t="n"/>
      <c r="C30" s="15" t="n"/>
      <c r="D30" s="15" t="n"/>
      <c r="E30" s="15" t="n"/>
      <c r="F30" s="15" t="n"/>
      <c r="G30" s="16">
        <f>IF(F30="","",IFERROR(INDEX(Stammdaten!$B$5:$B$24,MATCH(F30,Stammdaten!$A$5:$A$24,0)),"unbekannt"))</f>
        <v/>
      </c>
      <c r="H30" s="16">
        <f>IF($B30="","",IF(AY30&lt;&gt;"","abgeschlossen",IF(AND(ISNUMBER(AX30),AX30&gt;=TODAY()),"zurückgestellt",IF(OR(AND(ISNUMBER(AA30),AA30&lt;TODAY(),Z30="",AJ30=""),AND(ISNUMBER(Z30),Z30&lt;TODAY(),AJ30=""),AND(ISNUMBER(AB30),AB30&lt;TODAY(),AK30=""),AND(ISNUMBER(AC30),AC30&lt;TODAY(),AO30=""),AND(ISNUMBER(AD30),AD30&lt;TODAY(),AQ30="")),"überfällig","offen"))))</f>
        <v/>
      </c>
      <c r="I30" s="16">
        <f>IF($B30="","",IF(AY30&lt;&gt;"","—",IF(AND(ISNUMBER(AA30),AA30&lt;TODAY(),Z30="",AJ30=""),"Abnahmetermin vereinbaren – Sollfrist verstrichen",IF(AND(ISNUMBER(Z30),Z30&lt;TODAY(),AJ30=""),"Wohnungsabnahme nachtragen – Termin war fällig",IF(AND(ISNUMBER(AB30),AB30&lt;TODAY(),AK30=""),"Handwerker aufbieten – Frist verstrichen",IF(AND(ISNUMBER(AC30),AC30&lt;TODAY(),AO30=""),"Vertrag retour mahnen – Frist verstrichen",IF(AND(ISNUMBER(AD30),AD30&lt;TODAY(),AQ30=""),"Schlüsselübergabe nachtragen – Termin war fällig",IF(M30="","Haftungsdatum erfassen",IF(E30="","ex-Mieter erfassen",IF(AE30="","Kündigung bestätigen / G-Rem",IF(AF30="","Werke / EGT melden",IF(AG30="","Vorbesichtigung (oder n.e.)",IF(AH30="","VMZ aktualisieren",IF(AI30="","Inserat aufschalten",IF(AND(Z30="",AJ30=""),"Abnahmetermin vereinbaren",IF(AJ30="","Wohnungsabnahme durchführen",IF(AK30="","Handwerker aufbieten",IF(AL30="","Zustimmungserklärung einholen",IF(AM30="","Instandstellungen beauftragen",IF(R30="","Nachmieter erfassen",IF(AN30="","Vertrag versenden",IF(AO30="","Vertrag retour erfassen",IF(S30="","Vermietet per erfassen",IF(AP30="","Werke / EGT über Einzug informieren",IF(AND(AD30="",AQ30=""),"Schlüsselübergabe terminieren",IF(AQ30="","Schlüsselübergabe durchführen",IF(AR30="","Reinigung veranlassen",IF(AS30="","Namensschilder bestellen",IF(AT30="","Kaution prüfen / G-Rem mutieren",IF(AU30="","Instandstellungs-Rechnung erfassen",IF(AV30="","Schlussabrechnung erstellen",IF(AW30="","Zahlungseingang kontrollieren","Fall abschliessen"))))))))))))))))))))))))))))))))</f>
        <v/>
      </c>
      <c r="J30" s="17">
        <f>IF(M30="","",IF(S30&lt;&gt;"",MAX(0,S30-M30-1),MAX(0,TODAY()-M30)))</f>
        <v/>
      </c>
      <c r="K30" s="16">
        <f>IF($B30="","",TRIM(IF(AND(L30&lt;&gt;"",M30&lt;&gt;"",M30&lt;L30),"Haftungsdatum vor Kündigung. ","")&amp;IF(AND(S30&lt;&gt;"",M30&lt;&gt;"",S30&lt;M30),"Vermietung vor Leerstandsbeginn. ","")&amp;IF(AND(Z30&lt;&gt;"",L30&lt;&gt;"",Z30&lt;L30),"WA-Termin vor Kündigung. ","")&amp;IF(COUNTIFS($B$5:$B$404,$B30,$AY$5:$AY$404,"")&gt;1,"Zweiter offener Fall zum selben Objekt. ","")&amp;IF(AND($A30&lt;&gt;"",COUNTIFS($A$5:$A$404,$A30)&gt;1),"Fall-Nr. doppelt vergeben. ","")&amp;IF(E30="","ex-Mieter fehlt. ","")&amp;IF(M30="","Haftungsdatum fehlt. ","")&amp;IF(F30="","Bewirtschafter fehlt. ","")&amp;IF(AND(AY30&lt;&gt;"",AW30=""),"Abgeschlossen trotz offener Schlussabrechnung. ","")&amp;IF(AND(AY30="",S30="",ISNUMBER(J30),J30&gt;60),"Langläufer über 60 Tage. ","")))</f>
        <v/>
      </c>
      <c r="L30" s="18" t="n"/>
      <c r="M30" s="18" t="n"/>
      <c r="N30" s="19">
        <f>IF(M30="","",M30+1)</f>
        <v/>
      </c>
      <c r="O30" s="17">
        <f>IF(OR(L30="",M30=""),"",M30-L30)</f>
        <v/>
      </c>
      <c r="P30" s="16">
        <f>IF(M30="","",YEAR(M30+1)&amp;"-"&amp;TEXT(MONTH(M30+1),"00"))</f>
        <v/>
      </c>
      <c r="Q30" s="18" t="n"/>
      <c r="R30" s="15" t="n"/>
      <c r="S30" s="18" t="n"/>
      <c r="T30" s="16">
        <f>IF(U30="","",IF(LEFT(U30,1)="6","abgeschlossen",IF(OR(LEFT(U30,1)="1",LEFT(U30,1)="2"),"Kündigung &amp; Abnahme",IF(OR(LEFT(U30,1)="3",LEFT(U30,1)="4"),"Wiedervermietung","Schlussabrechnung"))))</f>
        <v/>
      </c>
      <c r="U30" s="16">
        <f>IF($B30="","",IF(AY30&lt;&gt;"","6 · abgeschlossen",IF(AW30&lt;&gt;"","5 · bereit zum Abschluss",IF(AT30&lt;&gt;"","5 · Schlussabrechnung",IF(AO30&lt;&gt;"","4 · Übergabe",IF(AM30&lt;&gt;"","3 · Neuvermietung",IF(M30&lt;&gt;"","2 · Abnahme &amp; Vermarktung","1 · Erfassung")))))))</f>
        <v/>
      </c>
      <c r="V30" s="15" t="n"/>
      <c r="W30" s="20" t="n"/>
      <c r="X30" s="15" t="n"/>
      <c r="Y30" s="15" t="n"/>
      <c r="Z30" s="18" t="n"/>
      <c r="AA30" s="19">
        <f>IF(M30="","",M30-30)</f>
        <v/>
      </c>
      <c r="AB30" s="19">
        <f>IF(ISNUMBER(AJ30),AJ30+3,"")</f>
        <v/>
      </c>
      <c r="AC30" s="18" t="n"/>
      <c r="AD30" s="18" t="n"/>
      <c r="AE30" s="18" t="n"/>
      <c r="AF30" s="18" t="n"/>
      <c r="AG30" s="18" t="n"/>
      <c r="AH30" s="18" t="n"/>
      <c r="AI30" s="18" t="n"/>
      <c r="AJ30" s="18" t="n"/>
      <c r="AK30" s="18" t="n"/>
      <c r="AL30" s="18" t="n"/>
      <c r="AM30" s="18" t="n"/>
      <c r="AN30" s="18" t="n"/>
      <c r="AO30" s="18" t="n"/>
      <c r="AP30" s="18" t="n"/>
      <c r="AQ30" s="18" t="n"/>
      <c r="AR30" s="18" t="n"/>
      <c r="AS30" s="18" t="n"/>
      <c r="AT30" s="18" t="n"/>
      <c r="AU30" s="18" t="n"/>
      <c r="AV30" s="18" t="n"/>
      <c r="AW30" s="18" t="n"/>
      <c r="AX30" s="18" t="n"/>
      <c r="AY30" s="18" t="n"/>
      <c r="AZ30" s="15" t="n"/>
    </row>
    <row r="31">
      <c r="A31" s="15" t="n"/>
      <c r="B31" s="15" t="n"/>
      <c r="C31" s="15" t="n"/>
      <c r="D31" s="15" t="n"/>
      <c r="E31" s="15" t="n"/>
      <c r="F31" s="15" t="n"/>
      <c r="G31" s="16">
        <f>IF(F31="","",IFERROR(INDEX(Stammdaten!$B$5:$B$24,MATCH(F31,Stammdaten!$A$5:$A$24,0)),"unbekannt"))</f>
        <v/>
      </c>
      <c r="H31" s="16">
        <f>IF($B31="","",IF(AY31&lt;&gt;"","abgeschlossen",IF(AND(ISNUMBER(AX31),AX31&gt;=TODAY()),"zurückgestellt",IF(OR(AND(ISNUMBER(AA31),AA31&lt;TODAY(),Z31="",AJ31=""),AND(ISNUMBER(Z31),Z31&lt;TODAY(),AJ31=""),AND(ISNUMBER(AB31),AB31&lt;TODAY(),AK31=""),AND(ISNUMBER(AC31),AC31&lt;TODAY(),AO31=""),AND(ISNUMBER(AD31),AD31&lt;TODAY(),AQ31="")),"überfällig","offen"))))</f>
        <v/>
      </c>
      <c r="I31" s="16">
        <f>IF($B31="","",IF(AY31&lt;&gt;"","—",IF(AND(ISNUMBER(AA31),AA31&lt;TODAY(),Z31="",AJ31=""),"Abnahmetermin vereinbaren – Sollfrist verstrichen",IF(AND(ISNUMBER(Z31),Z31&lt;TODAY(),AJ31=""),"Wohnungsabnahme nachtragen – Termin war fällig",IF(AND(ISNUMBER(AB31),AB31&lt;TODAY(),AK31=""),"Handwerker aufbieten – Frist verstrichen",IF(AND(ISNUMBER(AC31),AC31&lt;TODAY(),AO31=""),"Vertrag retour mahnen – Frist verstrichen",IF(AND(ISNUMBER(AD31),AD31&lt;TODAY(),AQ31=""),"Schlüsselübergabe nachtragen – Termin war fällig",IF(M31="","Haftungsdatum erfassen",IF(E31="","ex-Mieter erfassen",IF(AE31="","Kündigung bestätigen / G-Rem",IF(AF31="","Werke / EGT melden",IF(AG31="","Vorbesichtigung (oder n.e.)",IF(AH31="","VMZ aktualisieren",IF(AI31="","Inserat aufschalten",IF(AND(Z31="",AJ31=""),"Abnahmetermin vereinbaren",IF(AJ31="","Wohnungsabnahme durchführen",IF(AK31="","Handwerker aufbieten",IF(AL31="","Zustimmungserklärung einholen",IF(AM31="","Instandstellungen beauftragen",IF(R31="","Nachmieter erfassen",IF(AN31="","Vertrag versenden",IF(AO31="","Vertrag retour erfassen",IF(S31="","Vermietet per erfassen",IF(AP31="","Werke / EGT über Einzug informieren",IF(AND(AD31="",AQ31=""),"Schlüsselübergabe terminieren",IF(AQ31="","Schlüsselübergabe durchführen",IF(AR31="","Reinigung veranlassen",IF(AS31="","Namensschilder bestellen",IF(AT31="","Kaution prüfen / G-Rem mutieren",IF(AU31="","Instandstellungs-Rechnung erfassen",IF(AV31="","Schlussabrechnung erstellen",IF(AW31="","Zahlungseingang kontrollieren","Fall abschliessen"))))))))))))))))))))))))))))))))</f>
        <v/>
      </c>
      <c r="J31" s="17">
        <f>IF(M31="","",IF(S31&lt;&gt;"",MAX(0,S31-M31-1),MAX(0,TODAY()-M31)))</f>
        <v/>
      </c>
      <c r="K31" s="16">
        <f>IF($B31="","",TRIM(IF(AND(L31&lt;&gt;"",M31&lt;&gt;"",M31&lt;L31),"Haftungsdatum vor Kündigung. ","")&amp;IF(AND(S31&lt;&gt;"",M31&lt;&gt;"",S31&lt;M31),"Vermietung vor Leerstandsbeginn. ","")&amp;IF(AND(Z31&lt;&gt;"",L31&lt;&gt;"",Z31&lt;L31),"WA-Termin vor Kündigung. ","")&amp;IF(COUNTIFS($B$5:$B$404,$B31,$AY$5:$AY$404,"")&gt;1,"Zweiter offener Fall zum selben Objekt. ","")&amp;IF(AND($A31&lt;&gt;"",COUNTIFS($A$5:$A$404,$A31)&gt;1),"Fall-Nr. doppelt vergeben. ","")&amp;IF(E31="","ex-Mieter fehlt. ","")&amp;IF(M31="","Haftungsdatum fehlt. ","")&amp;IF(F31="","Bewirtschafter fehlt. ","")&amp;IF(AND(AY31&lt;&gt;"",AW31=""),"Abgeschlossen trotz offener Schlussabrechnung. ","")&amp;IF(AND(AY31="",S31="",ISNUMBER(J31),J31&gt;60),"Langläufer über 60 Tage. ","")))</f>
        <v/>
      </c>
      <c r="L31" s="18" t="n"/>
      <c r="M31" s="18" t="n"/>
      <c r="N31" s="19">
        <f>IF(M31="","",M31+1)</f>
        <v/>
      </c>
      <c r="O31" s="17">
        <f>IF(OR(L31="",M31=""),"",M31-L31)</f>
        <v/>
      </c>
      <c r="P31" s="16">
        <f>IF(M31="","",YEAR(M31+1)&amp;"-"&amp;TEXT(MONTH(M31+1),"00"))</f>
        <v/>
      </c>
      <c r="Q31" s="18" t="n"/>
      <c r="R31" s="15" t="n"/>
      <c r="S31" s="18" t="n"/>
      <c r="T31" s="16">
        <f>IF(U31="","",IF(LEFT(U31,1)="6","abgeschlossen",IF(OR(LEFT(U31,1)="1",LEFT(U31,1)="2"),"Kündigung &amp; Abnahme",IF(OR(LEFT(U31,1)="3",LEFT(U31,1)="4"),"Wiedervermietung","Schlussabrechnung"))))</f>
        <v/>
      </c>
      <c r="U31" s="16">
        <f>IF($B31="","",IF(AY31&lt;&gt;"","6 · abgeschlossen",IF(AW31&lt;&gt;"","5 · bereit zum Abschluss",IF(AT31&lt;&gt;"","5 · Schlussabrechnung",IF(AO31&lt;&gt;"","4 · Übergabe",IF(AM31&lt;&gt;"","3 · Neuvermietung",IF(M31&lt;&gt;"","2 · Abnahme &amp; Vermarktung","1 · Erfassung")))))))</f>
        <v/>
      </c>
      <c r="V31" s="15" t="n"/>
      <c r="W31" s="20" t="n"/>
      <c r="X31" s="15" t="n"/>
      <c r="Y31" s="15" t="n"/>
      <c r="Z31" s="18" t="n"/>
      <c r="AA31" s="19">
        <f>IF(M31="","",M31-30)</f>
        <v/>
      </c>
      <c r="AB31" s="19">
        <f>IF(ISNUMBER(AJ31),AJ31+3,"")</f>
        <v/>
      </c>
      <c r="AC31" s="18" t="n"/>
      <c r="AD31" s="18" t="n"/>
      <c r="AE31" s="18" t="n"/>
      <c r="AF31" s="18" t="n"/>
      <c r="AG31" s="18" t="n"/>
      <c r="AH31" s="18" t="n"/>
      <c r="AI31" s="18" t="n"/>
      <c r="AJ31" s="18" t="n"/>
      <c r="AK31" s="18" t="n"/>
      <c r="AL31" s="18" t="n"/>
      <c r="AM31" s="18" t="n"/>
      <c r="AN31" s="18" t="n"/>
      <c r="AO31" s="18" t="n"/>
      <c r="AP31" s="18" t="n"/>
      <c r="AQ31" s="18" t="n"/>
      <c r="AR31" s="18" t="n"/>
      <c r="AS31" s="18" t="n"/>
      <c r="AT31" s="18" t="n"/>
      <c r="AU31" s="18" t="n"/>
      <c r="AV31" s="18" t="n"/>
      <c r="AW31" s="18" t="n"/>
      <c r="AX31" s="18" t="n"/>
      <c r="AY31" s="18" t="n"/>
      <c r="AZ31" s="15" t="n"/>
    </row>
    <row r="32">
      <c r="A32" s="15" t="n"/>
      <c r="B32" s="15" t="n"/>
      <c r="C32" s="15" t="n"/>
      <c r="D32" s="15" t="n"/>
      <c r="E32" s="15" t="n"/>
      <c r="F32" s="15" t="n"/>
      <c r="G32" s="16">
        <f>IF(F32="","",IFERROR(INDEX(Stammdaten!$B$5:$B$24,MATCH(F32,Stammdaten!$A$5:$A$24,0)),"unbekannt"))</f>
        <v/>
      </c>
      <c r="H32" s="16">
        <f>IF($B32="","",IF(AY32&lt;&gt;"","abgeschlossen",IF(AND(ISNUMBER(AX32),AX32&gt;=TODAY()),"zurückgestellt",IF(OR(AND(ISNUMBER(AA32),AA32&lt;TODAY(),Z32="",AJ32=""),AND(ISNUMBER(Z32),Z32&lt;TODAY(),AJ32=""),AND(ISNUMBER(AB32),AB32&lt;TODAY(),AK32=""),AND(ISNUMBER(AC32),AC32&lt;TODAY(),AO32=""),AND(ISNUMBER(AD32),AD32&lt;TODAY(),AQ32="")),"überfällig","offen"))))</f>
        <v/>
      </c>
      <c r="I32" s="16">
        <f>IF($B32="","",IF(AY32&lt;&gt;"","—",IF(AND(ISNUMBER(AA32),AA32&lt;TODAY(),Z32="",AJ32=""),"Abnahmetermin vereinbaren – Sollfrist verstrichen",IF(AND(ISNUMBER(Z32),Z32&lt;TODAY(),AJ32=""),"Wohnungsabnahme nachtragen – Termin war fällig",IF(AND(ISNUMBER(AB32),AB32&lt;TODAY(),AK32=""),"Handwerker aufbieten – Frist verstrichen",IF(AND(ISNUMBER(AC32),AC32&lt;TODAY(),AO32=""),"Vertrag retour mahnen – Frist verstrichen",IF(AND(ISNUMBER(AD32),AD32&lt;TODAY(),AQ32=""),"Schlüsselübergabe nachtragen – Termin war fällig",IF(M32="","Haftungsdatum erfassen",IF(E32="","ex-Mieter erfassen",IF(AE32="","Kündigung bestätigen / G-Rem",IF(AF32="","Werke / EGT melden",IF(AG32="","Vorbesichtigung (oder n.e.)",IF(AH32="","VMZ aktualisieren",IF(AI32="","Inserat aufschalten",IF(AND(Z32="",AJ32=""),"Abnahmetermin vereinbaren",IF(AJ32="","Wohnungsabnahme durchführen",IF(AK32="","Handwerker aufbieten",IF(AL32="","Zustimmungserklärung einholen",IF(AM32="","Instandstellungen beauftragen",IF(R32="","Nachmieter erfassen",IF(AN32="","Vertrag versenden",IF(AO32="","Vertrag retour erfassen",IF(S32="","Vermietet per erfassen",IF(AP32="","Werke / EGT über Einzug informieren",IF(AND(AD32="",AQ32=""),"Schlüsselübergabe terminieren",IF(AQ32="","Schlüsselübergabe durchführen",IF(AR32="","Reinigung veranlassen",IF(AS32="","Namensschilder bestellen",IF(AT32="","Kaution prüfen / G-Rem mutieren",IF(AU32="","Instandstellungs-Rechnung erfassen",IF(AV32="","Schlussabrechnung erstellen",IF(AW32="","Zahlungseingang kontrollieren","Fall abschliessen"))))))))))))))))))))))))))))))))</f>
        <v/>
      </c>
      <c r="J32" s="17">
        <f>IF(M32="","",IF(S32&lt;&gt;"",MAX(0,S32-M32-1),MAX(0,TODAY()-M32)))</f>
        <v/>
      </c>
      <c r="K32" s="16">
        <f>IF($B32="","",TRIM(IF(AND(L32&lt;&gt;"",M32&lt;&gt;"",M32&lt;L32),"Haftungsdatum vor Kündigung. ","")&amp;IF(AND(S32&lt;&gt;"",M32&lt;&gt;"",S32&lt;M32),"Vermietung vor Leerstandsbeginn. ","")&amp;IF(AND(Z32&lt;&gt;"",L32&lt;&gt;"",Z32&lt;L32),"WA-Termin vor Kündigung. ","")&amp;IF(COUNTIFS($B$5:$B$404,$B32,$AY$5:$AY$404,"")&gt;1,"Zweiter offener Fall zum selben Objekt. ","")&amp;IF(AND($A32&lt;&gt;"",COUNTIFS($A$5:$A$404,$A32)&gt;1),"Fall-Nr. doppelt vergeben. ","")&amp;IF(E32="","ex-Mieter fehlt. ","")&amp;IF(M32="","Haftungsdatum fehlt. ","")&amp;IF(F32="","Bewirtschafter fehlt. ","")&amp;IF(AND(AY32&lt;&gt;"",AW32=""),"Abgeschlossen trotz offener Schlussabrechnung. ","")&amp;IF(AND(AY32="",S32="",ISNUMBER(J32),J32&gt;60),"Langläufer über 60 Tage. ","")))</f>
        <v/>
      </c>
      <c r="L32" s="18" t="n"/>
      <c r="M32" s="18" t="n"/>
      <c r="N32" s="19">
        <f>IF(M32="","",M32+1)</f>
        <v/>
      </c>
      <c r="O32" s="17">
        <f>IF(OR(L32="",M32=""),"",M32-L32)</f>
        <v/>
      </c>
      <c r="P32" s="16">
        <f>IF(M32="","",YEAR(M32+1)&amp;"-"&amp;TEXT(MONTH(M32+1),"00"))</f>
        <v/>
      </c>
      <c r="Q32" s="18" t="n"/>
      <c r="R32" s="15" t="n"/>
      <c r="S32" s="18" t="n"/>
      <c r="T32" s="16">
        <f>IF(U32="","",IF(LEFT(U32,1)="6","abgeschlossen",IF(OR(LEFT(U32,1)="1",LEFT(U32,1)="2"),"Kündigung &amp; Abnahme",IF(OR(LEFT(U32,1)="3",LEFT(U32,1)="4"),"Wiedervermietung","Schlussabrechnung"))))</f>
        <v/>
      </c>
      <c r="U32" s="16">
        <f>IF($B32="","",IF(AY32&lt;&gt;"","6 · abgeschlossen",IF(AW32&lt;&gt;"","5 · bereit zum Abschluss",IF(AT32&lt;&gt;"","5 · Schlussabrechnung",IF(AO32&lt;&gt;"","4 · Übergabe",IF(AM32&lt;&gt;"","3 · Neuvermietung",IF(M32&lt;&gt;"","2 · Abnahme &amp; Vermarktung","1 · Erfassung")))))))</f>
        <v/>
      </c>
      <c r="V32" s="15" t="n"/>
      <c r="W32" s="20" t="n"/>
      <c r="X32" s="15" t="n"/>
      <c r="Y32" s="15" t="n"/>
      <c r="Z32" s="18" t="n"/>
      <c r="AA32" s="19">
        <f>IF(M32="","",M32-30)</f>
        <v/>
      </c>
      <c r="AB32" s="19">
        <f>IF(ISNUMBER(AJ32),AJ32+3,"")</f>
        <v/>
      </c>
      <c r="AC32" s="18" t="n"/>
      <c r="AD32" s="18" t="n"/>
      <c r="AE32" s="18" t="n"/>
      <c r="AF32" s="18" t="n"/>
      <c r="AG32" s="18" t="n"/>
      <c r="AH32" s="18" t="n"/>
      <c r="AI32" s="18" t="n"/>
      <c r="AJ32" s="18" t="n"/>
      <c r="AK32" s="18" t="n"/>
      <c r="AL32" s="18" t="n"/>
      <c r="AM32" s="18" t="n"/>
      <c r="AN32" s="18" t="n"/>
      <c r="AO32" s="18" t="n"/>
      <c r="AP32" s="18" t="n"/>
      <c r="AQ32" s="18" t="n"/>
      <c r="AR32" s="18" t="n"/>
      <c r="AS32" s="18" t="n"/>
      <c r="AT32" s="18" t="n"/>
      <c r="AU32" s="18" t="n"/>
      <c r="AV32" s="18" t="n"/>
      <c r="AW32" s="18" t="n"/>
      <c r="AX32" s="18" t="n"/>
      <c r="AY32" s="18" t="n"/>
      <c r="AZ32" s="15" t="n"/>
    </row>
    <row r="33">
      <c r="A33" s="15" t="n"/>
      <c r="B33" s="15" t="n"/>
      <c r="C33" s="15" t="n"/>
      <c r="D33" s="15" t="n"/>
      <c r="E33" s="15" t="n"/>
      <c r="F33" s="15" t="n"/>
      <c r="G33" s="16">
        <f>IF(F33="","",IFERROR(INDEX(Stammdaten!$B$5:$B$24,MATCH(F33,Stammdaten!$A$5:$A$24,0)),"unbekannt"))</f>
        <v/>
      </c>
      <c r="H33" s="16">
        <f>IF($B33="","",IF(AY33&lt;&gt;"","abgeschlossen",IF(AND(ISNUMBER(AX33),AX33&gt;=TODAY()),"zurückgestellt",IF(OR(AND(ISNUMBER(AA33),AA33&lt;TODAY(),Z33="",AJ33=""),AND(ISNUMBER(Z33),Z33&lt;TODAY(),AJ33=""),AND(ISNUMBER(AB33),AB33&lt;TODAY(),AK33=""),AND(ISNUMBER(AC33),AC33&lt;TODAY(),AO33=""),AND(ISNUMBER(AD33),AD33&lt;TODAY(),AQ33="")),"überfällig","offen"))))</f>
        <v/>
      </c>
      <c r="I33" s="16">
        <f>IF($B33="","",IF(AY33&lt;&gt;"","—",IF(AND(ISNUMBER(AA33),AA33&lt;TODAY(),Z33="",AJ33=""),"Abnahmetermin vereinbaren – Sollfrist verstrichen",IF(AND(ISNUMBER(Z33),Z33&lt;TODAY(),AJ33=""),"Wohnungsabnahme nachtragen – Termin war fällig",IF(AND(ISNUMBER(AB33),AB33&lt;TODAY(),AK33=""),"Handwerker aufbieten – Frist verstrichen",IF(AND(ISNUMBER(AC33),AC33&lt;TODAY(),AO33=""),"Vertrag retour mahnen – Frist verstrichen",IF(AND(ISNUMBER(AD33),AD33&lt;TODAY(),AQ33=""),"Schlüsselübergabe nachtragen – Termin war fällig",IF(M33="","Haftungsdatum erfassen",IF(E33="","ex-Mieter erfassen",IF(AE33="","Kündigung bestätigen / G-Rem",IF(AF33="","Werke / EGT melden",IF(AG33="","Vorbesichtigung (oder n.e.)",IF(AH33="","VMZ aktualisieren",IF(AI33="","Inserat aufschalten",IF(AND(Z33="",AJ33=""),"Abnahmetermin vereinbaren",IF(AJ33="","Wohnungsabnahme durchführen",IF(AK33="","Handwerker aufbieten",IF(AL33="","Zustimmungserklärung einholen",IF(AM33="","Instandstellungen beauftragen",IF(R33="","Nachmieter erfassen",IF(AN33="","Vertrag versenden",IF(AO33="","Vertrag retour erfassen",IF(S33="","Vermietet per erfassen",IF(AP33="","Werke / EGT über Einzug informieren",IF(AND(AD33="",AQ33=""),"Schlüsselübergabe terminieren",IF(AQ33="","Schlüsselübergabe durchführen",IF(AR33="","Reinigung veranlassen",IF(AS33="","Namensschilder bestellen",IF(AT33="","Kaution prüfen / G-Rem mutieren",IF(AU33="","Instandstellungs-Rechnung erfassen",IF(AV33="","Schlussabrechnung erstellen",IF(AW33="","Zahlungseingang kontrollieren","Fall abschliessen"))))))))))))))))))))))))))))))))</f>
        <v/>
      </c>
      <c r="J33" s="17">
        <f>IF(M33="","",IF(S33&lt;&gt;"",MAX(0,S33-M33-1),MAX(0,TODAY()-M33)))</f>
        <v/>
      </c>
      <c r="K33" s="16">
        <f>IF($B33="","",TRIM(IF(AND(L33&lt;&gt;"",M33&lt;&gt;"",M33&lt;L33),"Haftungsdatum vor Kündigung. ","")&amp;IF(AND(S33&lt;&gt;"",M33&lt;&gt;"",S33&lt;M33),"Vermietung vor Leerstandsbeginn. ","")&amp;IF(AND(Z33&lt;&gt;"",L33&lt;&gt;"",Z33&lt;L33),"WA-Termin vor Kündigung. ","")&amp;IF(COUNTIFS($B$5:$B$404,$B33,$AY$5:$AY$404,"")&gt;1,"Zweiter offener Fall zum selben Objekt. ","")&amp;IF(AND($A33&lt;&gt;"",COUNTIFS($A$5:$A$404,$A33)&gt;1),"Fall-Nr. doppelt vergeben. ","")&amp;IF(E33="","ex-Mieter fehlt. ","")&amp;IF(M33="","Haftungsdatum fehlt. ","")&amp;IF(F33="","Bewirtschafter fehlt. ","")&amp;IF(AND(AY33&lt;&gt;"",AW33=""),"Abgeschlossen trotz offener Schlussabrechnung. ","")&amp;IF(AND(AY33="",S33="",ISNUMBER(J33),J33&gt;60),"Langläufer über 60 Tage. ","")))</f>
        <v/>
      </c>
      <c r="L33" s="18" t="n"/>
      <c r="M33" s="18" t="n"/>
      <c r="N33" s="19">
        <f>IF(M33="","",M33+1)</f>
        <v/>
      </c>
      <c r="O33" s="17">
        <f>IF(OR(L33="",M33=""),"",M33-L33)</f>
        <v/>
      </c>
      <c r="P33" s="16">
        <f>IF(M33="","",YEAR(M33+1)&amp;"-"&amp;TEXT(MONTH(M33+1),"00"))</f>
        <v/>
      </c>
      <c r="Q33" s="18" t="n"/>
      <c r="R33" s="15" t="n"/>
      <c r="S33" s="18" t="n"/>
      <c r="T33" s="16">
        <f>IF(U33="","",IF(LEFT(U33,1)="6","abgeschlossen",IF(OR(LEFT(U33,1)="1",LEFT(U33,1)="2"),"Kündigung &amp; Abnahme",IF(OR(LEFT(U33,1)="3",LEFT(U33,1)="4"),"Wiedervermietung","Schlussabrechnung"))))</f>
        <v/>
      </c>
      <c r="U33" s="16">
        <f>IF($B33="","",IF(AY33&lt;&gt;"","6 · abgeschlossen",IF(AW33&lt;&gt;"","5 · bereit zum Abschluss",IF(AT33&lt;&gt;"","5 · Schlussabrechnung",IF(AO33&lt;&gt;"","4 · Übergabe",IF(AM33&lt;&gt;"","3 · Neuvermietung",IF(M33&lt;&gt;"","2 · Abnahme &amp; Vermarktung","1 · Erfassung")))))))</f>
        <v/>
      </c>
      <c r="V33" s="15" t="n"/>
      <c r="W33" s="20" t="n"/>
      <c r="X33" s="15" t="n"/>
      <c r="Y33" s="15" t="n"/>
      <c r="Z33" s="18" t="n"/>
      <c r="AA33" s="19">
        <f>IF(M33="","",M33-30)</f>
        <v/>
      </c>
      <c r="AB33" s="19">
        <f>IF(ISNUMBER(AJ33),AJ33+3,"")</f>
        <v/>
      </c>
      <c r="AC33" s="18" t="n"/>
      <c r="AD33" s="18" t="n"/>
      <c r="AE33" s="18" t="n"/>
      <c r="AF33" s="18" t="n"/>
      <c r="AG33" s="18" t="n"/>
      <c r="AH33" s="18" t="n"/>
      <c r="AI33" s="18" t="n"/>
      <c r="AJ33" s="18" t="n"/>
      <c r="AK33" s="18" t="n"/>
      <c r="AL33" s="18" t="n"/>
      <c r="AM33" s="18" t="n"/>
      <c r="AN33" s="18" t="n"/>
      <c r="AO33" s="18" t="n"/>
      <c r="AP33" s="18" t="n"/>
      <c r="AQ33" s="18" t="n"/>
      <c r="AR33" s="18" t="n"/>
      <c r="AS33" s="18" t="n"/>
      <c r="AT33" s="18" t="n"/>
      <c r="AU33" s="18" t="n"/>
      <c r="AV33" s="18" t="n"/>
      <c r="AW33" s="18" t="n"/>
      <c r="AX33" s="18" t="n"/>
      <c r="AY33" s="18" t="n"/>
      <c r="AZ33" s="15" t="n"/>
    </row>
    <row r="34">
      <c r="A34" s="15" t="n"/>
      <c r="B34" s="15" t="n"/>
      <c r="C34" s="15" t="n"/>
      <c r="D34" s="15" t="n"/>
      <c r="E34" s="15" t="n"/>
      <c r="F34" s="15" t="n"/>
      <c r="G34" s="16">
        <f>IF(F34="","",IFERROR(INDEX(Stammdaten!$B$5:$B$24,MATCH(F34,Stammdaten!$A$5:$A$24,0)),"unbekannt"))</f>
        <v/>
      </c>
      <c r="H34" s="16">
        <f>IF($B34="","",IF(AY34&lt;&gt;"","abgeschlossen",IF(AND(ISNUMBER(AX34),AX34&gt;=TODAY()),"zurückgestellt",IF(OR(AND(ISNUMBER(AA34),AA34&lt;TODAY(),Z34="",AJ34=""),AND(ISNUMBER(Z34),Z34&lt;TODAY(),AJ34=""),AND(ISNUMBER(AB34),AB34&lt;TODAY(),AK34=""),AND(ISNUMBER(AC34),AC34&lt;TODAY(),AO34=""),AND(ISNUMBER(AD34),AD34&lt;TODAY(),AQ34="")),"überfällig","offen"))))</f>
        <v/>
      </c>
      <c r="I34" s="16">
        <f>IF($B34="","",IF(AY34&lt;&gt;"","—",IF(AND(ISNUMBER(AA34),AA34&lt;TODAY(),Z34="",AJ34=""),"Abnahmetermin vereinbaren – Sollfrist verstrichen",IF(AND(ISNUMBER(Z34),Z34&lt;TODAY(),AJ34=""),"Wohnungsabnahme nachtragen – Termin war fällig",IF(AND(ISNUMBER(AB34),AB34&lt;TODAY(),AK34=""),"Handwerker aufbieten – Frist verstrichen",IF(AND(ISNUMBER(AC34),AC34&lt;TODAY(),AO34=""),"Vertrag retour mahnen – Frist verstrichen",IF(AND(ISNUMBER(AD34),AD34&lt;TODAY(),AQ34=""),"Schlüsselübergabe nachtragen – Termin war fällig",IF(M34="","Haftungsdatum erfassen",IF(E34="","ex-Mieter erfassen",IF(AE34="","Kündigung bestätigen / G-Rem",IF(AF34="","Werke / EGT melden",IF(AG34="","Vorbesichtigung (oder n.e.)",IF(AH34="","VMZ aktualisieren",IF(AI34="","Inserat aufschalten",IF(AND(Z34="",AJ34=""),"Abnahmetermin vereinbaren",IF(AJ34="","Wohnungsabnahme durchführen",IF(AK34="","Handwerker aufbieten",IF(AL34="","Zustimmungserklärung einholen",IF(AM34="","Instandstellungen beauftragen",IF(R34="","Nachmieter erfassen",IF(AN34="","Vertrag versenden",IF(AO34="","Vertrag retour erfassen",IF(S34="","Vermietet per erfassen",IF(AP34="","Werke / EGT über Einzug informieren",IF(AND(AD34="",AQ34=""),"Schlüsselübergabe terminieren",IF(AQ34="","Schlüsselübergabe durchführen",IF(AR34="","Reinigung veranlassen",IF(AS34="","Namensschilder bestellen",IF(AT34="","Kaution prüfen / G-Rem mutieren",IF(AU34="","Instandstellungs-Rechnung erfassen",IF(AV34="","Schlussabrechnung erstellen",IF(AW34="","Zahlungseingang kontrollieren","Fall abschliessen"))))))))))))))))))))))))))))))))</f>
        <v/>
      </c>
      <c r="J34" s="17">
        <f>IF(M34="","",IF(S34&lt;&gt;"",MAX(0,S34-M34-1),MAX(0,TODAY()-M34)))</f>
        <v/>
      </c>
      <c r="K34" s="16">
        <f>IF($B34="","",TRIM(IF(AND(L34&lt;&gt;"",M34&lt;&gt;"",M34&lt;L34),"Haftungsdatum vor Kündigung. ","")&amp;IF(AND(S34&lt;&gt;"",M34&lt;&gt;"",S34&lt;M34),"Vermietung vor Leerstandsbeginn. ","")&amp;IF(AND(Z34&lt;&gt;"",L34&lt;&gt;"",Z34&lt;L34),"WA-Termin vor Kündigung. ","")&amp;IF(COUNTIFS($B$5:$B$404,$B34,$AY$5:$AY$404,"")&gt;1,"Zweiter offener Fall zum selben Objekt. ","")&amp;IF(AND($A34&lt;&gt;"",COUNTIFS($A$5:$A$404,$A34)&gt;1),"Fall-Nr. doppelt vergeben. ","")&amp;IF(E34="","ex-Mieter fehlt. ","")&amp;IF(M34="","Haftungsdatum fehlt. ","")&amp;IF(F34="","Bewirtschafter fehlt. ","")&amp;IF(AND(AY34&lt;&gt;"",AW34=""),"Abgeschlossen trotz offener Schlussabrechnung. ","")&amp;IF(AND(AY34="",S34="",ISNUMBER(J34),J34&gt;60),"Langläufer über 60 Tage. ","")))</f>
        <v/>
      </c>
      <c r="L34" s="18" t="n"/>
      <c r="M34" s="18" t="n"/>
      <c r="N34" s="19">
        <f>IF(M34="","",M34+1)</f>
        <v/>
      </c>
      <c r="O34" s="17">
        <f>IF(OR(L34="",M34=""),"",M34-L34)</f>
        <v/>
      </c>
      <c r="P34" s="16">
        <f>IF(M34="","",YEAR(M34+1)&amp;"-"&amp;TEXT(MONTH(M34+1),"00"))</f>
        <v/>
      </c>
      <c r="Q34" s="18" t="n"/>
      <c r="R34" s="15" t="n"/>
      <c r="S34" s="18" t="n"/>
      <c r="T34" s="16">
        <f>IF(U34="","",IF(LEFT(U34,1)="6","abgeschlossen",IF(OR(LEFT(U34,1)="1",LEFT(U34,1)="2"),"Kündigung &amp; Abnahme",IF(OR(LEFT(U34,1)="3",LEFT(U34,1)="4"),"Wiedervermietung","Schlussabrechnung"))))</f>
        <v/>
      </c>
      <c r="U34" s="16">
        <f>IF($B34="","",IF(AY34&lt;&gt;"","6 · abgeschlossen",IF(AW34&lt;&gt;"","5 · bereit zum Abschluss",IF(AT34&lt;&gt;"","5 · Schlussabrechnung",IF(AO34&lt;&gt;"","4 · Übergabe",IF(AM34&lt;&gt;"","3 · Neuvermietung",IF(M34&lt;&gt;"","2 · Abnahme &amp; Vermarktung","1 · Erfassung")))))))</f>
        <v/>
      </c>
      <c r="V34" s="15" t="n"/>
      <c r="W34" s="20" t="n"/>
      <c r="X34" s="15" t="n"/>
      <c r="Y34" s="15" t="n"/>
      <c r="Z34" s="18" t="n"/>
      <c r="AA34" s="19">
        <f>IF(M34="","",M34-30)</f>
        <v/>
      </c>
      <c r="AB34" s="19">
        <f>IF(ISNUMBER(AJ34),AJ34+3,"")</f>
        <v/>
      </c>
      <c r="AC34" s="18" t="n"/>
      <c r="AD34" s="18" t="n"/>
      <c r="AE34" s="18" t="n"/>
      <c r="AF34" s="18" t="n"/>
      <c r="AG34" s="18" t="n"/>
      <c r="AH34" s="18" t="n"/>
      <c r="AI34" s="18" t="n"/>
      <c r="AJ34" s="18" t="n"/>
      <c r="AK34" s="18" t="n"/>
      <c r="AL34" s="18" t="n"/>
      <c r="AM34" s="18" t="n"/>
      <c r="AN34" s="18" t="n"/>
      <c r="AO34" s="18" t="n"/>
      <c r="AP34" s="18" t="n"/>
      <c r="AQ34" s="18" t="n"/>
      <c r="AR34" s="18" t="n"/>
      <c r="AS34" s="18" t="n"/>
      <c r="AT34" s="18" t="n"/>
      <c r="AU34" s="18" t="n"/>
      <c r="AV34" s="18" t="n"/>
      <c r="AW34" s="18" t="n"/>
      <c r="AX34" s="18" t="n"/>
      <c r="AY34" s="18" t="n"/>
      <c r="AZ34" s="15" t="n"/>
    </row>
    <row r="35">
      <c r="A35" s="15" t="n"/>
      <c r="B35" s="15" t="n"/>
      <c r="C35" s="15" t="n"/>
      <c r="D35" s="15" t="n"/>
      <c r="E35" s="15" t="n"/>
      <c r="F35" s="15" t="n"/>
      <c r="G35" s="16">
        <f>IF(F35="","",IFERROR(INDEX(Stammdaten!$B$5:$B$24,MATCH(F35,Stammdaten!$A$5:$A$24,0)),"unbekannt"))</f>
        <v/>
      </c>
      <c r="H35" s="16">
        <f>IF($B35="","",IF(AY35&lt;&gt;"","abgeschlossen",IF(AND(ISNUMBER(AX35),AX35&gt;=TODAY()),"zurückgestellt",IF(OR(AND(ISNUMBER(AA35),AA35&lt;TODAY(),Z35="",AJ35=""),AND(ISNUMBER(Z35),Z35&lt;TODAY(),AJ35=""),AND(ISNUMBER(AB35),AB35&lt;TODAY(),AK35=""),AND(ISNUMBER(AC35),AC35&lt;TODAY(),AO35=""),AND(ISNUMBER(AD35),AD35&lt;TODAY(),AQ35="")),"überfällig","offen"))))</f>
        <v/>
      </c>
      <c r="I35" s="16">
        <f>IF($B35="","",IF(AY35&lt;&gt;"","—",IF(AND(ISNUMBER(AA35),AA35&lt;TODAY(),Z35="",AJ35=""),"Abnahmetermin vereinbaren – Sollfrist verstrichen",IF(AND(ISNUMBER(Z35),Z35&lt;TODAY(),AJ35=""),"Wohnungsabnahme nachtragen – Termin war fällig",IF(AND(ISNUMBER(AB35),AB35&lt;TODAY(),AK35=""),"Handwerker aufbieten – Frist verstrichen",IF(AND(ISNUMBER(AC35),AC35&lt;TODAY(),AO35=""),"Vertrag retour mahnen – Frist verstrichen",IF(AND(ISNUMBER(AD35),AD35&lt;TODAY(),AQ35=""),"Schlüsselübergabe nachtragen – Termin war fällig",IF(M35="","Haftungsdatum erfassen",IF(E35="","ex-Mieter erfassen",IF(AE35="","Kündigung bestätigen / G-Rem",IF(AF35="","Werke / EGT melden",IF(AG35="","Vorbesichtigung (oder n.e.)",IF(AH35="","VMZ aktualisieren",IF(AI35="","Inserat aufschalten",IF(AND(Z35="",AJ35=""),"Abnahmetermin vereinbaren",IF(AJ35="","Wohnungsabnahme durchführen",IF(AK35="","Handwerker aufbieten",IF(AL35="","Zustimmungserklärung einholen",IF(AM35="","Instandstellungen beauftragen",IF(R35="","Nachmieter erfassen",IF(AN35="","Vertrag versenden",IF(AO35="","Vertrag retour erfassen",IF(S35="","Vermietet per erfassen",IF(AP35="","Werke / EGT über Einzug informieren",IF(AND(AD35="",AQ35=""),"Schlüsselübergabe terminieren",IF(AQ35="","Schlüsselübergabe durchführen",IF(AR35="","Reinigung veranlassen",IF(AS35="","Namensschilder bestellen",IF(AT35="","Kaution prüfen / G-Rem mutieren",IF(AU35="","Instandstellungs-Rechnung erfassen",IF(AV35="","Schlussabrechnung erstellen",IF(AW35="","Zahlungseingang kontrollieren","Fall abschliessen"))))))))))))))))))))))))))))))))</f>
        <v/>
      </c>
      <c r="J35" s="17">
        <f>IF(M35="","",IF(S35&lt;&gt;"",MAX(0,S35-M35-1),MAX(0,TODAY()-M35)))</f>
        <v/>
      </c>
      <c r="K35" s="16">
        <f>IF($B35="","",TRIM(IF(AND(L35&lt;&gt;"",M35&lt;&gt;"",M35&lt;L35),"Haftungsdatum vor Kündigung. ","")&amp;IF(AND(S35&lt;&gt;"",M35&lt;&gt;"",S35&lt;M35),"Vermietung vor Leerstandsbeginn. ","")&amp;IF(AND(Z35&lt;&gt;"",L35&lt;&gt;"",Z35&lt;L35),"WA-Termin vor Kündigung. ","")&amp;IF(COUNTIFS($B$5:$B$404,$B35,$AY$5:$AY$404,"")&gt;1,"Zweiter offener Fall zum selben Objekt. ","")&amp;IF(AND($A35&lt;&gt;"",COUNTIFS($A$5:$A$404,$A35)&gt;1),"Fall-Nr. doppelt vergeben. ","")&amp;IF(E35="","ex-Mieter fehlt. ","")&amp;IF(M35="","Haftungsdatum fehlt. ","")&amp;IF(F35="","Bewirtschafter fehlt. ","")&amp;IF(AND(AY35&lt;&gt;"",AW35=""),"Abgeschlossen trotz offener Schlussabrechnung. ","")&amp;IF(AND(AY35="",S35="",ISNUMBER(J35),J35&gt;60),"Langläufer über 60 Tage. ","")))</f>
        <v/>
      </c>
      <c r="L35" s="18" t="n"/>
      <c r="M35" s="18" t="n"/>
      <c r="N35" s="19">
        <f>IF(M35="","",M35+1)</f>
        <v/>
      </c>
      <c r="O35" s="17">
        <f>IF(OR(L35="",M35=""),"",M35-L35)</f>
        <v/>
      </c>
      <c r="P35" s="16">
        <f>IF(M35="","",YEAR(M35+1)&amp;"-"&amp;TEXT(MONTH(M35+1),"00"))</f>
        <v/>
      </c>
      <c r="Q35" s="18" t="n"/>
      <c r="R35" s="15" t="n"/>
      <c r="S35" s="18" t="n"/>
      <c r="T35" s="16">
        <f>IF(U35="","",IF(LEFT(U35,1)="6","abgeschlossen",IF(OR(LEFT(U35,1)="1",LEFT(U35,1)="2"),"Kündigung &amp; Abnahme",IF(OR(LEFT(U35,1)="3",LEFT(U35,1)="4"),"Wiedervermietung","Schlussabrechnung"))))</f>
        <v/>
      </c>
      <c r="U35" s="16">
        <f>IF($B35="","",IF(AY35&lt;&gt;"","6 · abgeschlossen",IF(AW35&lt;&gt;"","5 · bereit zum Abschluss",IF(AT35&lt;&gt;"","5 · Schlussabrechnung",IF(AO35&lt;&gt;"","4 · Übergabe",IF(AM35&lt;&gt;"","3 · Neuvermietung",IF(M35&lt;&gt;"","2 · Abnahme &amp; Vermarktung","1 · Erfassung")))))))</f>
        <v/>
      </c>
      <c r="V35" s="15" t="n"/>
      <c r="W35" s="20" t="n"/>
      <c r="X35" s="15" t="n"/>
      <c r="Y35" s="15" t="n"/>
      <c r="Z35" s="18" t="n"/>
      <c r="AA35" s="19">
        <f>IF(M35="","",M35-30)</f>
        <v/>
      </c>
      <c r="AB35" s="19">
        <f>IF(ISNUMBER(AJ35),AJ35+3,"")</f>
        <v/>
      </c>
      <c r="AC35" s="18" t="n"/>
      <c r="AD35" s="18" t="n"/>
      <c r="AE35" s="18" t="n"/>
      <c r="AF35" s="18" t="n"/>
      <c r="AG35" s="18" t="n"/>
      <c r="AH35" s="18" t="n"/>
      <c r="AI35" s="18" t="n"/>
      <c r="AJ35" s="18" t="n"/>
      <c r="AK35" s="18" t="n"/>
      <c r="AL35" s="18" t="n"/>
      <c r="AM35" s="18" t="n"/>
      <c r="AN35" s="18" t="n"/>
      <c r="AO35" s="18" t="n"/>
      <c r="AP35" s="18" t="n"/>
      <c r="AQ35" s="18" t="n"/>
      <c r="AR35" s="18" t="n"/>
      <c r="AS35" s="18" t="n"/>
      <c r="AT35" s="18" t="n"/>
      <c r="AU35" s="18" t="n"/>
      <c r="AV35" s="18" t="n"/>
      <c r="AW35" s="18" t="n"/>
      <c r="AX35" s="18" t="n"/>
      <c r="AY35" s="18" t="n"/>
      <c r="AZ35" s="15" t="n"/>
    </row>
    <row r="36">
      <c r="A36" s="15" t="n"/>
      <c r="B36" s="15" t="n"/>
      <c r="C36" s="15" t="n"/>
      <c r="D36" s="15" t="n"/>
      <c r="E36" s="15" t="n"/>
      <c r="F36" s="15" t="n"/>
      <c r="G36" s="16">
        <f>IF(F36="","",IFERROR(INDEX(Stammdaten!$B$5:$B$24,MATCH(F36,Stammdaten!$A$5:$A$24,0)),"unbekannt"))</f>
        <v/>
      </c>
      <c r="H36" s="16">
        <f>IF($B36="","",IF(AY36&lt;&gt;"","abgeschlossen",IF(AND(ISNUMBER(AX36),AX36&gt;=TODAY()),"zurückgestellt",IF(OR(AND(ISNUMBER(AA36),AA36&lt;TODAY(),Z36="",AJ36=""),AND(ISNUMBER(Z36),Z36&lt;TODAY(),AJ36=""),AND(ISNUMBER(AB36),AB36&lt;TODAY(),AK36=""),AND(ISNUMBER(AC36),AC36&lt;TODAY(),AO36=""),AND(ISNUMBER(AD36),AD36&lt;TODAY(),AQ36="")),"überfällig","offen"))))</f>
        <v/>
      </c>
      <c r="I36" s="16">
        <f>IF($B36="","",IF(AY36&lt;&gt;"","—",IF(AND(ISNUMBER(AA36),AA36&lt;TODAY(),Z36="",AJ36=""),"Abnahmetermin vereinbaren – Sollfrist verstrichen",IF(AND(ISNUMBER(Z36),Z36&lt;TODAY(),AJ36=""),"Wohnungsabnahme nachtragen – Termin war fällig",IF(AND(ISNUMBER(AB36),AB36&lt;TODAY(),AK36=""),"Handwerker aufbieten – Frist verstrichen",IF(AND(ISNUMBER(AC36),AC36&lt;TODAY(),AO36=""),"Vertrag retour mahnen – Frist verstrichen",IF(AND(ISNUMBER(AD36),AD36&lt;TODAY(),AQ36=""),"Schlüsselübergabe nachtragen – Termin war fällig",IF(M36="","Haftungsdatum erfassen",IF(E36="","ex-Mieter erfassen",IF(AE36="","Kündigung bestätigen / G-Rem",IF(AF36="","Werke / EGT melden",IF(AG36="","Vorbesichtigung (oder n.e.)",IF(AH36="","VMZ aktualisieren",IF(AI36="","Inserat aufschalten",IF(AND(Z36="",AJ36=""),"Abnahmetermin vereinbaren",IF(AJ36="","Wohnungsabnahme durchführen",IF(AK36="","Handwerker aufbieten",IF(AL36="","Zustimmungserklärung einholen",IF(AM36="","Instandstellungen beauftragen",IF(R36="","Nachmieter erfassen",IF(AN36="","Vertrag versenden",IF(AO36="","Vertrag retour erfassen",IF(S36="","Vermietet per erfassen",IF(AP36="","Werke / EGT über Einzug informieren",IF(AND(AD36="",AQ36=""),"Schlüsselübergabe terminieren",IF(AQ36="","Schlüsselübergabe durchführen",IF(AR36="","Reinigung veranlassen",IF(AS36="","Namensschilder bestellen",IF(AT36="","Kaution prüfen / G-Rem mutieren",IF(AU36="","Instandstellungs-Rechnung erfassen",IF(AV36="","Schlussabrechnung erstellen",IF(AW36="","Zahlungseingang kontrollieren","Fall abschliessen"))))))))))))))))))))))))))))))))</f>
        <v/>
      </c>
      <c r="J36" s="17">
        <f>IF(M36="","",IF(S36&lt;&gt;"",MAX(0,S36-M36-1),MAX(0,TODAY()-M36)))</f>
        <v/>
      </c>
      <c r="K36" s="16">
        <f>IF($B36="","",TRIM(IF(AND(L36&lt;&gt;"",M36&lt;&gt;"",M36&lt;L36),"Haftungsdatum vor Kündigung. ","")&amp;IF(AND(S36&lt;&gt;"",M36&lt;&gt;"",S36&lt;M36),"Vermietung vor Leerstandsbeginn. ","")&amp;IF(AND(Z36&lt;&gt;"",L36&lt;&gt;"",Z36&lt;L36),"WA-Termin vor Kündigung. ","")&amp;IF(COUNTIFS($B$5:$B$404,$B36,$AY$5:$AY$404,"")&gt;1,"Zweiter offener Fall zum selben Objekt. ","")&amp;IF(AND($A36&lt;&gt;"",COUNTIFS($A$5:$A$404,$A36)&gt;1),"Fall-Nr. doppelt vergeben. ","")&amp;IF(E36="","ex-Mieter fehlt. ","")&amp;IF(M36="","Haftungsdatum fehlt. ","")&amp;IF(F36="","Bewirtschafter fehlt. ","")&amp;IF(AND(AY36&lt;&gt;"",AW36=""),"Abgeschlossen trotz offener Schlussabrechnung. ","")&amp;IF(AND(AY36="",S36="",ISNUMBER(J36),J36&gt;60),"Langläufer über 60 Tage. ","")))</f>
        <v/>
      </c>
      <c r="L36" s="18" t="n"/>
      <c r="M36" s="18" t="n"/>
      <c r="N36" s="19">
        <f>IF(M36="","",M36+1)</f>
        <v/>
      </c>
      <c r="O36" s="17">
        <f>IF(OR(L36="",M36=""),"",M36-L36)</f>
        <v/>
      </c>
      <c r="P36" s="16">
        <f>IF(M36="","",YEAR(M36+1)&amp;"-"&amp;TEXT(MONTH(M36+1),"00"))</f>
        <v/>
      </c>
      <c r="Q36" s="18" t="n"/>
      <c r="R36" s="15" t="n"/>
      <c r="S36" s="18" t="n"/>
      <c r="T36" s="16">
        <f>IF(U36="","",IF(LEFT(U36,1)="6","abgeschlossen",IF(OR(LEFT(U36,1)="1",LEFT(U36,1)="2"),"Kündigung &amp; Abnahme",IF(OR(LEFT(U36,1)="3",LEFT(U36,1)="4"),"Wiedervermietung","Schlussabrechnung"))))</f>
        <v/>
      </c>
      <c r="U36" s="16">
        <f>IF($B36="","",IF(AY36&lt;&gt;"","6 · abgeschlossen",IF(AW36&lt;&gt;"","5 · bereit zum Abschluss",IF(AT36&lt;&gt;"","5 · Schlussabrechnung",IF(AO36&lt;&gt;"","4 · Übergabe",IF(AM36&lt;&gt;"","3 · Neuvermietung",IF(M36&lt;&gt;"","2 · Abnahme &amp; Vermarktung","1 · Erfassung")))))))</f>
        <v/>
      </c>
      <c r="V36" s="15" t="n"/>
      <c r="W36" s="20" t="n"/>
      <c r="X36" s="15" t="n"/>
      <c r="Y36" s="15" t="n"/>
      <c r="Z36" s="18" t="n"/>
      <c r="AA36" s="19">
        <f>IF(M36="","",M36-30)</f>
        <v/>
      </c>
      <c r="AB36" s="19">
        <f>IF(ISNUMBER(AJ36),AJ36+3,"")</f>
        <v/>
      </c>
      <c r="AC36" s="18" t="n"/>
      <c r="AD36" s="18" t="n"/>
      <c r="AE36" s="18" t="n"/>
      <c r="AF36" s="18" t="n"/>
      <c r="AG36" s="18" t="n"/>
      <c r="AH36" s="18" t="n"/>
      <c r="AI36" s="18" t="n"/>
      <c r="AJ36" s="18" t="n"/>
      <c r="AK36" s="18" t="n"/>
      <c r="AL36" s="18" t="n"/>
      <c r="AM36" s="18" t="n"/>
      <c r="AN36" s="18" t="n"/>
      <c r="AO36" s="18" t="n"/>
      <c r="AP36" s="18" t="n"/>
      <c r="AQ36" s="18" t="n"/>
      <c r="AR36" s="18" t="n"/>
      <c r="AS36" s="18" t="n"/>
      <c r="AT36" s="18" t="n"/>
      <c r="AU36" s="18" t="n"/>
      <c r="AV36" s="18" t="n"/>
      <c r="AW36" s="18" t="n"/>
      <c r="AX36" s="18" t="n"/>
      <c r="AY36" s="18" t="n"/>
      <c r="AZ36" s="15" t="n"/>
    </row>
    <row r="37">
      <c r="A37" s="15" t="n"/>
      <c r="B37" s="15" t="n"/>
      <c r="C37" s="15" t="n"/>
      <c r="D37" s="15" t="n"/>
      <c r="E37" s="15" t="n"/>
      <c r="F37" s="15" t="n"/>
      <c r="G37" s="16">
        <f>IF(F37="","",IFERROR(INDEX(Stammdaten!$B$5:$B$24,MATCH(F37,Stammdaten!$A$5:$A$24,0)),"unbekannt"))</f>
        <v/>
      </c>
      <c r="H37" s="16">
        <f>IF($B37="","",IF(AY37&lt;&gt;"","abgeschlossen",IF(AND(ISNUMBER(AX37),AX37&gt;=TODAY()),"zurückgestellt",IF(OR(AND(ISNUMBER(AA37),AA37&lt;TODAY(),Z37="",AJ37=""),AND(ISNUMBER(Z37),Z37&lt;TODAY(),AJ37=""),AND(ISNUMBER(AB37),AB37&lt;TODAY(),AK37=""),AND(ISNUMBER(AC37),AC37&lt;TODAY(),AO37=""),AND(ISNUMBER(AD37),AD37&lt;TODAY(),AQ37="")),"überfällig","offen"))))</f>
        <v/>
      </c>
      <c r="I37" s="16">
        <f>IF($B37="","",IF(AY37&lt;&gt;"","—",IF(AND(ISNUMBER(AA37),AA37&lt;TODAY(),Z37="",AJ37=""),"Abnahmetermin vereinbaren – Sollfrist verstrichen",IF(AND(ISNUMBER(Z37),Z37&lt;TODAY(),AJ37=""),"Wohnungsabnahme nachtragen – Termin war fällig",IF(AND(ISNUMBER(AB37),AB37&lt;TODAY(),AK37=""),"Handwerker aufbieten – Frist verstrichen",IF(AND(ISNUMBER(AC37),AC37&lt;TODAY(),AO37=""),"Vertrag retour mahnen – Frist verstrichen",IF(AND(ISNUMBER(AD37),AD37&lt;TODAY(),AQ37=""),"Schlüsselübergabe nachtragen – Termin war fällig",IF(M37="","Haftungsdatum erfassen",IF(E37="","ex-Mieter erfassen",IF(AE37="","Kündigung bestätigen / G-Rem",IF(AF37="","Werke / EGT melden",IF(AG37="","Vorbesichtigung (oder n.e.)",IF(AH37="","VMZ aktualisieren",IF(AI37="","Inserat aufschalten",IF(AND(Z37="",AJ37=""),"Abnahmetermin vereinbaren",IF(AJ37="","Wohnungsabnahme durchführen",IF(AK37="","Handwerker aufbieten",IF(AL37="","Zustimmungserklärung einholen",IF(AM37="","Instandstellungen beauftragen",IF(R37="","Nachmieter erfassen",IF(AN37="","Vertrag versenden",IF(AO37="","Vertrag retour erfassen",IF(S37="","Vermietet per erfassen",IF(AP37="","Werke / EGT über Einzug informieren",IF(AND(AD37="",AQ37=""),"Schlüsselübergabe terminieren",IF(AQ37="","Schlüsselübergabe durchführen",IF(AR37="","Reinigung veranlassen",IF(AS37="","Namensschilder bestellen",IF(AT37="","Kaution prüfen / G-Rem mutieren",IF(AU37="","Instandstellungs-Rechnung erfassen",IF(AV37="","Schlussabrechnung erstellen",IF(AW37="","Zahlungseingang kontrollieren","Fall abschliessen"))))))))))))))))))))))))))))))))</f>
        <v/>
      </c>
      <c r="J37" s="17">
        <f>IF(M37="","",IF(S37&lt;&gt;"",MAX(0,S37-M37-1),MAX(0,TODAY()-M37)))</f>
        <v/>
      </c>
      <c r="K37" s="16">
        <f>IF($B37="","",TRIM(IF(AND(L37&lt;&gt;"",M37&lt;&gt;"",M37&lt;L37),"Haftungsdatum vor Kündigung. ","")&amp;IF(AND(S37&lt;&gt;"",M37&lt;&gt;"",S37&lt;M37),"Vermietung vor Leerstandsbeginn. ","")&amp;IF(AND(Z37&lt;&gt;"",L37&lt;&gt;"",Z37&lt;L37),"WA-Termin vor Kündigung. ","")&amp;IF(COUNTIFS($B$5:$B$404,$B37,$AY$5:$AY$404,"")&gt;1,"Zweiter offener Fall zum selben Objekt. ","")&amp;IF(AND($A37&lt;&gt;"",COUNTIFS($A$5:$A$404,$A37)&gt;1),"Fall-Nr. doppelt vergeben. ","")&amp;IF(E37="","ex-Mieter fehlt. ","")&amp;IF(M37="","Haftungsdatum fehlt. ","")&amp;IF(F37="","Bewirtschafter fehlt. ","")&amp;IF(AND(AY37&lt;&gt;"",AW37=""),"Abgeschlossen trotz offener Schlussabrechnung. ","")&amp;IF(AND(AY37="",S37="",ISNUMBER(J37),J37&gt;60),"Langläufer über 60 Tage. ","")))</f>
        <v/>
      </c>
      <c r="L37" s="18" t="n"/>
      <c r="M37" s="18" t="n"/>
      <c r="N37" s="19">
        <f>IF(M37="","",M37+1)</f>
        <v/>
      </c>
      <c r="O37" s="17">
        <f>IF(OR(L37="",M37=""),"",M37-L37)</f>
        <v/>
      </c>
      <c r="P37" s="16">
        <f>IF(M37="","",YEAR(M37+1)&amp;"-"&amp;TEXT(MONTH(M37+1),"00"))</f>
        <v/>
      </c>
      <c r="Q37" s="18" t="n"/>
      <c r="R37" s="15" t="n"/>
      <c r="S37" s="18" t="n"/>
      <c r="T37" s="16">
        <f>IF(U37="","",IF(LEFT(U37,1)="6","abgeschlossen",IF(OR(LEFT(U37,1)="1",LEFT(U37,1)="2"),"Kündigung &amp; Abnahme",IF(OR(LEFT(U37,1)="3",LEFT(U37,1)="4"),"Wiedervermietung","Schlussabrechnung"))))</f>
        <v/>
      </c>
      <c r="U37" s="16">
        <f>IF($B37="","",IF(AY37&lt;&gt;"","6 · abgeschlossen",IF(AW37&lt;&gt;"","5 · bereit zum Abschluss",IF(AT37&lt;&gt;"","5 · Schlussabrechnung",IF(AO37&lt;&gt;"","4 · Übergabe",IF(AM37&lt;&gt;"","3 · Neuvermietung",IF(M37&lt;&gt;"","2 · Abnahme &amp; Vermarktung","1 · Erfassung")))))))</f>
        <v/>
      </c>
      <c r="V37" s="15" t="n"/>
      <c r="W37" s="20" t="n"/>
      <c r="X37" s="15" t="n"/>
      <c r="Y37" s="15" t="n"/>
      <c r="Z37" s="18" t="n"/>
      <c r="AA37" s="19">
        <f>IF(M37="","",M37-30)</f>
        <v/>
      </c>
      <c r="AB37" s="19">
        <f>IF(ISNUMBER(AJ37),AJ37+3,"")</f>
        <v/>
      </c>
      <c r="AC37" s="18" t="n"/>
      <c r="AD37" s="18" t="n"/>
      <c r="AE37" s="18" t="n"/>
      <c r="AF37" s="18" t="n"/>
      <c r="AG37" s="18" t="n"/>
      <c r="AH37" s="18" t="n"/>
      <c r="AI37" s="18" t="n"/>
      <c r="AJ37" s="18" t="n"/>
      <c r="AK37" s="18" t="n"/>
      <c r="AL37" s="18" t="n"/>
      <c r="AM37" s="18" t="n"/>
      <c r="AN37" s="18" t="n"/>
      <c r="AO37" s="18" t="n"/>
      <c r="AP37" s="18" t="n"/>
      <c r="AQ37" s="18" t="n"/>
      <c r="AR37" s="18" t="n"/>
      <c r="AS37" s="18" t="n"/>
      <c r="AT37" s="18" t="n"/>
      <c r="AU37" s="18" t="n"/>
      <c r="AV37" s="18" t="n"/>
      <c r="AW37" s="18" t="n"/>
      <c r="AX37" s="18" t="n"/>
      <c r="AY37" s="18" t="n"/>
      <c r="AZ37" s="15" t="n"/>
    </row>
    <row r="38">
      <c r="A38" s="15" t="n"/>
      <c r="B38" s="15" t="n"/>
      <c r="C38" s="15" t="n"/>
      <c r="D38" s="15" t="n"/>
      <c r="E38" s="15" t="n"/>
      <c r="F38" s="15" t="n"/>
      <c r="G38" s="16">
        <f>IF(F38="","",IFERROR(INDEX(Stammdaten!$B$5:$B$24,MATCH(F38,Stammdaten!$A$5:$A$24,0)),"unbekannt"))</f>
        <v/>
      </c>
      <c r="H38" s="16">
        <f>IF($B38="","",IF(AY38&lt;&gt;"","abgeschlossen",IF(AND(ISNUMBER(AX38),AX38&gt;=TODAY()),"zurückgestellt",IF(OR(AND(ISNUMBER(AA38),AA38&lt;TODAY(),Z38="",AJ38=""),AND(ISNUMBER(Z38),Z38&lt;TODAY(),AJ38=""),AND(ISNUMBER(AB38),AB38&lt;TODAY(),AK38=""),AND(ISNUMBER(AC38),AC38&lt;TODAY(),AO38=""),AND(ISNUMBER(AD38),AD38&lt;TODAY(),AQ38="")),"überfällig","offen"))))</f>
        <v/>
      </c>
      <c r="I38" s="16">
        <f>IF($B38="","",IF(AY38&lt;&gt;"","—",IF(AND(ISNUMBER(AA38),AA38&lt;TODAY(),Z38="",AJ38=""),"Abnahmetermin vereinbaren – Sollfrist verstrichen",IF(AND(ISNUMBER(Z38),Z38&lt;TODAY(),AJ38=""),"Wohnungsabnahme nachtragen – Termin war fällig",IF(AND(ISNUMBER(AB38),AB38&lt;TODAY(),AK38=""),"Handwerker aufbieten – Frist verstrichen",IF(AND(ISNUMBER(AC38),AC38&lt;TODAY(),AO38=""),"Vertrag retour mahnen – Frist verstrichen",IF(AND(ISNUMBER(AD38),AD38&lt;TODAY(),AQ38=""),"Schlüsselübergabe nachtragen – Termin war fällig",IF(M38="","Haftungsdatum erfassen",IF(E38="","ex-Mieter erfassen",IF(AE38="","Kündigung bestätigen / G-Rem",IF(AF38="","Werke / EGT melden",IF(AG38="","Vorbesichtigung (oder n.e.)",IF(AH38="","VMZ aktualisieren",IF(AI38="","Inserat aufschalten",IF(AND(Z38="",AJ38=""),"Abnahmetermin vereinbaren",IF(AJ38="","Wohnungsabnahme durchführen",IF(AK38="","Handwerker aufbieten",IF(AL38="","Zustimmungserklärung einholen",IF(AM38="","Instandstellungen beauftragen",IF(R38="","Nachmieter erfassen",IF(AN38="","Vertrag versenden",IF(AO38="","Vertrag retour erfassen",IF(S38="","Vermietet per erfassen",IF(AP38="","Werke / EGT über Einzug informieren",IF(AND(AD38="",AQ38=""),"Schlüsselübergabe terminieren",IF(AQ38="","Schlüsselübergabe durchführen",IF(AR38="","Reinigung veranlassen",IF(AS38="","Namensschilder bestellen",IF(AT38="","Kaution prüfen / G-Rem mutieren",IF(AU38="","Instandstellungs-Rechnung erfassen",IF(AV38="","Schlussabrechnung erstellen",IF(AW38="","Zahlungseingang kontrollieren","Fall abschliessen"))))))))))))))))))))))))))))))))</f>
        <v/>
      </c>
      <c r="J38" s="17">
        <f>IF(M38="","",IF(S38&lt;&gt;"",MAX(0,S38-M38-1),MAX(0,TODAY()-M38)))</f>
        <v/>
      </c>
      <c r="K38" s="16">
        <f>IF($B38="","",TRIM(IF(AND(L38&lt;&gt;"",M38&lt;&gt;"",M38&lt;L38),"Haftungsdatum vor Kündigung. ","")&amp;IF(AND(S38&lt;&gt;"",M38&lt;&gt;"",S38&lt;M38),"Vermietung vor Leerstandsbeginn. ","")&amp;IF(AND(Z38&lt;&gt;"",L38&lt;&gt;"",Z38&lt;L38),"WA-Termin vor Kündigung. ","")&amp;IF(COUNTIFS($B$5:$B$404,$B38,$AY$5:$AY$404,"")&gt;1,"Zweiter offener Fall zum selben Objekt. ","")&amp;IF(AND($A38&lt;&gt;"",COUNTIFS($A$5:$A$404,$A38)&gt;1),"Fall-Nr. doppelt vergeben. ","")&amp;IF(E38="","ex-Mieter fehlt. ","")&amp;IF(M38="","Haftungsdatum fehlt. ","")&amp;IF(F38="","Bewirtschafter fehlt. ","")&amp;IF(AND(AY38&lt;&gt;"",AW38=""),"Abgeschlossen trotz offener Schlussabrechnung. ","")&amp;IF(AND(AY38="",S38="",ISNUMBER(J38),J38&gt;60),"Langläufer über 60 Tage. ","")))</f>
        <v/>
      </c>
      <c r="L38" s="18" t="n"/>
      <c r="M38" s="18" t="n"/>
      <c r="N38" s="19">
        <f>IF(M38="","",M38+1)</f>
        <v/>
      </c>
      <c r="O38" s="17">
        <f>IF(OR(L38="",M38=""),"",M38-L38)</f>
        <v/>
      </c>
      <c r="P38" s="16">
        <f>IF(M38="","",YEAR(M38+1)&amp;"-"&amp;TEXT(MONTH(M38+1),"00"))</f>
        <v/>
      </c>
      <c r="Q38" s="18" t="n"/>
      <c r="R38" s="15" t="n"/>
      <c r="S38" s="18" t="n"/>
      <c r="T38" s="16">
        <f>IF(U38="","",IF(LEFT(U38,1)="6","abgeschlossen",IF(OR(LEFT(U38,1)="1",LEFT(U38,1)="2"),"Kündigung &amp; Abnahme",IF(OR(LEFT(U38,1)="3",LEFT(U38,1)="4"),"Wiedervermietung","Schlussabrechnung"))))</f>
        <v/>
      </c>
      <c r="U38" s="16">
        <f>IF($B38="","",IF(AY38&lt;&gt;"","6 · abgeschlossen",IF(AW38&lt;&gt;"","5 · bereit zum Abschluss",IF(AT38&lt;&gt;"","5 · Schlussabrechnung",IF(AO38&lt;&gt;"","4 · Übergabe",IF(AM38&lt;&gt;"","3 · Neuvermietung",IF(M38&lt;&gt;"","2 · Abnahme &amp; Vermarktung","1 · Erfassung")))))))</f>
        <v/>
      </c>
      <c r="V38" s="15" t="n"/>
      <c r="W38" s="20" t="n"/>
      <c r="X38" s="15" t="n"/>
      <c r="Y38" s="15" t="n"/>
      <c r="Z38" s="18" t="n"/>
      <c r="AA38" s="19">
        <f>IF(M38="","",M38-30)</f>
        <v/>
      </c>
      <c r="AB38" s="19">
        <f>IF(ISNUMBER(AJ38),AJ38+3,"")</f>
        <v/>
      </c>
      <c r="AC38" s="18" t="n"/>
      <c r="AD38" s="18" t="n"/>
      <c r="AE38" s="18" t="n"/>
      <c r="AF38" s="18" t="n"/>
      <c r="AG38" s="18" t="n"/>
      <c r="AH38" s="18" t="n"/>
      <c r="AI38" s="18" t="n"/>
      <c r="AJ38" s="18" t="n"/>
      <c r="AK38" s="18" t="n"/>
      <c r="AL38" s="18" t="n"/>
      <c r="AM38" s="18" t="n"/>
      <c r="AN38" s="18" t="n"/>
      <c r="AO38" s="18" t="n"/>
      <c r="AP38" s="18" t="n"/>
      <c r="AQ38" s="18" t="n"/>
      <c r="AR38" s="18" t="n"/>
      <c r="AS38" s="18" t="n"/>
      <c r="AT38" s="18" t="n"/>
      <c r="AU38" s="18" t="n"/>
      <c r="AV38" s="18" t="n"/>
      <c r="AW38" s="18" t="n"/>
      <c r="AX38" s="18" t="n"/>
      <c r="AY38" s="18" t="n"/>
      <c r="AZ38" s="15" t="n"/>
    </row>
    <row r="39">
      <c r="A39" s="15" t="n"/>
      <c r="B39" s="15" t="n"/>
      <c r="C39" s="15" t="n"/>
      <c r="D39" s="15" t="n"/>
      <c r="E39" s="15" t="n"/>
      <c r="F39" s="15" t="n"/>
      <c r="G39" s="16">
        <f>IF(F39="","",IFERROR(INDEX(Stammdaten!$B$5:$B$24,MATCH(F39,Stammdaten!$A$5:$A$24,0)),"unbekannt"))</f>
        <v/>
      </c>
      <c r="H39" s="16">
        <f>IF($B39="","",IF(AY39&lt;&gt;"","abgeschlossen",IF(AND(ISNUMBER(AX39),AX39&gt;=TODAY()),"zurückgestellt",IF(OR(AND(ISNUMBER(AA39),AA39&lt;TODAY(),Z39="",AJ39=""),AND(ISNUMBER(Z39),Z39&lt;TODAY(),AJ39=""),AND(ISNUMBER(AB39),AB39&lt;TODAY(),AK39=""),AND(ISNUMBER(AC39),AC39&lt;TODAY(),AO39=""),AND(ISNUMBER(AD39),AD39&lt;TODAY(),AQ39="")),"überfällig","offen"))))</f>
        <v/>
      </c>
      <c r="I39" s="16">
        <f>IF($B39="","",IF(AY39&lt;&gt;"","—",IF(AND(ISNUMBER(AA39),AA39&lt;TODAY(),Z39="",AJ39=""),"Abnahmetermin vereinbaren – Sollfrist verstrichen",IF(AND(ISNUMBER(Z39),Z39&lt;TODAY(),AJ39=""),"Wohnungsabnahme nachtragen – Termin war fällig",IF(AND(ISNUMBER(AB39),AB39&lt;TODAY(),AK39=""),"Handwerker aufbieten – Frist verstrichen",IF(AND(ISNUMBER(AC39),AC39&lt;TODAY(),AO39=""),"Vertrag retour mahnen – Frist verstrichen",IF(AND(ISNUMBER(AD39),AD39&lt;TODAY(),AQ39=""),"Schlüsselübergabe nachtragen – Termin war fällig",IF(M39="","Haftungsdatum erfassen",IF(E39="","ex-Mieter erfassen",IF(AE39="","Kündigung bestätigen / G-Rem",IF(AF39="","Werke / EGT melden",IF(AG39="","Vorbesichtigung (oder n.e.)",IF(AH39="","VMZ aktualisieren",IF(AI39="","Inserat aufschalten",IF(AND(Z39="",AJ39=""),"Abnahmetermin vereinbaren",IF(AJ39="","Wohnungsabnahme durchführen",IF(AK39="","Handwerker aufbieten",IF(AL39="","Zustimmungserklärung einholen",IF(AM39="","Instandstellungen beauftragen",IF(R39="","Nachmieter erfassen",IF(AN39="","Vertrag versenden",IF(AO39="","Vertrag retour erfassen",IF(S39="","Vermietet per erfassen",IF(AP39="","Werke / EGT über Einzug informieren",IF(AND(AD39="",AQ39=""),"Schlüsselübergabe terminieren",IF(AQ39="","Schlüsselübergabe durchführen",IF(AR39="","Reinigung veranlassen",IF(AS39="","Namensschilder bestellen",IF(AT39="","Kaution prüfen / G-Rem mutieren",IF(AU39="","Instandstellungs-Rechnung erfassen",IF(AV39="","Schlussabrechnung erstellen",IF(AW39="","Zahlungseingang kontrollieren","Fall abschliessen"))))))))))))))))))))))))))))))))</f>
        <v/>
      </c>
      <c r="J39" s="17">
        <f>IF(M39="","",IF(S39&lt;&gt;"",MAX(0,S39-M39-1),MAX(0,TODAY()-M39)))</f>
        <v/>
      </c>
      <c r="K39" s="16">
        <f>IF($B39="","",TRIM(IF(AND(L39&lt;&gt;"",M39&lt;&gt;"",M39&lt;L39),"Haftungsdatum vor Kündigung. ","")&amp;IF(AND(S39&lt;&gt;"",M39&lt;&gt;"",S39&lt;M39),"Vermietung vor Leerstandsbeginn. ","")&amp;IF(AND(Z39&lt;&gt;"",L39&lt;&gt;"",Z39&lt;L39),"WA-Termin vor Kündigung. ","")&amp;IF(COUNTIFS($B$5:$B$404,$B39,$AY$5:$AY$404,"")&gt;1,"Zweiter offener Fall zum selben Objekt. ","")&amp;IF(AND($A39&lt;&gt;"",COUNTIFS($A$5:$A$404,$A39)&gt;1),"Fall-Nr. doppelt vergeben. ","")&amp;IF(E39="","ex-Mieter fehlt. ","")&amp;IF(M39="","Haftungsdatum fehlt. ","")&amp;IF(F39="","Bewirtschafter fehlt. ","")&amp;IF(AND(AY39&lt;&gt;"",AW39=""),"Abgeschlossen trotz offener Schlussabrechnung. ","")&amp;IF(AND(AY39="",S39="",ISNUMBER(J39),J39&gt;60),"Langläufer über 60 Tage. ","")))</f>
        <v/>
      </c>
      <c r="L39" s="18" t="n"/>
      <c r="M39" s="18" t="n"/>
      <c r="N39" s="19">
        <f>IF(M39="","",M39+1)</f>
        <v/>
      </c>
      <c r="O39" s="17">
        <f>IF(OR(L39="",M39=""),"",M39-L39)</f>
        <v/>
      </c>
      <c r="P39" s="16">
        <f>IF(M39="","",YEAR(M39+1)&amp;"-"&amp;TEXT(MONTH(M39+1),"00"))</f>
        <v/>
      </c>
      <c r="Q39" s="18" t="n"/>
      <c r="R39" s="15" t="n"/>
      <c r="S39" s="18" t="n"/>
      <c r="T39" s="16">
        <f>IF(U39="","",IF(LEFT(U39,1)="6","abgeschlossen",IF(OR(LEFT(U39,1)="1",LEFT(U39,1)="2"),"Kündigung &amp; Abnahme",IF(OR(LEFT(U39,1)="3",LEFT(U39,1)="4"),"Wiedervermietung","Schlussabrechnung"))))</f>
        <v/>
      </c>
      <c r="U39" s="16">
        <f>IF($B39="","",IF(AY39&lt;&gt;"","6 · abgeschlossen",IF(AW39&lt;&gt;"","5 · bereit zum Abschluss",IF(AT39&lt;&gt;"","5 · Schlussabrechnung",IF(AO39&lt;&gt;"","4 · Übergabe",IF(AM39&lt;&gt;"","3 · Neuvermietung",IF(M39&lt;&gt;"","2 · Abnahme &amp; Vermarktung","1 · Erfassung")))))))</f>
        <v/>
      </c>
      <c r="V39" s="15" t="n"/>
      <c r="W39" s="20" t="n"/>
      <c r="X39" s="15" t="n"/>
      <c r="Y39" s="15" t="n"/>
      <c r="Z39" s="18" t="n"/>
      <c r="AA39" s="19">
        <f>IF(M39="","",M39-30)</f>
        <v/>
      </c>
      <c r="AB39" s="19">
        <f>IF(ISNUMBER(AJ39),AJ39+3,"")</f>
        <v/>
      </c>
      <c r="AC39" s="18" t="n"/>
      <c r="AD39" s="18" t="n"/>
      <c r="AE39" s="18" t="n"/>
      <c r="AF39" s="18" t="n"/>
      <c r="AG39" s="18" t="n"/>
      <c r="AH39" s="18" t="n"/>
      <c r="AI39" s="18" t="n"/>
      <c r="AJ39" s="18" t="n"/>
      <c r="AK39" s="18" t="n"/>
      <c r="AL39" s="18" t="n"/>
      <c r="AM39" s="18" t="n"/>
      <c r="AN39" s="18" t="n"/>
      <c r="AO39" s="18" t="n"/>
      <c r="AP39" s="18" t="n"/>
      <c r="AQ39" s="18" t="n"/>
      <c r="AR39" s="18" t="n"/>
      <c r="AS39" s="18" t="n"/>
      <c r="AT39" s="18" t="n"/>
      <c r="AU39" s="18" t="n"/>
      <c r="AV39" s="18" t="n"/>
      <c r="AW39" s="18" t="n"/>
      <c r="AX39" s="18" t="n"/>
      <c r="AY39" s="18" t="n"/>
      <c r="AZ39" s="15" t="n"/>
    </row>
    <row r="40">
      <c r="A40" s="15" t="n"/>
      <c r="B40" s="15" t="n"/>
      <c r="C40" s="15" t="n"/>
      <c r="D40" s="15" t="n"/>
      <c r="E40" s="15" t="n"/>
      <c r="F40" s="15" t="n"/>
      <c r="G40" s="16">
        <f>IF(F40="","",IFERROR(INDEX(Stammdaten!$B$5:$B$24,MATCH(F40,Stammdaten!$A$5:$A$24,0)),"unbekannt"))</f>
        <v/>
      </c>
      <c r="H40" s="16">
        <f>IF($B40="","",IF(AY40&lt;&gt;"","abgeschlossen",IF(AND(ISNUMBER(AX40),AX40&gt;=TODAY()),"zurückgestellt",IF(OR(AND(ISNUMBER(AA40),AA40&lt;TODAY(),Z40="",AJ40=""),AND(ISNUMBER(Z40),Z40&lt;TODAY(),AJ40=""),AND(ISNUMBER(AB40),AB40&lt;TODAY(),AK40=""),AND(ISNUMBER(AC40),AC40&lt;TODAY(),AO40=""),AND(ISNUMBER(AD40),AD40&lt;TODAY(),AQ40="")),"überfällig","offen"))))</f>
        <v/>
      </c>
      <c r="I40" s="16">
        <f>IF($B40="","",IF(AY40&lt;&gt;"","—",IF(AND(ISNUMBER(AA40),AA40&lt;TODAY(),Z40="",AJ40=""),"Abnahmetermin vereinbaren – Sollfrist verstrichen",IF(AND(ISNUMBER(Z40),Z40&lt;TODAY(),AJ40=""),"Wohnungsabnahme nachtragen – Termin war fällig",IF(AND(ISNUMBER(AB40),AB40&lt;TODAY(),AK40=""),"Handwerker aufbieten – Frist verstrichen",IF(AND(ISNUMBER(AC40),AC40&lt;TODAY(),AO40=""),"Vertrag retour mahnen – Frist verstrichen",IF(AND(ISNUMBER(AD40),AD40&lt;TODAY(),AQ40=""),"Schlüsselübergabe nachtragen – Termin war fällig",IF(M40="","Haftungsdatum erfassen",IF(E40="","ex-Mieter erfassen",IF(AE40="","Kündigung bestätigen / G-Rem",IF(AF40="","Werke / EGT melden",IF(AG40="","Vorbesichtigung (oder n.e.)",IF(AH40="","VMZ aktualisieren",IF(AI40="","Inserat aufschalten",IF(AND(Z40="",AJ40=""),"Abnahmetermin vereinbaren",IF(AJ40="","Wohnungsabnahme durchführen",IF(AK40="","Handwerker aufbieten",IF(AL40="","Zustimmungserklärung einholen",IF(AM40="","Instandstellungen beauftragen",IF(R40="","Nachmieter erfassen",IF(AN40="","Vertrag versenden",IF(AO40="","Vertrag retour erfassen",IF(S40="","Vermietet per erfassen",IF(AP40="","Werke / EGT über Einzug informieren",IF(AND(AD40="",AQ40=""),"Schlüsselübergabe terminieren",IF(AQ40="","Schlüsselübergabe durchführen",IF(AR40="","Reinigung veranlassen",IF(AS40="","Namensschilder bestellen",IF(AT40="","Kaution prüfen / G-Rem mutieren",IF(AU40="","Instandstellungs-Rechnung erfassen",IF(AV40="","Schlussabrechnung erstellen",IF(AW40="","Zahlungseingang kontrollieren","Fall abschliessen"))))))))))))))))))))))))))))))))</f>
        <v/>
      </c>
      <c r="J40" s="17">
        <f>IF(M40="","",IF(S40&lt;&gt;"",MAX(0,S40-M40-1),MAX(0,TODAY()-M40)))</f>
        <v/>
      </c>
      <c r="K40" s="16">
        <f>IF($B40="","",TRIM(IF(AND(L40&lt;&gt;"",M40&lt;&gt;"",M40&lt;L40),"Haftungsdatum vor Kündigung. ","")&amp;IF(AND(S40&lt;&gt;"",M40&lt;&gt;"",S40&lt;M40),"Vermietung vor Leerstandsbeginn. ","")&amp;IF(AND(Z40&lt;&gt;"",L40&lt;&gt;"",Z40&lt;L40),"WA-Termin vor Kündigung. ","")&amp;IF(COUNTIFS($B$5:$B$404,$B40,$AY$5:$AY$404,"")&gt;1,"Zweiter offener Fall zum selben Objekt. ","")&amp;IF(AND($A40&lt;&gt;"",COUNTIFS($A$5:$A$404,$A40)&gt;1),"Fall-Nr. doppelt vergeben. ","")&amp;IF(E40="","ex-Mieter fehlt. ","")&amp;IF(M40="","Haftungsdatum fehlt. ","")&amp;IF(F40="","Bewirtschafter fehlt. ","")&amp;IF(AND(AY40&lt;&gt;"",AW40=""),"Abgeschlossen trotz offener Schlussabrechnung. ","")&amp;IF(AND(AY40="",S40="",ISNUMBER(J40),J40&gt;60),"Langläufer über 60 Tage. ","")))</f>
        <v/>
      </c>
      <c r="L40" s="18" t="n"/>
      <c r="M40" s="18" t="n"/>
      <c r="N40" s="19">
        <f>IF(M40="","",M40+1)</f>
        <v/>
      </c>
      <c r="O40" s="17">
        <f>IF(OR(L40="",M40=""),"",M40-L40)</f>
        <v/>
      </c>
      <c r="P40" s="16">
        <f>IF(M40="","",YEAR(M40+1)&amp;"-"&amp;TEXT(MONTH(M40+1),"00"))</f>
        <v/>
      </c>
      <c r="Q40" s="18" t="n"/>
      <c r="R40" s="15" t="n"/>
      <c r="S40" s="18" t="n"/>
      <c r="T40" s="16">
        <f>IF(U40="","",IF(LEFT(U40,1)="6","abgeschlossen",IF(OR(LEFT(U40,1)="1",LEFT(U40,1)="2"),"Kündigung &amp; Abnahme",IF(OR(LEFT(U40,1)="3",LEFT(U40,1)="4"),"Wiedervermietung","Schlussabrechnung"))))</f>
        <v/>
      </c>
      <c r="U40" s="16">
        <f>IF($B40="","",IF(AY40&lt;&gt;"","6 · abgeschlossen",IF(AW40&lt;&gt;"","5 · bereit zum Abschluss",IF(AT40&lt;&gt;"","5 · Schlussabrechnung",IF(AO40&lt;&gt;"","4 · Übergabe",IF(AM40&lt;&gt;"","3 · Neuvermietung",IF(M40&lt;&gt;"","2 · Abnahme &amp; Vermarktung","1 · Erfassung")))))))</f>
        <v/>
      </c>
      <c r="V40" s="15" t="n"/>
      <c r="W40" s="20" t="n"/>
      <c r="X40" s="15" t="n"/>
      <c r="Y40" s="15" t="n"/>
      <c r="Z40" s="18" t="n"/>
      <c r="AA40" s="19">
        <f>IF(M40="","",M40-30)</f>
        <v/>
      </c>
      <c r="AB40" s="19">
        <f>IF(ISNUMBER(AJ40),AJ40+3,"")</f>
        <v/>
      </c>
      <c r="AC40" s="18" t="n"/>
      <c r="AD40" s="18" t="n"/>
      <c r="AE40" s="18" t="n"/>
      <c r="AF40" s="18" t="n"/>
      <c r="AG40" s="18" t="n"/>
      <c r="AH40" s="18" t="n"/>
      <c r="AI40" s="18" t="n"/>
      <c r="AJ40" s="18" t="n"/>
      <c r="AK40" s="18" t="n"/>
      <c r="AL40" s="18" t="n"/>
      <c r="AM40" s="18" t="n"/>
      <c r="AN40" s="18" t="n"/>
      <c r="AO40" s="18" t="n"/>
      <c r="AP40" s="18" t="n"/>
      <c r="AQ40" s="18" t="n"/>
      <c r="AR40" s="18" t="n"/>
      <c r="AS40" s="18" t="n"/>
      <c r="AT40" s="18" t="n"/>
      <c r="AU40" s="18" t="n"/>
      <c r="AV40" s="18" t="n"/>
      <c r="AW40" s="18" t="n"/>
      <c r="AX40" s="18" t="n"/>
      <c r="AY40" s="18" t="n"/>
      <c r="AZ40" s="15" t="n"/>
    </row>
    <row r="41">
      <c r="A41" s="15" t="n"/>
      <c r="B41" s="15" t="n"/>
      <c r="C41" s="15" t="n"/>
      <c r="D41" s="15" t="n"/>
      <c r="E41" s="15" t="n"/>
      <c r="F41" s="15" t="n"/>
      <c r="G41" s="16">
        <f>IF(F41="","",IFERROR(INDEX(Stammdaten!$B$5:$B$24,MATCH(F41,Stammdaten!$A$5:$A$24,0)),"unbekannt"))</f>
        <v/>
      </c>
      <c r="H41" s="16">
        <f>IF($B41="","",IF(AY41&lt;&gt;"","abgeschlossen",IF(AND(ISNUMBER(AX41),AX41&gt;=TODAY()),"zurückgestellt",IF(OR(AND(ISNUMBER(AA41),AA41&lt;TODAY(),Z41="",AJ41=""),AND(ISNUMBER(Z41),Z41&lt;TODAY(),AJ41=""),AND(ISNUMBER(AB41),AB41&lt;TODAY(),AK41=""),AND(ISNUMBER(AC41),AC41&lt;TODAY(),AO41=""),AND(ISNUMBER(AD41),AD41&lt;TODAY(),AQ41="")),"überfällig","offen"))))</f>
        <v/>
      </c>
      <c r="I41" s="16">
        <f>IF($B41="","",IF(AY41&lt;&gt;"","—",IF(AND(ISNUMBER(AA41),AA41&lt;TODAY(),Z41="",AJ41=""),"Abnahmetermin vereinbaren – Sollfrist verstrichen",IF(AND(ISNUMBER(Z41),Z41&lt;TODAY(),AJ41=""),"Wohnungsabnahme nachtragen – Termin war fällig",IF(AND(ISNUMBER(AB41),AB41&lt;TODAY(),AK41=""),"Handwerker aufbieten – Frist verstrichen",IF(AND(ISNUMBER(AC41),AC41&lt;TODAY(),AO41=""),"Vertrag retour mahnen – Frist verstrichen",IF(AND(ISNUMBER(AD41),AD41&lt;TODAY(),AQ41=""),"Schlüsselübergabe nachtragen – Termin war fällig",IF(M41="","Haftungsdatum erfassen",IF(E41="","ex-Mieter erfassen",IF(AE41="","Kündigung bestätigen / G-Rem",IF(AF41="","Werke / EGT melden",IF(AG41="","Vorbesichtigung (oder n.e.)",IF(AH41="","VMZ aktualisieren",IF(AI41="","Inserat aufschalten",IF(AND(Z41="",AJ41=""),"Abnahmetermin vereinbaren",IF(AJ41="","Wohnungsabnahme durchführen",IF(AK41="","Handwerker aufbieten",IF(AL41="","Zustimmungserklärung einholen",IF(AM41="","Instandstellungen beauftragen",IF(R41="","Nachmieter erfassen",IF(AN41="","Vertrag versenden",IF(AO41="","Vertrag retour erfassen",IF(S41="","Vermietet per erfassen",IF(AP41="","Werke / EGT über Einzug informieren",IF(AND(AD41="",AQ41=""),"Schlüsselübergabe terminieren",IF(AQ41="","Schlüsselübergabe durchführen",IF(AR41="","Reinigung veranlassen",IF(AS41="","Namensschilder bestellen",IF(AT41="","Kaution prüfen / G-Rem mutieren",IF(AU41="","Instandstellungs-Rechnung erfassen",IF(AV41="","Schlussabrechnung erstellen",IF(AW41="","Zahlungseingang kontrollieren","Fall abschliessen"))))))))))))))))))))))))))))))))</f>
        <v/>
      </c>
      <c r="J41" s="17">
        <f>IF(M41="","",IF(S41&lt;&gt;"",MAX(0,S41-M41-1),MAX(0,TODAY()-M41)))</f>
        <v/>
      </c>
      <c r="K41" s="16">
        <f>IF($B41="","",TRIM(IF(AND(L41&lt;&gt;"",M41&lt;&gt;"",M41&lt;L41),"Haftungsdatum vor Kündigung. ","")&amp;IF(AND(S41&lt;&gt;"",M41&lt;&gt;"",S41&lt;M41),"Vermietung vor Leerstandsbeginn. ","")&amp;IF(AND(Z41&lt;&gt;"",L41&lt;&gt;"",Z41&lt;L41),"WA-Termin vor Kündigung. ","")&amp;IF(COUNTIFS($B$5:$B$404,$B41,$AY$5:$AY$404,"")&gt;1,"Zweiter offener Fall zum selben Objekt. ","")&amp;IF(AND($A41&lt;&gt;"",COUNTIFS($A$5:$A$404,$A41)&gt;1),"Fall-Nr. doppelt vergeben. ","")&amp;IF(E41="","ex-Mieter fehlt. ","")&amp;IF(M41="","Haftungsdatum fehlt. ","")&amp;IF(F41="","Bewirtschafter fehlt. ","")&amp;IF(AND(AY41&lt;&gt;"",AW41=""),"Abgeschlossen trotz offener Schlussabrechnung. ","")&amp;IF(AND(AY41="",S41="",ISNUMBER(J41),J41&gt;60),"Langläufer über 60 Tage. ","")))</f>
        <v/>
      </c>
      <c r="L41" s="18" t="n"/>
      <c r="M41" s="18" t="n"/>
      <c r="N41" s="19">
        <f>IF(M41="","",M41+1)</f>
        <v/>
      </c>
      <c r="O41" s="17">
        <f>IF(OR(L41="",M41=""),"",M41-L41)</f>
        <v/>
      </c>
      <c r="P41" s="16">
        <f>IF(M41="","",YEAR(M41+1)&amp;"-"&amp;TEXT(MONTH(M41+1),"00"))</f>
        <v/>
      </c>
      <c r="Q41" s="18" t="n"/>
      <c r="R41" s="15" t="n"/>
      <c r="S41" s="18" t="n"/>
      <c r="T41" s="16">
        <f>IF(U41="","",IF(LEFT(U41,1)="6","abgeschlossen",IF(OR(LEFT(U41,1)="1",LEFT(U41,1)="2"),"Kündigung &amp; Abnahme",IF(OR(LEFT(U41,1)="3",LEFT(U41,1)="4"),"Wiedervermietung","Schlussabrechnung"))))</f>
        <v/>
      </c>
      <c r="U41" s="16">
        <f>IF($B41="","",IF(AY41&lt;&gt;"","6 · abgeschlossen",IF(AW41&lt;&gt;"","5 · bereit zum Abschluss",IF(AT41&lt;&gt;"","5 · Schlussabrechnung",IF(AO41&lt;&gt;"","4 · Übergabe",IF(AM41&lt;&gt;"","3 · Neuvermietung",IF(M41&lt;&gt;"","2 · Abnahme &amp; Vermarktung","1 · Erfassung")))))))</f>
        <v/>
      </c>
      <c r="V41" s="15" t="n"/>
      <c r="W41" s="20" t="n"/>
      <c r="X41" s="15" t="n"/>
      <c r="Y41" s="15" t="n"/>
      <c r="Z41" s="18" t="n"/>
      <c r="AA41" s="19">
        <f>IF(M41="","",M41-30)</f>
        <v/>
      </c>
      <c r="AB41" s="19">
        <f>IF(ISNUMBER(AJ41),AJ41+3,"")</f>
        <v/>
      </c>
      <c r="AC41" s="18" t="n"/>
      <c r="AD41" s="18" t="n"/>
      <c r="AE41" s="18" t="n"/>
      <c r="AF41" s="18" t="n"/>
      <c r="AG41" s="18" t="n"/>
      <c r="AH41" s="18" t="n"/>
      <c r="AI41" s="18" t="n"/>
      <c r="AJ41" s="18" t="n"/>
      <c r="AK41" s="18" t="n"/>
      <c r="AL41" s="18" t="n"/>
      <c r="AM41" s="18" t="n"/>
      <c r="AN41" s="18" t="n"/>
      <c r="AO41" s="18" t="n"/>
      <c r="AP41" s="18" t="n"/>
      <c r="AQ41" s="18" t="n"/>
      <c r="AR41" s="18" t="n"/>
      <c r="AS41" s="18" t="n"/>
      <c r="AT41" s="18" t="n"/>
      <c r="AU41" s="18" t="n"/>
      <c r="AV41" s="18" t="n"/>
      <c r="AW41" s="18" t="n"/>
      <c r="AX41" s="18" t="n"/>
      <c r="AY41" s="18" t="n"/>
      <c r="AZ41" s="15" t="n"/>
    </row>
    <row r="42">
      <c r="A42" s="15" t="n"/>
      <c r="B42" s="15" t="n"/>
      <c r="C42" s="15" t="n"/>
      <c r="D42" s="15" t="n"/>
      <c r="E42" s="15" t="n"/>
      <c r="F42" s="15" t="n"/>
      <c r="G42" s="16">
        <f>IF(F42="","",IFERROR(INDEX(Stammdaten!$B$5:$B$24,MATCH(F42,Stammdaten!$A$5:$A$24,0)),"unbekannt"))</f>
        <v/>
      </c>
      <c r="H42" s="16">
        <f>IF($B42="","",IF(AY42&lt;&gt;"","abgeschlossen",IF(AND(ISNUMBER(AX42),AX42&gt;=TODAY()),"zurückgestellt",IF(OR(AND(ISNUMBER(AA42),AA42&lt;TODAY(),Z42="",AJ42=""),AND(ISNUMBER(Z42),Z42&lt;TODAY(),AJ42=""),AND(ISNUMBER(AB42),AB42&lt;TODAY(),AK42=""),AND(ISNUMBER(AC42),AC42&lt;TODAY(),AO42=""),AND(ISNUMBER(AD42),AD42&lt;TODAY(),AQ42="")),"überfällig","offen"))))</f>
        <v/>
      </c>
      <c r="I42" s="16">
        <f>IF($B42="","",IF(AY42&lt;&gt;"","—",IF(AND(ISNUMBER(AA42),AA42&lt;TODAY(),Z42="",AJ42=""),"Abnahmetermin vereinbaren – Sollfrist verstrichen",IF(AND(ISNUMBER(Z42),Z42&lt;TODAY(),AJ42=""),"Wohnungsabnahme nachtragen – Termin war fällig",IF(AND(ISNUMBER(AB42),AB42&lt;TODAY(),AK42=""),"Handwerker aufbieten – Frist verstrichen",IF(AND(ISNUMBER(AC42),AC42&lt;TODAY(),AO42=""),"Vertrag retour mahnen – Frist verstrichen",IF(AND(ISNUMBER(AD42),AD42&lt;TODAY(),AQ42=""),"Schlüsselübergabe nachtragen – Termin war fällig",IF(M42="","Haftungsdatum erfassen",IF(E42="","ex-Mieter erfassen",IF(AE42="","Kündigung bestätigen / G-Rem",IF(AF42="","Werke / EGT melden",IF(AG42="","Vorbesichtigung (oder n.e.)",IF(AH42="","VMZ aktualisieren",IF(AI42="","Inserat aufschalten",IF(AND(Z42="",AJ42=""),"Abnahmetermin vereinbaren",IF(AJ42="","Wohnungsabnahme durchführen",IF(AK42="","Handwerker aufbieten",IF(AL42="","Zustimmungserklärung einholen",IF(AM42="","Instandstellungen beauftragen",IF(R42="","Nachmieter erfassen",IF(AN42="","Vertrag versenden",IF(AO42="","Vertrag retour erfassen",IF(S42="","Vermietet per erfassen",IF(AP42="","Werke / EGT über Einzug informieren",IF(AND(AD42="",AQ42=""),"Schlüsselübergabe terminieren",IF(AQ42="","Schlüsselübergabe durchführen",IF(AR42="","Reinigung veranlassen",IF(AS42="","Namensschilder bestellen",IF(AT42="","Kaution prüfen / G-Rem mutieren",IF(AU42="","Instandstellungs-Rechnung erfassen",IF(AV42="","Schlussabrechnung erstellen",IF(AW42="","Zahlungseingang kontrollieren","Fall abschliessen"))))))))))))))))))))))))))))))))</f>
        <v/>
      </c>
      <c r="J42" s="17">
        <f>IF(M42="","",IF(S42&lt;&gt;"",MAX(0,S42-M42-1),MAX(0,TODAY()-M42)))</f>
        <v/>
      </c>
      <c r="K42" s="16">
        <f>IF($B42="","",TRIM(IF(AND(L42&lt;&gt;"",M42&lt;&gt;"",M42&lt;L42),"Haftungsdatum vor Kündigung. ","")&amp;IF(AND(S42&lt;&gt;"",M42&lt;&gt;"",S42&lt;M42),"Vermietung vor Leerstandsbeginn. ","")&amp;IF(AND(Z42&lt;&gt;"",L42&lt;&gt;"",Z42&lt;L42),"WA-Termin vor Kündigung. ","")&amp;IF(COUNTIFS($B$5:$B$404,$B42,$AY$5:$AY$404,"")&gt;1,"Zweiter offener Fall zum selben Objekt. ","")&amp;IF(AND($A42&lt;&gt;"",COUNTIFS($A$5:$A$404,$A42)&gt;1),"Fall-Nr. doppelt vergeben. ","")&amp;IF(E42="","ex-Mieter fehlt. ","")&amp;IF(M42="","Haftungsdatum fehlt. ","")&amp;IF(F42="","Bewirtschafter fehlt. ","")&amp;IF(AND(AY42&lt;&gt;"",AW42=""),"Abgeschlossen trotz offener Schlussabrechnung. ","")&amp;IF(AND(AY42="",S42="",ISNUMBER(J42),J42&gt;60),"Langläufer über 60 Tage. ","")))</f>
        <v/>
      </c>
      <c r="L42" s="18" t="n"/>
      <c r="M42" s="18" t="n"/>
      <c r="N42" s="19">
        <f>IF(M42="","",M42+1)</f>
        <v/>
      </c>
      <c r="O42" s="17">
        <f>IF(OR(L42="",M42=""),"",M42-L42)</f>
        <v/>
      </c>
      <c r="P42" s="16">
        <f>IF(M42="","",YEAR(M42+1)&amp;"-"&amp;TEXT(MONTH(M42+1),"00"))</f>
        <v/>
      </c>
      <c r="Q42" s="18" t="n"/>
      <c r="R42" s="15" t="n"/>
      <c r="S42" s="18" t="n"/>
      <c r="T42" s="16">
        <f>IF(U42="","",IF(LEFT(U42,1)="6","abgeschlossen",IF(OR(LEFT(U42,1)="1",LEFT(U42,1)="2"),"Kündigung &amp; Abnahme",IF(OR(LEFT(U42,1)="3",LEFT(U42,1)="4"),"Wiedervermietung","Schlussabrechnung"))))</f>
        <v/>
      </c>
      <c r="U42" s="16">
        <f>IF($B42="","",IF(AY42&lt;&gt;"","6 · abgeschlossen",IF(AW42&lt;&gt;"","5 · bereit zum Abschluss",IF(AT42&lt;&gt;"","5 · Schlussabrechnung",IF(AO42&lt;&gt;"","4 · Übergabe",IF(AM42&lt;&gt;"","3 · Neuvermietung",IF(M42&lt;&gt;"","2 · Abnahme &amp; Vermarktung","1 · Erfassung")))))))</f>
        <v/>
      </c>
      <c r="V42" s="15" t="n"/>
      <c r="W42" s="20" t="n"/>
      <c r="X42" s="15" t="n"/>
      <c r="Y42" s="15" t="n"/>
      <c r="Z42" s="18" t="n"/>
      <c r="AA42" s="19">
        <f>IF(M42="","",M42-30)</f>
        <v/>
      </c>
      <c r="AB42" s="19">
        <f>IF(ISNUMBER(AJ42),AJ42+3,"")</f>
        <v/>
      </c>
      <c r="AC42" s="18" t="n"/>
      <c r="AD42" s="18" t="n"/>
      <c r="AE42" s="18" t="n"/>
      <c r="AF42" s="18" t="n"/>
      <c r="AG42" s="18" t="n"/>
      <c r="AH42" s="18" t="n"/>
      <c r="AI42" s="18" t="n"/>
      <c r="AJ42" s="18" t="n"/>
      <c r="AK42" s="18" t="n"/>
      <c r="AL42" s="18" t="n"/>
      <c r="AM42" s="18" t="n"/>
      <c r="AN42" s="18" t="n"/>
      <c r="AO42" s="18" t="n"/>
      <c r="AP42" s="18" t="n"/>
      <c r="AQ42" s="18" t="n"/>
      <c r="AR42" s="18" t="n"/>
      <c r="AS42" s="18" t="n"/>
      <c r="AT42" s="18" t="n"/>
      <c r="AU42" s="18" t="n"/>
      <c r="AV42" s="18" t="n"/>
      <c r="AW42" s="18" t="n"/>
      <c r="AX42" s="18" t="n"/>
      <c r="AY42" s="18" t="n"/>
      <c r="AZ42" s="15" t="n"/>
    </row>
    <row r="43">
      <c r="A43" s="15" t="n"/>
      <c r="B43" s="15" t="n"/>
      <c r="C43" s="15" t="n"/>
      <c r="D43" s="15" t="n"/>
      <c r="E43" s="15" t="n"/>
      <c r="F43" s="15" t="n"/>
      <c r="G43" s="16">
        <f>IF(F43="","",IFERROR(INDEX(Stammdaten!$B$5:$B$24,MATCH(F43,Stammdaten!$A$5:$A$24,0)),"unbekannt"))</f>
        <v/>
      </c>
      <c r="H43" s="16">
        <f>IF($B43="","",IF(AY43&lt;&gt;"","abgeschlossen",IF(AND(ISNUMBER(AX43),AX43&gt;=TODAY()),"zurückgestellt",IF(OR(AND(ISNUMBER(AA43),AA43&lt;TODAY(),Z43="",AJ43=""),AND(ISNUMBER(Z43),Z43&lt;TODAY(),AJ43=""),AND(ISNUMBER(AB43),AB43&lt;TODAY(),AK43=""),AND(ISNUMBER(AC43),AC43&lt;TODAY(),AO43=""),AND(ISNUMBER(AD43),AD43&lt;TODAY(),AQ43="")),"überfällig","offen"))))</f>
        <v/>
      </c>
      <c r="I43" s="16">
        <f>IF($B43="","",IF(AY43&lt;&gt;"","—",IF(AND(ISNUMBER(AA43),AA43&lt;TODAY(),Z43="",AJ43=""),"Abnahmetermin vereinbaren – Sollfrist verstrichen",IF(AND(ISNUMBER(Z43),Z43&lt;TODAY(),AJ43=""),"Wohnungsabnahme nachtragen – Termin war fällig",IF(AND(ISNUMBER(AB43),AB43&lt;TODAY(),AK43=""),"Handwerker aufbieten – Frist verstrichen",IF(AND(ISNUMBER(AC43),AC43&lt;TODAY(),AO43=""),"Vertrag retour mahnen – Frist verstrichen",IF(AND(ISNUMBER(AD43),AD43&lt;TODAY(),AQ43=""),"Schlüsselübergabe nachtragen – Termin war fällig",IF(M43="","Haftungsdatum erfassen",IF(E43="","ex-Mieter erfassen",IF(AE43="","Kündigung bestätigen / G-Rem",IF(AF43="","Werke / EGT melden",IF(AG43="","Vorbesichtigung (oder n.e.)",IF(AH43="","VMZ aktualisieren",IF(AI43="","Inserat aufschalten",IF(AND(Z43="",AJ43=""),"Abnahmetermin vereinbaren",IF(AJ43="","Wohnungsabnahme durchführen",IF(AK43="","Handwerker aufbieten",IF(AL43="","Zustimmungserklärung einholen",IF(AM43="","Instandstellungen beauftragen",IF(R43="","Nachmieter erfassen",IF(AN43="","Vertrag versenden",IF(AO43="","Vertrag retour erfassen",IF(S43="","Vermietet per erfassen",IF(AP43="","Werke / EGT über Einzug informieren",IF(AND(AD43="",AQ43=""),"Schlüsselübergabe terminieren",IF(AQ43="","Schlüsselübergabe durchführen",IF(AR43="","Reinigung veranlassen",IF(AS43="","Namensschilder bestellen",IF(AT43="","Kaution prüfen / G-Rem mutieren",IF(AU43="","Instandstellungs-Rechnung erfassen",IF(AV43="","Schlussabrechnung erstellen",IF(AW43="","Zahlungseingang kontrollieren","Fall abschliessen"))))))))))))))))))))))))))))))))</f>
        <v/>
      </c>
      <c r="J43" s="17">
        <f>IF(M43="","",IF(S43&lt;&gt;"",MAX(0,S43-M43-1),MAX(0,TODAY()-M43)))</f>
        <v/>
      </c>
      <c r="K43" s="16">
        <f>IF($B43="","",TRIM(IF(AND(L43&lt;&gt;"",M43&lt;&gt;"",M43&lt;L43),"Haftungsdatum vor Kündigung. ","")&amp;IF(AND(S43&lt;&gt;"",M43&lt;&gt;"",S43&lt;M43),"Vermietung vor Leerstandsbeginn. ","")&amp;IF(AND(Z43&lt;&gt;"",L43&lt;&gt;"",Z43&lt;L43),"WA-Termin vor Kündigung. ","")&amp;IF(COUNTIFS($B$5:$B$404,$B43,$AY$5:$AY$404,"")&gt;1,"Zweiter offener Fall zum selben Objekt. ","")&amp;IF(AND($A43&lt;&gt;"",COUNTIFS($A$5:$A$404,$A43)&gt;1),"Fall-Nr. doppelt vergeben. ","")&amp;IF(E43="","ex-Mieter fehlt. ","")&amp;IF(M43="","Haftungsdatum fehlt. ","")&amp;IF(F43="","Bewirtschafter fehlt. ","")&amp;IF(AND(AY43&lt;&gt;"",AW43=""),"Abgeschlossen trotz offener Schlussabrechnung. ","")&amp;IF(AND(AY43="",S43="",ISNUMBER(J43),J43&gt;60),"Langläufer über 60 Tage. ","")))</f>
        <v/>
      </c>
      <c r="L43" s="18" t="n"/>
      <c r="M43" s="18" t="n"/>
      <c r="N43" s="19">
        <f>IF(M43="","",M43+1)</f>
        <v/>
      </c>
      <c r="O43" s="17">
        <f>IF(OR(L43="",M43=""),"",M43-L43)</f>
        <v/>
      </c>
      <c r="P43" s="16">
        <f>IF(M43="","",YEAR(M43+1)&amp;"-"&amp;TEXT(MONTH(M43+1),"00"))</f>
        <v/>
      </c>
      <c r="Q43" s="18" t="n"/>
      <c r="R43" s="15" t="n"/>
      <c r="S43" s="18" t="n"/>
      <c r="T43" s="16">
        <f>IF(U43="","",IF(LEFT(U43,1)="6","abgeschlossen",IF(OR(LEFT(U43,1)="1",LEFT(U43,1)="2"),"Kündigung &amp; Abnahme",IF(OR(LEFT(U43,1)="3",LEFT(U43,1)="4"),"Wiedervermietung","Schlussabrechnung"))))</f>
        <v/>
      </c>
      <c r="U43" s="16">
        <f>IF($B43="","",IF(AY43&lt;&gt;"","6 · abgeschlossen",IF(AW43&lt;&gt;"","5 · bereit zum Abschluss",IF(AT43&lt;&gt;"","5 · Schlussabrechnung",IF(AO43&lt;&gt;"","4 · Übergabe",IF(AM43&lt;&gt;"","3 · Neuvermietung",IF(M43&lt;&gt;"","2 · Abnahme &amp; Vermarktung","1 · Erfassung")))))))</f>
        <v/>
      </c>
      <c r="V43" s="15" t="n"/>
      <c r="W43" s="20" t="n"/>
      <c r="X43" s="15" t="n"/>
      <c r="Y43" s="15" t="n"/>
      <c r="Z43" s="18" t="n"/>
      <c r="AA43" s="19">
        <f>IF(M43="","",M43-30)</f>
        <v/>
      </c>
      <c r="AB43" s="19">
        <f>IF(ISNUMBER(AJ43),AJ43+3,"")</f>
        <v/>
      </c>
      <c r="AC43" s="18" t="n"/>
      <c r="AD43" s="18" t="n"/>
      <c r="AE43" s="18" t="n"/>
      <c r="AF43" s="18" t="n"/>
      <c r="AG43" s="18" t="n"/>
      <c r="AH43" s="18" t="n"/>
      <c r="AI43" s="18" t="n"/>
      <c r="AJ43" s="18" t="n"/>
      <c r="AK43" s="18" t="n"/>
      <c r="AL43" s="18" t="n"/>
      <c r="AM43" s="18" t="n"/>
      <c r="AN43" s="18" t="n"/>
      <c r="AO43" s="18" t="n"/>
      <c r="AP43" s="18" t="n"/>
      <c r="AQ43" s="18" t="n"/>
      <c r="AR43" s="18" t="n"/>
      <c r="AS43" s="18" t="n"/>
      <c r="AT43" s="18" t="n"/>
      <c r="AU43" s="18" t="n"/>
      <c r="AV43" s="18" t="n"/>
      <c r="AW43" s="18" t="n"/>
      <c r="AX43" s="18" t="n"/>
      <c r="AY43" s="18" t="n"/>
      <c r="AZ43" s="15" t="n"/>
    </row>
    <row r="44">
      <c r="A44" s="15" t="n"/>
      <c r="B44" s="15" t="n"/>
      <c r="C44" s="15" t="n"/>
      <c r="D44" s="15" t="n"/>
      <c r="E44" s="15" t="n"/>
      <c r="F44" s="15" t="n"/>
      <c r="G44" s="16">
        <f>IF(F44="","",IFERROR(INDEX(Stammdaten!$B$5:$B$24,MATCH(F44,Stammdaten!$A$5:$A$24,0)),"unbekannt"))</f>
        <v/>
      </c>
      <c r="H44" s="16">
        <f>IF($B44="","",IF(AY44&lt;&gt;"","abgeschlossen",IF(AND(ISNUMBER(AX44),AX44&gt;=TODAY()),"zurückgestellt",IF(OR(AND(ISNUMBER(AA44),AA44&lt;TODAY(),Z44="",AJ44=""),AND(ISNUMBER(Z44),Z44&lt;TODAY(),AJ44=""),AND(ISNUMBER(AB44),AB44&lt;TODAY(),AK44=""),AND(ISNUMBER(AC44),AC44&lt;TODAY(),AO44=""),AND(ISNUMBER(AD44),AD44&lt;TODAY(),AQ44="")),"überfällig","offen"))))</f>
        <v/>
      </c>
      <c r="I44" s="16">
        <f>IF($B44="","",IF(AY44&lt;&gt;"","—",IF(AND(ISNUMBER(AA44),AA44&lt;TODAY(),Z44="",AJ44=""),"Abnahmetermin vereinbaren – Sollfrist verstrichen",IF(AND(ISNUMBER(Z44),Z44&lt;TODAY(),AJ44=""),"Wohnungsabnahme nachtragen – Termin war fällig",IF(AND(ISNUMBER(AB44),AB44&lt;TODAY(),AK44=""),"Handwerker aufbieten – Frist verstrichen",IF(AND(ISNUMBER(AC44),AC44&lt;TODAY(),AO44=""),"Vertrag retour mahnen – Frist verstrichen",IF(AND(ISNUMBER(AD44),AD44&lt;TODAY(),AQ44=""),"Schlüsselübergabe nachtragen – Termin war fällig",IF(M44="","Haftungsdatum erfassen",IF(E44="","ex-Mieter erfassen",IF(AE44="","Kündigung bestätigen / G-Rem",IF(AF44="","Werke / EGT melden",IF(AG44="","Vorbesichtigung (oder n.e.)",IF(AH44="","VMZ aktualisieren",IF(AI44="","Inserat aufschalten",IF(AND(Z44="",AJ44=""),"Abnahmetermin vereinbaren",IF(AJ44="","Wohnungsabnahme durchführen",IF(AK44="","Handwerker aufbieten",IF(AL44="","Zustimmungserklärung einholen",IF(AM44="","Instandstellungen beauftragen",IF(R44="","Nachmieter erfassen",IF(AN44="","Vertrag versenden",IF(AO44="","Vertrag retour erfassen",IF(S44="","Vermietet per erfassen",IF(AP44="","Werke / EGT über Einzug informieren",IF(AND(AD44="",AQ44=""),"Schlüsselübergabe terminieren",IF(AQ44="","Schlüsselübergabe durchführen",IF(AR44="","Reinigung veranlassen",IF(AS44="","Namensschilder bestellen",IF(AT44="","Kaution prüfen / G-Rem mutieren",IF(AU44="","Instandstellungs-Rechnung erfassen",IF(AV44="","Schlussabrechnung erstellen",IF(AW44="","Zahlungseingang kontrollieren","Fall abschliessen"))))))))))))))))))))))))))))))))</f>
        <v/>
      </c>
      <c r="J44" s="17">
        <f>IF(M44="","",IF(S44&lt;&gt;"",MAX(0,S44-M44-1),MAX(0,TODAY()-M44)))</f>
        <v/>
      </c>
      <c r="K44" s="16">
        <f>IF($B44="","",TRIM(IF(AND(L44&lt;&gt;"",M44&lt;&gt;"",M44&lt;L44),"Haftungsdatum vor Kündigung. ","")&amp;IF(AND(S44&lt;&gt;"",M44&lt;&gt;"",S44&lt;M44),"Vermietung vor Leerstandsbeginn. ","")&amp;IF(AND(Z44&lt;&gt;"",L44&lt;&gt;"",Z44&lt;L44),"WA-Termin vor Kündigung. ","")&amp;IF(COUNTIFS($B$5:$B$404,$B44,$AY$5:$AY$404,"")&gt;1,"Zweiter offener Fall zum selben Objekt. ","")&amp;IF(AND($A44&lt;&gt;"",COUNTIFS($A$5:$A$404,$A44)&gt;1),"Fall-Nr. doppelt vergeben. ","")&amp;IF(E44="","ex-Mieter fehlt. ","")&amp;IF(M44="","Haftungsdatum fehlt. ","")&amp;IF(F44="","Bewirtschafter fehlt. ","")&amp;IF(AND(AY44&lt;&gt;"",AW44=""),"Abgeschlossen trotz offener Schlussabrechnung. ","")&amp;IF(AND(AY44="",S44="",ISNUMBER(J44),J44&gt;60),"Langläufer über 60 Tage. ","")))</f>
        <v/>
      </c>
      <c r="L44" s="18" t="n"/>
      <c r="M44" s="18" t="n"/>
      <c r="N44" s="19">
        <f>IF(M44="","",M44+1)</f>
        <v/>
      </c>
      <c r="O44" s="17">
        <f>IF(OR(L44="",M44=""),"",M44-L44)</f>
        <v/>
      </c>
      <c r="P44" s="16">
        <f>IF(M44="","",YEAR(M44+1)&amp;"-"&amp;TEXT(MONTH(M44+1),"00"))</f>
        <v/>
      </c>
      <c r="Q44" s="18" t="n"/>
      <c r="R44" s="15" t="n"/>
      <c r="S44" s="18" t="n"/>
      <c r="T44" s="16">
        <f>IF(U44="","",IF(LEFT(U44,1)="6","abgeschlossen",IF(OR(LEFT(U44,1)="1",LEFT(U44,1)="2"),"Kündigung &amp; Abnahme",IF(OR(LEFT(U44,1)="3",LEFT(U44,1)="4"),"Wiedervermietung","Schlussabrechnung"))))</f>
        <v/>
      </c>
      <c r="U44" s="16">
        <f>IF($B44="","",IF(AY44&lt;&gt;"","6 · abgeschlossen",IF(AW44&lt;&gt;"","5 · bereit zum Abschluss",IF(AT44&lt;&gt;"","5 · Schlussabrechnung",IF(AO44&lt;&gt;"","4 · Übergabe",IF(AM44&lt;&gt;"","3 · Neuvermietung",IF(M44&lt;&gt;"","2 · Abnahme &amp; Vermarktung","1 · Erfassung")))))))</f>
        <v/>
      </c>
      <c r="V44" s="15" t="n"/>
      <c r="W44" s="20" t="n"/>
      <c r="X44" s="15" t="n"/>
      <c r="Y44" s="15" t="n"/>
      <c r="Z44" s="18" t="n"/>
      <c r="AA44" s="19">
        <f>IF(M44="","",M44-30)</f>
        <v/>
      </c>
      <c r="AB44" s="19">
        <f>IF(ISNUMBER(AJ44),AJ44+3,"")</f>
        <v/>
      </c>
      <c r="AC44" s="18" t="n"/>
      <c r="AD44" s="18" t="n"/>
      <c r="AE44" s="18" t="n"/>
      <c r="AF44" s="18" t="n"/>
      <c r="AG44" s="18" t="n"/>
      <c r="AH44" s="18" t="n"/>
      <c r="AI44" s="18" t="n"/>
      <c r="AJ44" s="18" t="n"/>
      <c r="AK44" s="18" t="n"/>
      <c r="AL44" s="18" t="n"/>
      <c r="AM44" s="18" t="n"/>
      <c r="AN44" s="18" t="n"/>
      <c r="AO44" s="18" t="n"/>
      <c r="AP44" s="18" t="n"/>
      <c r="AQ44" s="18" t="n"/>
      <c r="AR44" s="18" t="n"/>
      <c r="AS44" s="18" t="n"/>
      <c r="AT44" s="18" t="n"/>
      <c r="AU44" s="18" t="n"/>
      <c r="AV44" s="18" t="n"/>
      <c r="AW44" s="18" t="n"/>
      <c r="AX44" s="18" t="n"/>
      <c r="AY44" s="18" t="n"/>
      <c r="AZ44" s="15" t="n"/>
    </row>
    <row r="45">
      <c r="A45" s="15" t="n"/>
      <c r="B45" s="15" t="n"/>
      <c r="C45" s="15" t="n"/>
      <c r="D45" s="15" t="n"/>
      <c r="E45" s="15" t="n"/>
      <c r="F45" s="15" t="n"/>
      <c r="G45" s="16">
        <f>IF(F45="","",IFERROR(INDEX(Stammdaten!$B$5:$B$24,MATCH(F45,Stammdaten!$A$5:$A$24,0)),"unbekannt"))</f>
        <v/>
      </c>
      <c r="H45" s="16">
        <f>IF($B45="","",IF(AY45&lt;&gt;"","abgeschlossen",IF(AND(ISNUMBER(AX45),AX45&gt;=TODAY()),"zurückgestellt",IF(OR(AND(ISNUMBER(AA45),AA45&lt;TODAY(),Z45="",AJ45=""),AND(ISNUMBER(Z45),Z45&lt;TODAY(),AJ45=""),AND(ISNUMBER(AB45),AB45&lt;TODAY(),AK45=""),AND(ISNUMBER(AC45),AC45&lt;TODAY(),AO45=""),AND(ISNUMBER(AD45),AD45&lt;TODAY(),AQ45="")),"überfällig","offen"))))</f>
        <v/>
      </c>
      <c r="I45" s="16">
        <f>IF($B45="","",IF(AY45&lt;&gt;"","—",IF(AND(ISNUMBER(AA45),AA45&lt;TODAY(),Z45="",AJ45=""),"Abnahmetermin vereinbaren – Sollfrist verstrichen",IF(AND(ISNUMBER(Z45),Z45&lt;TODAY(),AJ45=""),"Wohnungsabnahme nachtragen – Termin war fällig",IF(AND(ISNUMBER(AB45),AB45&lt;TODAY(),AK45=""),"Handwerker aufbieten – Frist verstrichen",IF(AND(ISNUMBER(AC45),AC45&lt;TODAY(),AO45=""),"Vertrag retour mahnen – Frist verstrichen",IF(AND(ISNUMBER(AD45),AD45&lt;TODAY(),AQ45=""),"Schlüsselübergabe nachtragen – Termin war fällig",IF(M45="","Haftungsdatum erfassen",IF(E45="","ex-Mieter erfassen",IF(AE45="","Kündigung bestätigen / G-Rem",IF(AF45="","Werke / EGT melden",IF(AG45="","Vorbesichtigung (oder n.e.)",IF(AH45="","VMZ aktualisieren",IF(AI45="","Inserat aufschalten",IF(AND(Z45="",AJ45=""),"Abnahmetermin vereinbaren",IF(AJ45="","Wohnungsabnahme durchführen",IF(AK45="","Handwerker aufbieten",IF(AL45="","Zustimmungserklärung einholen",IF(AM45="","Instandstellungen beauftragen",IF(R45="","Nachmieter erfassen",IF(AN45="","Vertrag versenden",IF(AO45="","Vertrag retour erfassen",IF(S45="","Vermietet per erfassen",IF(AP45="","Werke / EGT über Einzug informieren",IF(AND(AD45="",AQ45=""),"Schlüsselübergabe terminieren",IF(AQ45="","Schlüsselübergabe durchführen",IF(AR45="","Reinigung veranlassen",IF(AS45="","Namensschilder bestellen",IF(AT45="","Kaution prüfen / G-Rem mutieren",IF(AU45="","Instandstellungs-Rechnung erfassen",IF(AV45="","Schlussabrechnung erstellen",IF(AW45="","Zahlungseingang kontrollieren","Fall abschliessen"))))))))))))))))))))))))))))))))</f>
        <v/>
      </c>
      <c r="J45" s="17">
        <f>IF(M45="","",IF(S45&lt;&gt;"",MAX(0,S45-M45-1),MAX(0,TODAY()-M45)))</f>
        <v/>
      </c>
      <c r="K45" s="16">
        <f>IF($B45="","",TRIM(IF(AND(L45&lt;&gt;"",M45&lt;&gt;"",M45&lt;L45),"Haftungsdatum vor Kündigung. ","")&amp;IF(AND(S45&lt;&gt;"",M45&lt;&gt;"",S45&lt;M45),"Vermietung vor Leerstandsbeginn. ","")&amp;IF(AND(Z45&lt;&gt;"",L45&lt;&gt;"",Z45&lt;L45),"WA-Termin vor Kündigung. ","")&amp;IF(COUNTIFS($B$5:$B$404,$B45,$AY$5:$AY$404,"")&gt;1,"Zweiter offener Fall zum selben Objekt. ","")&amp;IF(AND($A45&lt;&gt;"",COUNTIFS($A$5:$A$404,$A45)&gt;1),"Fall-Nr. doppelt vergeben. ","")&amp;IF(E45="","ex-Mieter fehlt. ","")&amp;IF(M45="","Haftungsdatum fehlt. ","")&amp;IF(F45="","Bewirtschafter fehlt. ","")&amp;IF(AND(AY45&lt;&gt;"",AW45=""),"Abgeschlossen trotz offener Schlussabrechnung. ","")&amp;IF(AND(AY45="",S45="",ISNUMBER(J45),J45&gt;60),"Langläufer über 60 Tage. ","")))</f>
        <v/>
      </c>
      <c r="L45" s="18" t="n"/>
      <c r="M45" s="18" t="n"/>
      <c r="N45" s="19">
        <f>IF(M45="","",M45+1)</f>
        <v/>
      </c>
      <c r="O45" s="17">
        <f>IF(OR(L45="",M45=""),"",M45-L45)</f>
        <v/>
      </c>
      <c r="P45" s="16">
        <f>IF(M45="","",YEAR(M45+1)&amp;"-"&amp;TEXT(MONTH(M45+1),"00"))</f>
        <v/>
      </c>
      <c r="Q45" s="18" t="n"/>
      <c r="R45" s="15" t="n"/>
      <c r="S45" s="18" t="n"/>
      <c r="T45" s="16">
        <f>IF(U45="","",IF(LEFT(U45,1)="6","abgeschlossen",IF(OR(LEFT(U45,1)="1",LEFT(U45,1)="2"),"Kündigung &amp; Abnahme",IF(OR(LEFT(U45,1)="3",LEFT(U45,1)="4"),"Wiedervermietung","Schlussabrechnung"))))</f>
        <v/>
      </c>
      <c r="U45" s="16">
        <f>IF($B45="","",IF(AY45&lt;&gt;"","6 · abgeschlossen",IF(AW45&lt;&gt;"","5 · bereit zum Abschluss",IF(AT45&lt;&gt;"","5 · Schlussabrechnung",IF(AO45&lt;&gt;"","4 · Übergabe",IF(AM45&lt;&gt;"","3 · Neuvermietung",IF(M45&lt;&gt;"","2 · Abnahme &amp; Vermarktung","1 · Erfassung")))))))</f>
        <v/>
      </c>
      <c r="V45" s="15" t="n"/>
      <c r="W45" s="20" t="n"/>
      <c r="X45" s="15" t="n"/>
      <c r="Y45" s="15" t="n"/>
      <c r="Z45" s="18" t="n"/>
      <c r="AA45" s="19">
        <f>IF(M45="","",M45-30)</f>
        <v/>
      </c>
      <c r="AB45" s="19">
        <f>IF(ISNUMBER(AJ45),AJ45+3,"")</f>
        <v/>
      </c>
      <c r="AC45" s="18" t="n"/>
      <c r="AD45" s="18" t="n"/>
      <c r="AE45" s="18" t="n"/>
      <c r="AF45" s="18" t="n"/>
      <c r="AG45" s="18" t="n"/>
      <c r="AH45" s="18" t="n"/>
      <c r="AI45" s="18" t="n"/>
      <c r="AJ45" s="18" t="n"/>
      <c r="AK45" s="18" t="n"/>
      <c r="AL45" s="18" t="n"/>
      <c r="AM45" s="18" t="n"/>
      <c r="AN45" s="18" t="n"/>
      <c r="AO45" s="18" t="n"/>
      <c r="AP45" s="18" t="n"/>
      <c r="AQ45" s="18" t="n"/>
      <c r="AR45" s="18" t="n"/>
      <c r="AS45" s="18" t="n"/>
      <c r="AT45" s="18" t="n"/>
      <c r="AU45" s="18" t="n"/>
      <c r="AV45" s="18" t="n"/>
      <c r="AW45" s="18" t="n"/>
      <c r="AX45" s="18" t="n"/>
      <c r="AY45" s="18" t="n"/>
      <c r="AZ45" s="15" t="n"/>
    </row>
    <row r="46">
      <c r="A46" s="15" t="n"/>
      <c r="B46" s="15" t="n"/>
      <c r="C46" s="15" t="n"/>
      <c r="D46" s="15" t="n"/>
      <c r="E46" s="15" t="n"/>
      <c r="F46" s="15" t="n"/>
      <c r="G46" s="16">
        <f>IF(F46="","",IFERROR(INDEX(Stammdaten!$B$5:$B$24,MATCH(F46,Stammdaten!$A$5:$A$24,0)),"unbekannt"))</f>
        <v/>
      </c>
      <c r="H46" s="16">
        <f>IF($B46="","",IF(AY46&lt;&gt;"","abgeschlossen",IF(AND(ISNUMBER(AX46),AX46&gt;=TODAY()),"zurückgestellt",IF(OR(AND(ISNUMBER(AA46),AA46&lt;TODAY(),Z46="",AJ46=""),AND(ISNUMBER(Z46),Z46&lt;TODAY(),AJ46=""),AND(ISNUMBER(AB46),AB46&lt;TODAY(),AK46=""),AND(ISNUMBER(AC46),AC46&lt;TODAY(),AO46=""),AND(ISNUMBER(AD46),AD46&lt;TODAY(),AQ46="")),"überfällig","offen"))))</f>
        <v/>
      </c>
      <c r="I46" s="16">
        <f>IF($B46="","",IF(AY46&lt;&gt;"","—",IF(AND(ISNUMBER(AA46),AA46&lt;TODAY(),Z46="",AJ46=""),"Abnahmetermin vereinbaren – Sollfrist verstrichen",IF(AND(ISNUMBER(Z46),Z46&lt;TODAY(),AJ46=""),"Wohnungsabnahme nachtragen – Termin war fällig",IF(AND(ISNUMBER(AB46),AB46&lt;TODAY(),AK46=""),"Handwerker aufbieten – Frist verstrichen",IF(AND(ISNUMBER(AC46),AC46&lt;TODAY(),AO46=""),"Vertrag retour mahnen – Frist verstrichen",IF(AND(ISNUMBER(AD46),AD46&lt;TODAY(),AQ46=""),"Schlüsselübergabe nachtragen – Termin war fällig",IF(M46="","Haftungsdatum erfassen",IF(E46="","ex-Mieter erfassen",IF(AE46="","Kündigung bestätigen / G-Rem",IF(AF46="","Werke / EGT melden",IF(AG46="","Vorbesichtigung (oder n.e.)",IF(AH46="","VMZ aktualisieren",IF(AI46="","Inserat aufschalten",IF(AND(Z46="",AJ46=""),"Abnahmetermin vereinbaren",IF(AJ46="","Wohnungsabnahme durchführen",IF(AK46="","Handwerker aufbieten",IF(AL46="","Zustimmungserklärung einholen",IF(AM46="","Instandstellungen beauftragen",IF(R46="","Nachmieter erfassen",IF(AN46="","Vertrag versenden",IF(AO46="","Vertrag retour erfassen",IF(S46="","Vermietet per erfassen",IF(AP46="","Werke / EGT über Einzug informieren",IF(AND(AD46="",AQ46=""),"Schlüsselübergabe terminieren",IF(AQ46="","Schlüsselübergabe durchführen",IF(AR46="","Reinigung veranlassen",IF(AS46="","Namensschilder bestellen",IF(AT46="","Kaution prüfen / G-Rem mutieren",IF(AU46="","Instandstellungs-Rechnung erfassen",IF(AV46="","Schlussabrechnung erstellen",IF(AW46="","Zahlungseingang kontrollieren","Fall abschliessen"))))))))))))))))))))))))))))))))</f>
        <v/>
      </c>
      <c r="J46" s="17">
        <f>IF(M46="","",IF(S46&lt;&gt;"",MAX(0,S46-M46-1),MAX(0,TODAY()-M46)))</f>
        <v/>
      </c>
      <c r="K46" s="16">
        <f>IF($B46="","",TRIM(IF(AND(L46&lt;&gt;"",M46&lt;&gt;"",M46&lt;L46),"Haftungsdatum vor Kündigung. ","")&amp;IF(AND(S46&lt;&gt;"",M46&lt;&gt;"",S46&lt;M46),"Vermietung vor Leerstandsbeginn. ","")&amp;IF(AND(Z46&lt;&gt;"",L46&lt;&gt;"",Z46&lt;L46),"WA-Termin vor Kündigung. ","")&amp;IF(COUNTIFS($B$5:$B$404,$B46,$AY$5:$AY$404,"")&gt;1,"Zweiter offener Fall zum selben Objekt. ","")&amp;IF(AND($A46&lt;&gt;"",COUNTIFS($A$5:$A$404,$A46)&gt;1),"Fall-Nr. doppelt vergeben. ","")&amp;IF(E46="","ex-Mieter fehlt. ","")&amp;IF(M46="","Haftungsdatum fehlt. ","")&amp;IF(F46="","Bewirtschafter fehlt. ","")&amp;IF(AND(AY46&lt;&gt;"",AW46=""),"Abgeschlossen trotz offener Schlussabrechnung. ","")&amp;IF(AND(AY46="",S46="",ISNUMBER(J46),J46&gt;60),"Langläufer über 60 Tage. ","")))</f>
        <v/>
      </c>
      <c r="L46" s="18" t="n"/>
      <c r="M46" s="18" t="n"/>
      <c r="N46" s="19">
        <f>IF(M46="","",M46+1)</f>
        <v/>
      </c>
      <c r="O46" s="17">
        <f>IF(OR(L46="",M46=""),"",M46-L46)</f>
        <v/>
      </c>
      <c r="P46" s="16">
        <f>IF(M46="","",YEAR(M46+1)&amp;"-"&amp;TEXT(MONTH(M46+1),"00"))</f>
        <v/>
      </c>
      <c r="Q46" s="18" t="n"/>
      <c r="R46" s="15" t="n"/>
      <c r="S46" s="18" t="n"/>
      <c r="T46" s="16">
        <f>IF(U46="","",IF(LEFT(U46,1)="6","abgeschlossen",IF(OR(LEFT(U46,1)="1",LEFT(U46,1)="2"),"Kündigung &amp; Abnahme",IF(OR(LEFT(U46,1)="3",LEFT(U46,1)="4"),"Wiedervermietung","Schlussabrechnung"))))</f>
        <v/>
      </c>
      <c r="U46" s="16">
        <f>IF($B46="","",IF(AY46&lt;&gt;"","6 · abgeschlossen",IF(AW46&lt;&gt;"","5 · bereit zum Abschluss",IF(AT46&lt;&gt;"","5 · Schlussabrechnung",IF(AO46&lt;&gt;"","4 · Übergabe",IF(AM46&lt;&gt;"","3 · Neuvermietung",IF(M46&lt;&gt;"","2 · Abnahme &amp; Vermarktung","1 · Erfassung")))))))</f>
        <v/>
      </c>
      <c r="V46" s="15" t="n"/>
      <c r="W46" s="20" t="n"/>
      <c r="X46" s="15" t="n"/>
      <c r="Y46" s="15" t="n"/>
      <c r="Z46" s="18" t="n"/>
      <c r="AA46" s="19">
        <f>IF(M46="","",M46-30)</f>
        <v/>
      </c>
      <c r="AB46" s="19">
        <f>IF(ISNUMBER(AJ46),AJ46+3,"")</f>
        <v/>
      </c>
      <c r="AC46" s="18" t="n"/>
      <c r="AD46" s="18" t="n"/>
      <c r="AE46" s="18" t="n"/>
      <c r="AF46" s="18" t="n"/>
      <c r="AG46" s="18" t="n"/>
      <c r="AH46" s="18" t="n"/>
      <c r="AI46" s="18" t="n"/>
      <c r="AJ46" s="18" t="n"/>
      <c r="AK46" s="18" t="n"/>
      <c r="AL46" s="18" t="n"/>
      <c r="AM46" s="18" t="n"/>
      <c r="AN46" s="18" t="n"/>
      <c r="AO46" s="18" t="n"/>
      <c r="AP46" s="18" t="n"/>
      <c r="AQ46" s="18" t="n"/>
      <c r="AR46" s="18" t="n"/>
      <c r="AS46" s="18" t="n"/>
      <c r="AT46" s="18" t="n"/>
      <c r="AU46" s="18" t="n"/>
      <c r="AV46" s="18" t="n"/>
      <c r="AW46" s="18" t="n"/>
      <c r="AX46" s="18" t="n"/>
      <c r="AY46" s="18" t="n"/>
      <c r="AZ46" s="15" t="n"/>
    </row>
    <row r="47">
      <c r="A47" s="15" t="n"/>
      <c r="B47" s="15" t="n"/>
      <c r="C47" s="15" t="n"/>
      <c r="D47" s="15" t="n"/>
      <c r="E47" s="15" t="n"/>
      <c r="F47" s="15" t="n"/>
      <c r="G47" s="16">
        <f>IF(F47="","",IFERROR(INDEX(Stammdaten!$B$5:$B$24,MATCH(F47,Stammdaten!$A$5:$A$24,0)),"unbekannt"))</f>
        <v/>
      </c>
      <c r="H47" s="16">
        <f>IF($B47="","",IF(AY47&lt;&gt;"","abgeschlossen",IF(AND(ISNUMBER(AX47),AX47&gt;=TODAY()),"zurückgestellt",IF(OR(AND(ISNUMBER(AA47),AA47&lt;TODAY(),Z47="",AJ47=""),AND(ISNUMBER(Z47),Z47&lt;TODAY(),AJ47=""),AND(ISNUMBER(AB47),AB47&lt;TODAY(),AK47=""),AND(ISNUMBER(AC47),AC47&lt;TODAY(),AO47=""),AND(ISNUMBER(AD47),AD47&lt;TODAY(),AQ47="")),"überfällig","offen"))))</f>
        <v/>
      </c>
      <c r="I47" s="16">
        <f>IF($B47="","",IF(AY47&lt;&gt;"","—",IF(AND(ISNUMBER(AA47),AA47&lt;TODAY(),Z47="",AJ47=""),"Abnahmetermin vereinbaren – Sollfrist verstrichen",IF(AND(ISNUMBER(Z47),Z47&lt;TODAY(),AJ47=""),"Wohnungsabnahme nachtragen – Termin war fällig",IF(AND(ISNUMBER(AB47),AB47&lt;TODAY(),AK47=""),"Handwerker aufbieten – Frist verstrichen",IF(AND(ISNUMBER(AC47),AC47&lt;TODAY(),AO47=""),"Vertrag retour mahnen – Frist verstrichen",IF(AND(ISNUMBER(AD47),AD47&lt;TODAY(),AQ47=""),"Schlüsselübergabe nachtragen – Termin war fällig",IF(M47="","Haftungsdatum erfassen",IF(E47="","ex-Mieter erfassen",IF(AE47="","Kündigung bestätigen / G-Rem",IF(AF47="","Werke / EGT melden",IF(AG47="","Vorbesichtigung (oder n.e.)",IF(AH47="","VMZ aktualisieren",IF(AI47="","Inserat aufschalten",IF(AND(Z47="",AJ47=""),"Abnahmetermin vereinbaren",IF(AJ47="","Wohnungsabnahme durchführen",IF(AK47="","Handwerker aufbieten",IF(AL47="","Zustimmungserklärung einholen",IF(AM47="","Instandstellungen beauftragen",IF(R47="","Nachmieter erfassen",IF(AN47="","Vertrag versenden",IF(AO47="","Vertrag retour erfassen",IF(S47="","Vermietet per erfassen",IF(AP47="","Werke / EGT über Einzug informieren",IF(AND(AD47="",AQ47=""),"Schlüsselübergabe terminieren",IF(AQ47="","Schlüsselübergabe durchführen",IF(AR47="","Reinigung veranlassen",IF(AS47="","Namensschilder bestellen",IF(AT47="","Kaution prüfen / G-Rem mutieren",IF(AU47="","Instandstellungs-Rechnung erfassen",IF(AV47="","Schlussabrechnung erstellen",IF(AW47="","Zahlungseingang kontrollieren","Fall abschliessen"))))))))))))))))))))))))))))))))</f>
        <v/>
      </c>
      <c r="J47" s="17">
        <f>IF(M47="","",IF(S47&lt;&gt;"",MAX(0,S47-M47-1),MAX(0,TODAY()-M47)))</f>
        <v/>
      </c>
      <c r="K47" s="16">
        <f>IF($B47="","",TRIM(IF(AND(L47&lt;&gt;"",M47&lt;&gt;"",M47&lt;L47),"Haftungsdatum vor Kündigung. ","")&amp;IF(AND(S47&lt;&gt;"",M47&lt;&gt;"",S47&lt;M47),"Vermietung vor Leerstandsbeginn. ","")&amp;IF(AND(Z47&lt;&gt;"",L47&lt;&gt;"",Z47&lt;L47),"WA-Termin vor Kündigung. ","")&amp;IF(COUNTIFS($B$5:$B$404,$B47,$AY$5:$AY$404,"")&gt;1,"Zweiter offener Fall zum selben Objekt. ","")&amp;IF(AND($A47&lt;&gt;"",COUNTIFS($A$5:$A$404,$A47)&gt;1),"Fall-Nr. doppelt vergeben. ","")&amp;IF(E47="","ex-Mieter fehlt. ","")&amp;IF(M47="","Haftungsdatum fehlt. ","")&amp;IF(F47="","Bewirtschafter fehlt. ","")&amp;IF(AND(AY47&lt;&gt;"",AW47=""),"Abgeschlossen trotz offener Schlussabrechnung. ","")&amp;IF(AND(AY47="",S47="",ISNUMBER(J47),J47&gt;60),"Langläufer über 60 Tage. ","")))</f>
        <v/>
      </c>
      <c r="L47" s="18" t="n"/>
      <c r="M47" s="18" t="n"/>
      <c r="N47" s="19">
        <f>IF(M47="","",M47+1)</f>
        <v/>
      </c>
      <c r="O47" s="17">
        <f>IF(OR(L47="",M47=""),"",M47-L47)</f>
        <v/>
      </c>
      <c r="P47" s="16">
        <f>IF(M47="","",YEAR(M47+1)&amp;"-"&amp;TEXT(MONTH(M47+1),"00"))</f>
        <v/>
      </c>
      <c r="Q47" s="18" t="n"/>
      <c r="R47" s="15" t="n"/>
      <c r="S47" s="18" t="n"/>
      <c r="T47" s="16">
        <f>IF(U47="","",IF(LEFT(U47,1)="6","abgeschlossen",IF(OR(LEFT(U47,1)="1",LEFT(U47,1)="2"),"Kündigung &amp; Abnahme",IF(OR(LEFT(U47,1)="3",LEFT(U47,1)="4"),"Wiedervermietung","Schlussabrechnung"))))</f>
        <v/>
      </c>
      <c r="U47" s="16">
        <f>IF($B47="","",IF(AY47&lt;&gt;"","6 · abgeschlossen",IF(AW47&lt;&gt;"","5 · bereit zum Abschluss",IF(AT47&lt;&gt;"","5 · Schlussabrechnung",IF(AO47&lt;&gt;"","4 · Übergabe",IF(AM47&lt;&gt;"","3 · Neuvermietung",IF(M47&lt;&gt;"","2 · Abnahme &amp; Vermarktung","1 · Erfassung")))))))</f>
        <v/>
      </c>
      <c r="V47" s="15" t="n"/>
      <c r="W47" s="20" t="n"/>
      <c r="X47" s="15" t="n"/>
      <c r="Y47" s="15" t="n"/>
      <c r="Z47" s="18" t="n"/>
      <c r="AA47" s="19">
        <f>IF(M47="","",M47-30)</f>
        <v/>
      </c>
      <c r="AB47" s="19">
        <f>IF(ISNUMBER(AJ47),AJ47+3,"")</f>
        <v/>
      </c>
      <c r="AC47" s="18" t="n"/>
      <c r="AD47" s="18" t="n"/>
      <c r="AE47" s="18" t="n"/>
      <c r="AF47" s="18" t="n"/>
      <c r="AG47" s="18" t="n"/>
      <c r="AH47" s="18" t="n"/>
      <c r="AI47" s="18" t="n"/>
      <c r="AJ47" s="18" t="n"/>
      <c r="AK47" s="18" t="n"/>
      <c r="AL47" s="18" t="n"/>
      <c r="AM47" s="18" t="n"/>
      <c r="AN47" s="18" t="n"/>
      <c r="AO47" s="18" t="n"/>
      <c r="AP47" s="18" t="n"/>
      <c r="AQ47" s="18" t="n"/>
      <c r="AR47" s="18" t="n"/>
      <c r="AS47" s="18" t="n"/>
      <c r="AT47" s="18" t="n"/>
      <c r="AU47" s="18" t="n"/>
      <c r="AV47" s="18" t="n"/>
      <c r="AW47" s="18" t="n"/>
      <c r="AX47" s="18" t="n"/>
      <c r="AY47" s="18" t="n"/>
      <c r="AZ47" s="15" t="n"/>
    </row>
    <row r="48">
      <c r="A48" s="15" t="n"/>
      <c r="B48" s="15" t="n"/>
      <c r="C48" s="15" t="n"/>
      <c r="D48" s="15" t="n"/>
      <c r="E48" s="15" t="n"/>
      <c r="F48" s="15" t="n"/>
      <c r="G48" s="16">
        <f>IF(F48="","",IFERROR(INDEX(Stammdaten!$B$5:$B$24,MATCH(F48,Stammdaten!$A$5:$A$24,0)),"unbekannt"))</f>
        <v/>
      </c>
      <c r="H48" s="16">
        <f>IF($B48="","",IF(AY48&lt;&gt;"","abgeschlossen",IF(AND(ISNUMBER(AX48),AX48&gt;=TODAY()),"zurückgestellt",IF(OR(AND(ISNUMBER(AA48),AA48&lt;TODAY(),Z48="",AJ48=""),AND(ISNUMBER(Z48),Z48&lt;TODAY(),AJ48=""),AND(ISNUMBER(AB48),AB48&lt;TODAY(),AK48=""),AND(ISNUMBER(AC48),AC48&lt;TODAY(),AO48=""),AND(ISNUMBER(AD48),AD48&lt;TODAY(),AQ48="")),"überfällig","offen"))))</f>
        <v/>
      </c>
      <c r="I48" s="16">
        <f>IF($B48="","",IF(AY48&lt;&gt;"","—",IF(AND(ISNUMBER(AA48),AA48&lt;TODAY(),Z48="",AJ48=""),"Abnahmetermin vereinbaren – Sollfrist verstrichen",IF(AND(ISNUMBER(Z48),Z48&lt;TODAY(),AJ48=""),"Wohnungsabnahme nachtragen – Termin war fällig",IF(AND(ISNUMBER(AB48),AB48&lt;TODAY(),AK48=""),"Handwerker aufbieten – Frist verstrichen",IF(AND(ISNUMBER(AC48),AC48&lt;TODAY(),AO48=""),"Vertrag retour mahnen – Frist verstrichen",IF(AND(ISNUMBER(AD48),AD48&lt;TODAY(),AQ48=""),"Schlüsselübergabe nachtragen – Termin war fällig",IF(M48="","Haftungsdatum erfassen",IF(E48="","ex-Mieter erfassen",IF(AE48="","Kündigung bestätigen / G-Rem",IF(AF48="","Werke / EGT melden",IF(AG48="","Vorbesichtigung (oder n.e.)",IF(AH48="","VMZ aktualisieren",IF(AI48="","Inserat aufschalten",IF(AND(Z48="",AJ48=""),"Abnahmetermin vereinbaren",IF(AJ48="","Wohnungsabnahme durchführen",IF(AK48="","Handwerker aufbieten",IF(AL48="","Zustimmungserklärung einholen",IF(AM48="","Instandstellungen beauftragen",IF(R48="","Nachmieter erfassen",IF(AN48="","Vertrag versenden",IF(AO48="","Vertrag retour erfassen",IF(S48="","Vermietet per erfassen",IF(AP48="","Werke / EGT über Einzug informieren",IF(AND(AD48="",AQ48=""),"Schlüsselübergabe terminieren",IF(AQ48="","Schlüsselübergabe durchführen",IF(AR48="","Reinigung veranlassen",IF(AS48="","Namensschilder bestellen",IF(AT48="","Kaution prüfen / G-Rem mutieren",IF(AU48="","Instandstellungs-Rechnung erfassen",IF(AV48="","Schlussabrechnung erstellen",IF(AW48="","Zahlungseingang kontrollieren","Fall abschliessen"))))))))))))))))))))))))))))))))</f>
        <v/>
      </c>
      <c r="J48" s="17">
        <f>IF(M48="","",IF(S48&lt;&gt;"",MAX(0,S48-M48-1),MAX(0,TODAY()-M48)))</f>
        <v/>
      </c>
      <c r="K48" s="16">
        <f>IF($B48="","",TRIM(IF(AND(L48&lt;&gt;"",M48&lt;&gt;"",M48&lt;L48),"Haftungsdatum vor Kündigung. ","")&amp;IF(AND(S48&lt;&gt;"",M48&lt;&gt;"",S48&lt;M48),"Vermietung vor Leerstandsbeginn. ","")&amp;IF(AND(Z48&lt;&gt;"",L48&lt;&gt;"",Z48&lt;L48),"WA-Termin vor Kündigung. ","")&amp;IF(COUNTIFS($B$5:$B$404,$B48,$AY$5:$AY$404,"")&gt;1,"Zweiter offener Fall zum selben Objekt. ","")&amp;IF(AND($A48&lt;&gt;"",COUNTIFS($A$5:$A$404,$A48)&gt;1),"Fall-Nr. doppelt vergeben. ","")&amp;IF(E48="","ex-Mieter fehlt. ","")&amp;IF(M48="","Haftungsdatum fehlt. ","")&amp;IF(F48="","Bewirtschafter fehlt. ","")&amp;IF(AND(AY48&lt;&gt;"",AW48=""),"Abgeschlossen trotz offener Schlussabrechnung. ","")&amp;IF(AND(AY48="",S48="",ISNUMBER(J48),J48&gt;60),"Langläufer über 60 Tage. ","")))</f>
        <v/>
      </c>
      <c r="L48" s="18" t="n"/>
      <c r="M48" s="18" t="n"/>
      <c r="N48" s="19">
        <f>IF(M48="","",M48+1)</f>
        <v/>
      </c>
      <c r="O48" s="17">
        <f>IF(OR(L48="",M48=""),"",M48-L48)</f>
        <v/>
      </c>
      <c r="P48" s="16">
        <f>IF(M48="","",YEAR(M48+1)&amp;"-"&amp;TEXT(MONTH(M48+1),"00"))</f>
        <v/>
      </c>
      <c r="Q48" s="18" t="n"/>
      <c r="R48" s="15" t="n"/>
      <c r="S48" s="18" t="n"/>
      <c r="T48" s="16">
        <f>IF(U48="","",IF(LEFT(U48,1)="6","abgeschlossen",IF(OR(LEFT(U48,1)="1",LEFT(U48,1)="2"),"Kündigung &amp; Abnahme",IF(OR(LEFT(U48,1)="3",LEFT(U48,1)="4"),"Wiedervermietung","Schlussabrechnung"))))</f>
        <v/>
      </c>
      <c r="U48" s="16">
        <f>IF($B48="","",IF(AY48&lt;&gt;"","6 · abgeschlossen",IF(AW48&lt;&gt;"","5 · bereit zum Abschluss",IF(AT48&lt;&gt;"","5 · Schlussabrechnung",IF(AO48&lt;&gt;"","4 · Übergabe",IF(AM48&lt;&gt;"","3 · Neuvermietung",IF(M48&lt;&gt;"","2 · Abnahme &amp; Vermarktung","1 · Erfassung")))))))</f>
        <v/>
      </c>
      <c r="V48" s="15" t="n"/>
      <c r="W48" s="20" t="n"/>
      <c r="X48" s="15" t="n"/>
      <c r="Y48" s="15" t="n"/>
      <c r="Z48" s="18" t="n"/>
      <c r="AA48" s="19">
        <f>IF(M48="","",M48-30)</f>
        <v/>
      </c>
      <c r="AB48" s="19">
        <f>IF(ISNUMBER(AJ48),AJ48+3,"")</f>
        <v/>
      </c>
      <c r="AC48" s="18" t="n"/>
      <c r="AD48" s="18" t="n"/>
      <c r="AE48" s="18" t="n"/>
      <c r="AF48" s="18" t="n"/>
      <c r="AG48" s="18" t="n"/>
      <c r="AH48" s="18" t="n"/>
      <c r="AI48" s="18" t="n"/>
      <c r="AJ48" s="18" t="n"/>
      <c r="AK48" s="18" t="n"/>
      <c r="AL48" s="18" t="n"/>
      <c r="AM48" s="18" t="n"/>
      <c r="AN48" s="18" t="n"/>
      <c r="AO48" s="18" t="n"/>
      <c r="AP48" s="18" t="n"/>
      <c r="AQ48" s="18" t="n"/>
      <c r="AR48" s="18" t="n"/>
      <c r="AS48" s="18" t="n"/>
      <c r="AT48" s="18" t="n"/>
      <c r="AU48" s="18" t="n"/>
      <c r="AV48" s="18" t="n"/>
      <c r="AW48" s="18" t="n"/>
      <c r="AX48" s="18" t="n"/>
      <c r="AY48" s="18" t="n"/>
      <c r="AZ48" s="15" t="n"/>
    </row>
    <row r="49">
      <c r="A49" s="15" t="n"/>
      <c r="B49" s="15" t="n"/>
      <c r="C49" s="15" t="n"/>
      <c r="D49" s="15" t="n"/>
      <c r="E49" s="15" t="n"/>
      <c r="F49" s="15" t="n"/>
      <c r="G49" s="16">
        <f>IF(F49="","",IFERROR(INDEX(Stammdaten!$B$5:$B$24,MATCH(F49,Stammdaten!$A$5:$A$24,0)),"unbekannt"))</f>
        <v/>
      </c>
      <c r="H49" s="16">
        <f>IF($B49="","",IF(AY49&lt;&gt;"","abgeschlossen",IF(AND(ISNUMBER(AX49),AX49&gt;=TODAY()),"zurückgestellt",IF(OR(AND(ISNUMBER(AA49),AA49&lt;TODAY(),Z49="",AJ49=""),AND(ISNUMBER(Z49),Z49&lt;TODAY(),AJ49=""),AND(ISNUMBER(AB49),AB49&lt;TODAY(),AK49=""),AND(ISNUMBER(AC49),AC49&lt;TODAY(),AO49=""),AND(ISNUMBER(AD49),AD49&lt;TODAY(),AQ49="")),"überfällig","offen"))))</f>
        <v/>
      </c>
      <c r="I49" s="16">
        <f>IF($B49="","",IF(AY49&lt;&gt;"","—",IF(AND(ISNUMBER(AA49),AA49&lt;TODAY(),Z49="",AJ49=""),"Abnahmetermin vereinbaren – Sollfrist verstrichen",IF(AND(ISNUMBER(Z49),Z49&lt;TODAY(),AJ49=""),"Wohnungsabnahme nachtragen – Termin war fällig",IF(AND(ISNUMBER(AB49),AB49&lt;TODAY(),AK49=""),"Handwerker aufbieten – Frist verstrichen",IF(AND(ISNUMBER(AC49),AC49&lt;TODAY(),AO49=""),"Vertrag retour mahnen – Frist verstrichen",IF(AND(ISNUMBER(AD49),AD49&lt;TODAY(),AQ49=""),"Schlüsselübergabe nachtragen – Termin war fällig",IF(M49="","Haftungsdatum erfassen",IF(E49="","ex-Mieter erfassen",IF(AE49="","Kündigung bestätigen / G-Rem",IF(AF49="","Werke / EGT melden",IF(AG49="","Vorbesichtigung (oder n.e.)",IF(AH49="","VMZ aktualisieren",IF(AI49="","Inserat aufschalten",IF(AND(Z49="",AJ49=""),"Abnahmetermin vereinbaren",IF(AJ49="","Wohnungsabnahme durchführen",IF(AK49="","Handwerker aufbieten",IF(AL49="","Zustimmungserklärung einholen",IF(AM49="","Instandstellungen beauftragen",IF(R49="","Nachmieter erfassen",IF(AN49="","Vertrag versenden",IF(AO49="","Vertrag retour erfassen",IF(S49="","Vermietet per erfassen",IF(AP49="","Werke / EGT über Einzug informieren",IF(AND(AD49="",AQ49=""),"Schlüsselübergabe terminieren",IF(AQ49="","Schlüsselübergabe durchführen",IF(AR49="","Reinigung veranlassen",IF(AS49="","Namensschilder bestellen",IF(AT49="","Kaution prüfen / G-Rem mutieren",IF(AU49="","Instandstellungs-Rechnung erfassen",IF(AV49="","Schlussabrechnung erstellen",IF(AW49="","Zahlungseingang kontrollieren","Fall abschliessen"))))))))))))))))))))))))))))))))</f>
        <v/>
      </c>
      <c r="J49" s="17">
        <f>IF(M49="","",IF(S49&lt;&gt;"",MAX(0,S49-M49-1),MAX(0,TODAY()-M49)))</f>
        <v/>
      </c>
      <c r="K49" s="16">
        <f>IF($B49="","",TRIM(IF(AND(L49&lt;&gt;"",M49&lt;&gt;"",M49&lt;L49),"Haftungsdatum vor Kündigung. ","")&amp;IF(AND(S49&lt;&gt;"",M49&lt;&gt;"",S49&lt;M49),"Vermietung vor Leerstandsbeginn. ","")&amp;IF(AND(Z49&lt;&gt;"",L49&lt;&gt;"",Z49&lt;L49),"WA-Termin vor Kündigung. ","")&amp;IF(COUNTIFS($B$5:$B$404,$B49,$AY$5:$AY$404,"")&gt;1,"Zweiter offener Fall zum selben Objekt. ","")&amp;IF(AND($A49&lt;&gt;"",COUNTIFS($A$5:$A$404,$A49)&gt;1),"Fall-Nr. doppelt vergeben. ","")&amp;IF(E49="","ex-Mieter fehlt. ","")&amp;IF(M49="","Haftungsdatum fehlt. ","")&amp;IF(F49="","Bewirtschafter fehlt. ","")&amp;IF(AND(AY49&lt;&gt;"",AW49=""),"Abgeschlossen trotz offener Schlussabrechnung. ","")&amp;IF(AND(AY49="",S49="",ISNUMBER(J49),J49&gt;60),"Langläufer über 60 Tage. ","")))</f>
        <v/>
      </c>
      <c r="L49" s="18" t="n"/>
      <c r="M49" s="18" t="n"/>
      <c r="N49" s="19">
        <f>IF(M49="","",M49+1)</f>
        <v/>
      </c>
      <c r="O49" s="17">
        <f>IF(OR(L49="",M49=""),"",M49-L49)</f>
        <v/>
      </c>
      <c r="P49" s="16">
        <f>IF(M49="","",YEAR(M49+1)&amp;"-"&amp;TEXT(MONTH(M49+1),"00"))</f>
        <v/>
      </c>
      <c r="Q49" s="18" t="n"/>
      <c r="R49" s="15" t="n"/>
      <c r="S49" s="18" t="n"/>
      <c r="T49" s="16">
        <f>IF(U49="","",IF(LEFT(U49,1)="6","abgeschlossen",IF(OR(LEFT(U49,1)="1",LEFT(U49,1)="2"),"Kündigung &amp; Abnahme",IF(OR(LEFT(U49,1)="3",LEFT(U49,1)="4"),"Wiedervermietung","Schlussabrechnung"))))</f>
        <v/>
      </c>
      <c r="U49" s="16">
        <f>IF($B49="","",IF(AY49&lt;&gt;"","6 · abgeschlossen",IF(AW49&lt;&gt;"","5 · bereit zum Abschluss",IF(AT49&lt;&gt;"","5 · Schlussabrechnung",IF(AO49&lt;&gt;"","4 · Übergabe",IF(AM49&lt;&gt;"","3 · Neuvermietung",IF(M49&lt;&gt;"","2 · Abnahme &amp; Vermarktung","1 · Erfassung")))))))</f>
        <v/>
      </c>
      <c r="V49" s="15" t="n"/>
      <c r="W49" s="20" t="n"/>
      <c r="X49" s="15" t="n"/>
      <c r="Y49" s="15" t="n"/>
      <c r="Z49" s="18" t="n"/>
      <c r="AA49" s="19">
        <f>IF(M49="","",M49-30)</f>
        <v/>
      </c>
      <c r="AB49" s="19">
        <f>IF(ISNUMBER(AJ49),AJ49+3,"")</f>
        <v/>
      </c>
      <c r="AC49" s="18" t="n"/>
      <c r="AD49" s="18" t="n"/>
      <c r="AE49" s="18" t="n"/>
      <c r="AF49" s="18" t="n"/>
      <c r="AG49" s="18" t="n"/>
      <c r="AH49" s="18" t="n"/>
      <c r="AI49" s="18" t="n"/>
      <c r="AJ49" s="18" t="n"/>
      <c r="AK49" s="18" t="n"/>
      <c r="AL49" s="18" t="n"/>
      <c r="AM49" s="18" t="n"/>
      <c r="AN49" s="18" t="n"/>
      <c r="AO49" s="18" t="n"/>
      <c r="AP49" s="18" t="n"/>
      <c r="AQ49" s="18" t="n"/>
      <c r="AR49" s="18" t="n"/>
      <c r="AS49" s="18" t="n"/>
      <c r="AT49" s="18" t="n"/>
      <c r="AU49" s="18" t="n"/>
      <c r="AV49" s="18" t="n"/>
      <c r="AW49" s="18" t="n"/>
      <c r="AX49" s="18" t="n"/>
      <c r="AY49" s="18" t="n"/>
      <c r="AZ49" s="15" t="n"/>
    </row>
    <row r="50">
      <c r="A50" s="15" t="n"/>
      <c r="B50" s="15" t="n"/>
      <c r="C50" s="15" t="n"/>
      <c r="D50" s="15" t="n"/>
      <c r="E50" s="15" t="n"/>
      <c r="F50" s="15" t="n"/>
      <c r="G50" s="16">
        <f>IF(F50="","",IFERROR(INDEX(Stammdaten!$B$5:$B$24,MATCH(F50,Stammdaten!$A$5:$A$24,0)),"unbekannt"))</f>
        <v/>
      </c>
      <c r="H50" s="16">
        <f>IF($B50="","",IF(AY50&lt;&gt;"","abgeschlossen",IF(AND(ISNUMBER(AX50),AX50&gt;=TODAY()),"zurückgestellt",IF(OR(AND(ISNUMBER(AA50),AA50&lt;TODAY(),Z50="",AJ50=""),AND(ISNUMBER(Z50),Z50&lt;TODAY(),AJ50=""),AND(ISNUMBER(AB50),AB50&lt;TODAY(),AK50=""),AND(ISNUMBER(AC50),AC50&lt;TODAY(),AO50=""),AND(ISNUMBER(AD50),AD50&lt;TODAY(),AQ50="")),"überfällig","offen"))))</f>
        <v/>
      </c>
      <c r="I50" s="16">
        <f>IF($B50="","",IF(AY50&lt;&gt;"","—",IF(AND(ISNUMBER(AA50),AA50&lt;TODAY(),Z50="",AJ50=""),"Abnahmetermin vereinbaren – Sollfrist verstrichen",IF(AND(ISNUMBER(Z50),Z50&lt;TODAY(),AJ50=""),"Wohnungsabnahme nachtragen – Termin war fällig",IF(AND(ISNUMBER(AB50),AB50&lt;TODAY(),AK50=""),"Handwerker aufbieten – Frist verstrichen",IF(AND(ISNUMBER(AC50),AC50&lt;TODAY(),AO50=""),"Vertrag retour mahnen – Frist verstrichen",IF(AND(ISNUMBER(AD50),AD50&lt;TODAY(),AQ50=""),"Schlüsselübergabe nachtragen – Termin war fällig",IF(M50="","Haftungsdatum erfassen",IF(E50="","ex-Mieter erfassen",IF(AE50="","Kündigung bestätigen / G-Rem",IF(AF50="","Werke / EGT melden",IF(AG50="","Vorbesichtigung (oder n.e.)",IF(AH50="","VMZ aktualisieren",IF(AI50="","Inserat aufschalten",IF(AND(Z50="",AJ50=""),"Abnahmetermin vereinbaren",IF(AJ50="","Wohnungsabnahme durchführen",IF(AK50="","Handwerker aufbieten",IF(AL50="","Zustimmungserklärung einholen",IF(AM50="","Instandstellungen beauftragen",IF(R50="","Nachmieter erfassen",IF(AN50="","Vertrag versenden",IF(AO50="","Vertrag retour erfassen",IF(S50="","Vermietet per erfassen",IF(AP50="","Werke / EGT über Einzug informieren",IF(AND(AD50="",AQ50=""),"Schlüsselübergabe terminieren",IF(AQ50="","Schlüsselübergabe durchführen",IF(AR50="","Reinigung veranlassen",IF(AS50="","Namensschilder bestellen",IF(AT50="","Kaution prüfen / G-Rem mutieren",IF(AU50="","Instandstellungs-Rechnung erfassen",IF(AV50="","Schlussabrechnung erstellen",IF(AW50="","Zahlungseingang kontrollieren","Fall abschliessen"))))))))))))))))))))))))))))))))</f>
        <v/>
      </c>
      <c r="J50" s="17">
        <f>IF(M50="","",IF(S50&lt;&gt;"",MAX(0,S50-M50-1),MAX(0,TODAY()-M50)))</f>
        <v/>
      </c>
      <c r="K50" s="16">
        <f>IF($B50="","",TRIM(IF(AND(L50&lt;&gt;"",M50&lt;&gt;"",M50&lt;L50),"Haftungsdatum vor Kündigung. ","")&amp;IF(AND(S50&lt;&gt;"",M50&lt;&gt;"",S50&lt;M50),"Vermietung vor Leerstandsbeginn. ","")&amp;IF(AND(Z50&lt;&gt;"",L50&lt;&gt;"",Z50&lt;L50),"WA-Termin vor Kündigung. ","")&amp;IF(COUNTIFS($B$5:$B$404,$B50,$AY$5:$AY$404,"")&gt;1,"Zweiter offener Fall zum selben Objekt. ","")&amp;IF(AND($A50&lt;&gt;"",COUNTIFS($A$5:$A$404,$A50)&gt;1),"Fall-Nr. doppelt vergeben. ","")&amp;IF(E50="","ex-Mieter fehlt. ","")&amp;IF(M50="","Haftungsdatum fehlt. ","")&amp;IF(F50="","Bewirtschafter fehlt. ","")&amp;IF(AND(AY50&lt;&gt;"",AW50=""),"Abgeschlossen trotz offener Schlussabrechnung. ","")&amp;IF(AND(AY50="",S50="",ISNUMBER(J50),J50&gt;60),"Langläufer über 60 Tage. ","")))</f>
        <v/>
      </c>
      <c r="L50" s="18" t="n"/>
      <c r="M50" s="18" t="n"/>
      <c r="N50" s="19">
        <f>IF(M50="","",M50+1)</f>
        <v/>
      </c>
      <c r="O50" s="17">
        <f>IF(OR(L50="",M50=""),"",M50-L50)</f>
        <v/>
      </c>
      <c r="P50" s="16">
        <f>IF(M50="","",YEAR(M50+1)&amp;"-"&amp;TEXT(MONTH(M50+1),"00"))</f>
        <v/>
      </c>
      <c r="Q50" s="18" t="n"/>
      <c r="R50" s="15" t="n"/>
      <c r="S50" s="18" t="n"/>
      <c r="T50" s="16">
        <f>IF(U50="","",IF(LEFT(U50,1)="6","abgeschlossen",IF(OR(LEFT(U50,1)="1",LEFT(U50,1)="2"),"Kündigung &amp; Abnahme",IF(OR(LEFT(U50,1)="3",LEFT(U50,1)="4"),"Wiedervermietung","Schlussabrechnung"))))</f>
        <v/>
      </c>
      <c r="U50" s="16">
        <f>IF($B50="","",IF(AY50&lt;&gt;"","6 · abgeschlossen",IF(AW50&lt;&gt;"","5 · bereit zum Abschluss",IF(AT50&lt;&gt;"","5 · Schlussabrechnung",IF(AO50&lt;&gt;"","4 · Übergabe",IF(AM50&lt;&gt;"","3 · Neuvermietung",IF(M50&lt;&gt;"","2 · Abnahme &amp; Vermarktung","1 · Erfassung")))))))</f>
        <v/>
      </c>
      <c r="V50" s="15" t="n"/>
      <c r="W50" s="20" t="n"/>
      <c r="X50" s="15" t="n"/>
      <c r="Y50" s="15" t="n"/>
      <c r="Z50" s="18" t="n"/>
      <c r="AA50" s="19">
        <f>IF(M50="","",M50-30)</f>
        <v/>
      </c>
      <c r="AB50" s="19">
        <f>IF(ISNUMBER(AJ50),AJ50+3,"")</f>
        <v/>
      </c>
      <c r="AC50" s="18" t="n"/>
      <c r="AD50" s="18" t="n"/>
      <c r="AE50" s="18" t="n"/>
      <c r="AF50" s="18" t="n"/>
      <c r="AG50" s="18" t="n"/>
      <c r="AH50" s="18" t="n"/>
      <c r="AI50" s="18" t="n"/>
      <c r="AJ50" s="18" t="n"/>
      <c r="AK50" s="18" t="n"/>
      <c r="AL50" s="18" t="n"/>
      <c r="AM50" s="18" t="n"/>
      <c r="AN50" s="18" t="n"/>
      <c r="AO50" s="18" t="n"/>
      <c r="AP50" s="18" t="n"/>
      <c r="AQ50" s="18" t="n"/>
      <c r="AR50" s="18" t="n"/>
      <c r="AS50" s="18" t="n"/>
      <c r="AT50" s="18" t="n"/>
      <c r="AU50" s="18" t="n"/>
      <c r="AV50" s="18" t="n"/>
      <c r="AW50" s="18" t="n"/>
      <c r="AX50" s="18" t="n"/>
      <c r="AY50" s="18" t="n"/>
      <c r="AZ50" s="15" t="n"/>
    </row>
    <row r="51">
      <c r="A51" s="15" t="n"/>
      <c r="B51" s="15" t="n"/>
      <c r="C51" s="15" t="n"/>
      <c r="D51" s="15" t="n"/>
      <c r="E51" s="15" t="n"/>
      <c r="F51" s="15" t="n"/>
      <c r="G51" s="16">
        <f>IF(F51="","",IFERROR(INDEX(Stammdaten!$B$5:$B$24,MATCH(F51,Stammdaten!$A$5:$A$24,0)),"unbekannt"))</f>
        <v/>
      </c>
      <c r="H51" s="16">
        <f>IF($B51="","",IF(AY51&lt;&gt;"","abgeschlossen",IF(AND(ISNUMBER(AX51),AX51&gt;=TODAY()),"zurückgestellt",IF(OR(AND(ISNUMBER(AA51),AA51&lt;TODAY(),Z51="",AJ51=""),AND(ISNUMBER(Z51),Z51&lt;TODAY(),AJ51=""),AND(ISNUMBER(AB51),AB51&lt;TODAY(),AK51=""),AND(ISNUMBER(AC51),AC51&lt;TODAY(),AO51=""),AND(ISNUMBER(AD51),AD51&lt;TODAY(),AQ51="")),"überfällig","offen"))))</f>
        <v/>
      </c>
      <c r="I51" s="16">
        <f>IF($B51="","",IF(AY51&lt;&gt;"","—",IF(AND(ISNUMBER(AA51),AA51&lt;TODAY(),Z51="",AJ51=""),"Abnahmetermin vereinbaren – Sollfrist verstrichen",IF(AND(ISNUMBER(Z51),Z51&lt;TODAY(),AJ51=""),"Wohnungsabnahme nachtragen – Termin war fällig",IF(AND(ISNUMBER(AB51),AB51&lt;TODAY(),AK51=""),"Handwerker aufbieten – Frist verstrichen",IF(AND(ISNUMBER(AC51),AC51&lt;TODAY(),AO51=""),"Vertrag retour mahnen – Frist verstrichen",IF(AND(ISNUMBER(AD51),AD51&lt;TODAY(),AQ51=""),"Schlüsselübergabe nachtragen – Termin war fällig",IF(M51="","Haftungsdatum erfassen",IF(E51="","ex-Mieter erfassen",IF(AE51="","Kündigung bestätigen / G-Rem",IF(AF51="","Werke / EGT melden",IF(AG51="","Vorbesichtigung (oder n.e.)",IF(AH51="","VMZ aktualisieren",IF(AI51="","Inserat aufschalten",IF(AND(Z51="",AJ51=""),"Abnahmetermin vereinbaren",IF(AJ51="","Wohnungsabnahme durchführen",IF(AK51="","Handwerker aufbieten",IF(AL51="","Zustimmungserklärung einholen",IF(AM51="","Instandstellungen beauftragen",IF(R51="","Nachmieter erfassen",IF(AN51="","Vertrag versenden",IF(AO51="","Vertrag retour erfassen",IF(S51="","Vermietet per erfassen",IF(AP51="","Werke / EGT über Einzug informieren",IF(AND(AD51="",AQ51=""),"Schlüsselübergabe terminieren",IF(AQ51="","Schlüsselübergabe durchführen",IF(AR51="","Reinigung veranlassen",IF(AS51="","Namensschilder bestellen",IF(AT51="","Kaution prüfen / G-Rem mutieren",IF(AU51="","Instandstellungs-Rechnung erfassen",IF(AV51="","Schlussabrechnung erstellen",IF(AW51="","Zahlungseingang kontrollieren","Fall abschliessen"))))))))))))))))))))))))))))))))</f>
        <v/>
      </c>
      <c r="J51" s="17">
        <f>IF(M51="","",IF(S51&lt;&gt;"",MAX(0,S51-M51-1),MAX(0,TODAY()-M51)))</f>
        <v/>
      </c>
      <c r="K51" s="16">
        <f>IF($B51="","",TRIM(IF(AND(L51&lt;&gt;"",M51&lt;&gt;"",M51&lt;L51),"Haftungsdatum vor Kündigung. ","")&amp;IF(AND(S51&lt;&gt;"",M51&lt;&gt;"",S51&lt;M51),"Vermietung vor Leerstandsbeginn. ","")&amp;IF(AND(Z51&lt;&gt;"",L51&lt;&gt;"",Z51&lt;L51),"WA-Termin vor Kündigung. ","")&amp;IF(COUNTIFS($B$5:$B$404,$B51,$AY$5:$AY$404,"")&gt;1,"Zweiter offener Fall zum selben Objekt. ","")&amp;IF(AND($A51&lt;&gt;"",COUNTIFS($A$5:$A$404,$A51)&gt;1),"Fall-Nr. doppelt vergeben. ","")&amp;IF(E51="","ex-Mieter fehlt. ","")&amp;IF(M51="","Haftungsdatum fehlt. ","")&amp;IF(F51="","Bewirtschafter fehlt. ","")&amp;IF(AND(AY51&lt;&gt;"",AW51=""),"Abgeschlossen trotz offener Schlussabrechnung. ","")&amp;IF(AND(AY51="",S51="",ISNUMBER(J51),J51&gt;60),"Langläufer über 60 Tage. ","")))</f>
        <v/>
      </c>
      <c r="L51" s="18" t="n"/>
      <c r="M51" s="18" t="n"/>
      <c r="N51" s="19">
        <f>IF(M51="","",M51+1)</f>
        <v/>
      </c>
      <c r="O51" s="17">
        <f>IF(OR(L51="",M51=""),"",M51-L51)</f>
        <v/>
      </c>
      <c r="P51" s="16">
        <f>IF(M51="","",YEAR(M51+1)&amp;"-"&amp;TEXT(MONTH(M51+1),"00"))</f>
        <v/>
      </c>
      <c r="Q51" s="18" t="n"/>
      <c r="R51" s="15" t="n"/>
      <c r="S51" s="18" t="n"/>
      <c r="T51" s="16">
        <f>IF(U51="","",IF(LEFT(U51,1)="6","abgeschlossen",IF(OR(LEFT(U51,1)="1",LEFT(U51,1)="2"),"Kündigung &amp; Abnahme",IF(OR(LEFT(U51,1)="3",LEFT(U51,1)="4"),"Wiedervermietung","Schlussabrechnung"))))</f>
        <v/>
      </c>
      <c r="U51" s="16">
        <f>IF($B51="","",IF(AY51&lt;&gt;"","6 · abgeschlossen",IF(AW51&lt;&gt;"","5 · bereit zum Abschluss",IF(AT51&lt;&gt;"","5 · Schlussabrechnung",IF(AO51&lt;&gt;"","4 · Übergabe",IF(AM51&lt;&gt;"","3 · Neuvermietung",IF(M51&lt;&gt;"","2 · Abnahme &amp; Vermarktung","1 · Erfassung")))))))</f>
        <v/>
      </c>
      <c r="V51" s="15" t="n"/>
      <c r="W51" s="20" t="n"/>
      <c r="X51" s="15" t="n"/>
      <c r="Y51" s="15" t="n"/>
      <c r="Z51" s="18" t="n"/>
      <c r="AA51" s="19">
        <f>IF(M51="","",M51-30)</f>
        <v/>
      </c>
      <c r="AB51" s="19">
        <f>IF(ISNUMBER(AJ51),AJ51+3,"")</f>
        <v/>
      </c>
      <c r="AC51" s="18" t="n"/>
      <c r="AD51" s="18" t="n"/>
      <c r="AE51" s="18" t="n"/>
      <c r="AF51" s="18" t="n"/>
      <c r="AG51" s="18" t="n"/>
      <c r="AH51" s="18" t="n"/>
      <c r="AI51" s="18" t="n"/>
      <c r="AJ51" s="18" t="n"/>
      <c r="AK51" s="18" t="n"/>
      <c r="AL51" s="18" t="n"/>
      <c r="AM51" s="18" t="n"/>
      <c r="AN51" s="18" t="n"/>
      <c r="AO51" s="18" t="n"/>
      <c r="AP51" s="18" t="n"/>
      <c r="AQ51" s="18" t="n"/>
      <c r="AR51" s="18" t="n"/>
      <c r="AS51" s="18" t="n"/>
      <c r="AT51" s="18" t="n"/>
      <c r="AU51" s="18" t="n"/>
      <c r="AV51" s="18" t="n"/>
      <c r="AW51" s="18" t="n"/>
      <c r="AX51" s="18" t="n"/>
      <c r="AY51" s="18" t="n"/>
      <c r="AZ51" s="15" t="n"/>
    </row>
    <row r="52">
      <c r="A52" s="15" t="n"/>
      <c r="B52" s="15" t="n"/>
      <c r="C52" s="15" t="n"/>
      <c r="D52" s="15" t="n"/>
      <c r="E52" s="15" t="n"/>
      <c r="F52" s="15" t="n"/>
      <c r="G52" s="16">
        <f>IF(F52="","",IFERROR(INDEX(Stammdaten!$B$5:$B$24,MATCH(F52,Stammdaten!$A$5:$A$24,0)),"unbekannt"))</f>
        <v/>
      </c>
      <c r="H52" s="16">
        <f>IF($B52="","",IF(AY52&lt;&gt;"","abgeschlossen",IF(AND(ISNUMBER(AX52),AX52&gt;=TODAY()),"zurückgestellt",IF(OR(AND(ISNUMBER(AA52),AA52&lt;TODAY(),Z52="",AJ52=""),AND(ISNUMBER(Z52),Z52&lt;TODAY(),AJ52=""),AND(ISNUMBER(AB52),AB52&lt;TODAY(),AK52=""),AND(ISNUMBER(AC52),AC52&lt;TODAY(),AO52=""),AND(ISNUMBER(AD52),AD52&lt;TODAY(),AQ52="")),"überfällig","offen"))))</f>
        <v/>
      </c>
      <c r="I52" s="16">
        <f>IF($B52="","",IF(AY52&lt;&gt;"","—",IF(AND(ISNUMBER(AA52),AA52&lt;TODAY(),Z52="",AJ52=""),"Abnahmetermin vereinbaren – Sollfrist verstrichen",IF(AND(ISNUMBER(Z52),Z52&lt;TODAY(),AJ52=""),"Wohnungsabnahme nachtragen – Termin war fällig",IF(AND(ISNUMBER(AB52),AB52&lt;TODAY(),AK52=""),"Handwerker aufbieten – Frist verstrichen",IF(AND(ISNUMBER(AC52),AC52&lt;TODAY(),AO52=""),"Vertrag retour mahnen – Frist verstrichen",IF(AND(ISNUMBER(AD52),AD52&lt;TODAY(),AQ52=""),"Schlüsselübergabe nachtragen – Termin war fällig",IF(M52="","Haftungsdatum erfassen",IF(E52="","ex-Mieter erfassen",IF(AE52="","Kündigung bestätigen / G-Rem",IF(AF52="","Werke / EGT melden",IF(AG52="","Vorbesichtigung (oder n.e.)",IF(AH52="","VMZ aktualisieren",IF(AI52="","Inserat aufschalten",IF(AND(Z52="",AJ52=""),"Abnahmetermin vereinbaren",IF(AJ52="","Wohnungsabnahme durchführen",IF(AK52="","Handwerker aufbieten",IF(AL52="","Zustimmungserklärung einholen",IF(AM52="","Instandstellungen beauftragen",IF(R52="","Nachmieter erfassen",IF(AN52="","Vertrag versenden",IF(AO52="","Vertrag retour erfassen",IF(S52="","Vermietet per erfassen",IF(AP52="","Werke / EGT über Einzug informieren",IF(AND(AD52="",AQ52=""),"Schlüsselübergabe terminieren",IF(AQ52="","Schlüsselübergabe durchführen",IF(AR52="","Reinigung veranlassen",IF(AS52="","Namensschilder bestellen",IF(AT52="","Kaution prüfen / G-Rem mutieren",IF(AU52="","Instandstellungs-Rechnung erfassen",IF(AV52="","Schlussabrechnung erstellen",IF(AW52="","Zahlungseingang kontrollieren","Fall abschliessen"))))))))))))))))))))))))))))))))</f>
        <v/>
      </c>
      <c r="J52" s="17">
        <f>IF(M52="","",IF(S52&lt;&gt;"",MAX(0,S52-M52-1),MAX(0,TODAY()-M52)))</f>
        <v/>
      </c>
      <c r="K52" s="16">
        <f>IF($B52="","",TRIM(IF(AND(L52&lt;&gt;"",M52&lt;&gt;"",M52&lt;L52),"Haftungsdatum vor Kündigung. ","")&amp;IF(AND(S52&lt;&gt;"",M52&lt;&gt;"",S52&lt;M52),"Vermietung vor Leerstandsbeginn. ","")&amp;IF(AND(Z52&lt;&gt;"",L52&lt;&gt;"",Z52&lt;L52),"WA-Termin vor Kündigung. ","")&amp;IF(COUNTIFS($B$5:$B$404,$B52,$AY$5:$AY$404,"")&gt;1,"Zweiter offener Fall zum selben Objekt. ","")&amp;IF(AND($A52&lt;&gt;"",COUNTIFS($A$5:$A$404,$A52)&gt;1),"Fall-Nr. doppelt vergeben. ","")&amp;IF(E52="","ex-Mieter fehlt. ","")&amp;IF(M52="","Haftungsdatum fehlt. ","")&amp;IF(F52="","Bewirtschafter fehlt. ","")&amp;IF(AND(AY52&lt;&gt;"",AW52=""),"Abgeschlossen trotz offener Schlussabrechnung. ","")&amp;IF(AND(AY52="",S52="",ISNUMBER(J52),J52&gt;60),"Langläufer über 60 Tage. ","")))</f>
        <v/>
      </c>
      <c r="L52" s="18" t="n"/>
      <c r="M52" s="18" t="n"/>
      <c r="N52" s="19">
        <f>IF(M52="","",M52+1)</f>
        <v/>
      </c>
      <c r="O52" s="17">
        <f>IF(OR(L52="",M52=""),"",M52-L52)</f>
        <v/>
      </c>
      <c r="P52" s="16">
        <f>IF(M52="","",YEAR(M52+1)&amp;"-"&amp;TEXT(MONTH(M52+1),"00"))</f>
        <v/>
      </c>
      <c r="Q52" s="18" t="n"/>
      <c r="R52" s="15" t="n"/>
      <c r="S52" s="18" t="n"/>
      <c r="T52" s="16">
        <f>IF(U52="","",IF(LEFT(U52,1)="6","abgeschlossen",IF(OR(LEFT(U52,1)="1",LEFT(U52,1)="2"),"Kündigung &amp; Abnahme",IF(OR(LEFT(U52,1)="3",LEFT(U52,1)="4"),"Wiedervermietung","Schlussabrechnung"))))</f>
        <v/>
      </c>
      <c r="U52" s="16">
        <f>IF($B52="","",IF(AY52&lt;&gt;"","6 · abgeschlossen",IF(AW52&lt;&gt;"","5 · bereit zum Abschluss",IF(AT52&lt;&gt;"","5 · Schlussabrechnung",IF(AO52&lt;&gt;"","4 · Übergabe",IF(AM52&lt;&gt;"","3 · Neuvermietung",IF(M52&lt;&gt;"","2 · Abnahme &amp; Vermarktung","1 · Erfassung")))))))</f>
        <v/>
      </c>
      <c r="V52" s="15" t="n"/>
      <c r="W52" s="20" t="n"/>
      <c r="X52" s="15" t="n"/>
      <c r="Y52" s="15" t="n"/>
      <c r="Z52" s="18" t="n"/>
      <c r="AA52" s="19">
        <f>IF(M52="","",M52-30)</f>
        <v/>
      </c>
      <c r="AB52" s="19">
        <f>IF(ISNUMBER(AJ52),AJ52+3,"")</f>
        <v/>
      </c>
      <c r="AC52" s="18" t="n"/>
      <c r="AD52" s="18" t="n"/>
      <c r="AE52" s="18" t="n"/>
      <c r="AF52" s="18" t="n"/>
      <c r="AG52" s="18" t="n"/>
      <c r="AH52" s="18" t="n"/>
      <c r="AI52" s="18" t="n"/>
      <c r="AJ52" s="18" t="n"/>
      <c r="AK52" s="18" t="n"/>
      <c r="AL52" s="18" t="n"/>
      <c r="AM52" s="18" t="n"/>
      <c r="AN52" s="18" t="n"/>
      <c r="AO52" s="18" t="n"/>
      <c r="AP52" s="18" t="n"/>
      <c r="AQ52" s="18" t="n"/>
      <c r="AR52" s="18" t="n"/>
      <c r="AS52" s="18" t="n"/>
      <c r="AT52" s="18" t="n"/>
      <c r="AU52" s="18" t="n"/>
      <c r="AV52" s="18" t="n"/>
      <c r="AW52" s="18" t="n"/>
      <c r="AX52" s="18" t="n"/>
      <c r="AY52" s="18" t="n"/>
      <c r="AZ52" s="15" t="n"/>
    </row>
    <row r="53">
      <c r="A53" s="15" t="n"/>
      <c r="B53" s="15" t="n"/>
      <c r="C53" s="15" t="n"/>
      <c r="D53" s="15" t="n"/>
      <c r="E53" s="15" t="n"/>
      <c r="F53" s="15" t="n"/>
      <c r="G53" s="16">
        <f>IF(F53="","",IFERROR(INDEX(Stammdaten!$B$5:$B$24,MATCH(F53,Stammdaten!$A$5:$A$24,0)),"unbekannt"))</f>
        <v/>
      </c>
      <c r="H53" s="16">
        <f>IF($B53="","",IF(AY53&lt;&gt;"","abgeschlossen",IF(AND(ISNUMBER(AX53),AX53&gt;=TODAY()),"zurückgestellt",IF(OR(AND(ISNUMBER(AA53),AA53&lt;TODAY(),Z53="",AJ53=""),AND(ISNUMBER(Z53),Z53&lt;TODAY(),AJ53=""),AND(ISNUMBER(AB53),AB53&lt;TODAY(),AK53=""),AND(ISNUMBER(AC53),AC53&lt;TODAY(),AO53=""),AND(ISNUMBER(AD53),AD53&lt;TODAY(),AQ53="")),"überfällig","offen"))))</f>
        <v/>
      </c>
      <c r="I53" s="16">
        <f>IF($B53="","",IF(AY53&lt;&gt;"","—",IF(AND(ISNUMBER(AA53),AA53&lt;TODAY(),Z53="",AJ53=""),"Abnahmetermin vereinbaren – Sollfrist verstrichen",IF(AND(ISNUMBER(Z53),Z53&lt;TODAY(),AJ53=""),"Wohnungsabnahme nachtragen – Termin war fällig",IF(AND(ISNUMBER(AB53),AB53&lt;TODAY(),AK53=""),"Handwerker aufbieten – Frist verstrichen",IF(AND(ISNUMBER(AC53),AC53&lt;TODAY(),AO53=""),"Vertrag retour mahnen – Frist verstrichen",IF(AND(ISNUMBER(AD53),AD53&lt;TODAY(),AQ53=""),"Schlüsselübergabe nachtragen – Termin war fällig",IF(M53="","Haftungsdatum erfassen",IF(E53="","ex-Mieter erfassen",IF(AE53="","Kündigung bestätigen / G-Rem",IF(AF53="","Werke / EGT melden",IF(AG53="","Vorbesichtigung (oder n.e.)",IF(AH53="","VMZ aktualisieren",IF(AI53="","Inserat aufschalten",IF(AND(Z53="",AJ53=""),"Abnahmetermin vereinbaren",IF(AJ53="","Wohnungsabnahme durchführen",IF(AK53="","Handwerker aufbieten",IF(AL53="","Zustimmungserklärung einholen",IF(AM53="","Instandstellungen beauftragen",IF(R53="","Nachmieter erfassen",IF(AN53="","Vertrag versenden",IF(AO53="","Vertrag retour erfassen",IF(S53="","Vermietet per erfassen",IF(AP53="","Werke / EGT über Einzug informieren",IF(AND(AD53="",AQ53=""),"Schlüsselübergabe terminieren",IF(AQ53="","Schlüsselübergabe durchführen",IF(AR53="","Reinigung veranlassen",IF(AS53="","Namensschilder bestellen",IF(AT53="","Kaution prüfen / G-Rem mutieren",IF(AU53="","Instandstellungs-Rechnung erfassen",IF(AV53="","Schlussabrechnung erstellen",IF(AW53="","Zahlungseingang kontrollieren","Fall abschliessen"))))))))))))))))))))))))))))))))</f>
        <v/>
      </c>
      <c r="J53" s="17">
        <f>IF(M53="","",IF(S53&lt;&gt;"",MAX(0,S53-M53-1),MAX(0,TODAY()-M53)))</f>
        <v/>
      </c>
      <c r="K53" s="16">
        <f>IF($B53="","",TRIM(IF(AND(L53&lt;&gt;"",M53&lt;&gt;"",M53&lt;L53),"Haftungsdatum vor Kündigung. ","")&amp;IF(AND(S53&lt;&gt;"",M53&lt;&gt;"",S53&lt;M53),"Vermietung vor Leerstandsbeginn. ","")&amp;IF(AND(Z53&lt;&gt;"",L53&lt;&gt;"",Z53&lt;L53),"WA-Termin vor Kündigung. ","")&amp;IF(COUNTIFS($B$5:$B$404,$B53,$AY$5:$AY$404,"")&gt;1,"Zweiter offener Fall zum selben Objekt. ","")&amp;IF(AND($A53&lt;&gt;"",COUNTIFS($A$5:$A$404,$A53)&gt;1),"Fall-Nr. doppelt vergeben. ","")&amp;IF(E53="","ex-Mieter fehlt. ","")&amp;IF(M53="","Haftungsdatum fehlt. ","")&amp;IF(F53="","Bewirtschafter fehlt. ","")&amp;IF(AND(AY53&lt;&gt;"",AW53=""),"Abgeschlossen trotz offener Schlussabrechnung. ","")&amp;IF(AND(AY53="",S53="",ISNUMBER(J53),J53&gt;60),"Langläufer über 60 Tage. ","")))</f>
        <v/>
      </c>
      <c r="L53" s="18" t="n"/>
      <c r="M53" s="18" t="n"/>
      <c r="N53" s="19">
        <f>IF(M53="","",M53+1)</f>
        <v/>
      </c>
      <c r="O53" s="17">
        <f>IF(OR(L53="",M53=""),"",M53-L53)</f>
        <v/>
      </c>
      <c r="P53" s="16">
        <f>IF(M53="","",YEAR(M53+1)&amp;"-"&amp;TEXT(MONTH(M53+1),"00"))</f>
        <v/>
      </c>
      <c r="Q53" s="18" t="n"/>
      <c r="R53" s="15" t="n"/>
      <c r="S53" s="18" t="n"/>
      <c r="T53" s="16">
        <f>IF(U53="","",IF(LEFT(U53,1)="6","abgeschlossen",IF(OR(LEFT(U53,1)="1",LEFT(U53,1)="2"),"Kündigung &amp; Abnahme",IF(OR(LEFT(U53,1)="3",LEFT(U53,1)="4"),"Wiedervermietung","Schlussabrechnung"))))</f>
        <v/>
      </c>
      <c r="U53" s="16">
        <f>IF($B53="","",IF(AY53&lt;&gt;"","6 · abgeschlossen",IF(AW53&lt;&gt;"","5 · bereit zum Abschluss",IF(AT53&lt;&gt;"","5 · Schlussabrechnung",IF(AO53&lt;&gt;"","4 · Übergabe",IF(AM53&lt;&gt;"","3 · Neuvermietung",IF(M53&lt;&gt;"","2 · Abnahme &amp; Vermarktung","1 · Erfassung")))))))</f>
        <v/>
      </c>
      <c r="V53" s="15" t="n"/>
      <c r="W53" s="20" t="n"/>
      <c r="X53" s="15" t="n"/>
      <c r="Y53" s="15" t="n"/>
      <c r="Z53" s="18" t="n"/>
      <c r="AA53" s="19">
        <f>IF(M53="","",M53-30)</f>
        <v/>
      </c>
      <c r="AB53" s="19">
        <f>IF(ISNUMBER(AJ53),AJ53+3,"")</f>
        <v/>
      </c>
      <c r="AC53" s="18" t="n"/>
      <c r="AD53" s="18" t="n"/>
      <c r="AE53" s="18" t="n"/>
      <c r="AF53" s="18" t="n"/>
      <c r="AG53" s="18" t="n"/>
      <c r="AH53" s="18" t="n"/>
      <c r="AI53" s="18" t="n"/>
      <c r="AJ53" s="18" t="n"/>
      <c r="AK53" s="18" t="n"/>
      <c r="AL53" s="18" t="n"/>
      <c r="AM53" s="18" t="n"/>
      <c r="AN53" s="18" t="n"/>
      <c r="AO53" s="18" t="n"/>
      <c r="AP53" s="18" t="n"/>
      <c r="AQ53" s="18" t="n"/>
      <c r="AR53" s="18" t="n"/>
      <c r="AS53" s="18" t="n"/>
      <c r="AT53" s="18" t="n"/>
      <c r="AU53" s="18" t="n"/>
      <c r="AV53" s="18" t="n"/>
      <c r="AW53" s="18" t="n"/>
      <c r="AX53" s="18" t="n"/>
      <c r="AY53" s="18" t="n"/>
      <c r="AZ53" s="15" t="n"/>
    </row>
    <row r="54">
      <c r="A54" s="15" t="n"/>
      <c r="B54" s="15" t="n"/>
      <c r="C54" s="15" t="n"/>
      <c r="D54" s="15" t="n"/>
      <c r="E54" s="15" t="n"/>
      <c r="F54" s="15" t="n"/>
      <c r="G54" s="16">
        <f>IF(F54="","",IFERROR(INDEX(Stammdaten!$B$5:$B$24,MATCH(F54,Stammdaten!$A$5:$A$24,0)),"unbekannt"))</f>
        <v/>
      </c>
      <c r="H54" s="16">
        <f>IF($B54="","",IF(AY54&lt;&gt;"","abgeschlossen",IF(AND(ISNUMBER(AX54),AX54&gt;=TODAY()),"zurückgestellt",IF(OR(AND(ISNUMBER(AA54),AA54&lt;TODAY(),Z54="",AJ54=""),AND(ISNUMBER(Z54),Z54&lt;TODAY(),AJ54=""),AND(ISNUMBER(AB54),AB54&lt;TODAY(),AK54=""),AND(ISNUMBER(AC54),AC54&lt;TODAY(),AO54=""),AND(ISNUMBER(AD54),AD54&lt;TODAY(),AQ54="")),"überfällig","offen"))))</f>
        <v/>
      </c>
      <c r="I54" s="16">
        <f>IF($B54="","",IF(AY54&lt;&gt;"","—",IF(AND(ISNUMBER(AA54),AA54&lt;TODAY(),Z54="",AJ54=""),"Abnahmetermin vereinbaren – Sollfrist verstrichen",IF(AND(ISNUMBER(Z54),Z54&lt;TODAY(),AJ54=""),"Wohnungsabnahme nachtragen – Termin war fällig",IF(AND(ISNUMBER(AB54),AB54&lt;TODAY(),AK54=""),"Handwerker aufbieten – Frist verstrichen",IF(AND(ISNUMBER(AC54),AC54&lt;TODAY(),AO54=""),"Vertrag retour mahnen – Frist verstrichen",IF(AND(ISNUMBER(AD54),AD54&lt;TODAY(),AQ54=""),"Schlüsselübergabe nachtragen – Termin war fällig",IF(M54="","Haftungsdatum erfassen",IF(E54="","ex-Mieter erfassen",IF(AE54="","Kündigung bestätigen / G-Rem",IF(AF54="","Werke / EGT melden",IF(AG54="","Vorbesichtigung (oder n.e.)",IF(AH54="","VMZ aktualisieren",IF(AI54="","Inserat aufschalten",IF(AND(Z54="",AJ54=""),"Abnahmetermin vereinbaren",IF(AJ54="","Wohnungsabnahme durchführen",IF(AK54="","Handwerker aufbieten",IF(AL54="","Zustimmungserklärung einholen",IF(AM54="","Instandstellungen beauftragen",IF(R54="","Nachmieter erfassen",IF(AN54="","Vertrag versenden",IF(AO54="","Vertrag retour erfassen",IF(S54="","Vermietet per erfassen",IF(AP54="","Werke / EGT über Einzug informieren",IF(AND(AD54="",AQ54=""),"Schlüsselübergabe terminieren",IF(AQ54="","Schlüsselübergabe durchführen",IF(AR54="","Reinigung veranlassen",IF(AS54="","Namensschilder bestellen",IF(AT54="","Kaution prüfen / G-Rem mutieren",IF(AU54="","Instandstellungs-Rechnung erfassen",IF(AV54="","Schlussabrechnung erstellen",IF(AW54="","Zahlungseingang kontrollieren","Fall abschliessen"))))))))))))))))))))))))))))))))</f>
        <v/>
      </c>
      <c r="J54" s="17">
        <f>IF(M54="","",IF(S54&lt;&gt;"",MAX(0,S54-M54-1),MAX(0,TODAY()-M54)))</f>
        <v/>
      </c>
      <c r="K54" s="16">
        <f>IF($B54="","",TRIM(IF(AND(L54&lt;&gt;"",M54&lt;&gt;"",M54&lt;L54),"Haftungsdatum vor Kündigung. ","")&amp;IF(AND(S54&lt;&gt;"",M54&lt;&gt;"",S54&lt;M54),"Vermietung vor Leerstandsbeginn. ","")&amp;IF(AND(Z54&lt;&gt;"",L54&lt;&gt;"",Z54&lt;L54),"WA-Termin vor Kündigung. ","")&amp;IF(COUNTIFS($B$5:$B$404,$B54,$AY$5:$AY$404,"")&gt;1,"Zweiter offener Fall zum selben Objekt. ","")&amp;IF(AND($A54&lt;&gt;"",COUNTIFS($A$5:$A$404,$A54)&gt;1),"Fall-Nr. doppelt vergeben. ","")&amp;IF(E54="","ex-Mieter fehlt. ","")&amp;IF(M54="","Haftungsdatum fehlt. ","")&amp;IF(F54="","Bewirtschafter fehlt. ","")&amp;IF(AND(AY54&lt;&gt;"",AW54=""),"Abgeschlossen trotz offener Schlussabrechnung. ","")&amp;IF(AND(AY54="",S54="",ISNUMBER(J54),J54&gt;60),"Langläufer über 60 Tage. ","")))</f>
        <v/>
      </c>
      <c r="L54" s="18" t="n"/>
      <c r="M54" s="18" t="n"/>
      <c r="N54" s="19">
        <f>IF(M54="","",M54+1)</f>
        <v/>
      </c>
      <c r="O54" s="17">
        <f>IF(OR(L54="",M54=""),"",M54-L54)</f>
        <v/>
      </c>
      <c r="P54" s="16">
        <f>IF(M54="","",YEAR(M54+1)&amp;"-"&amp;TEXT(MONTH(M54+1),"00"))</f>
        <v/>
      </c>
      <c r="Q54" s="18" t="n"/>
      <c r="R54" s="15" t="n"/>
      <c r="S54" s="18" t="n"/>
      <c r="T54" s="16">
        <f>IF(U54="","",IF(LEFT(U54,1)="6","abgeschlossen",IF(OR(LEFT(U54,1)="1",LEFT(U54,1)="2"),"Kündigung &amp; Abnahme",IF(OR(LEFT(U54,1)="3",LEFT(U54,1)="4"),"Wiedervermietung","Schlussabrechnung"))))</f>
        <v/>
      </c>
      <c r="U54" s="16">
        <f>IF($B54="","",IF(AY54&lt;&gt;"","6 · abgeschlossen",IF(AW54&lt;&gt;"","5 · bereit zum Abschluss",IF(AT54&lt;&gt;"","5 · Schlussabrechnung",IF(AO54&lt;&gt;"","4 · Übergabe",IF(AM54&lt;&gt;"","3 · Neuvermietung",IF(M54&lt;&gt;"","2 · Abnahme &amp; Vermarktung","1 · Erfassung")))))))</f>
        <v/>
      </c>
      <c r="V54" s="15" t="n"/>
      <c r="W54" s="20" t="n"/>
      <c r="X54" s="15" t="n"/>
      <c r="Y54" s="15" t="n"/>
      <c r="Z54" s="18" t="n"/>
      <c r="AA54" s="19">
        <f>IF(M54="","",M54-30)</f>
        <v/>
      </c>
      <c r="AB54" s="19">
        <f>IF(ISNUMBER(AJ54),AJ54+3,"")</f>
        <v/>
      </c>
      <c r="AC54" s="18" t="n"/>
      <c r="AD54" s="18" t="n"/>
      <c r="AE54" s="18" t="n"/>
      <c r="AF54" s="18" t="n"/>
      <c r="AG54" s="18" t="n"/>
      <c r="AH54" s="18" t="n"/>
      <c r="AI54" s="18" t="n"/>
      <c r="AJ54" s="18" t="n"/>
      <c r="AK54" s="18" t="n"/>
      <c r="AL54" s="18" t="n"/>
      <c r="AM54" s="18" t="n"/>
      <c r="AN54" s="18" t="n"/>
      <c r="AO54" s="18" t="n"/>
      <c r="AP54" s="18" t="n"/>
      <c r="AQ54" s="18" t="n"/>
      <c r="AR54" s="18" t="n"/>
      <c r="AS54" s="18" t="n"/>
      <c r="AT54" s="18" t="n"/>
      <c r="AU54" s="18" t="n"/>
      <c r="AV54" s="18" t="n"/>
      <c r="AW54" s="18" t="n"/>
      <c r="AX54" s="18" t="n"/>
      <c r="AY54" s="18" t="n"/>
      <c r="AZ54" s="15" t="n"/>
    </row>
    <row r="55">
      <c r="A55" s="15" t="n"/>
      <c r="B55" s="15" t="n"/>
      <c r="C55" s="15" t="n"/>
      <c r="D55" s="15" t="n"/>
      <c r="E55" s="15" t="n"/>
      <c r="F55" s="15" t="n"/>
      <c r="G55" s="16">
        <f>IF(F55="","",IFERROR(INDEX(Stammdaten!$B$5:$B$24,MATCH(F55,Stammdaten!$A$5:$A$24,0)),"unbekannt"))</f>
        <v/>
      </c>
      <c r="H55" s="16">
        <f>IF($B55="","",IF(AY55&lt;&gt;"","abgeschlossen",IF(AND(ISNUMBER(AX55),AX55&gt;=TODAY()),"zurückgestellt",IF(OR(AND(ISNUMBER(AA55),AA55&lt;TODAY(),Z55="",AJ55=""),AND(ISNUMBER(Z55),Z55&lt;TODAY(),AJ55=""),AND(ISNUMBER(AB55),AB55&lt;TODAY(),AK55=""),AND(ISNUMBER(AC55),AC55&lt;TODAY(),AO55=""),AND(ISNUMBER(AD55),AD55&lt;TODAY(),AQ55="")),"überfällig","offen"))))</f>
        <v/>
      </c>
      <c r="I55" s="16">
        <f>IF($B55="","",IF(AY55&lt;&gt;"","—",IF(AND(ISNUMBER(AA55),AA55&lt;TODAY(),Z55="",AJ55=""),"Abnahmetermin vereinbaren – Sollfrist verstrichen",IF(AND(ISNUMBER(Z55),Z55&lt;TODAY(),AJ55=""),"Wohnungsabnahme nachtragen – Termin war fällig",IF(AND(ISNUMBER(AB55),AB55&lt;TODAY(),AK55=""),"Handwerker aufbieten – Frist verstrichen",IF(AND(ISNUMBER(AC55),AC55&lt;TODAY(),AO55=""),"Vertrag retour mahnen – Frist verstrichen",IF(AND(ISNUMBER(AD55),AD55&lt;TODAY(),AQ55=""),"Schlüsselübergabe nachtragen – Termin war fällig",IF(M55="","Haftungsdatum erfassen",IF(E55="","ex-Mieter erfassen",IF(AE55="","Kündigung bestätigen / G-Rem",IF(AF55="","Werke / EGT melden",IF(AG55="","Vorbesichtigung (oder n.e.)",IF(AH55="","VMZ aktualisieren",IF(AI55="","Inserat aufschalten",IF(AND(Z55="",AJ55=""),"Abnahmetermin vereinbaren",IF(AJ55="","Wohnungsabnahme durchführen",IF(AK55="","Handwerker aufbieten",IF(AL55="","Zustimmungserklärung einholen",IF(AM55="","Instandstellungen beauftragen",IF(R55="","Nachmieter erfassen",IF(AN55="","Vertrag versenden",IF(AO55="","Vertrag retour erfassen",IF(S55="","Vermietet per erfassen",IF(AP55="","Werke / EGT über Einzug informieren",IF(AND(AD55="",AQ55=""),"Schlüsselübergabe terminieren",IF(AQ55="","Schlüsselübergabe durchführen",IF(AR55="","Reinigung veranlassen",IF(AS55="","Namensschilder bestellen",IF(AT55="","Kaution prüfen / G-Rem mutieren",IF(AU55="","Instandstellungs-Rechnung erfassen",IF(AV55="","Schlussabrechnung erstellen",IF(AW55="","Zahlungseingang kontrollieren","Fall abschliessen"))))))))))))))))))))))))))))))))</f>
        <v/>
      </c>
      <c r="J55" s="17">
        <f>IF(M55="","",IF(S55&lt;&gt;"",MAX(0,S55-M55-1),MAX(0,TODAY()-M55)))</f>
        <v/>
      </c>
      <c r="K55" s="16">
        <f>IF($B55="","",TRIM(IF(AND(L55&lt;&gt;"",M55&lt;&gt;"",M55&lt;L55),"Haftungsdatum vor Kündigung. ","")&amp;IF(AND(S55&lt;&gt;"",M55&lt;&gt;"",S55&lt;M55),"Vermietung vor Leerstandsbeginn. ","")&amp;IF(AND(Z55&lt;&gt;"",L55&lt;&gt;"",Z55&lt;L55),"WA-Termin vor Kündigung. ","")&amp;IF(COUNTIFS($B$5:$B$404,$B55,$AY$5:$AY$404,"")&gt;1,"Zweiter offener Fall zum selben Objekt. ","")&amp;IF(AND($A55&lt;&gt;"",COUNTIFS($A$5:$A$404,$A55)&gt;1),"Fall-Nr. doppelt vergeben. ","")&amp;IF(E55="","ex-Mieter fehlt. ","")&amp;IF(M55="","Haftungsdatum fehlt. ","")&amp;IF(F55="","Bewirtschafter fehlt. ","")&amp;IF(AND(AY55&lt;&gt;"",AW55=""),"Abgeschlossen trotz offener Schlussabrechnung. ","")&amp;IF(AND(AY55="",S55="",ISNUMBER(J55),J55&gt;60),"Langläufer über 60 Tage. ","")))</f>
        <v/>
      </c>
      <c r="L55" s="18" t="n"/>
      <c r="M55" s="18" t="n"/>
      <c r="N55" s="19">
        <f>IF(M55="","",M55+1)</f>
        <v/>
      </c>
      <c r="O55" s="17">
        <f>IF(OR(L55="",M55=""),"",M55-L55)</f>
        <v/>
      </c>
      <c r="P55" s="16">
        <f>IF(M55="","",YEAR(M55+1)&amp;"-"&amp;TEXT(MONTH(M55+1),"00"))</f>
        <v/>
      </c>
      <c r="Q55" s="18" t="n"/>
      <c r="R55" s="15" t="n"/>
      <c r="S55" s="18" t="n"/>
      <c r="T55" s="16">
        <f>IF(U55="","",IF(LEFT(U55,1)="6","abgeschlossen",IF(OR(LEFT(U55,1)="1",LEFT(U55,1)="2"),"Kündigung &amp; Abnahme",IF(OR(LEFT(U55,1)="3",LEFT(U55,1)="4"),"Wiedervermietung","Schlussabrechnung"))))</f>
        <v/>
      </c>
      <c r="U55" s="16">
        <f>IF($B55="","",IF(AY55&lt;&gt;"","6 · abgeschlossen",IF(AW55&lt;&gt;"","5 · bereit zum Abschluss",IF(AT55&lt;&gt;"","5 · Schlussabrechnung",IF(AO55&lt;&gt;"","4 · Übergabe",IF(AM55&lt;&gt;"","3 · Neuvermietung",IF(M55&lt;&gt;"","2 · Abnahme &amp; Vermarktung","1 · Erfassung")))))))</f>
        <v/>
      </c>
      <c r="V55" s="15" t="n"/>
      <c r="W55" s="20" t="n"/>
      <c r="X55" s="15" t="n"/>
      <c r="Y55" s="15" t="n"/>
      <c r="Z55" s="18" t="n"/>
      <c r="AA55" s="19">
        <f>IF(M55="","",M55-30)</f>
        <v/>
      </c>
      <c r="AB55" s="19">
        <f>IF(ISNUMBER(AJ55),AJ55+3,"")</f>
        <v/>
      </c>
      <c r="AC55" s="18" t="n"/>
      <c r="AD55" s="18" t="n"/>
      <c r="AE55" s="18" t="n"/>
      <c r="AF55" s="18" t="n"/>
      <c r="AG55" s="18" t="n"/>
      <c r="AH55" s="18" t="n"/>
      <c r="AI55" s="18" t="n"/>
      <c r="AJ55" s="18" t="n"/>
      <c r="AK55" s="18" t="n"/>
      <c r="AL55" s="18" t="n"/>
      <c r="AM55" s="18" t="n"/>
      <c r="AN55" s="18" t="n"/>
      <c r="AO55" s="18" t="n"/>
      <c r="AP55" s="18" t="n"/>
      <c r="AQ55" s="18" t="n"/>
      <c r="AR55" s="18" t="n"/>
      <c r="AS55" s="18" t="n"/>
      <c r="AT55" s="18" t="n"/>
      <c r="AU55" s="18" t="n"/>
      <c r="AV55" s="18" t="n"/>
      <c r="AW55" s="18" t="n"/>
      <c r="AX55" s="18" t="n"/>
      <c r="AY55" s="18" t="n"/>
      <c r="AZ55" s="15" t="n"/>
    </row>
    <row r="56">
      <c r="A56" s="15" t="n"/>
      <c r="B56" s="15" t="n"/>
      <c r="C56" s="15" t="n"/>
      <c r="D56" s="15" t="n"/>
      <c r="E56" s="15" t="n"/>
      <c r="F56" s="15" t="n"/>
      <c r="G56" s="16">
        <f>IF(F56="","",IFERROR(INDEX(Stammdaten!$B$5:$B$24,MATCH(F56,Stammdaten!$A$5:$A$24,0)),"unbekannt"))</f>
        <v/>
      </c>
      <c r="H56" s="16">
        <f>IF($B56="","",IF(AY56&lt;&gt;"","abgeschlossen",IF(AND(ISNUMBER(AX56),AX56&gt;=TODAY()),"zurückgestellt",IF(OR(AND(ISNUMBER(AA56),AA56&lt;TODAY(),Z56="",AJ56=""),AND(ISNUMBER(Z56),Z56&lt;TODAY(),AJ56=""),AND(ISNUMBER(AB56),AB56&lt;TODAY(),AK56=""),AND(ISNUMBER(AC56),AC56&lt;TODAY(),AO56=""),AND(ISNUMBER(AD56),AD56&lt;TODAY(),AQ56="")),"überfällig","offen"))))</f>
        <v/>
      </c>
      <c r="I56" s="16">
        <f>IF($B56="","",IF(AY56&lt;&gt;"","—",IF(AND(ISNUMBER(AA56),AA56&lt;TODAY(),Z56="",AJ56=""),"Abnahmetermin vereinbaren – Sollfrist verstrichen",IF(AND(ISNUMBER(Z56),Z56&lt;TODAY(),AJ56=""),"Wohnungsabnahme nachtragen – Termin war fällig",IF(AND(ISNUMBER(AB56),AB56&lt;TODAY(),AK56=""),"Handwerker aufbieten – Frist verstrichen",IF(AND(ISNUMBER(AC56),AC56&lt;TODAY(),AO56=""),"Vertrag retour mahnen – Frist verstrichen",IF(AND(ISNUMBER(AD56),AD56&lt;TODAY(),AQ56=""),"Schlüsselübergabe nachtragen – Termin war fällig",IF(M56="","Haftungsdatum erfassen",IF(E56="","ex-Mieter erfassen",IF(AE56="","Kündigung bestätigen / G-Rem",IF(AF56="","Werke / EGT melden",IF(AG56="","Vorbesichtigung (oder n.e.)",IF(AH56="","VMZ aktualisieren",IF(AI56="","Inserat aufschalten",IF(AND(Z56="",AJ56=""),"Abnahmetermin vereinbaren",IF(AJ56="","Wohnungsabnahme durchführen",IF(AK56="","Handwerker aufbieten",IF(AL56="","Zustimmungserklärung einholen",IF(AM56="","Instandstellungen beauftragen",IF(R56="","Nachmieter erfassen",IF(AN56="","Vertrag versenden",IF(AO56="","Vertrag retour erfassen",IF(S56="","Vermietet per erfassen",IF(AP56="","Werke / EGT über Einzug informieren",IF(AND(AD56="",AQ56=""),"Schlüsselübergabe terminieren",IF(AQ56="","Schlüsselübergabe durchführen",IF(AR56="","Reinigung veranlassen",IF(AS56="","Namensschilder bestellen",IF(AT56="","Kaution prüfen / G-Rem mutieren",IF(AU56="","Instandstellungs-Rechnung erfassen",IF(AV56="","Schlussabrechnung erstellen",IF(AW56="","Zahlungseingang kontrollieren","Fall abschliessen"))))))))))))))))))))))))))))))))</f>
        <v/>
      </c>
      <c r="J56" s="17">
        <f>IF(M56="","",IF(S56&lt;&gt;"",MAX(0,S56-M56-1),MAX(0,TODAY()-M56)))</f>
        <v/>
      </c>
      <c r="K56" s="16">
        <f>IF($B56="","",TRIM(IF(AND(L56&lt;&gt;"",M56&lt;&gt;"",M56&lt;L56),"Haftungsdatum vor Kündigung. ","")&amp;IF(AND(S56&lt;&gt;"",M56&lt;&gt;"",S56&lt;M56),"Vermietung vor Leerstandsbeginn. ","")&amp;IF(AND(Z56&lt;&gt;"",L56&lt;&gt;"",Z56&lt;L56),"WA-Termin vor Kündigung. ","")&amp;IF(COUNTIFS($B$5:$B$404,$B56,$AY$5:$AY$404,"")&gt;1,"Zweiter offener Fall zum selben Objekt. ","")&amp;IF(AND($A56&lt;&gt;"",COUNTIFS($A$5:$A$404,$A56)&gt;1),"Fall-Nr. doppelt vergeben. ","")&amp;IF(E56="","ex-Mieter fehlt. ","")&amp;IF(M56="","Haftungsdatum fehlt. ","")&amp;IF(F56="","Bewirtschafter fehlt. ","")&amp;IF(AND(AY56&lt;&gt;"",AW56=""),"Abgeschlossen trotz offener Schlussabrechnung. ","")&amp;IF(AND(AY56="",S56="",ISNUMBER(J56),J56&gt;60),"Langläufer über 60 Tage. ","")))</f>
        <v/>
      </c>
      <c r="L56" s="18" t="n"/>
      <c r="M56" s="18" t="n"/>
      <c r="N56" s="19">
        <f>IF(M56="","",M56+1)</f>
        <v/>
      </c>
      <c r="O56" s="17">
        <f>IF(OR(L56="",M56=""),"",M56-L56)</f>
        <v/>
      </c>
      <c r="P56" s="16">
        <f>IF(M56="","",YEAR(M56+1)&amp;"-"&amp;TEXT(MONTH(M56+1),"00"))</f>
        <v/>
      </c>
      <c r="Q56" s="18" t="n"/>
      <c r="R56" s="15" t="n"/>
      <c r="S56" s="18" t="n"/>
      <c r="T56" s="16">
        <f>IF(U56="","",IF(LEFT(U56,1)="6","abgeschlossen",IF(OR(LEFT(U56,1)="1",LEFT(U56,1)="2"),"Kündigung &amp; Abnahme",IF(OR(LEFT(U56,1)="3",LEFT(U56,1)="4"),"Wiedervermietung","Schlussabrechnung"))))</f>
        <v/>
      </c>
      <c r="U56" s="16">
        <f>IF($B56="","",IF(AY56&lt;&gt;"","6 · abgeschlossen",IF(AW56&lt;&gt;"","5 · bereit zum Abschluss",IF(AT56&lt;&gt;"","5 · Schlussabrechnung",IF(AO56&lt;&gt;"","4 · Übergabe",IF(AM56&lt;&gt;"","3 · Neuvermietung",IF(M56&lt;&gt;"","2 · Abnahme &amp; Vermarktung","1 · Erfassung")))))))</f>
        <v/>
      </c>
      <c r="V56" s="15" t="n"/>
      <c r="W56" s="20" t="n"/>
      <c r="X56" s="15" t="n"/>
      <c r="Y56" s="15" t="n"/>
      <c r="Z56" s="18" t="n"/>
      <c r="AA56" s="19">
        <f>IF(M56="","",M56-30)</f>
        <v/>
      </c>
      <c r="AB56" s="19">
        <f>IF(ISNUMBER(AJ56),AJ56+3,"")</f>
        <v/>
      </c>
      <c r="AC56" s="18" t="n"/>
      <c r="AD56" s="18" t="n"/>
      <c r="AE56" s="18" t="n"/>
      <c r="AF56" s="18" t="n"/>
      <c r="AG56" s="18" t="n"/>
      <c r="AH56" s="18" t="n"/>
      <c r="AI56" s="18" t="n"/>
      <c r="AJ56" s="18" t="n"/>
      <c r="AK56" s="18" t="n"/>
      <c r="AL56" s="18" t="n"/>
      <c r="AM56" s="18" t="n"/>
      <c r="AN56" s="18" t="n"/>
      <c r="AO56" s="18" t="n"/>
      <c r="AP56" s="18" t="n"/>
      <c r="AQ56" s="18" t="n"/>
      <c r="AR56" s="18" t="n"/>
      <c r="AS56" s="18" t="n"/>
      <c r="AT56" s="18" t="n"/>
      <c r="AU56" s="18" t="n"/>
      <c r="AV56" s="18" t="n"/>
      <c r="AW56" s="18" t="n"/>
      <c r="AX56" s="18" t="n"/>
      <c r="AY56" s="18" t="n"/>
      <c r="AZ56" s="15" t="n"/>
    </row>
    <row r="57">
      <c r="A57" s="15" t="n"/>
      <c r="B57" s="15" t="n"/>
      <c r="C57" s="15" t="n"/>
      <c r="D57" s="15" t="n"/>
      <c r="E57" s="15" t="n"/>
      <c r="F57" s="15" t="n"/>
      <c r="G57" s="16">
        <f>IF(F57="","",IFERROR(INDEX(Stammdaten!$B$5:$B$24,MATCH(F57,Stammdaten!$A$5:$A$24,0)),"unbekannt"))</f>
        <v/>
      </c>
      <c r="H57" s="16">
        <f>IF($B57="","",IF(AY57&lt;&gt;"","abgeschlossen",IF(AND(ISNUMBER(AX57),AX57&gt;=TODAY()),"zurückgestellt",IF(OR(AND(ISNUMBER(AA57),AA57&lt;TODAY(),Z57="",AJ57=""),AND(ISNUMBER(Z57),Z57&lt;TODAY(),AJ57=""),AND(ISNUMBER(AB57),AB57&lt;TODAY(),AK57=""),AND(ISNUMBER(AC57),AC57&lt;TODAY(),AO57=""),AND(ISNUMBER(AD57),AD57&lt;TODAY(),AQ57="")),"überfällig","offen"))))</f>
        <v/>
      </c>
      <c r="I57" s="16">
        <f>IF($B57="","",IF(AY57&lt;&gt;"","—",IF(AND(ISNUMBER(AA57),AA57&lt;TODAY(),Z57="",AJ57=""),"Abnahmetermin vereinbaren – Sollfrist verstrichen",IF(AND(ISNUMBER(Z57),Z57&lt;TODAY(),AJ57=""),"Wohnungsabnahme nachtragen – Termin war fällig",IF(AND(ISNUMBER(AB57),AB57&lt;TODAY(),AK57=""),"Handwerker aufbieten – Frist verstrichen",IF(AND(ISNUMBER(AC57),AC57&lt;TODAY(),AO57=""),"Vertrag retour mahnen – Frist verstrichen",IF(AND(ISNUMBER(AD57),AD57&lt;TODAY(),AQ57=""),"Schlüsselübergabe nachtragen – Termin war fällig",IF(M57="","Haftungsdatum erfassen",IF(E57="","ex-Mieter erfassen",IF(AE57="","Kündigung bestätigen / G-Rem",IF(AF57="","Werke / EGT melden",IF(AG57="","Vorbesichtigung (oder n.e.)",IF(AH57="","VMZ aktualisieren",IF(AI57="","Inserat aufschalten",IF(AND(Z57="",AJ57=""),"Abnahmetermin vereinbaren",IF(AJ57="","Wohnungsabnahme durchführen",IF(AK57="","Handwerker aufbieten",IF(AL57="","Zustimmungserklärung einholen",IF(AM57="","Instandstellungen beauftragen",IF(R57="","Nachmieter erfassen",IF(AN57="","Vertrag versenden",IF(AO57="","Vertrag retour erfassen",IF(S57="","Vermietet per erfassen",IF(AP57="","Werke / EGT über Einzug informieren",IF(AND(AD57="",AQ57=""),"Schlüsselübergabe terminieren",IF(AQ57="","Schlüsselübergabe durchführen",IF(AR57="","Reinigung veranlassen",IF(AS57="","Namensschilder bestellen",IF(AT57="","Kaution prüfen / G-Rem mutieren",IF(AU57="","Instandstellungs-Rechnung erfassen",IF(AV57="","Schlussabrechnung erstellen",IF(AW57="","Zahlungseingang kontrollieren","Fall abschliessen"))))))))))))))))))))))))))))))))</f>
        <v/>
      </c>
      <c r="J57" s="17">
        <f>IF(M57="","",IF(S57&lt;&gt;"",MAX(0,S57-M57-1),MAX(0,TODAY()-M57)))</f>
        <v/>
      </c>
      <c r="K57" s="16">
        <f>IF($B57="","",TRIM(IF(AND(L57&lt;&gt;"",M57&lt;&gt;"",M57&lt;L57),"Haftungsdatum vor Kündigung. ","")&amp;IF(AND(S57&lt;&gt;"",M57&lt;&gt;"",S57&lt;M57),"Vermietung vor Leerstandsbeginn. ","")&amp;IF(AND(Z57&lt;&gt;"",L57&lt;&gt;"",Z57&lt;L57),"WA-Termin vor Kündigung. ","")&amp;IF(COUNTIFS($B$5:$B$404,$B57,$AY$5:$AY$404,"")&gt;1,"Zweiter offener Fall zum selben Objekt. ","")&amp;IF(AND($A57&lt;&gt;"",COUNTIFS($A$5:$A$404,$A57)&gt;1),"Fall-Nr. doppelt vergeben. ","")&amp;IF(E57="","ex-Mieter fehlt. ","")&amp;IF(M57="","Haftungsdatum fehlt. ","")&amp;IF(F57="","Bewirtschafter fehlt. ","")&amp;IF(AND(AY57&lt;&gt;"",AW57=""),"Abgeschlossen trotz offener Schlussabrechnung. ","")&amp;IF(AND(AY57="",S57="",ISNUMBER(J57),J57&gt;60),"Langläufer über 60 Tage. ","")))</f>
        <v/>
      </c>
      <c r="L57" s="18" t="n"/>
      <c r="M57" s="18" t="n"/>
      <c r="N57" s="19">
        <f>IF(M57="","",M57+1)</f>
        <v/>
      </c>
      <c r="O57" s="17">
        <f>IF(OR(L57="",M57=""),"",M57-L57)</f>
        <v/>
      </c>
      <c r="P57" s="16">
        <f>IF(M57="","",YEAR(M57+1)&amp;"-"&amp;TEXT(MONTH(M57+1),"00"))</f>
        <v/>
      </c>
      <c r="Q57" s="18" t="n"/>
      <c r="R57" s="15" t="n"/>
      <c r="S57" s="18" t="n"/>
      <c r="T57" s="16">
        <f>IF(U57="","",IF(LEFT(U57,1)="6","abgeschlossen",IF(OR(LEFT(U57,1)="1",LEFT(U57,1)="2"),"Kündigung &amp; Abnahme",IF(OR(LEFT(U57,1)="3",LEFT(U57,1)="4"),"Wiedervermietung","Schlussabrechnung"))))</f>
        <v/>
      </c>
      <c r="U57" s="16">
        <f>IF($B57="","",IF(AY57&lt;&gt;"","6 · abgeschlossen",IF(AW57&lt;&gt;"","5 · bereit zum Abschluss",IF(AT57&lt;&gt;"","5 · Schlussabrechnung",IF(AO57&lt;&gt;"","4 · Übergabe",IF(AM57&lt;&gt;"","3 · Neuvermietung",IF(M57&lt;&gt;"","2 · Abnahme &amp; Vermarktung","1 · Erfassung")))))))</f>
        <v/>
      </c>
      <c r="V57" s="15" t="n"/>
      <c r="W57" s="20" t="n"/>
      <c r="X57" s="15" t="n"/>
      <c r="Y57" s="15" t="n"/>
      <c r="Z57" s="18" t="n"/>
      <c r="AA57" s="19">
        <f>IF(M57="","",M57-30)</f>
        <v/>
      </c>
      <c r="AB57" s="19">
        <f>IF(ISNUMBER(AJ57),AJ57+3,"")</f>
        <v/>
      </c>
      <c r="AC57" s="18" t="n"/>
      <c r="AD57" s="18" t="n"/>
      <c r="AE57" s="18" t="n"/>
      <c r="AF57" s="18" t="n"/>
      <c r="AG57" s="18" t="n"/>
      <c r="AH57" s="18" t="n"/>
      <c r="AI57" s="18" t="n"/>
      <c r="AJ57" s="18" t="n"/>
      <c r="AK57" s="18" t="n"/>
      <c r="AL57" s="18" t="n"/>
      <c r="AM57" s="18" t="n"/>
      <c r="AN57" s="18" t="n"/>
      <c r="AO57" s="18" t="n"/>
      <c r="AP57" s="18" t="n"/>
      <c r="AQ57" s="18" t="n"/>
      <c r="AR57" s="18" t="n"/>
      <c r="AS57" s="18" t="n"/>
      <c r="AT57" s="18" t="n"/>
      <c r="AU57" s="18" t="n"/>
      <c r="AV57" s="18" t="n"/>
      <c r="AW57" s="18" t="n"/>
      <c r="AX57" s="18" t="n"/>
      <c r="AY57" s="18" t="n"/>
      <c r="AZ57" s="15" t="n"/>
    </row>
    <row r="58">
      <c r="A58" s="15" t="n"/>
      <c r="B58" s="15" t="n"/>
      <c r="C58" s="15" t="n"/>
      <c r="D58" s="15" t="n"/>
      <c r="E58" s="15" t="n"/>
      <c r="F58" s="15" t="n"/>
      <c r="G58" s="16">
        <f>IF(F58="","",IFERROR(INDEX(Stammdaten!$B$5:$B$24,MATCH(F58,Stammdaten!$A$5:$A$24,0)),"unbekannt"))</f>
        <v/>
      </c>
      <c r="H58" s="16">
        <f>IF($B58="","",IF(AY58&lt;&gt;"","abgeschlossen",IF(AND(ISNUMBER(AX58),AX58&gt;=TODAY()),"zurückgestellt",IF(OR(AND(ISNUMBER(AA58),AA58&lt;TODAY(),Z58="",AJ58=""),AND(ISNUMBER(Z58),Z58&lt;TODAY(),AJ58=""),AND(ISNUMBER(AB58),AB58&lt;TODAY(),AK58=""),AND(ISNUMBER(AC58),AC58&lt;TODAY(),AO58=""),AND(ISNUMBER(AD58),AD58&lt;TODAY(),AQ58="")),"überfällig","offen"))))</f>
        <v/>
      </c>
      <c r="I58" s="16">
        <f>IF($B58="","",IF(AY58&lt;&gt;"","—",IF(AND(ISNUMBER(AA58),AA58&lt;TODAY(),Z58="",AJ58=""),"Abnahmetermin vereinbaren – Sollfrist verstrichen",IF(AND(ISNUMBER(Z58),Z58&lt;TODAY(),AJ58=""),"Wohnungsabnahme nachtragen – Termin war fällig",IF(AND(ISNUMBER(AB58),AB58&lt;TODAY(),AK58=""),"Handwerker aufbieten – Frist verstrichen",IF(AND(ISNUMBER(AC58),AC58&lt;TODAY(),AO58=""),"Vertrag retour mahnen – Frist verstrichen",IF(AND(ISNUMBER(AD58),AD58&lt;TODAY(),AQ58=""),"Schlüsselübergabe nachtragen – Termin war fällig",IF(M58="","Haftungsdatum erfassen",IF(E58="","ex-Mieter erfassen",IF(AE58="","Kündigung bestätigen / G-Rem",IF(AF58="","Werke / EGT melden",IF(AG58="","Vorbesichtigung (oder n.e.)",IF(AH58="","VMZ aktualisieren",IF(AI58="","Inserat aufschalten",IF(AND(Z58="",AJ58=""),"Abnahmetermin vereinbaren",IF(AJ58="","Wohnungsabnahme durchführen",IF(AK58="","Handwerker aufbieten",IF(AL58="","Zustimmungserklärung einholen",IF(AM58="","Instandstellungen beauftragen",IF(R58="","Nachmieter erfassen",IF(AN58="","Vertrag versenden",IF(AO58="","Vertrag retour erfassen",IF(S58="","Vermietet per erfassen",IF(AP58="","Werke / EGT über Einzug informieren",IF(AND(AD58="",AQ58=""),"Schlüsselübergabe terminieren",IF(AQ58="","Schlüsselübergabe durchführen",IF(AR58="","Reinigung veranlassen",IF(AS58="","Namensschilder bestellen",IF(AT58="","Kaution prüfen / G-Rem mutieren",IF(AU58="","Instandstellungs-Rechnung erfassen",IF(AV58="","Schlussabrechnung erstellen",IF(AW58="","Zahlungseingang kontrollieren","Fall abschliessen"))))))))))))))))))))))))))))))))</f>
        <v/>
      </c>
      <c r="J58" s="17">
        <f>IF(M58="","",IF(S58&lt;&gt;"",MAX(0,S58-M58-1),MAX(0,TODAY()-M58)))</f>
        <v/>
      </c>
      <c r="K58" s="16">
        <f>IF($B58="","",TRIM(IF(AND(L58&lt;&gt;"",M58&lt;&gt;"",M58&lt;L58),"Haftungsdatum vor Kündigung. ","")&amp;IF(AND(S58&lt;&gt;"",M58&lt;&gt;"",S58&lt;M58),"Vermietung vor Leerstandsbeginn. ","")&amp;IF(AND(Z58&lt;&gt;"",L58&lt;&gt;"",Z58&lt;L58),"WA-Termin vor Kündigung. ","")&amp;IF(COUNTIFS($B$5:$B$404,$B58,$AY$5:$AY$404,"")&gt;1,"Zweiter offener Fall zum selben Objekt. ","")&amp;IF(AND($A58&lt;&gt;"",COUNTIFS($A$5:$A$404,$A58)&gt;1),"Fall-Nr. doppelt vergeben. ","")&amp;IF(E58="","ex-Mieter fehlt. ","")&amp;IF(M58="","Haftungsdatum fehlt. ","")&amp;IF(F58="","Bewirtschafter fehlt. ","")&amp;IF(AND(AY58&lt;&gt;"",AW58=""),"Abgeschlossen trotz offener Schlussabrechnung. ","")&amp;IF(AND(AY58="",S58="",ISNUMBER(J58),J58&gt;60),"Langläufer über 60 Tage. ","")))</f>
        <v/>
      </c>
      <c r="L58" s="18" t="n"/>
      <c r="M58" s="18" t="n"/>
      <c r="N58" s="19">
        <f>IF(M58="","",M58+1)</f>
        <v/>
      </c>
      <c r="O58" s="17">
        <f>IF(OR(L58="",M58=""),"",M58-L58)</f>
        <v/>
      </c>
      <c r="P58" s="16">
        <f>IF(M58="","",YEAR(M58+1)&amp;"-"&amp;TEXT(MONTH(M58+1),"00"))</f>
        <v/>
      </c>
      <c r="Q58" s="18" t="n"/>
      <c r="R58" s="15" t="n"/>
      <c r="S58" s="18" t="n"/>
      <c r="T58" s="16">
        <f>IF(U58="","",IF(LEFT(U58,1)="6","abgeschlossen",IF(OR(LEFT(U58,1)="1",LEFT(U58,1)="2"),"Kündigung &amp; Abnahme",IF(OR(LEFT(U58,1)="3",LEFT(U58,1)="4"),"Wiedervermietung","Schlussabrechnung"))))</f>
        <v/>
      </c>
      <c r="U58" s="16">
        <f>IF($B58="","",IF(AY58&lt;&gt;"","6 · abgeschlossen",IF(AW58&lt;&gt;"","5 · bereit zum Abschluss",IF(AT58&lt;&gt;"","5 · Schlussabrechnung",IF(AO58&lt;&gt;"","4 · Übergabe",IF(AM58&lt;&gt;"","3 · Neuvermietung",IF(M58&lt;&gt;"","2 · Abnahme &amp; Vermarktung","1 · Erfassung")))))))</f>
        <v/>
      </c>
      <c r="V58" s="15" t="n"/>
      <c r="W58" s="20" t="n"/>
      <c r="X58" s="15" t="n"/>
      <c r="Y58" s="15" t="n"/>
      <c r="Z58" s="18" t="n"/>
      <c r="AA58" s="19">
        <f>IF(M58="","",M58-30)</f>
        <v/>
      </c>
      <c r="AB58" s="19">
        <f>IF(ISNUMBER(AJ58),AJ58+3,"")</f>
        <v/>
      </c>
      <c r="AC58" s="18" t="n"/>
      <c r="AD58" s="18" t="n"/>
      <c r="AE58" s="18" t="n"/>
      <c r="AF58" s="18" t="n"/>
      <c r="AG58" s="18" t="n"/>
      <c r="AH58" s="18" t="n"/>
      <c r="AI58" s="18" t="n"/>
      <c r="AJ58" s="18" t="n"/>
      <c r="AK58" s="18" t="n"/>
      <c r="AL58" s="18" t="n"/>
      <c r="AM58" s="18" t="n"/>
      <c r="AN58" s="18" t="n"/>
      <c r="AO58" s="18" t="n"/>
      <c r="AP58" s="18" t="n"/>
      <c r="AQ58" s="18" t="n"/>
      <c r="AR58" s="18" t="n"/>
      <c r="AS58" s="18" t="n"/>
      <c r="AT58" s="18" t="n"/>
      <c r="AU58" s="18" t="n"/>
      <c r="AV58" s="18" t="n"/>
      <c r="AW58" s="18" t="n"/>
      <c r="AX58" s="18" t="n"/>
      <c r="AY58" s="18" t="n"/>
      <c r="AZ58" s="15" t="n"/>
    </row>
    <row r="59">
      <c r="A59" s="15" t="n"/>
      <c r="B59" s="15" t="n"/>
      <c r="C59" s="15" t="n"/>
      <c r="D59" s="15" t="n"/>
      <c r="E59" s="15" t="n"/>
      <c r="F59" s="15" t="n"/>
      <c r="G59" s="16">
        <f>IF(F59="","",IFERROR(INDEX(Stammdaten!$B$5:$B$24,MATCH(F59,Stammdaten!$A$5:$A$24,0)),"unbekannt"))</f>
        <v/>
      </c>
      <c r="H59" s="16">
        <f>IF($B59="","",IF(AY59&lt;&gt;"","abgeschlossen",IF(AND(ISNUMBER(AX59),AX59&gt;=TODAY()),"zurückgestellt",IF(OR(AND(ISNUMBER(AA59),AA59&lt;TODAY(),Z59="",AJ59=""),AND(ISNUMBER(Z59),Z59&lt;TODAY(),AJ59=""),AND(ISNUMBER(AB59),AB59&lt;TODAY(),AK59=""),AND(ISNUMBER(AC59),AC59&lt;TODAY(),AO59=""),AND(ISNUMBER(AD59),AD59&lt;TODAY(),AQ59="")),"überfällig","offen"))))</f>
        <v/>
      </c>
      <c r="I59" s="16">
        <f>IF($B59="","",IF(AY59&lt;&gt;"","—",IF(AND(ISNUMBER(AA59),AA59&lt;TODAY(),Z59="",AJ59=""),"Abnahmetermin vereinbaren – Sollfrist verstrichen",IF(AND(ISNUMBER(Z59),Z59&lt;TODAY(),AJ59=""),"Wohnungsabnahme nachtragen – Termin war fällig",IF(AND(ISNUMBER(AB59),AB59&lt;TODAY(),AK59=""),"Handwerker aufbieten – Frist verstrichen",IF(AND(ISNUMBER(AC59),AC59&lt;TODAY(),AO59=""),"Vertrag retour mahnen – Frist verstrichen",IF(AND(ISNUMBER(AD59),AD59&lt;TODAY(),AQ59=""),"Schlüsselübergabe nachtragen – Termin war fällig",IF(M59="","Haftungsdatum erfassen",IF(E59="","ex-Mieter erfassen",IF(AE59="","Kündigung bestätigen / G-Rem",IF(AF59="","Werke / EGT melden",IF(AG59="","Vorbesichtigung (oder n.e.)",IF(AH59="","VMZ aktualisieren",IF(AI59="","Inserat aufschalten",IF(AND(Z59="",AJ59=""),"Abnahmetermin vereinbaren",IF(AJ59="","Wohnungsabnahme durchführen",IF(AK59="","Handwerker aufbieten",IF(AL59="","Zustimmungserklärung einholen",IF(AM59="","Instandstellungen beauftragen",IF(R59="","Nachmieter erfassen",IF(AN59="","Vertrag versenden",IF(AO59="","Vertrag retour erfassen",IF(S59="","Vermietet per erfassen",IF(AP59="","Werke / EGT über Einzug informieren",IF(AND(AD59="",AQ59=""),"Schlüsselübergabe terminieren",IF(AQ59="","Schlüsselübergabe durchführen",IF(AR59="","Reinigung veranlassen",IF(AS59="","Namensschilder bestellen",IF(AT59="","Kaution prüfen / G-Rem mutieren",IF(AU59="","Instandstellungs-Rechnung erfassen",IF(AV59="","Schlussabrechnung erstellen",IF(AW59="","Zahlungseingang kontrollieren","Fall abschliessen"))))))))))))))))))))))))))))))))</f>
        <v/>
      </c>
      <c r="J59" s="17">
        <f>IF(M59="","",IF(S59&lt;&gt;"",MAX(0,S59-M59-1),MAX(0,TODAY()-M59)))</f>
        <v/>
      </c>
      <c r="K59" s="16">
        <f>IF($B59="","",TRIM(IF(AND(L59&lt;&gt;"",M59&lt;&gt;"",M59&lt;L59),"Haftungsdatum vor Kündigung. ","")&amp;IF(AND(S59&lt;&gt;"",M59&lt;&gt;"",S59&lt;M59),"Vermietung vor Leerstandsbeginn. ","")&amp;IF(AND(Z59&lt;&gt;"",L59&lt;&gt;"",Z59&lt;L59),"WA-Termin vor Kündigung. ","")&amp;IF(COUNTIFS($B$5:$B$404,$B59,$AY$5:$AY$404,"")&gt;1,"Zweiter offener Fall zum selben Objekt. ","")&amp;IF(AND($A59&lt;&gt;"",COUNTIFS($A$5:$A$404,$A59)&gt;1),"Fall-Nr. doppelt vergeben. ","")&amp;IF(E59="","ex-Mieter fehlt. ","")&amp;IF(M59="","Haftungsdatum fehlt. ","")&amp;IF(F59="","Bewirtschafter fehlt. ","")&amp;IF(AND(AY59&lt;&gt;"",AW59=""),"Abgeschlossen trotz offener Schlussabrechnung. ","")&amp;IF(AND(AY59="",S59="",ISNUMBER(J59),J59&gt;60),"Langläufer über 60 Tage. ","")))</f>
        <v/>
      </c>
      <c r="L59" s="18" t="n"/>
      <c r="M59" s="18" t="n"/>
      <c r="N59" s="19">
        <f>IF(M59="","",M59+1)</f>
        <v/>
      </c>
      <c r="O59" s="17">
        <f>IF(OR(L59="",M59=""),"",M59-L59)</f>
        <v/>
      </c>
      <c r="P59" s="16">
        <f>IF(M59="","",YEAR(M59+1)&amp;"-"&amp;TEXT(MONTH(M59+1),"00"))</f>
        <v/>
      </c>
      <c r="Q59" s="18" t="n"/>
      <c r="R59" s="15" t="n"/>
      <c r="S59" s="18" t="n"/>
      <c r="T59" s="16">
        <f>IF(U59="","",IF(LEFT(U59,1)="6","abgeschlossen",IF(OR(LEFT(U59,1)="1",LEFT(U59,1)="2"),"Kündigung &amp; Abnahme",IF(OR(LEFT(U59,1)="3",LEFT(U59,1)="4"),"Wiedervermietung","Schlussabrechnung"))))</f>
        <v/>
      </c>
      <c r="U59" s="16">
        <f>IF($B59="","",IF(AY59&lt;&gt;"","6 · abgeschlossen",IF(AW59&lt;&gt;"","5 · bereit zum Abschluss",IF(AT59&lt;&gt;"","5 · Schlussabrechnung",IF(AO59&lt;&gt;"","4 · Übergabe",IF(AM59&lt;&gt;"","3 · Neuvermietung",IF(M59&lt;&gt;"","2 · Abnahme &amp; Vermarktung","1 · Erfassung")))))))</f>
        <v/>
      </c>
      <c r="V59" s="15" t="n"/>
      <c r="W59" s="20" t="n"/>
      <c r="X59" s="15" t="n"/>
      <c r="Y59" s="15" t="n"/>
      <c r="Z59" s="18" t="n"/>
      <c r="AA59" s="19">
        <f>IF(M59="","",M59-30)</f>
        <v/>
      </c>
      <c r="AB59" s="19">
        <f>IF(ISNUMBER(AJ59),AJ59+3,"")</f>
        <v/>
      </c>
      <c r="AC59" s="18" t="n"/>
      <c r="AD59" s="18" t="n"/>
      <c r="AE59" s="18" t="n"/>
      <c r="AF59" s="18" t="n"/>
      <c r="AG59" s="18" t="n"/>
      <c r="AH59" s="18" t="n"/>
      <c r="AI59" s="18" t="n"/>
      <c r="AJ59" s="18" t="n"/>
      <c r="AK59" s="18" t="n"/>
      <c r="AL59" s="18" t="n"/>
      <c r="AM59" s="18" t="n"/>
      <c r="AN59" s="18" t="n"/>
      <c r="AO59" s="18" t="n"/>
      <c r="AP59" s="18" t="n"/>
      <c r="AQ59" s="18" t="n"/>
      <c r="AR59" s="18" t="n"/>
      <c r="AS59" s="18" t="n"/>
      <c r="AT59" s="18" t="n"/>
      <c r="AU59" s="18" t="n"/>
      <c r="AV59" s="18" t="n"/>
      <c r="AW59" s="18" t="n"/>
      <c r="AX59" s="18" t="n"/>
      <c r="AY59" s="18" t="n"/>
      <c r="AZ59" s="15" t="n"/>
    </row>
    <row r="60">
      <c r="A60" s="15" t="n"/>
      <c r="B60" s="15" t="n"/>
      <c r="C60" s="15" t="n"/>
      <c r="D60" s="15" t="n"/>
      <c r="E60" s="15" t="n"/>
      <c r="F60" s="15" t="n"/>
      <c r="G60" s="16">
        <f>IF(F60="","",IFERROR(INDEX(Stammdaten!$B$5:$B$24,MATCH(F60,Stammdaten!$A$5:$A$24,0)),"unbekannt"))</f>
        <v/>
      </c>
      <c r="H60" s="16">
        <f>IF($B60="","",IF(AY60&lt;&gt;"","abgeschlossen",IF(AND(ISNUMBER(AX60),AX60&gt;=TODAY()),"zurückgestellt",IF(OR(AND(ISNUMBER(AA60),AA60&lt;TODAY(),Z60="",AJ60=""),AND(ISNUMBER(Z60),Z60&lt;TODAY(),AJ60=""),AND(ISNUMBER(AB60),AB60&lt;TODAY(),AK60=""),AND(ISNUMBER(AC60),AC60&lt;TODAY(),AO60=""),AND(ISNUMBER(AD60),AD60&lt;TODAY(),AQ60="")),"überfällig","offen"))))</f>
        <v/>
      </c>
      <c r="I60" s="16">
        <f>IF($B60="","",IF(AY60&lt;&gt;"","—",IF(AND(ISNUMBER(AA60),AA60&lt;TODAY(),Z60="",AJ60=""),"Abnahmetermin vereinbaren – Sollfrist verstrichen",IF(AND(ISNUMBER(Z60),Z60&lt;TODAY(),AJ60=""),"Wohnungsabnahme nachtragen – Termin war fällig",IF(AND(ISNUMBER(AB60),AB60&lt;TODAY(),AK60=""),"Handwerker aufbieten – Frist verstrichen",IF(AND(ISNUMBER(AC60),AC60&lt;TODAY(),AO60=""),"Vertrag retour mahnen – Frist verstrichen",IF(AND(ISNUMBER(AD60),AD60&lt;TODAY(),AQ60=""),"Schlüsselübergabe nachtragen – Termin war fällig",IF(M60="","Haftungsdatum erfassen",IF(E60="","ex-Mieter erfassen",IF(AE60="","Kündigung bestätigen / G-Rem",IF(AF60="","Werke / EGT melden",IF(AG60="","Vorbesichtigung (oder n.e.)",IF(AH60="","VMZ aktualisieren",IF(AI60="","Inserat aufschalten",IF(AND(Z60="",AJ60=""),"Abnahmetermin vereinbaren",IF(AJ60="","Wohnungsabnahme durchführen",IF(AK60="","Handwerker aufbieten",IF(AL60="","Zustimmungserklärung einholen",IF(AM60="","Instandstellungen beauftragen",IF(R60="","Nachmieter erfassen",IF(AN60="","Vertrag versenden",IF(AO60="","Vertrag retour erfassen",IF(S60="","Vermietet per erfassen",IF(AP60="","Werke / EGT über Einzug informieren",IF(AND(AD60="",AQ60=""),"Schlüsselübergabe terminieren",IF(AQ60="","Schlüsselübergabe durchführen",IF(AR60="","Reinigung veranlassen",IF(AS60="","Namensschilder bestellen",IF(AT60="","Kaution prüfen / G-Rem mutieren",IF(AU60="","Instandstellungs-Rechnung erfassen",IF(AV60="","Schlussabrechnung erstellen",IF(AW60="","Zahlungseingang kontrollieren","Fall abschliessen"))))))))))))))))))))))))))))))))</f>
        <v/>
      </c>
      <c r="J60" s="17">
        <f>IF(M60="","",IF(S60&lt;&gt;"",MAX(0,S60-M60-1),MAX(0,TODAY()-M60)))</f>
        <v/>
      </c>
      <c r="K60" s="16">
        <f>IF($B60="","",TRIM(IF(AND(L60&lt;&gt;"",M60&lt;&gt;"",M60&lt;L60),"Haftungsdatum vor Kündigung. ","")&amp;IF(AND(S60&lt;&gt;"",M60&lt;&gt;"",S60&lt;M60),"Vermietung vor Leerstandsbeginn. ","")&amp;IF(AND(Z60&lt;&gt;"",L60&lt;&gt;"",Z60&lt;L60),"WA-Termin vor Kündigung. ","")&amp;IF(COUNTIFS($B$5:$B$404,$B60,$AY$5:$AY$404,"")&gt;1,"Zweiter offener Fall zum selben Objekt. ","")&amp;IF(AND($A60&lt;&gt;"",COUNTIFS($A$5:$A$404,$A60)&gt;1),"Fall-Nr. doppelt vergeben. ","")&amp;IF(E60="","ex-Mieter fehlt. ","")&amp;IF(M60="","Haftungsdatum fehlt. ","")&amp;IF(F60="","Bewirtschafter fehlt. ","")&amp;IF(AND(AY60&lt;&gt;"",AW60=""),"Abgeschlossen trotz offener Schlussabrechnung. ","")&amp;IF(AND(AY60="",S60="",ISNUMBER(J60),J60&gt;60),"Langläufer über 60 Tage. ","")))</f>
        <v/>
      </c>
      <c r="L60" s="18" t="n"/>
      <c r="M60" s="18" t="n"/>
      <c r="N60" s="19">
        <f>IF(M60="","",M60+1)</f>
        <v/>
      </c>
      <c r="O60" s="17">
        <f>IF(OR(L60="",M60=""),"",M60-L60)</f>
        <v/>
      </c>
      <c r="P60" s="16">
        <f>IF(M60="","",YEAR(M60+1)&amp;"-"&amp;TEXT(MONTH(M60+1),"00"))</f>
        <v/>
      </c>
      <c r="Q60" s="18" t="n"/>
      <c r="R60" s="15" t="n"/>
      <c r="S60" s="18" t="n"/>
      <c r="T60" s="16">
        <f>IF(U60="","",IF(LEFT(U60,1)="6","abgeschlossen",IF(OR(LEFT(U60,1)="1",LEFT(U60,1)="2"),"Kündigung &amp; Abnahme",IF(OR(LEFT(U60,1)="3",LEFT(U60,1)="4"),"Wiedervermietung","Schlussabrechnung"))))</f>
        <v/>
      </c>
      <c r="U60" s="16">
        <f>IF($B60="","",IF(AY60&lt;&gt;"","6 · abgeschlossen",IF(AW60&lt;&gt;"","5 · bereit zum Abschluss",IF(AT60&lt;&gt;"","5 · Schlussabrechnung",IF(AO60&lt;&gt;"","4 · Übergabe",IF(AM60&lt;&gt;"","3 · Neuvermietung",IF(M60&lt;&gt;"","2 · Abnahme &amp; Vermarktung","1 · Erfassung")))))))</f>
        <v/>
      </c>
      <c r="V60" s="15" t="n"/>
      <c r="W60" s="20" t="n"/>
      <c r="X60" s="15" t="n"/>
      <c r="Y60" s="15" t="n"/>
      <c r="Z60" s="18" t="n"/>
      <c r="AA60" s="19">
        <f>IF(M60="","",M60-30)</f>
        <v/>
      </c>
      <c r="AB60" s="19">
        <f>IF(ISNUMBER(AJ60),AJ60+3,"")</f>
        <v/>
      </c>
      <c r="AC60" s="18" t="n"/>
      <c r="AD60" s="18" t="n"/>
      <c r="AE60" s="18" t="n"/>
      <c r="AF60" s="18" t="n"/>
      <c r="AG60" s="18" t="n"/>
      <c r="AH60" s="18" t="n"/>
      <c r="AI60" s="18" t="n"/>
      <c r="AJ60" s="18" t="n"/>
      <c r="AK60" s="18" t="n"/>
      <c r="AL60" s="18" t="n"/>
      <c r="AM60" s="18" t="n"/>
      <c r="AN60" s="18" t="n"/>
      <c r="AO60" s="18" t="n"/>
      <c r="AP60" s="18" t="n"/>
      <c r="AQ60" s="18" t="n"/>
      <c r="AR60" s="18" t="n"/>
      <c r="AS60" s="18" t="n"/>
      <c r="AT60" s="18" t="n"/>
      <c r="AU60" s="18" t="n"/>
      <c r="AV60" s="18" t="n"/>
      <c r="AW60" s="18" t="n"/>
      <c r="AX60" s="18" t="n"/>
      <c r="AY60" s="18" t="n"/>
      <c r="AZ60" s="15" t="n"/>
    </row>
    <row r="61">
      <c r="A61" s="15" t="n"/>
      <c r="B61" s="15" t="n"/>
      <c r="C61" s="15" t="n"/>
      <c r="D61" s="15" t="n"/>
      <c r="E61" s="15" t="n"/>
      <c r="F61" s="15" t="n"/>
      <c r="G61" s="16">
        <f>IF(F61="","",IFERROR(INDEX(Stammdaten!$B$5:$B$24,MATCH(F61,Stammdaten!$A$5:$A$24,0)),"unbekannt"))</f>
        <v/>
      </c>
      <c r="H61" s="16">
        <f>IF($B61="","",IF(AY61&lt;&gt;"","abgeschlossen",IF(AND(ISNUMBER(AX61),AX61&gt;=TODAY()),"zurückgestellt",IF(OR(AND(ISNUMBER(AA61),AA61&lt;TODAY(),Z61="",AJ61=""),AND(ISNUMBER(Z61),Z61&lt;TODAY(),AJ61=""),AND(ISNUMBER(AB61),AB61&lt;TODAY(),AK61=""),AND(ISNUMBER(AC61),AC61&lt;TODAY(),AO61=""),AND(ISNUMBER(AD61),AD61&lt;TODAY(),AQ61="")),"überfällig","offen"))))</f>
        <v/>
      </c>
      <c r="I61" s="16">
        <f>IF($B61="","",IF(AY61&lt;&gt;"","—",IF(AND(ISNUMBER(AA61),AA61&lt;TODAY(),Z61="",AJ61=""),"Abnahmetermin vereinbaren – Sollfrist verstrichen",IF(AND(ISNUMBER(Z61),Z61&lt;TODAY(),AJ61=""),"Wohnungsabnahme nachtragen – Termin war fällig",IF(AND(ISNUMBER(AB61),AB61&lt;TODAY(),AK61=""),"Handwerker aufbieten – Frist verstrichen",IF(AND(ISNUMBER(AC61),AC61&lt;TODAY(),AO61=""),"Vertrag retour mahnen – Frist verstrichen",IF(AND(ISNUMBER(AD61),AD61&lt;TODAY(),AQ61=""),"Schlüsselübergabe nachtragen – Termin war fällig",IF(M61="","Haftungsdatum erfassen",IF(E61="","ex-Mieter erfassen",IF(AE61="","Kündigung bestätigen / G-Rem",IF(AF61="","Werke / EGT melden",IF(AG61="","Vorbesichtigung (oder n.e.)",IF(AH61="","VMZ aktualisieren",IF(AI61="","Inserat aufschalten",IF(AND(Z61="",AJ61=""),"Abnahmetermin vereinbaren",IF(AJ61="","Wohnungsabnahme durchführen",IF(AK61="","Handwerker aufbieten",IF(AL61="","Zustimmungserklärung einholen",IF(AM61="","Instandstellungen beauftragen",IF(R61="","Nachmieter erfassen",IF(AN61="","Vertrag versenden",IF(AO61="","Vertrag retour erfassen",IF(S61="","Vermietet per erfassen",IF(AP61="","Werke / EGT über Einzug informieren",IF(AND(AD61="",AQ61=""),"Schlüsselübergabe terminieren",IF(AQ61="","Schlüsselübergabe durchführen",IF(AR61="","Reinigung veranlassen",IF(AS61="","Namensschilder bestellen",IF(AT61="","Kaution prüfen / G-Rem mutieren",IF(AU61="","Instandstellungs-Rechnung erfassen",IF(AV61="","Schlussabrechnung erstellen",IF(AW61="","Zahlungseingang kontrollieren","Fall abschliessen"))))))))))))))))))))))))))))))))</f>
        <v/>
      </c>
      <c r="J61" s="17">
        <f>IF(M61="","",IF(S61&lt;&gt;"",MAX(0,S61-M61-1),MAX(0,TODAY()-M61)))</f>
        <v/>
      </c>
      <c r="K61" s="16">
        <f>IF($B61="","",TRIM(IF(AND(L61&lt;&gt;"",M61&lt;&gt;"",M61&lt;L61),"Haftungsdatum vor Kündigung. ","")&amp;IF(AND(S61&lt;&gt;"",M61&lt;&gt;"",S61&lt;M61),"Vermietung vor Leerstandsbeginn. ","")&amp;IF(AND(Z61&lt;&gt;"",L61&lt;&gt;"",Z61&lt;L61),"WA-Termin vor Kündigung. ","")&amp;IF(COUNTIFS($B$5:$B$404,$B61,$AY$5:$AY$404,"")&gt;1,"Zweiter offener Fall zum selben Objekt. ","")&amp;IF(AND($A61&lt;&gt;"",COUNTIFS($A$5:$A$404,$A61)&gt;1),"Fall-Nr. doppelt vergeben. ","")&amp;IF(E61="","ex-Mieter fehlt. ","")&amp;IF(M61="","Haftungsdatum fehlt. ","")&amp;IF(F61="","Bewirtschafter fehlt. ","")&amp;IF(AND(AY61&lt;&gt;"",AW61=""),"Abgeschlossen trotz offener Schlussabrechnung. ","")&amp;IF(AND(AY61="",S61="",ISNUMBER(J61),J61&gt;60),"Langläufer über 60 Tage. ","")))</f>
        <v/>
      </c>
      <c r="L61" s="18" t="n"/>
      <c r="M61" s="18" t="n"/>
      <c r="N61" s="19">
        <f>IF(M61="","",M61+1)</f>
        <v/>
      </c>
      <c r="O61" s="17">
        <f>IF(OR(L61="",M61=""),"",M61-L61)</f>
        <v/>
      </c>
      <c r="P61" s="16">
        <f>IF(M61="","",YEAR(M61+1)&amp;"-"&amp;TEXT(MONTH(M61+1),"00"))</f>
        <v/>
      </c>
      <c r="Q61" s="18" t="n"/>
      <c r="R61" s="15" t="n"/>
      <c r="S61" s="18" t="n"/>
      <c r="T61" s="16">
        <f>IF(U61="","",IF(LEFT(U61,1)="6","abgeschlossen",IF(OR(LEFT(U61,1)="1",LEFT(U61,1)="2"),"Kündigung &amp; Abnahme",IF(OR(LEFT(U61,1)="3",LEFT(U61,1)="4"),"Wiedervermietung","Schlussabrechnung"))))</f>
        <v/>
      </c>
      <c r="U61" s="16">
        <f>IF($B61="","",IF(AY61&lt;&gt;"","6 · abgeschlossen",IF(AW61&lt;&gt;"","5 · bereit zum Abschluss",IF(AT61&lt;&gt;"","5 · Schlussabrechnung",IF(AO61&lt;&gt;"","4 · Übergabe",IF(AM61&lt;&gt;"","3 · Neuvermietung",IF(M61&lt;&gt;"","2 · Abnahme &amp; Vermarktung","1 · Erfassung")))))))</f>
        <v/>
      </c>
      <c r="V61" s="15" t="n"/>
      <c r="W61" s="20" t="n"/>
      <c r="X61" s="15" t="n"/>
      <c r="Y61" s="15" t="n"/>
      <c r="Z61" s="18" t="n"/>
      <c r="AA61" s="19">
        <f>IF(M61="","",M61-30)</f>
        <v/>
      </c>
      <c r="AB61" s="19">
        <f>IF(ISNUMBER(AJ61),AJ61+3,"")</f>
        <v/>
      </c>
      <c r="AC61" s="18" t="n"/>
      <c r="AD61" s="18" t="n"/>
      <c r="AE61" s="18" t="n"/>
      <c r="AF61" s="18" t="n"/>
      <c r="AG61" s="18" t="n"/>
      <c r="AH61" s="18" t="n"/>
      <c r="AI61" s="18" t="n"/>
      <c r="AJ61" s="18" t="n"/>
      <c r="AK61" s="18" t="n"/>
      <c r="AL61" s="18" t="n"/>
      <c r="AM61" s="18" t="n"/>
      <c r="AN61" s="18" t="n"/>
      <c r="AO61" s="18" t="n"/>
      <c r="AP61" s="18" t="n"/>
      <c r="AQ61" s="18" t="n"/>
      <c r="AR61" s="18" t="n"/>
      <c r="AS61" s="18" t="n"/>
      <c r="AT61" s="18" t="n"/>
      <c r="AU61" s="18" t="n"/>
      <c r="AV61" s="18" t="n"/>
      <c r="AW61" s="18" t="n"/>
      <c r="AX61" s="18" t="n"/>
      <c r="AY61" s="18" t="n"/>
      <c r="AZ61" s="15" t="n"/>
    </row>
    <row r="62">
      <c r="A62" s="15" t="n"/>
      <c r="B62" s="15" t="n"/>
      <c r="C62" s="15" t="n"/>
      <c r="D62" s="15" t="n"/>
      <c r="E62" s="15" t="n"/>
      <c r="F62" s="15" t="n"/>
      <c r="G62" s="16">
        <f>IF(F62="","",IFERROR(INDEX(Stammdaten!$B$5:$B$24,MATCH(F62,Stammdaten!$A$5:$A$24,0)),"unbekannt"))</f>
        <v/>
      </c>
      <c r="H62" s="16">
        <f>IF($B62="","",IF(AY62&lt;&gt;"","abgeschlossen",IF(AND(ISNUMBER(AX62),AX62&gt;=TODAY()),"zurückgestellt",IF(OR(AND(ISNUMBER(AA62),AA62&lt;TODAY(),Z62="",AJ62=""),AND(ISNUMBER(Z62),Z62&lt;TODAY(),AJ62=""),AND(ISNUMBER(AB62),AB62&lt;TODAY(),AK62=""),AND(ISNUMBER(AC62),AC62&lt;TODAY(),AO62=""),AND(ISNUMBER(AD62),AD62&lt;TODAY(),AQ62="")),"überfällig","offen"))))</f>
        <v/>
      </c>
      <c r="I62" s="16">
        <f>IF($B62="","",IF(AY62&lt;&gt;"","—",IF(AND(ISNUMBER(AA62),AA62&lt;TODAY(),Z62="",AJ62=""),"Abnahmetermin vereinbaren – Sollfrist verstrichen",IF(AND(ISNUMBER(Z62),Z62&lt;TODAY(),AJ62=""),"Wohnungsabnahme nachtragen – Termin war fällig",IF(AND(ISNUMBER(AB62),AB62&lt;TODAY(),AK62=""),"Handwerker aufbieten – Frist verstrichen",IF(AND(ISNUMBER(AC62),AC62&lt;TODAY(),AO62=""),"Vertrag retour mahnen – Frist verstrichen",IF(AND(ISNUMBER(AD62),AD62&lt;TODAY(),AQ62=""),"Schlüsselübergabe nachtragen – Termin war fällig",IF(M62="","Haftungsdatum erfassen",IF(E62="","ex-Mieter erfassen",IF(AE62="","Kündigung bestätigen / G-Rem",IF(AF62="","Werke / EGT melden",IF(AG62="","Vorbesichtigung (oder n.e.)",IF(AH62="","VMZ aktualisieren",IF(AI62="","Inserat aufschalten",IF(AND(Z62="",AJ62=""),"Abnahmetermin vereinbaren",IF(AJ62="","Wohnungsabnahme durchführen",IF(AK62="","Handwerker aufbieten",IF(AL62="","Zustimmungserklärung einholen",IF(AM62="","Instandstellungen beauftragen",IF(R62="","Nachmieter erfassen",IF(AN62="","Vertrag versenden",IF(AO62="","Vertrag retour erfassen",IF(S62="","Vermietet per erfassen",IF(AP62="","Werke / EGT über Einzug informieren",IF(AND(AD62="",AQ62=""),"Schlüsselübergabe terminieren",IF(AQ62="","Schlüsselübergabe durchführen",IF(AR62="","Reinigung veranlassen",IF(AS62="","Namensschilder bestellen",IF(AT62="","Kaution prüfen / G-Rem mutieren",IF(AU62="","Instandstellungs-Rechnung erfassen",IF(AV62="","Schlussabrechnung erstellen",IF(AW62="","Zahlungseingang kontrollieren","Fall abschliessen"))))))))))))))))))))))))))))))))</f>
        <v/>
      </c>
      <c r="J62" s="17">
        <f>IF(M62="","",IF(S62&lt;&gt;"",MAX(0,S62-M62-1),MAX(0,TODAY()-M62)))</f>
        <v/>
      </c>
      <c r="K62" s="16">
        <f>IF($B62="","",TRIM(IF(AND(L62&lt;&gt;"",M62&lt;&gt;"",M62&lt;L62),"Haftungsdatum vor Kündigung. ","")&amp;IF(AND(S62&lt;&gt;"",M62&lt;&gt;"",S62&lt;M62),"Vermietung vor Leerstandsbeginn. ","")&amp;IF(AND(Z62&lt;&gt;"",L62&lt;&gt;"",Z62&lt;L62),"WA-Termin vor Kündigung. ","")&amp;IF(COUNTIFS($B$5:$B$404,$B62,$AY$5:$AY$404,"")&gt;1,"Zweiter offener Fall zum selben Objekt. ","")&amp;IF(AND($A62&lt;&gt;"",COUNTIFS($A$5:$A$404,$A62)&gt;1),"Fall-Nr. doppelt vergeben. ","")&amp;IF(E62="","ex-Mieter fehlt. ","")&amp;IF(M62="","Haftungsdatum fehlt. ","")&amp;IF(F62="","Bewirtschafter fehlt. ","")&amp;IF(AND(AY62&lt;&gt;"",AW62=""),"Abgeschlossen trotz offener Schlussabrechnung. ","")&amp;IF(AND(AY62="",S62="",ISNUMBER(J62),J62&gt;60),"Langläufer über 60 Tage. ","")))</f>
        <v/>
      </c>
      <c r="L62" s="18" t="n"/>
      <c r="M62" s="18" t="n"/>
      <c r="N62" s="19">
        <f>IF(M62="","",M62+1)</f>
        <v/>
      </c>
      <c r="O62" s="17">
        <f>IF(OR(L62="",M62=""),"",M62-L62)</f>
        <v/>
      </c>
      <c r="P62" s="16">
        <f>IF(M62="","",YEAR(M62+1)&amp;"-"&amp;TEXT(MONTH(M62+1),"00"))</f>
        <v/>
      </c>
      <c r="Q62" s="18" t="n"/>
      <c r="R62" s="15" t="n"/>
      <c r="S62" s="18" t="n"/>
      <c r="T62" s="16">
        <f>IF(U62="","",IF(LEFT(U62,1)="6","abgeschlossen",IF(OR(LEFT(U62,1)="1",LEFT(U62,1)="2"),"Kündigung &amp; Abnahme",IF(OR(LEFT(U62,1)="3",LEFT(U62,1)="4"),"Wiedervermietung","Schlussabrechnung"))))</f>
        <v/>
      </c>
      <c r="U62" s="16">
        <f>IF($B62="","",IF(AY62&lt;&gt;"","6 · abgeschlossen",IF(AW62&lt;&gt;"","5 · bereit zum Abschluss",IF(AT62&lt;&gt;"","5 · Schlussabrechnung",IF(AO62&lt;&gt;"","4 · Übergabe",IF(AM62&lt;&gt;"","3 · Neuvermietung",IF(M62&lt;&gt;"","2 · Abnahme &amp; Vermarktung","1 · Erfassung")))))))</f>
        <v/>
      </c>
      <c r="V62" s="15" t="n"/>
      <c r="W62" s="20" t="n"/>
      <c r="X62" s="15" t="n"/>
      <c r="Y62" s="15" t="n"/>
      <c r="Z62" s="18" t="n"/>
      <c r="AA62" s="19">
        <f>IF(M62="","",M62-30)</f>
        <v/>
      </c>
      <c r="AB62" s="19">
        <f>IF(ISNUMBER(AJ62),AJ62+3,"")</f>
        <v/>
      </c>
      <c r="AC62" s="18" t="n"/>
      <c r="AD62" s="18" t="n"/>
      <c r="AE62" s="18" t="n"/>
      <c r="AF62" s="18" t="n"/>
      <c r="AG62" s="18" t="n"/>
      <c r="AH62" s="18" t="n"/>
      <c r="AI62" s="18" t="n"/>
      <c r="AJ62" s="18" t="n"/>
      <c r="AK62" s="18" t="n"/>
      <c r="AL62" s="18" t="n"/>
      <c r="AM62" s="18" t="n"/>
      <c r="AN62" s="18" t="n"/>
      <c r="AO62" s="18" t="n"/>
      <c r="AP62" s="18" t="n"/>
      <c r="AQ62" s="18" t="n"/>
      <c r="AR62" s="18" t="n"/>
      <c r="AS62" s="18" t="n"/>
      <c r="AT62" s="18" t="n"/>
      <c r="AU62" s="18" t="n"/>
      <c r="AV62" s="18" t="n"/>
      <c r="AW62" s="18" t="n"/>
      <c r="AX62" s="18" t="n"/>
      <c r="AY62" s="18" t="n"/>
      <c r="AZ62" s="15" t="n"/>
    </row>
    <row r="63">
      <c r="A63" s="15" t="n"/>
      <c r="B63" s="15" t="n"/>
      <c r="C63" s="15" t="n"/>
      <c r="D63" s="15" t="n"/>
      <c r="E63" s="15" t="n"/>
      <c r="F63" s="15" t="n"/>
      <c r="G63" s="16">
        <f>IF(F63="","",IFERROR(INDEX(Stammdaten!$B$5:$B$24,MATCH(F63,Stammdaten!$A$5:$A$24,0)),"unbekannt"))</f>
        <v/>
      </c>
      <c r="H63" s="16">
        <f>IF($B63="","",IF(AY63&lt;&gt;"","abgeschlossen",IF(AND(ISNUMBER(AX63),AX63&gt;=TODAY()),"zurückgestellt",IF(OR(AND(ISNUMBER(AA63),AA63&lt;TODAY(),Z63="",AJ63=""),AND(ISNUMBER(Z63),Z63&lt;TODAY(),AJ63=""),AND(ISNUMBER(AB63),AB63&lt;TODAY(),AK63=""),AND(ISNUMBER(AC63),AC63&lt;TODAY(),AO63=""),AND(ISNUMBER(AD63),AD63&lt;TODAY(),AQ63="")),"überfällig","offen"))))</f>
        <v/>
      </c>
      <c r="I63" s="16">
        <f>IF($B63="","",IF(AY63&lt;&gt;"","—",IF(AND(ISNUMBER(AA63),AA63&lt;TODAY(),Z63="",AJ63=""),"Abnahmetermin vereinbaren – Sollfrist verstrichen",IF(AND(ISNUMBER(Z63),Z63&lt;TODAY(),AJ63=""),"Wohnungsabnahme nachtragen – Termin war fällig",IF(AND(ISNUMBER(AB63),AB63&lt;TODAY(),AK63=""),"Handwerker aufbieten – Frist verstrichen",IF(AND(ISNUMBER(AC63),AC63&lt;TODAY(),AO63=""),"Vertrag retour mahnen – Frist verstrichen",IF(AND(ISNUMBER(AD63),AD63&lt;TODAY(),AQ63=""),"Schlüsselübergabe nachtragen – Termin war fällig",IF(M63="","Haftungsdatum erfassen",IF(E63="","ex-Mieter erfassen",IF(AE63="","Kündigung bestätigen / G-Rem",IF(AF63="","Werke / EGT melden",IF(AG63="","Vorbesichtigung (oder n.e.)",IF(AH63="","VMZ aktualisieren",IF(AI63="","Inserat aufschalten",IF(AND(Z63="",AJ63=""),"Abnahmetermin vereinbaren",IF(AJ63="","Wohnungsabnahme durchführen",IF(AK63="","Handwerker aufbieten",IF(AL63="","Zustimmungserklärung einholen",IF(AM63="","Instandstellungen beauftragen",IF(R63="","Nachmieter erfassen",IF(AN63="","Vertrag versenden",IF(AO63="","Vertrag retour erfassen",IF(S63="","Vermietet per erfassen",IF(AP63="","Werke / EGT über Einzug informieren",IF(AND(AD63="",AQ63=""),"Schlüsselübergabe terminieren",IF(AQ63="","Schlüsselübergabe durchführen",IF(AR63="","Reinigung veranlassen",IF(AS63="","Namensschilder bestellen",IF(AT63="","Kaution prüfen / G-Rem mutieren",IF(AU63="","Instandstellungs-Rechnung erfassen",IF(AV63="","Schlussabrechnung erstellen",IF(AW63="","Zahlungseingang kontrollieren","Fall abschliessen"))))))))))))))))))))))))))))))))</f>
        <v/>
      </c>
      <c r="J63" s="17">
        <f>IF(M63="","",IF(S63&lt;&gt;"",MAX(0,S63-M63-1),MAX(0,TODAY()-M63)))</f>
        <v/>
      </c>
      <c r="K63" s="16">
        <f>IF($B63="","",TRIM(IF(AND(L63&lt;&gt;"",M63&lt;&gt;"",M63&lt;L63),"Haftungsdatum vor Kündigung. ","")&amp;IF(AND(S63&lt;&gt;"",M63&lt;&gt;"",S63&lt;M63),"Vermietung vor Leerstandsbeginn. ","")&amp;IF(AND(Z63&lt;&gt;"",L63&lt;&gt;"",Z63&lt;L63),"WA-Termin vor Kündigung. ","")&amp;IF(COUNTIFS($B$5:$B$404,$B63,$AY$5:$AY$404,"")&gt;1,"Zweiter offener Fall zum selben Objekt. ","")&amp;IF(AND($A63&lt;&gt;"",COUNTIFS($A$5:$A$404,$A63)&gt;1),"Fall-Nr. doppelt vergeben. ","")&amp;IF(E63="","ex-Mieter fehlt. ","")&amp;IF(M63="","Haftungsdatum fehlt. ","")&amp;IF(F63="","Bewirtschafter fehlt. ","")&amp;IF(AND(AY63&lt;&gt;"",AW63=""),"Abgeschlossen trotz offener Schlussabrechnung. ","")&amp;IF(AND(AY63="",S63="",ISNUMBER(J63),J63&gt;60),"Langläufer über 60 Tage. ","")))</f>
        <v/>
      </c>
      <c r="L63" s="18" t="n"/>
      <c r="M63" s="18" t="n"/>
      <c r="N63" s="19">
        <f>IF(M63="","",M63+1)</f>
        <v/>
      </c>
      <c r="O63" s="17">
        <f>IF(OR(L63="",M63=""),"",M63-L63)</f>
        <v/>
      </c>
      <c r="P63" s="16">
        <f>IF(M63="","",YEAR(M63+1)&amp;"-"&amp;TEXT(MONTH(M63+1),"00"))</f>
        <v/>
      </c>
      <c r="Q63" s="18" t="n"/>
      <c r="R63" s="15" t="n"/>
      <c r="S63" s="18" t="n"/>
      <c r="T63" s="16">
        <f>IF(U63="","",IF(LEFT(U63,1)="6","abgeschlossen",IF(OR(LEFT(U63,1)="1",LEFT(U63,1)="2"),"Kündigung &amp; Abnahme",IF(OR(LEFT(U63,1)="3",LEFT(U63,1)="4"),"Wiedervermietung","Schlussabrechnung"))))</f>
        <v/>
      </c>
      <c r="U63" s="16">
        <f>IF($B63="","",IF(AY63&lt;&gt;"","6 · abgeschlossen",IF(AW63&lt;&gt;"","5 · bereit zum Abschluss",IF(AT63&lt;&gt;"","5 · Schlussabrechnung",IF(AO63&lt;&gt;"","4 · Übergabe",IF(AM63&lt;&gt;"","3 · Neuvermietung",IF(M63&lt;&gt;"","2 · Abnahme &amp; Vermarktung","1 · Erfassung")))))))</f>
        <v/>
      </c>
      <c r="V63" s="15" t="n"/>
      <c r="W63" s="20" t="n"/>
      <c r="X63" s="15" t="n"/>
      <c r="Y63" s="15" t="n"/>
      <c r="Z63" s="18" t="n"/>
      <c r="AA63" s="19">
        <f>IF(M63="","",M63-30)</f>
        <v/>
      </c>
      <c r="AB63" s="19">
        <f>IF(ISNUMBER(AJ63),AJ63+3,"")</f>
        <v/>
      </c>
      <c r="AC63" s="18" t="n"/>
      <c r="AD63" s="18" t="n"/>
      <c r="AE63" s="18" t="n"/>
      <c r="AF63" s="18" t="n"/>
      <c r="AG63" s="18" t="n"/>
      <c r="AH63" s="18" t="n"/>
      <c r="AI63" s="18" t="n"/>
      <c r="AJ63" s="18" t="n"/>
      <c r="AK63" s="18" t="n"/>
      <c r="AL63" s="18" t="n"/>
      <c r="AM63" s="18" t="n"/>
      <c r="AN63" s="18" t="n"/>
      <c r="AO63" s="18" t="n"/>
      <c r="AP63" s="18" t="n"/>
      <c r="AQ63" s="18" t="n"/>
      <c r="AR63" s="18" t="n"/>
      <c r="AS63" s="18" t="n"/>
      <c r="AT63" s="18" t="n"/>
      <c r="AU63" s="18" t="n"/>
      <c r="AV63" s="18" t="n"/>
      <c r="AW63" s="18" t="n"/>
      <c r="AX63" s="18" t="n"/>
      <c r="AY63" s="18" t="n"/>
      <c r="AZ63" s="15" t="n"/>
    </row>
    <row r="64">
      <c r="A64" s="15" t="n"/>
      <c r="B64" s="15" t="n"/>
      <c r="C64" s="15" t="n"/>
      <c r="D64" s="15" t="n"/>
      <c r="E64" s="15" t="n"/>
      <c r="F64" s="15" t="n"/>
      <c r="G64" s="16">
        <f>IF(F64="","",IFERROR(INDEX(Stammdaten!$B$5:$B$24,MATCH(F64,Stammdaten!$A$5:$A$24,0)),"unbekannt"))</f>
        <v/>
      </c>
      <c r="H64" s="16">
        <f>IF($B64="","",IF(AY64&lt;&gt;"","abgeschlossen",IF(AND(ISNUMBER(AX64),AX64&gt;=TODAY()),"zurückgestellt",IF(OR(AND(ISNUMBER(AA64),AA64&lt;TODAY(),Z64="",AJ64=""),AND(ISNUMBER(Z64),Z64&lt;TODAY(),AJ64=""),AND(ISNUMBER(AB64),AB64&lt;TODAY(),AK64=""),AND(ISNUMBER(AC64),AC64&lt;TODAY(),AO64=""),AND(ISNUMBER(AD64),AD64&lt;TODAY(),AQ64="")),"überfällig","offen"))))</f>
        <v/>
      </c>
      <c r="I64" s="16">
        <f>IF($B64="","",IF(AY64&lt;&gt;"","—",IF(AND(ISNUMBER(AA64),AA64&lt;TODAY(),Z64="",AJ64=""),"Abnahmetermin vereinbaren – Sollfrist verstrichen",IF(AND(ISNUMBER(Z64),Z64&lt;TODAY(),AJ64=""),"Wohnungsabnahme nachtragen – Termin war fällig",IF(AND(ISNUMBER(AB64),AB64&lt;TODAY(),AK64=""),"Handwerker aufbieten – Frist verstrichen",IF(AND(ISNUMBER(AC64),AC64&lt;TODAY(),AO64=""),"Vertrag retour mahnen – Frist verstrichen",IF(AND(ISNUMBER(AD64),AD64&lt;TODAY(),AQ64=""),"Schlüsselübergabe nachtragen – Termin war fällig",IF(M64="","Haftungsdatum erfassen",IF(E64="","ex-Mieter erfassen",IF(AE64="","Kündigung bestätigen / G-Rem",IF(AF64="","Werke / EGT melden",IF(AG64="","Vorbesichtigung (oder n.e.)",IF(AH64="","VMZ aktualisieren",IF(AI64="","Inserat aufschalten",IF(AND(Z64="",AJ64=""),"Abnahmetermin vereinbaren",IF(AJ64="","Wohnungsabnahme durchführen",IF(AK64="","Handwerker aufbieten",IF(AL64="","Zustimmungserklärung einholen",IF(AM64="","Instandstellungen beauftragen",IF(R64="","Nachmieter erfassen",IF(AN64="","Vertrag versenden",IF(AO64="","Vertrag retour erfassen",IF(S64="","Vermietet per erfassen",IF(AP64="","Werke / EGT über Einzug informieren",IF(AND(AD64="",AQ64=""),"Schlüsselübergabe terminieren",IF(AQ64="","Schlüsselübergabe durchführen",IF(AR64="","Reinigung veranlassen",IF(AS64="","Namensschilder bestellen",IF(AT64="","Kaution prüfen / G-Rem mutieren",IF(AU64="","Instandstellungs-Rechnung erfassen",IF(AV64="","Schlussabrechnung erstellen",IF(AW64="","Zahlungseingang kontrollieren","Fall abschliessen"))))))))))))))))))))))))))))))))</f>
        <v/>
      </c>
      <c r="J64" s="17">
        <f>IF(M64="","",IF(S64&lt;&gt;"",MAX(0,S64-M64-1),MAX(0,TODAY()-M64)))</f>
        <v/>
      </c>
      <c r="K64" s="16">
        <f>IF($B64="","",TRIM(IF(AND(L64&lt;&gt;"",M64&lt;&gt;"",M64&lt;L64),"Haftungsdatum vor Kündigung. ","")&amp;IF(AND(S64&lt;&gt;"",M64&lt;&gt;"",S64&lt;M64),"Vermietung vor Leerstandsbeginn. ","")&amp;IF(AND(Z64&lt;&gt;"",L64&lt;&gt;"",Z64&lt;L64),"WA-Termin vor Kündigung. ","")&amp;IF(COUNTIFS($B$5:$B$404,$B64,$AY$5:$AY$404,"")&gt;1,"Zweiter offener Fall zum selben Objekt. ","")&amp;IF(AND($A64&lt;&gt;"",COUNTIFS($A$5:$A$404,$A64)&gt;1),"Fall-Nr. doppelt vergeben. ","")&amp;IF(E64="","ex-Mieter fehlt. ","")&amp;IF(M64="","Haftungsdatum fehlt. ","")&amp;IF(F64="","Bewirtschafter fehlt. ","")&amp;IF(AND(AY64&lt;&gt;"",AW64=""),"Abgeschlossen trotz offener Schlussabrechnung. ","")&amp;IF(AND(AY64="",S64="",ISNUMBER(J64),J64&gt;60),"Langläufer über 60 Tage. ","")))</f>
        <v/>
      </c>
      <c r="L64" s="18" t="n"/>
      <c r="M64" s="18" t="n"/>
      <c r="N64" s="19">
        <f>IF(M64="","",M64+1)</f>
        <v/>
      </c>
      <c r="O64" s="17">
        <f>IF(OR(L64="",M64=""),"",M64-L64)</f>
        <v/>
      </c>
      <c r="P64" s="16">
        <f>IF(M64="","",YEAR(M64+1)&amp;"-"&amp;TEXT(MONTH(M64+1),"00"))</f>
        <v/>
      </c>
      <c r="Q64" s="18" t="n"/>
      <c r="R64" s="15" t="n"/>
      <c r="S64" s="18" t="n"/>
      <c r="T64" s="16">
        <f>IF(U64="","",IF(LEFT(U64,1)="6","abgeschlossen",IF(OR(LEFT(U64,1)="1",LEFT(U64,1)="2"),"Kündigung &amp; Abnahme",IF(OR(LEFT(U64,1)="3",LEFT(U64,1)="4"),"Wiedervermietung","Schlussabrechnung"))))</f>
        <v/>
      </c>
      <c r="U64" s="16">
        <f>IF($B64="","",IF(AY64&lt;&gt;"","6 · abgeschlossen",IF(AW64&lt;&gt;"","5 · bereit zum Abschluss",IF(AT64&lt;&gt;"","5 · Schlussabrechnung",IF(AO64&lt;&gt;"","4 · Übergabe",IF(AM64&lt;&gt;"","3 · Neuvermietung",IF(M64&lt;&gt;"","2 · Abnahme &amp; Vermarktung","1 · Erfassung")))))))</f>
        <v/>
      </c>
      <c r="V64" s="15" t="n"/>
      <c r="W64" s="20" t="n"/>
      <c r="X64" s="15" t="n"/>
      <c r="Y64" s="15" t="n"/>
      <c r="Z64" s="18" t="n"/>
      <c r="AA64" s="19">
        <f>IF(M64="","",M64-30)</f>
        <v/>
      </c>
      <c r="AB64" s="19">
        <f>IF(ISNUMBER(AJ64),AJ64+3,"")</f>
        <v/>
      </c>
      <c r="AC64" s="18" t="n"/>
      <c r="AD64" s="18" t="n"/>
      <c r="AE64" s="18" t="n"/>
      <c r="AF64" s="18" t="n"/>
      <c r="AG64" s="18" t="n"/>
      <c r="AH64" s="18" t="n"/>
      <c r="AI64" s="18" t="n"/>
      <c r="AJ64" s="18" t="n"/>
      <c r="AK64" s="18" t="n"/>
      <c r="AL64" s="18" t="n"/>
      <c r="AM64" s="18" t="n"/>
      <c r="AN64" s="18" t="n"/>
      <c r="AO64" s="18" t="n"/>
      <c r="AP64" s="18" t="n"/>
      <c r="AQ64" s="18" t="n"/>
      <c r="AR64" s="18" t="n"/>
      <c r="AS64" s="18" t="n"/>
      <c r="AT64" s="18" t="n"/>
      <c r="AU64" s="18" t="n"/>
      <c r="AV64" s="18" t="n"/>
      <c r="AW64" s="18" t="n"/>
      <c r="AX64" s="18" t="n"/>
      <c r="AY64" s="18" t="n"/>
      <c r="AZ64" s="15" t="n"/>
    </row>
    <row r="65">
      <c r="A65" s="15" t="n"/>
      <c r="B65" s="15" t="n"/>
      <c r="C65" s="15" t="n"/>
      <c r="D65" s="15" t="n"/>
      <c r="E65" s="15" t="n"/>
      <c r="F65" s="15" t="n"/>
      <c r="G65" s="16">
        <f>IF(F65="","",IFERROR(INDEX(Stammdaten!$B$5:$B$24,MATCH(F65,Stammdaten!$A$5:$A$24,0)),"unbekannt"))</f>
        <v/>
      </c>
      <c r="H65" s="16">
        <f>IF($B65="","",IF(AY65&lt;&gt;"","abgeschlossen",IF(AND(ISNUMBER(AX65),AX65&gt;=TODAY()),"zurückgestellt",IF(OR(AND(ISNUMBER(AA65),AA65&lt;TODAY(),Z65="",AJ65=""),AND(ISNUMBER(Z65),Z65&lt;TODAY(),AJ65=""),AND(ISNUMBER(AB65),AB65&lt;TODAY(),AK65=""),AND(ISNUMBER(AC65),AC65&lt;TODAY(),AO65=""),AND(ISNUMBER(AD65),AD65&lt;TODAY(),AQ65="")),"überfällig","offen"))))</f>
        <v/>
      </c>
      <c r="I65" s="16">
        <f>IF($B65="","",IF(AY65&lt;&gt;"","—",IF(AND(ISNUMBER(AA65),AA65&lt;TODAY(),Z65="",AJ65=""),"Abnahmetermin vereinbaren – Sollfrist verstrichen",IF(AND(ISNUMBER(Z65),Z65&lt;TODAY(),AJ65=""),"Wohnungsabnahme nachtragen – Termin war fällig",IF(AND(ISNUMBER(AB65),AB65&lt;TODAY(),AK65=""),"Handwerker aufbieten – Frist verstrichen",IF(AND(ISNUMBER(AC65),AC65&lt;TODAY(),AO65=""),"Vertrag retour mahnen – Frist verstrichen",IF(AND(ISNUMBER(AD65),AD65&lt;TODAY(),AQ65=""),"Schlüsselübergabe nachtragen – Termin war fällig",IF(M65="","Haftungsdatum erfassen",IF(E65="","ex-Mieter erfassen",IF(AE65="","Kündigung bestätigen / G-Rem",IF(AF65="","Werke / EGT melden",IF(AG65="","Vorbesichtigung (oder n.e.)",IF(AH65="","VMZ aktualisieren",IF(AI65="","Inserat aufschalten",IF(AND(Z65="",AJ65=""),"Abnahmetermin vereinbaren",IF(AJ65="","Wohnungsabnahme durchführen",IF(AK65="","Handwerker aufbieten",IF(AL65="","Zustimmungserklärung einholen",IF(AM65="","Instandstellungen beauftragen",IF(R65="","Nachmieter erfassen",IF(AN65="","Vertrag versenden",IF(AO65="","Vertrag retour erfassen",IF(S65="","Vermietet per erfassen",IF(AP65="","Werke / EGT über Einzug informieren",IF(AND(AD65="",AQ65=""),"Schlüsselübergabe terminieren",IF(AQ65="","Schlüsselübergabe durchführen",IF(AR65="","Reinigung veranlassen",IF(AS65="","Namensschilder bestellen",IF(AT65="","Kaution prüfen / G-Rem mutieren",IF(AU65="","Instandstellungs-Rechnung erfassen",IF(AV65="","Schlussabrechnung erstellen",IF(AW65="","Zahlungseingang kontrollieren","Fall abschliessen"))))))))))))))))))))))))))))))))</f>
        <v/>
      </c>
      <c r="J65" s="17">
        <f>IF(M65="","",IF(S65&lt;&gt;"",MAX(0,S65-M65-1),MAX(0,TODAY()-M65)))</f>
        <v/>
      </c>
      <c r="K65" s="16">
        <f>IF($B65="","",TRIM(IF(AND(L65&lt;&gt;"",M65&lt;&gt;"",M65&lt;L65),"Haftungsdatum vor Kündigung. ","")&amp;IF(AND(S65&lt;&gt;"",M65&lt;&gt;"",S65&lt;M65),"Vermietung vor Leerstandsbeginn. ","")&amp;IF(AND(Z65&lt;&gt;"",L65&lt;&gt;"",Z65&lt;L65),"WA-Termin vor Kündigung. ","")&amp;IF(COUNTIFS($B$5:$B$404,$B65,$AY$5:$AY$404,"")&gt;1,"Zweiter offener Fall zum selben Objekt. ","")&amp;IF(AND($A65&lt;&gt;"",COUNTIFS($A$5:$A$404,$A65)&gt;1),"Fall-Nr. doppelt vergeben. ","")&amp;IF(E65="","ex-Mieter fehlt. ","")&amp;IF(M65="","Haftungsdatum fehlt. ","")&amp;IF(F65="","Bewirtschafter fehlt. ","")&amp;IF(AND(AY65&lt;&gt;"",AW65=""),"Abgeschlossen trotz offener Schlussabrechnung. ","")&amp;IF(AND(AY65="",S65="",ISNUMBER(J65),J65&gt;60),"Langläufer über 60 Tage. ","")))</f>
        <v/>
      </c>
      <c r="L65" s="18" t="n"/>
      <c r="M65" s="18" t="n"/>
      <c r="N65" s="19">
        <f>IF(M65="","",M65+1)</f>
        <v/>
      </c>
      <c r="O65" s="17">
        <f>IF(OR(L65="",M65=""),"",M65-L65)</f>
        <v/>
      </c>
      <c r="P65" s="16">
        <f>IF(M65="","",YEAR(M65+1)&amp;"-"&amp;TEXT(MONTH(M65+1),"00"))</f>
        <v/>
      </c>
      <c r="Q65" s="18" t="n"/>
      <c r="R65" s="15" t="n"/>
      <c r="S65" s="18" t="n"/>
      <c r="T65" s="16">
        <f>IF(U65="","",IF(LEFT(U65,1)="6","abgeschlossen",IF(OR(LEFT(U65,1)="1",LEFT(U65,1)="2"),"Kündigung &amp; Abnahme",IF(OR(LEFT(U65,1)="3",LEFT(U65,1)="4"),"Wiedervermietung","Schlussabrechnung"))))</f>
        <v/>
      </c>
      <c r="U65" s="16">
        <f>IF($B65="","",IF(AY65&lt;&gt;"","6 · abgeschlossen",IF(AW65&lt;&gt;"","5 · bereit zum Abschluss",IF(AT65&lt;&gt;"","5 · Schlussabrechnung",IF(AO65&lt;&gt;"","4 · Übergabe",IF(AM65&lt;&gt;"","3 · Neuvermietung",IF(M65&lt;&gt;"","2 · Abnahme &amp; Vermarktung","1 · Erfassung")))))))</f>
        <v/>
      </c>
      <c r="V65" s="15" t="n"/>
      <c r="W65" s="20" t="n"/>
      <c r="X65" s="15" t="n"/>
      <c r="Y65" s="15" t="n"/>
      <c r="Z65" s="18" t="n"/>
      <c r="AA65" s="19">
        <f>IF(M65="","",M65-30)</f>
        <v/>
      </c>
      <c r="AB65" s="19">
        <f>IF(ISNUMBER(AJ65),AJ65+3,"")</f>
        <v/>
      </c>
      <c r="AC65" s="18" t="n"/>
      <c r="AD65" s="18" t="n"/>
      <c r="AE65" s="18" t="n"/>
      <c r="AF65" s="18" t="n"/>
      <c r="AG65" s="18" t="n"/>
      <c r="AH65" s="18" t="n"/>
      <c r="AI65" s="18" t="n"/>
      <c r="AJ65" s="18" t="n"/>
      <c r="AK65" s="18" t="n"/>
      <c r="AL65" s="18" t="n"/>
      <c r="AM65" s="18" t="n"/>
      <c r="AN65" s="18" t="n"/>
      <c r="AO65" s="18" t="n"/>
      <c r="AP65" s="18" t="n"/>
      <c r="AQ65" s="18" t="n"/>
      <c r="AR65" s="18" t="n"/>
      <c r="AS65" s="18" t="n"/>
      <c r="AT65" s="18" t="n"/>
      <c r="AU65" s="18" t="n"/>
      <c r="AV65" s="18" t="n"/>
      <c r="AW65" s="18" t="n"/>
      <c r="AX65" s="18" t="n"/>
      <c r="AY65" s="18" t="n"/>
      <c r="AZ65" s="15" t="n"/>
    </row>
    <row r="66">
      <c r="A66" s="15" t="n"/>
      <c r="B66" s="15" t="n"/>
      <c r="C66" s="15" t="n"/>
      <c r="D66" s="15" t="n"/>
      <c r="E66" s="15" t="n"/>
      <c r="F66" s="15" t="n"/>
      <c r="G66" s="16">
        <f>IF(F66="","",IFERROR(INDEX(Stammdaten!$B$5:$B$24,MATCH(F66,Stammdaten!$A$5:$A$24,0)),"unbekannt"))</f>
        <v/>
      </c>
      <c r="H66" s="16">
        <f>IF($B66="","",IF(AY66&lt;&gt;"","abgeschlossen",IF(AND(ISNUMBER(AX66),AX66&gt;=TODAY()),"zurückgestellt",IF(OR(AND(ISNUMBER(AA66),AA66&lt;TODAY(),Z66="",AJ66=""),AND(ISNUMBER(Z66),Z66&lt;TODAY(),AJ66=""),AND(ISNUMBER(AB66),AB66&lt;TODAY(),AK66=""),AND(ISNUMBER(AC66),AC66&lt;TODAY(),AO66=""),AND(ISNUMBER(AD66),AD66&lt;TODAY(),AQ66="")),"überfällig","offen"))))</f>
        <v/>
      </c>
      <c r="I66" s="16">
        <f>IF($B66="","",IF(AY66&lt;&gt;"","—",IF(AND(ISNUMBER(AA66),AA66&lt;TODAY(),Z66="",AJ66=""),"Abnahmetermin vereinbaren – Sollfrist verstrichen",IF(AND(ISNUMBER(Z66),Z66&lt;TODAY(),AJ66=""),"Wohnungsabnahme nachtragen – Termin war fällig",IF(AND(ISNUMBER(AB66),AB66&lt;TODAY(),AK66=""),"Handwerker aufbieten – Frist verstrichen",IF(AND(ISNUMBER(AC66),AC66&lt;TODAY(),AO66=""),"Vertrag retour mahnen – Frist verstrichen",IF(AND(ISNUMBER(AD66),AD66&lt;TODAY(),AQ66=""),"Schlüsselübergabe nachtragen – Termin war fällig",IF(M66="","Haftungsdatum erfassen",IF(E66="","ex-Mieter erfassen",IF(AE66="","Kündigung bestätigen / G-Rem",IF(AF66="","Werke / EGT melden",IF(AG66="","Vorbesichtigung (oder n.e.)",IF(AH66="","VMZ aktualisieren",IF(AI66="","Inserat aufschalten",IF(AND(Z66="",AJ66=""),"Abnahmetermin vereinbaren",IF(AJ66="","Wohnungsabnahme durchführen",IF(AK66="","Handwerker aufbieten",IF(AL66="","Zustimmungserklärung einholen",IF(AM66="","Instandstellungen beauftragen",IF(R66="","Nachmieter erfassen",IF(AN66="","Vertrag versenden",IF(AO66="","Vertrag retour erfassen",IF(S66="","Vermietet per erfassen",IF(AP66="","Werke / EGT über Einzug informieren",IF(AND(AD66="",AQ66=""),"Schlüsselübergabe terminieren",IF(AQ66="","Schlüsselübergabe durchführen",IF(AR66="","Reinigung veranlassen",IF(AS66="","Namensschilder bestellen",IF(AT66="","Kaution prüfen / G-Rem mutieren",IF(AU66="","Instandstellungs-Rechnung erfassen",IF(AV66="","Schlussabrechnung erstellen",IF(AW66="","Zahlungseingang kontrollieren","Fall abschliessen"))))))))))))))))))))))))))))))))</f>
        <v/>
      </c>
      <c r="J66" s="17">
        <f>IF(M66="","",IF(S66&lt;&gt;"",MAX(0,S66-M66-1),MAX(0,TODAY()-M66)))</f>
        <v/>
      </c>
      <c r="K66" s="16">
        <f>IF($B66="","",TRIM(IF(AND(L66&lt;&gt;"",M66&lt;&gt;"",M66&lt;L66),"Haftungsdatum vor Kündigung. ","")&amp;IF(AND(S66&lt;&gt;"",M66&lt;&gt;"",S66&lt;M66),"Vermietung vor Leerstandsbeginn. ","")&amp;IF(AND(Z66&lt;&gt;"",L66&lt;&gt;"",Z66&lt;L66),"WA-Termin vor Kündigung. ","")&amp;IF(COUNTIFS($B$5:$B$404,$B66,$AY$5:$AY$404,"")&gt;1,"Zweiter offener Fall zum selben Objekt. ","")&amp;IF(AND($A66&lt;&gt;"",COUNTIFS($A$5:$A$404,$A66)&gt;1),"Fall-Nr. doppelt vergeben. ","")&amp;IF(E66="","ex-Mieter fehlt. ","")&amp;IF(M66="","Haftungsdatum fehlt. ","")&amp;IF(F66="","Bewirtschafter fehlt. ","")&amp;IF(AND(AY66&lt;&gt;"",AW66=""),"Abgeschlossen trotz offener Schlussabrechnung. ","")&amp;IF(AND(AY66="",S66="",ISNUMBER(J66),J66&gt;60),"Langläufer über 60 Tage. ","")))</f>
        <v/>
      </c>
      <c r="L66" s="18" t="n"/>
      <c r="M66" s="18" t="n"/>
      <c r="N66" s="19">
        <f>IF(M66="","",M66+1)</f>
        <v/>
      </c>
      <c r="O66" s="17">
        <f>IF(OR(L66="",M66=""),"",M66-L66)</f>
        <v/>
      </c>
      <c r="P66" s="16">
        <f>IF(M66="","",YEAR(M66+1)&amp;"-"&amp;TEXT(MONTH(M66+1),"00"))</f>
        <v/>
      </c>
      <c r="Q66" s="18" t="n"/>
      <c r="R66" s="15" t="n"/>
      <c r="S66" s="18" t="n"/>
      <c r="T66" s="16">
        <f>IF(U66="","",IF(LEFT(U66,1)="6","abgeschlossen",IF(OR(LEFT(U66,1)="1",LEFT(U66,1)="2"),"Kündigung &amp; Abnahme",IF(OR(LEFT(U66,1)="3",LEFT(U66,1)="4"),"Wiedervermietung","Schlussabrechnung"))))</f>
        <v/>
      </c>
      <c r="U66" s="16">
        <f>IF($B66="","",IF(AY66&lt;&gt;"","6 · abgeschlossen",IF(AW66&lt;&gt;"","5 · bereit zum Abschluss",IF(AT66&lt;&gt;"","5 · Schlussabrechnung",IF(AO66&lt;&gt;"","4 · Übergabe",IF(AM66&lt;&gt;"","3 · Neuvermietung",IF(M66&lt;&gt;"","2 · Abnahme &amp; Vermarktung","1 · Erfassung")))))))</f>
        <v/>
      </c>
      <c r="V66" s="15" t="n"/>
      <c r="W66" s="20" t="n"/>
      <c r="X66" s="15" t="n"/>
      <c r="Y66" s="15" t="n"/>
      <c r="Z66" s="18" t="n"/>
      <c r="AA66" s="19">
        <f>IF(M66="","",M66-30)</f>
        <v/>
      </c>
      <c r="AB66" s="19">
        <f>IF(ISNUMBER(AJ66),AJ66+3,"")</f>
        <v/>
      </c>
      <c r="AC66" s="18" t="n"/>
      <c r="AD66" s="18" t="n"/>
      <c r="AE66" s="18" t="n"/>
      <c r="AF66" s="18" t="n"/>
      <c r="AG66" s="18" t="n"/>
      <c r="AH66" s="18" t="n"/>
      <c r="AI66" s="18" t="n"/>
      <c r="AJ66" s="18" t="n"/>
      <c r="AK66" s="18" t="n"/>
      <c r="AL66" s="18" t="n"/>
      <c r="AM66" s="18" t="n"/>
      <c r="AN66" s="18" t="n"/>
      <c r="AO66" s="18" t="n"/>
      <c r="AP66" s="18" t="n"/>
      <c r="AQ66" s="18" t="n"/>
      <c r="AR66" s="18" t="n"/>
      <c r="AS66" s="18" t="n"/>
      <c r="AT66" s="18" t="n"/>
      <c r="AU66" s="18" t="n"/>
      <c r="AV66" s="18" t="n"/>
      <c r="AW66" s="18" t="n"/>
      <c r="AX66" s="18" t="n"/>
      <c r="AY66" s="18" t="n"/>
      <c r="AZ66" s="15" t="n"/>
    </row>
    <row r="67">
      <c r="A67" s="15" t="n"/>
      <c r="B67" s="15" t="n"/>
      <c r="C67" s="15" t="n"/>
      <c r="D67" s="15" t="n"/>
      <c r="E67" s="15" t="n"/>
      <c r="F67" s="15" t="n"/>
      <c r="G67" s="16">
        <f>IF(F67="","",IFERROR(INDEX(Stammdaten!$B$5:$B$24,MATCH(F67,Stammdaten!$A$5:$A$24,0)),"unbekannt"))</f>
        <v/>
      </c>
      <c r="H67" s="16">
        <f>IF($B67="","",IF(AY67&lt;&gt;"","abgeschlossen",IF(AND(ISNUMBER(AX67),AX67&gt;=TODAY()),"zurückgestellt",IF(OR(AND(ISNUMBER(AA67),AA67&lt;TODAY(),Z67="",AJ67=""),AND(ISNUMBER(Z67),Z67&lt;TODAY(),AJ67=""),AND(ISNUMBER(AB67),AB67&lt;TODAY(),AK67=""),AND(ISNUMBER(AC67),AC67&lt;TODAY(),AO67=""),AND(ISNUMBER(AD67),AD67&lt;TODAY(),AQ67="")),"überfällig","offen"))))</f>
        <v/>
      </c>
      <c r="I67" s="16">
        <f>IF($B67="","",IF(AY67&lt;&gt;"","—",IF(AND(ISNUMBER(AA67),AA67&lt;TODAY(),Z67="",AJ67=""),"Abnahmetermin vereinbaren – Sollfrist verstrichen",IF(AND(ISNUMBER(Z67),Z67&lt;TODAY(),AJ67=""),"Wohnungsabnahme nachtragen – Termin war fällig",IF(AND(ISNUMBER(AB67),AB67&lt;TODAY(),AK67=""),"Handwerker aufbieten – Frist verstrichen",IF(AND(ISNUMBER(AC67),AC67&lt;TODAY(),AO67=""),"Vertrag retour mahnen – Frist verstrichen",IF(AND(ISNUMBER(AD67),AD67&lt;TODAY(),AQ67=""),"Schlüsselübergabe nachtragen – Termin war fällig",IF(M67="","Haftungsdatum erfassen",IF(E67="","ex-Mieter erfassen",IF(AE67="","Kündigung bestätigen / G-Rem",IF(AF67="","Werke / EGT melden",IF(AG67="","Vorbesichtigung (oder n.e.)",IF(AH67="","VMZ aktualisieren",IF(AI67="","Inserat aufschalten",IF(AND(Z67="",AJ67=""),"Abnahmetermin vereinbaren",IF(AJ67="","Wohnungsabnahme durchführen",IF(AK67="","Handwerker aufbieten",IF(AL67="","Zustimmungserklärung einholen",IF(AM67="","Instandstellungen beauftragen",IF(R67="","Nachmieter erfassen",IF(AN67="","Vertrag versenden",IF(AO67="","Vertrag retour erfassen",IF(S67="","Vermietet per erfassen",IF(AP67="","Werke / EGT über Einzug informieren",IF(AND(AD67="",AQ67=""),"Schlüsselübergabe terminieren",IF(AQ67="","Schlüsselübergabe durchführen",IF(AR67="","Reinigung veranlassen",IF(AS67="","Namensschilder bestellen",IF(AT67="","Kaution prüfen / G-Rem mutieren",IF(AU67="","Instandstellungs-Rechnung erfassen",IF(AV67="","Schlussabrechnung erstellen",IF(AW67="","Zahlungseingang kontrollieren","Fall abschliessen"))))))))))))))))))))))))))))))))</f>
        <v/>
      </c>
      <c r="J67" s="17">
        <f>IF(M67="","",IF(S67&lt;&gt;"",MAX(0,S67-M67-1),MAX(0,TODAY()-M67)))</f>
        <v/>
      </c>
      <c r="K67" s="16">
        <f>IF($B67="","",TRIM(IF(AND(L67&lt;&gt;"",M67&lt;&gt;"",M67&lt;L67),"Haftungsdatum vor Kündigung. ","")&amp;IF(AND(S67&lt;&gt;"",M67&lt;&gt;"",S67&lt;M67),"Vermietung vor Leerstandsbeginn. ","")&amp;IF(AND(Z67&lt;&gt;"",L67&lt;&gt;"",Z67&lt;L67),"WA-Termin vor Kündigung. ","")&amp;IF(COUNTIFS($B$5:$B$404,$B67,$AY$5:$AY$404,"")&gt;1,"Zweiter offener Fall zum selben Objekt. ","")&amp;IF(AND($A67&lt;&gt;"",COUNTIFS($A$5:$A$404,$A67)&gt;1),"Fall-Nr. doppelt vergeben. ","")&amp;IF(E67="","ex-Mieter fehlt. ","")&amp;IF(M67="","Haftungsdatum fehlt. ","")&amp;IF(F67="","Bewirtschafter fehlt. ","")&amp;IF(AND(AY67&lt;&gt;"",AW67=""),"Abgeschlossen trotz offener Schlussabrechnung. ","")&amp;IF(AND(AY67="",S67="",ISNUMBER(J67),J67&gt;60),"Langläufer über 60 Tage. ","")))</f>
        <v/>
      </c>
      <c r="L67" s="18" t="n"/>
      <c r="M67" s="18" t="n"/>
      <c r="N67" s="19">
        <f>IF(M67="","",M67+1)</f>
        <v/>
      </c>
      <c r="O67" s="17">
        <f>IF(OR(L67="",M67=""),"",M67-L67)</f>
        <v/>
      </c>
      <c r="P67" s="16">
        <f>IF(M67="","",YEAR(M67+1)&amp;"-"&amp;TEXT(MONTH(M67+1),"00"))</f>
        <v/>
      </c>
      <c r="Q67" s="18" t="n"/>
      <c r="R67" s="15" t="n"/>
      <c r="S67" s="18" t="n"/>
      <c r="T67" s="16">
        <f>IF(U67="","",IF(LEFT(U67,1)="6","abgeschlossen",IF(OR(LEFT(U67,1)="1",LEFT(U67,1)="2"),"Kündigung &amp; Abnahme",IF(OR(LEFT(U67,1)="3",LEFT(U67,1)="4"),"Wiedervermietung","Schlussabrechnung"))))</f>
        <v/>
      </c>
      <c r="U67" s="16">
        <f>IF($B67="","",IF(AY67&lt;&gt;"","6 · abgeschlossen",IF(AW67&lt;&gt;"","5 · bereit zum Abschluss",IF(AT67&lt;&gt;"","5 · Schlussabrechnung",IF(AO67&lt;&gt;"","4 · Übergabe",IF(AM67&lt;&gt;"","3 · Neuvermietung",IF(M67&lt;&gt;"","2 · Abnahme &amp; Vermarktung","1 · Erfassung")))))))</f>
        <v/>
      </c>
      <c r="V67" s="15" t="n"/>
      <c r="W67" s="20" t="n"/>
      <c r="X67" s="15" t="n"/>
      <c r="Y67" s="15" t="n"/>
      <c r="Z67" s="18" t="n"/>
      <c r="AA67" s="19">
        <f>IF(M67="","",M67-30)</f>
        <v/>
      </c>
      <c r="AB67" s="19">
        <f>IF(ISNUMBER(AJ67),AJ67+3,"")</f>
        <v/>
      </c>
      <c r="AC67" s="18" t="n"/>
      <c r="AD67" s="18" t="n"/>
      <c r="AE67" s="18" t="n"/>
      <c r="AF67" s="18" t="n"/>
      <c r="AG67" s="18" t="n"/>
      <c r="AH67" s="18" t="n"/>
      <c r="AI67" s="18" t="n"/>
      <c r="AJ67" s="18" t="n"/>
      <c r="AK67" s="18" t="n"/>
      <c r="AL67" s="18" t="n"/>
      <c r="AM67" s="18" t="n"/>
      <c r="AN67" s="18" t="n"/>
      <c r="AO67" s="18" t="n"/>
      <c r="AP67" s="18" t="n"/>
      <c r="AQ67" s="18" t="n"/>
      <c r="AR67" s="18" t="n"/>
      <c r="AS67" s="18" t="n"/>
      <c r="AT67" s="18" t="n"/>
      <c r="AU67" s="18" t="n"/>
      <c r="AV67" s="18" t="n"/>
      <c r="AW67" s="18" t="n"/>
      <c r="AX67" s="18" t="n"/>
      <c r="AY67" s="18" t="n"/>
      <c r="AZ67" s="15" t="n"/>
    </row>
    <row r="68">
      <c r="A68" s="15" t="n"/>
      <c r="B68" s="15" t="n"/>
      <c r="C68" s="15" t="n"/>
      <c r="D68" s="15" t="n"/>
      <c r="E68" s="15" t="n"/>
      <c r="F68" s="15" t="n"/>
      <c r="G68" s="16">
        <f>IF(F68="","",IFERROR(INDEX(Stammdaten!$B$5:$B$24,MATCH(F68,Stammdaten!$A$5:$A$24,0)),"unbekannt"))</f>
        <v/>
      </c>
      <c r="H68" s="16">
        <f>IF($B68="","",IF(AY68&lt;&gt;"","abgeschlossen",IF(AND(ISNUMBER(AX68),AX68&gt;=TODAY()),"zurückgestellt",IF(OR(AND(ISNUMBER(AA68),AA68&lt;TODAY(),Z68="",AJ68=""),AND(ISNUMBER(Z68),Z68&lt;TODAY(),AJ68=""),AND(ISNUMBER(AB68),AB68&lt;TODAY(),AK68=""),AND(ISNUMBER(AC68),AC68&lt;TODAY(),AO68=""),AND(ISNUMBER(AD68),AD68&lt;TODAY(),AQ68="")),"überfällig","offen"))))</f>
        <v/>
      </c>
      <c r="I68" s="16">
        <f>IF($B68="","",IF(AY68&lt;&gt;"","—",IF(AND(ISNUMBER(AA68),AA68&lt;TODAY(),Z68="",AJ68=""),"Abnahmetermin vereinbaren – Sollfrist verstrichen",IF(AND(ISNUMBER(Z68),Z68&lt;TODAY(),AJ68=""),"Wohnungsabnahme nachtragen – Termin war fällig",IF(AND(ISNUMBER(AB68),AB68&lt;TODAY(),AK68=""),"Handwerker aufbieten – Frist verstrichen",IF(AND(ISNUMBER(AC68),AC68&lt;TODAY(),AO68=""),"Vertrag retour mahnen – Frist verstrichen",IF(AND(ISNUMBER(AD68),AD68&lt;TODAY(),AQ68=""),"Schlüsselübergabe nachtragen – Termin war fällig",IF(M68="","Haftungsdatum erfassen",IF(E68="","ex-Mieter erfassen",IF(AE68="","Kündigung bestätigen / G-Rem",IF(AF68="","Werke / EGT melden",IF(AG68="","Vorbesichtigung (oder n.e.)",IF(AH68="","VMZ aktualisieren",IF(AI68="","Inserat aufschalten",IF(AND(Z68="",AJ68=""),"Abnahmetermin vereinbaren",IF(AJ68="","Wohnungsabnahme durchführen",IF(AK68="","Handwerker aufbieten",IF(AL68="","Zustimmungserklärung einholen",IF(AM68="","Instandstellungen beauftragen",IF(R68="","Nachmieter erfassen",IF(AN68="","Vertrag versenden",IF(AO68="","Vertrag retour erfassen",IF(S68="","Vermietet per erfassen",IF(AP68="","Werke / EGT über Einzug informieren",IF(AND(AD68="",AQ68=""),"Schlüsselübergabe terminieren",IF(AQ68="","Schlüsselübergabe durchführen",IF(AR68="","Reinigung veranlassen",IF(AS68="","Namensschilder bestellen",IF(AT68="","Kaution prüfen / G-Rem mutieren",IF(AU68="","Instandstellungs-Rechnung erfassen",IF(AV68="","Schlussabrechnung erstellen",IF(AW68="","Zahlungseingang kontrollieren","Fall abschliessen"))))))))))))))))))))))))))))))))</f>
        <v/>
      </c>
      <c r="J68" s="17">
        <f>IF(M68="","",IF(S68&lt;&gt;"",MAX(0,S68-M68-1),MAX(0,TODAY()-M68)))</f>
        <v/>
      </c>
      <c r="K68" s="16">
        <f>IF($B68="","",TRIM(IF(AND(L68&lt;&gt;"",M68&lt;&gt;"",M68&lt;L68),"Haftungsdatum vor Kündigung. ","")&amp;IF(AND(S68&lt;&gt;"",M68&lt;&gt;"",S68&lt;M68),"Vermietung vor Leerstandsbeginn. ","")&amp;IF(AND(Z68&lt;&gt;"",L68&lt;&gt;"",Z68&lt;L68),"WA-Termin vor Kündigung. ","")&amp;IF(COUNTIFS($B$5:$B$404,$B68,$AY$5:$AY$404,"")&gt;1,"Zweiter offener Fall zum selben Objekt. ","")&amp;IF(AND($A68&lt;&gt;"",COUNTIFS($A$5:$A$404,$A68)&gt;1),"Fall-Nr. doppelt vergeben. ","")&amp;IF(E68="","ex-Mieter fehlt. ","")&amp;IF(M68="","Haftungsdatum fehlt. ","")&amp;IF(F68="","Bewirtschafter fehlt. ","")&amp;IF(AND(AY68&lt;&gt;"",AW68=""),"Abgeschlossen trotz offener Schlussabrechnung. ","")&amp;IF(AND(AY68="",S68="",ISNUMBER(J68),J68&gt;60),"Langläufer über 60 Tage. ","")))</f>
        <v/>
      </c>
      <c r="L68" s="18" t="n"/>
      <c r="M68" s="18" t="n"/>
      <c r="N68" s="19">
        <f>IF(M68="","",M68+1)</f>
        <v/>
      </c>
      <c r="O68" s="17">
        <f>IF(OR(L68="",M68=""),"",M68-L68)</f>
        <v/>
      </c>
      <c r="P68" s="16">
        <f>IF(M68="","",YEAR(M68+1)&amp;"-"&amp;TEXT(MONTH(M68+1),"00"))</f>
        <v/>
      </c>
      <c r="Q68" s="18" t="n"/>
      <c r="R68" s="15" t="n"/>
      <c r="S68" s="18" t="n"/>
      <c r="T68" s="16">
        <f>IF(U68="","",IF(LEFT(U68,1)="6","abgeschlossen",IF(OR(LEFT(U68,1)="1",LEFT(U68,1)="2"),"Kündigung &amp; Abnahme",IF(OR(LEFT(U68,1)="3",LEFT(U68,1)="4"),"Wiedervermietung","Schlussabrechnung"))))</f>
        <v/>
      </c>
      <c r="U68" s="16">
        <f>IF($B68="","",IF(AY68&lt;&gt;"","6 · abgeschlossen",IF(AW68&lt;&gt;"","5 · bereit zum Abschluss",IF(AT68&lt;&gt;"","5 · Schlussabrechnung",IF(AO68&lt;&gt;"","4 · Übergabe",IF(AM68&lt;&gt;"","3 · Neuvermietung",IF(M68&lt;&gt;"","2 · Abnahme &amp; Vermarktung","1 · Erfassung")))))))</f>
        <v/>
      </c>
      <c r="V68" s="15" t="n"/>
      <c r="W68" s="20" t="n"/>
      <c r="X68" s="15" t="n"/>
      <c r="Y68" s="15" t="n"/>
      <c r="Z68" s="18" t="n"/>
      <c r="AA68" s="19">
        <f>IF(M68="","",M68-30)</f>
        <v/>
      </c>
      <c r="AB68" s="19">
        <f>IF(ISNUMBER(AJ68),AJ68+3,"")</f>
        <v/>
      </c>
      <c r="AC68" s="18" t="n"/>
      <c r="AD68" s="18" t="n"/>
      <c r="AE68" s="18" t="n"/>
      <c r="AF68" s="18" t="n"/>
      <c r="AG68" s="18" t="n"/>
      <c r="AH68" s="18" t="n"/>
      <c r="AI68" s="18" t="n"/>
      <c r="AJ68" s="18" t="n"/>
      <c r="AK68" s="18" t="n"/>
      <c r="AL68" s="18" t="n"/>
      <c r="AM68" s="18" t="n"/>
      <c r="AN68" s="18" t="n"/>
      <c r="AO68" s="18" t="n"/>
      <c r="AP68" s="18" t="n"/>
      <c r="AQ68" s="18" t="n"/>
      <c r="AR68" s="18" t="n"/>
      <c r="AS68" s="18" t="n"/>
      <c r="AT68" s="18" t="n"/>
      <c r="AU68" s="18" t="n"/>
      <c r="AV68" s="18" t="n"/>
      <c r="AW68" s="18" t="n"/>
      <c r="AX68" s="18" t="n"/>
      <c r="AY68" s="18" t="n"/>
      <c r="AZ68" s="15" t="n"/>
    </row>
    <row r="69">
      <c r="A69" s="15" t="n"/>
      <c r="B69" s="15" t="n"/>
      <c r="C69" s="15" t="n"/>
      <c r="D69" s="15" t="n"/>
      <c r="E69" s="15" t="n"/>
      <c r="F69" s="15" t="n"/>
      <c r="G69" s="16">
        <f>IF(F69="","",IFERROR(INDEX(Stammdaten!$B$5:$B$24,MATCH(F69,Stammdaten!$A$5:$A$24,0)),"unbekannt"))</f>
        <v/>
      </c>
      <c r="H69" s="16">
        <f>IF($B69="","",IF(AY69&lt;&gt;"","abgeschlossen",IF(AND(ISNUMBER(AX69),AX69&gt;=TODAY()),"zurückgestellt",IF(OR(AND(ISNUMBER(AA69),AA69&lt;TODAY(),Z69="",AJ69=""),AND(ISNUMBER(Z69),Z69&lt;TODAY(),AJ69=""),AND(ISNUMBER(AB69),AB69&lt;TODAY(),AK69=""),AND(ISNUMBER(AC69),AC69&lt;TODAY(),AO69=""),AND(ISNUMBER(AD69),AD69&lt;TODAY(),AQ69="")),"überfällig","offen"))))</f>
        <v/>
      </c>
      <c r="I69" s="16">
        <f>IF($B69="","",IF(AY69&lt;&gt;"","—",IF(AND(ISNUMBER(AA69),AA69&lt;TODAY(),Z69="",AJ69=""),"Abnahmetermin vereinbaren – Sollfrist verstrichen",IF(AND(ISNUMBER(Z69),Z69&lt;TODAY(),AJ69=""),"Wohnungsabnahme nachtragen – Termin war fällig",IF(AND(ISNUMBER(AB69),AB69&lt;TODAY(),AK69=""),"Handwerker aufbieten – Frist verstrichen",IF(AND(ISNUMBER(AC69),AC69&lt;TODAY(),AO69=""),"Vertrag retour mahnen – Frist verstrichen",IF(AND(ISNUMBER(AD69),AD69&lt;TODAY(),AQ69=""),"Schlüsselübergabe nachtragen – Termin war fällig",IF(M69="","Haftungsdatum erfassen",IF(E69="","ex-Mieter erfassen",IF(AE69="","Kündigung bestätigen / G-Rem",IF(AF69="","Werke / EGT melden",IF(AG69="","Vorbesichtigung (oder n.e.)",IF(AH69="","VMZ aktualisieren",IF(AI69="","Inserat aufschalten",IF(AND(Z69="",AJ69=""),"Abnahmetermin vereinbaren",IF(AJ69="","Wohnungsabnahme durchführen",IF(AK69="","Handwerker aufbieten",IF(AL69="","Zustimmungserklärung einholen",IF(AM69="","Instandstellungen beauftragen",IF(R69="","Nachmieter erfassen",IF(AN69="","Vertrag versenden",IF(AO69="","Vertrag retour erfassen",IF(S69="","Vermietet per erfassen",IF(AP69="","Werke / EGT über Einzug informieren",IF(AND(AD69="",AQ69=""),"Schlüsselübergabe terminieren",IF(AQ69="","Schlüsselübergabe durchführen",IF(AR69="","Reinigung veranlassen",IF(AS69="","Namensschilder bestellen",IF(AT69="","Kaution prüfen / G-Rem mutieren",IF(AU69="","Instandstellungs-Rechnung erfassen",IF(AV69="","Schlussabrechnung erstellen",IF(AW69="","Zahlungseingang kontrollieren","Fall abschliessen"))))))))))))))))))))))))))))))))</f>
        <v/>
      </c>
      <c r="J69" s="17">
        <f>IF(M69="","",IF(S69&lt;&gt;"",MAX(0,S69-M69-1),MAX(0,TODAY()-M69)))</f>
        <v/>
      </c>
      <c r="K69" s="16">
        <f>IF($B69="","",TRIM(IF(AND(L69&lt;&gt;"",M69&lt;&gt;"",M69&lt;L69),"Haftungsdatum vor Kündigung. ","")&amp;IF(AND(S69&lt;&gt;"",M69&lt;&gt;"",S69&lt;M69),"Vermietung vor Leerstandsbeginn. ","")&amp;IF(AND(Z69&lt;&gt;"",L69&lt;&gt;"",Z69&lt;L69),"WA-Termin vor Kündigung. ","")&amp;IF(COUNTIFS($B$5:$B$404,$B69,$AY$5:$AY$404,"")&gt;1,"Zweiter offener Fall zum selben Objekt. ","")&amp;IF(AND($A69&lt;&gt;"",COUNTIFS($A$5:$A$404,$A69)&gt;1),"Fall-Nr. doppelt vergeben. ","")&amp;IF(E69="","ex-Mieter fehlt. ","")&amp;IF(M69="","Haftungsdatum fehlt. ","")&amp;IF(F69="","Bewirtschafter fehlt. ","")&amp;IF(AND(AY69&lt;&gt;"",AW69=""),"Abgeschlossen trotz offener Schlussabrechnung. ","")&amp;IF(AND(AY69="",S69="",ISNUMBER(J69),J69&gt;60),"Langläufer über 60 Tage. ","")))</f>
        <v/>
      </c>
      <c r="L69" s="18" t="n"/>
      <c r="M69" s="18" t="n"/>
      <c r="N69" s="19">
        <f>IF(M69="","",M69+1)</f>
        <v/>
      </c>
      <c r="O69" s="17">
        <f>IF(OR(L69="",M69=""),"",M69-L69)</f>
        <v/>
      </c>
      <c r="P69" s="16">
        <f>IF(M69="","",YEAR(M69+1)&amp;"-"&amp;TEXT(MONTH(M69+1),"00"))</f>
        <v/>
      </c>
      <c r="Q69" s="18" t="n"/>
      <c r="R69" s="15" t="n"/>
      <c r="S69" s="18" t="n"/>
      <c r="T69" s="16">
        <f>IF(U69="","",IF(LEFT(U69,1)="6","abgeschlossen",IF(OR(LEFT(U69,1)="1",LEFT(U69,1)="2"),"Kündigung &amp; Abnahme",IF(OR(LEFT(U69,1)="3",LEFT(U69,1)="4"),"Wiedervermietung","Schlussabrechnung"))))</f>
        <v/>
      </c>
      <c r="U69" s="16">
        <f>IF($B69="","",IF(AY69&lt;&gt;"","6 · abgeschlossen",IF(AW69&lt;&gt;"","5 · bereit zum Abschluss",IF(AT69&lt;&gt;"","5 · Schlussabrechnung",IF(AO69&lt;&gt;"","4 · Übergabe",IF(AM69&lt;&gt;"","3 · Neuvermietung",IF(M69&lt;&gt;"","2 · Abnahme &amp; Vermarktung","1 · Erfassung")))))))</f>
        <v/>
      </c>
      <c r="V69" s="15" t="n"/>
      <c r="W69" s="20" t="n"/>
      <c r="X69" s="15" t="n"/>
      <c r="Y69" s="15" t="n"/>
      <c r="Z69" s="18" t="n"/>
      <c r="AA69" s="19">
        <f>IF(M69="","",M69-30)</f>
        <v/>
      </c>
      <c r="AB69" s="19">
        <f>IF(ISNUMBER(AJ69),AJ69+3,"")</f>
        <v/>
      </c>
      <c r="AC69" s="18" t="n"/>
      <c r="AD69" s="18" t="n"/>
      <c r="AE69" s="18" t="n"/>
      <c r="AF69" s="18" t="n"/>
      <c r="AG69" s="18" t="n"/>
      <c r="AH69" s="18" t="n"/>
      <c r="AI69" s="18" t="n"/>
      <c r="AJ69" s="18" t="n"/>
      <c r="AK69" s="18" t="n"/>
      <c r="AL69" s="18" t="n"/>
      <c r="AM69" s="18" t="n"/>
      <c r="AN69" s="18" t="n"/>
      <c r="AO69" s="18" t="n"/>
      <c r="AP69" s="18" t="n"/>
      <c r="AQ69" s="18" t="n"/>
      <c r="AR69" s="18" t="n"/>
      <c r="AS69" s="18" t="n"/>
      <c r="AT69" s="18" t="n"/>
      <c r="AU69" s="18" t="n"/>
      <c r="AV69" s="18" t="n"/>
      <c r="AW69" s="18" t="n"/>
      <c r="AX69" s="18" t="n"/>
      <c r="AY69" s="18" t="n"/>
      <c r="AZ69" s="15" t="n"/>
    </row>
    <row r="70">
      <c r="A70" s="15" t="n"/>
      <c r="B70" s="15" t="n"/>
      <c r="C70" s="15" t="n"/>
      <c r="D70" s="15" t="n"/>
      <c r="E70" s="15" t="n"/>
      <c r="F70" s="15" t="n"/>
      <c r="G70" s="16">
        <f>IF(F70="","",IFERROR(INDEX(Stammdaten!$B$5:$B$24,MATCH(F70,Stammdaten!$A$5:$A$24,0)),"unbekannt"))</f>
        <v/>
      </c>
      <c r="H70" s="16">
        <f>IF($B70="","",IF(AY70&lt;&gt;"","abgeschlossen",IF(AND(ISNUMBER(AX70),AX70&gt;=TODAY()),"zurückgestellt",IF(OR(AND(ISNUMBER(AA70),AA70&lt;TODAY(),Z70="",AJ70=""),AND(ISNUMBER(Z70),Z70&lt;TODAY(),AJ70=""),AND(ISNUMBER(AB70),AB70&lt;TODAY(),AK70=""),AND(ISNUMBER(AC70),AC70&lt;TODAY(),AO70=""),AND(ISNUMBER(AD70),AD70&lt;TODAY(),AQ70="")),"überfällig","offen"))))</f>
        <v/>
      </c>
      <c r="I70" s="16">
        <f>IF($B70="","",IF(AY70&lt;&gt;"","—",IF(AND(ISNUMBER(AA70),AA70&lt;TODAY(),Z70="",AJ70=""),"Abnahmetermin vereinbaren – Sollfrist verstrichen",IF(AND(ISNUMBER(Z70),Z70&lt;TODAY(),AJ70=""),"Wohnungsabnahme nachtragen – Termin war fällig",IF(AND(ISNUMBER(AB70),AB70&lt;TODAY(),AK70=""),"Handwerker aufbieten – Frist verstrichen",IF(AND(ISNUMBER(AC70),AC70&lt;TODAY(),AO70=""),"Vertrag retour mahnen – Frist verstrichen",IF(AND(ISNUMBER(AD70),AD70&lt;TODAY(),AQ70=""),"Schlüsselübergabe nachtragen – Termin war fällig",IF(M70="","Haftungsdatum erfassen",IF(E70="","ex-Mieter erfassen",IF(AE70="","Kündigung bestätigen / G-Rem",IF(AF70="","Werke / EGT melden",IF(AG70="","Vorbesichtigung (oder n.e.)",IF(AH70="","VMZ aktualisieren",IF(AI70="","Inserat aufschalten",IF(AND(Z70="",AJ70=""),"Abnahmetermin vereinbaren",IF(AJ70="","Wohnungsabnahme durchführen",IF(AK70="","Handwerker aufbieten",IF(AL70="","Zustimmungserklärung einholen",IF(AM70="","Instandstellungen beauftragen",IF(R70="","Nachmieter erfassen",IF(AN70="","Vertrag versenden",IF(AO70="","Vertrag retour erfassen",IF(S70="","Vermietet per erfassen",IF(AP70="","Werke / EGT über Einzug informieren",IF(AND(AD70="",AQ70=""),"Schlüsselübergabe terminieren",IF(AQ70="","Schlüsselübergabe durchführen",IF(AR70="","Reinigung veranlassen",IF(AS70="","Namensschilder bestellen",IF(AT70="","Kaution prüfen / G-Rem mutieren",IF(AU70="","Instandstellungs-Rechnung erfassen",IF(AV70="","Schlussabrechnung erstellen",IF(AW70="","Zahlungseingang kontrollieren","Fall abschliessen"))))))))))))))))))))))))))))))))</f>
        <v/>
      </c>
      <c r="J70" s="17">
        <f>IF(M70="","",IF(S70&lt;&gt;"",MAX(0,S70-M70-1),MAX(0,TODAY()-M70)))</f>
        <v/>
      </c>
      <c r="K70" s="16">
        <f>IF($B70="","",TRIM(IF(AND(L70&lt;&gt;"",M70&lt;&gt;"",M70&lt;L70),"Haftungsdatum vor Kündigung. ","")&amp;IF(AND(S70&lt;&gt;"",M70&lt;&gt;"",S70&lt;M70),"Vermietung vor Leerstandsbeginn. ","")&amp;IF(AND(Z70&lt;&gt;"",L70&lt;&gt;"",Z70&lt;L70),"WA-Termin vor Kündigung. ","")&amp;IF(COUNTIFS($B$5:$B$404,$B70,$AY$5:$AY$404,"")&gt;1,"Zweiter offener Fall zum selben Objekt. ","")&amp;IF(AND($A70&lt;&gt;"",COUNTIFS($A$5:$A$404,$A70)&gt;1),"Fall-Nr. doppelt vergeben. ","")&amp;IF(E70="","ex-Mieter fehlt. ","")&amp;IF(M70="","Haftungsdatum fehlt. ","")&amp;IF(F70="","Bewirtschafter fehlt. ","")&amp;IF(AND(AY70&lt;&gt;"",AW70=""),"Abgeschlossen trotz offener Schlussabrechnung. ","")&amp;IF(AND(AY70="",S70="",ISNUMBER(J70),J70&gt;60),"Langläufer über 60 Tage. ","")))</f>
        <v/>
      </c>
      <c r="L70" s="18" t="n"/>
      <c r="M70" s="18" t="n"/>
      <c r="N70" s="19">
        <f>IF(M70="","",M70+1)</f>
        <v/>
      </c>
      <c r="O70" s="17">
        <f>IF(OR(L70="",M70=""),"",M70-L70)</f>
        <v/>
      </c>
      <c r="P70" s="16">
        <f>IF(M70="","",YEAR(M70+1)&amp;"-"&amp;TEXT(MONTH(M70+1),"00"))</f>
        <v/>
      </c>
      <c r="Q70" s="18" t="n"/>
      <c r="R70" s="15" t="n"/>
      <c r="S70" s="18" t="n"/>
      <c r="T70" s="16">
        <f>IF(U70="","",IF(LEFT(U70,1)="6","abgeschlossen",IF(OR(LEFT(U70,1)="1",LEFT(U70,1)="2"),"Kündigung &amp; Abnahme",IF(OR(LEFT(U70,1)="3",LEFT(U70,1)="4"),"Wiedervermietung","Schlussabrechnung"))))</f>
        <v/>
      </c>
      <c r="U70" s="16">
        <f>IF($B70="","",IF(AY70&lt;&gt;"","6 · abgeschlossen",IF(AW70&lt;&gt;"","5 · bereit zum Abschluss",IF(AT70&lt;&gt;"","5 · Schlussabrechnung",IF(AO70&lt;&gt;"","4 · Übergabe",IF(AM70&lt;&gt;"","3 · Neuvermietung",IF(M70&lt;&gt;"","2 · Abnahme &amp; Vermarktung","1 · Erfassung")))))))</f>
        <v/>
      </c>
      <c r="V70" s="15" t="n"/>
      <c r="W70" s="20" t="n"/>
      <c r="X70" s="15" t="n"/>
      <c r="Y70" s="15" t="n"/>
      <c r="Z70" s="18" t="n"/>
      <c r="AA70" s="19">
        <f>IF(M70="","",M70-30)</f>
        <v/>
      </c>
      <c r="AB70" s="19">
        <f>IF(ISNUMBER(AJ70),AJ70+3,"")</f>
        <v/>
      </c>
      <c r="AC70" s="18" t="n"/>
      <c r="AD70" s="18" t="n"/>
      <c r="AE70" s="18" t="n"/>
      <c r="AF70" s="18" t="n"/>
      <c r="AG70" s="18" t="n"/>
      <c r="AH70" s="18" t="n"/>
      <c r="AI70" s="18" t="n"/>
      <c r="AJ70" s="18" t="n"/>
      <c r="AK70" s="18" t="n"/>
      <c r="AL70" s="18" t="n"/>
      <c r="AM70" s="18" t="n"/>
      <c r="AN70" s="18" t="n"/>
      <c r="AO70" s="18" t="n"/>
      <c r="AP70" s="18" t="n"/>
      <c r="AQ70" s="18" t="n"/>
      <c r="AR70" s="18" t="n"/>
      <c r="AS70" s="18" t="n"/>
      <c r="AT70" s="18" t="n"/>
      <c r="AU70" s="18" t="n"/>
      <c r="AV70" s="18" t="n"/>
      <c r="AW70" s="18" t="n"/>
      <c r="AX70" s="18" t="n"/>
      <c r="AY70" s="18" t="n"/>
      <c r="AZ70" s="15" t="n"/>
    </row>
    <row r="71">
      <c r="A71" s="15" t="n"/>
      <c r="B71" s="15" t="n"/>
      <c r="C71" s="15" t="n"/>
      <c r="D71" s="15" t="n"/>
      <c r="E71" s="15" t="n"/>
      <c r="F71" s="15" t="n"/>
      <c r="G71" s="16">
        <f>IF(F71="","",IFERROR(INDEX(Stammdaten!$B$5:$B$24,MATCH(F71,Stammdaten!$A$5:$A$24,0)),"unbekannt"))</f>
        <v/>
      </c>
      <c r="H71" s="16">
        <f>IF($B71="","",IF(AY71&lt;&gt;"","abgeschlossen",IF(AND(ISNUMBER(AX71),AX71&gt;=TODAY()),"zurückgestellt",IF(OR(AND(ISNUMBER(AA71),AA71&lt;TODAY(),Z71="",AJ71=""),AND(ISNUMBER(Z71),Z71&lt;TODAY(),AJ71=""),AND(ISNUMBER(AB71),AB71&lt;TODAY(),AK71=""),AND(ISNUMBER(AC71),AC71&lt;TODAY(),AO71=""),AND(ISNUMBER(AD71),AD71&lt;TODAY(),AQ71="")),"überfällig","offen"))))</f>
        <v/>
      </c>
      <c r="I71" s="16">
        <f>IF($B71="","",IF(AY71&lt;&gt;"","—",IF(AND(ISNUMBER(AA71),AA71&lt;TODAY(),Z71="",AJ71=""),"Abnahmetermin vereinbaren – Sollfrist verstrichen",IF(AND(ISNUMBER(Z71),Z71&lt;TODAY(),AJ71=""),"Wohnungsabnahme nachtragen – Termin war fällig",IF(AND(ISNUMBER(AB71),AB71&lt;TODAY(),AK71=""),"Handwerker aufbieten – Frist verstrichen",IF(AND(ISNUMBER(AC71),AC71&lt;TODAY(),AO71=""),"Vertrag retour mahnen – Frist verstrichen",IF(AND(ISNUMBER(AD71),AD71&lt;TODAY(),AQ71=""),"Schlüsselübergabe nachtragen – Termin war fällig",IF(M71="","Haftungsdatum erfassen",IF(E71="","ex-Mieter erfassen",IF(AE71="","Kündigung bestätigen / G-Rem",IF(AF71="","Werke / EGT melden",IF(AG71="","Vorbesichtigung (oder n.e.)",IF(AH71="","VMZ aktualisieren",IF(AI71="","Inserat aufschalten",IF(AND(Z71="",AJ71=""),"Abnahmetermin vereinbaren",IF(AJ71="","Wohnungsabnahme durchführen",IF(AK71="","Handwerker aufbieten",IF(AL71="","Zustimmungserklärung einholen",IF(AM71="","Instandstellungen beauftragen",IF(R71="","Nachmieter erfassen",IF(AN71="","Vertrag versenden",IF(AO71="","Vertrag retour erfassen",IF(S71="","Vermietet per erfassen",IF(AP71="","Werke / EGT über Einzug informieren",IF(AND(AD71="",AQ71=""),"Schlüsselübergabe terminieren",IF(AQ71="","Schlüsselübergabe durchführen",IF(AR71="","Reinigung veranlassen",IF(AS71="","Namensschilder bestellen",IF(AT71="","Kaution prüfen / G-Rem mutieren",IF(AU71="","Instandstellungs-Rechnung erfassen",IF(AV71="","Schlussabrechnung erstellen",IF(AW71="","Zahlungseingang kontrollieren","Fall abschliessen"))))))))))))))))))))))))))))))))</f>
        <v/>
      </c>
      <c r="J71" s="17">
        <f>IF(M71="","",IF(S71&lt;&gt;"",MAX(0,S71-M71-1),MAX(0,TODAY()-M71)))</f>
        <v/>
      </c>
      <c r="K71" s="16">
        <f>IF($B71="","",TRIM(IF(AND(L71&lt;&gt;"",M71&lt;&gt;"",M71&lt;L71),"Haftungsdatum vor Kündigung. ","")&amp;IF(AND(S71&lt;&gt;"",M71&lt;&gt;"",S71&lt;M71),"Vermietung vor Leerstandsbeginn. ","")&amp;IF(AND(Z71&lt;&gt;"",L71&lt;&gt;"",Z71&lt;L71),"WA-Termin vor Kündigung. ","")&amp;IF(COUNTIFS($B$5:$B$404,$B71,$AY$5:$AY$404,"")&gt;1,"Zweiter offener Fall zum selben Objekt. ","")&amp;IF(AND($A71&lt;&gt;"",COUNTIFS($A$5:$A$404,$A71)&gt;1),"Fall-Nr. doppelt vergeben. ","")&amp;IF(E71="","ex-Mieter fehlt. ","")&amp;IF(M71="","Haftungsdatum fehlt. ","")&amp;IF(F71="","Bewirtschafter fehlt. ","")&amp;IF(AND(AY71&lt;&gt;"",AW71=""),"Abgeschlossen trotz offener Schlussabrechnung. ","")&amp;IF(AND(AY71="",S71="",ISNUMBER(J71),J71&gt;60),"Langläufer über 60 Tage. ","")))</f>
        <v/>
      </c>
      <c r="L71" s="18" t="n"/>
      <c r="M71" s="18" t="n"/>
      <c r="N71" s="19">
        <f>IF(M71="","",M71+1)</f>
        <v/>
      </c>
      <c r="O71" s="17">
        <f>IF(OR(L71="",M71=""),"",M71-L71)</f>
        <v/>
      </c>
      <c r="P71" s="16">
        <f>IF(M71="","",YEAR(M71+1)&amp;"-"&amp;TEXT(MONTH(M71+1),"00"))</f>
        <v/>
      </c>
      <c r="Q71" s="18" t="n"/>
      <c r="R71" s="15" t="n"/>
      <c r="S71" s="18" t="n"/>
      <c r="T71" s="16">
        <f>IF(U71="","",IF(LEFT(U71,1)="6","abgeschlossen",IF(OR(LEFT(U71,1)="1",LEFT(U71,1)="2"),"Kündigung &amp; Abnahme",IF(OR(LEFT(U71,1)="3",LEFT(U71,1)="4"),"Wiedervermietung","Schlussabrechnung"))))</f>
        <v/>
      </c>
      <c r="U71" s="16">
        <f>IF($B71="","",IF(AY71&lt;&gt;"","6 · abgeschlossen",IF(AW71&lt;&gt;"","5 · bereit zum Abschluss",IF(AT71&lt;&gt;"","5 · Schlussabrechnung",IF(AO71&lt;&gt;"","4 · Übergabe",IF(AM71&lt;&gt;"","3 · Neuvermietung",IF(M71&lt;&gt;"","2 · Abnahme &amp; Vermarktung","1 · Erfassung")))))))</f>
        <v/>
      </c>
      <c r="V71" s="15" t="n"/>
      <c r="W71" s="20" t="n"/>
      <c r="X71" s="15" t="n"/>
      <c r="Y71" s="15" t="n"/>
      <c r="Z71" s="18" t="n"/>
      <c r="AA71" s="19">
        <f>IF(M71="","",M71-30)</f>
        <v/>
      </c>
      <c r="AB71" s="19">
        <f>IF(ISNUMBER(AJ71),AJ71+3,"")</f>
        <v/>
      </c>
      <c r="AC71" s="18" t="n"/>
      <c r="AD71" s="18" t="n"/>
      <c r="AE71" s="18" t="n"/>
      <c r="AF71" s="18" t="n"/>
      <c r="AG71" s="18" t="n"/>
      <c r="AH71" s="18" t="n"/>
      <c r="AI71" s="18" t="n"/>
      <c r="AJ71" s="18" t="n"/>
      <c r="AK71" s="18" t="n"/>
      <c r="AL71" s="18" t="n"/>
      <c r="AM71" s="18" t="n"/>
      <c r="AN71" s="18" t="n"/>
      <c r="AO71" s="18" t="n"/>
      <c r="AP71" s="18" t="n"/>
      <c r="AQ71" s="18" t="n"/>
      <c r="AR71" s="18" t="n"/>
      <c r="AS71" s="18" t="n"/>
      <c r="AT71" s="18" t="n"/>
      <c r="AU71" s="18" t="n"/>
      <c r="AV71" s="18" t="n"/>
      <c r="AW71" s="18" t="n"/>
      <c r="AX71" s="18" t="n"/>
      <c r="AY71" s="18" t="n"/>
      <c r="AZ71" s="15" t="n"/>
    </row>
    <row r="72">
      <c r="A72" s="15" t="n"/>
      <c r="B72" s="15" t="n"/>
      <c r="C72" s="15" t="n"/>
      <c r="D72" s="15" t="n"/>
      <c r="E72" s="15" t="n"/>
      <c r="F72" s="15" t="n"/>
      <c r="G72" s="16">
        <f>IF(F72="","",IFERROR(INDEX(Stammdaten!$B$5:$B$24,MATCH(F72,Stammdaten!$A$5:$A$24,0)),"unbekannt"))</f>
        <v/>
      </c>
      <c r="H72" s="16">
        <f>IF($B72="","",IF(AY72&lt;&gt;"","abgeschlossen",IF(AND(ISNUMBER(AX72),AX72&gt;=TODAY()),"zurückgestellt",IF(OR(AND(ISNUMBER(AA72),AA72&lt;TODAY(),Z72="",AJ72=""),AND(ISNUMBER(Z72),Z72&lt;TODAY(),AJ72=""),AND(ISNUMBER(AB72),AB72&lt;TODAY(),AK72=""),AND(ISNUMBER(AC72),AC72&lt;TODAY(),AO72=""),AND(ISNUMBER(AD72),AD72&lt;TODAY(),AQ72="")),"überfällig","offen"))))</f>
        <v/>
      </c>
      <c r="I72" s="16">
        <f>IF($B72="","",IF(AY72&lt;&gt;"","—",IF(AND(ISNUMBER(AA72),AA72&lt;TODAY(),Z72="",AJ72=""),"Abnahmetermin vereinbaren – Sollfrist verstrichen",IF(AND(ISNUMBER(Z72),Z72&lt;TODAY(),AJ72=""),"Wohnungsabnahme nachtragen – Termin war fällig",IF(AND(ISNUMBER(AB72),AB72&lt;TODAY(),AK72=""),"Handwerker aufbieten – Frist verstrichen",IF(AND(ISNUMBER(AC72),AC72&lt;TODAY(),AO72=""),"Vertrag retour mahnen – Frist verstrichen",IF(AND(ISNUMBER(AD72),AD72&lt;TODAY(),AQ72=""),"Schlüsselübergabe nachtragen – Termin war fällig",IF(M72="","Haftungsdatum erfassen",IF(E72="","ex-Mieter erfassen",IF(AE72="","Kündigung bestätigen / G-Rem",IF(AF72="","Werke / EGT melden",IF(AG72="","Vorbesichtigung (oder n.e.)",IF(AH72="","VMZ aktualisieren",IF(AI72="","Inserat aufschalten",IF(AND(Z72="",AJ72=""),"Abnahmetermin vereinbaren",IF(AJ72="","Wohnungsabnahme durchführen",IF(AK72="","Handwerker aufbieten",IF(AL72="","Zustimmungserklärung einholen",IF(AM72="","Instandstellungen beauftragen",IF(R72="","Nachmieter erfassen",IF(AN72="","Vertrag versenden",IF(AO72="","Vertrag retour erfassen",IF(S72="","Vermietet per erfassen",IF(AP72="","Werke / EGT über Einzug informieren",IF(AND(AD72="",AQ72=""),"Schlüsselübergabe terminieren",IF(AQ72="","Schlüsselübergabe durchführen",IF(AR72="","Reinigung veranlassen",IF(AS72="","Namensschilder bestellen",IF(AT72="","Kaution prüfen / G-Rem mutieren",IF(AU72="","Instandstellungs-Rechnung erfassen",IF(AV72="","Schlussabrechnung erstellen",IF(AW72="","Zahlungseingang kontrollieren","Fall abschliessen"))))))))))))))))))))))))))))))))</f>
        <v/>
      </c>
      <c r="J72" s="17">
        <f>IF(M72="","",IF(S72&lt;&gt;"",MAX(0,S72-M72-1),MAX(0,TODAY()-M72)))</f>
        <v/>
      </c>
      <c r="K72" s="16">
        <f>IF($B72="","",TRIM(IF(AND(L72&lt;&gt;"",M72&lt;&gt;"",M72&lt;L72),"Haftungsdatum vor Kündigung. ","")&amp;IF(AND(S72&lt;&gt;"",M72&lt;&gt;"",S72&lt;M72),"Vermietung vor Leerstandsbeginn. ","")&amp;IF(AND(Z72&lt;&gt;"",L72&lt;&gt;"",Z72&lt;L72),"WA-Termin vor Kündigung. ","")&amp;IF(COUNTIFS($B$5:$B$404,$B72,$AY$5:$AY$404,"")&gt;1,"Zweiter offener Fall zum selben Objekt. ","")&amp;IF(AND($A72&lt;&gt;"",COUNTIFS($A$5:$A$404,$A72)&gt;1),"Fall-Nr. doppelt vergeben. ","")&amp;IF(E72="","ex-Mieter fehlt. ","")&amp;IF(M72="","Haftungsdatum fehlt. ","")&amp;IF(F72="","Bewirtschafter fehlt. ","")&amp;IF(AND(AY72&lt;&gt;"",AW72=""),"Abgeschlossen trotz offener Schlussabrechnung. ","")&amp;IF(AND(AY72="",S72="",ISNUMBER(J72),J72&gt;60),"Langläufer über 60 Tage. ","")))</f>
        <v/>
      </c>
      <c r="L72" s="18" t="n"/>
      <c r="M72" s="18" t="n"/>
      <c r="N72" s="19">
        <f>IF(M72="","",M72+1)</f>
        <v/>
      </c>
      <c r="O72" s="17">
        <f>IF(OR(L72="",M72=""),"",M72-L72)</f>
        <v/>
      </c>
      <c r="P72" s="16">
        <f>IF(M72="","",YEAR(M72+1)&amp;"-"&amp;TEXT(MONTH(M72+1),"00"))</f>
        <v/>
      </c>
      <c r="Q72" s="18" t="n"/>
      <c r="R72" s="15" t="n"/>
      <c r="S72" s="18" t="n"/>
      <c r="T72" s="16">
        <f>IF(U72="","",IF(LEFT(U72,1)="6","abgeschlossen",IF(OR(LEFT(U72,1)="1",LEFT(U72,1)="2"),"Kündigung &amp; Abnahme",IF(OR(LEFT(U72,1)="3",LEFT(U72,1)="4"),"Wiedervermietung","Schlussabrechnung"))))</f>
        <v/>
      </c>
      <c r="U72" s="16">
        <f>IF($B72="","",IF(AY72&lt;&gt;"","6 · abgeschlossen",IF(AW72&lt;&gt;"","5 · bereit zum Abschluss",IF(AT72&lt;&gt;"","5 · Schlussabrechnung",IF(AO72&lt;&gt;"","4 · Übergabe",IF(AM72&lt;&gt;"","3 · Neuvermietung",IF(M72&lt;&gt;"","2 · Abnahme &amp; Vermarktung","1 · Erfassung")))))))</f>
        <v/>
      </c>
      <c r="V72" s="15" t="n"/>
      <c r="W72" s="20" t="n"/>
      <c r="X72" s="15" t="n"/>
      <c r="Y72" s="15" t="n"/>
      <c r="Z72" s="18" t="n"/>
      <c r="AA72" s="19">
        <f>IF(M72="","",M72-30)</f>
        <v/>
      </c>
      <c r="AB72" s="19">
        <f>IF(ISNUMBER(AJ72),AJ72+3,"")</f>
        <v/>
      </c>
      <c r="AC72" s="18" t="n"/>
      <c r="AD72" s="18" t="n"/>
      <c r="AE72" s="18" t="n"/>
      <c r="AF72" s="18" t="n"/>
      <c r="AG72" s="18" t="n"/>
      <c r="AH72" s="18" t="n"/>
      <c r="AI72" s="18" t="n"/>
      <c r="AJ72" s="18" t="n"/>
      <c r="AK72" s="18" t="n"/>
      <c r="AL72" s="18" t="n"/>
      <c r="AM72" s="18" t="n"/>
      <c r="AN72" s="18" t="n"/>
      <c r="AO72" s="18" t="n"/>
      <c r="AP72" s="18" t="n"/>
      <c r="AQ72" s="18" t="n"/>
      <c r="AR72" s="18" t="n"/>
      <c r="AS72" s="18" t="n"/>
      <c r="AT72" s="18" t="n"/>
      <c r="AU72" s="18" t="n"/>
      <c r="AV72" s="18" t="n"/>
      <c r="AW72" s="18" t="n"/>
      <c r="AX72" s="18" t="n"/>
      <c r="AY72" s="18" t="n"/>
      <c r="AZ72" s="15" t="n"/>
    </row>
    <row r="73">
      <c r="A73" s="15" t="n"/>
      <c r="B73" s="15" t="n"/>
      <c r="C73" s="15" t="n"/>
      <c r="D73" s="15" t="n"/>
      <c r="E73" s="15" t="n"/>
      <c r="F73" s="15" t="n"/>
      <c r="G73" s="16">
        <f>IF(F73="","",IFERROR(INDEX(Stammdaten!$B$5:$B$24,MATCH(F73,Stammdaten!$A$5:$A$24,0)),"unbekannt"))</f>
        <v/>
      </c>
      <c r="H73" s="16">
        <f>IF($B73="","",IF(AY73&lt;&gt;"","abgeschlossen",IF(AND(ISNUMBER(AX73),AX73&gt;=TODAY()),"zurückgestellt",IF(OR(AND(ISNUMBER(AA73),AA73&lt;TODAY(),Z73="",AJ73=""),AND(ISNUMBER(Z73),Z73&lt;TODAY(),AJ73=""),AND(ISNUMBER(AB73),AB73&lt;TODAY(),AK73=""),AND(ISNUMBER(AC73),AC73&lt;TODAY(),AO73=""),AND(ISNUMBER(AD73),AD73&lt;TODAY(),AQ73="")),"überfällig","offen"))))</f>
        <v/>
      </c>
      <c r="I73" s="16">
        <f>IF($B73="","",IF(AY73&lt;&gt;"","—",IF(AND(ISNUMBER(AA73),AA73&lt;TODAY(),Z73="",AJ73=""),"Abnahmetermin vereinbaren – Sollfrist verstrichen",IF(AND(ISNUMBER(Z73),Z73&lt;TODAY(),AJ73=""),"Wohnungsabnahme nachtragen – Termin war fällig",IF(AND(ISNUMBER(AB73),AB73&lt;TODAY(),AK73=""),"Handwerker aufbieten – Frist verstrichen",IF(AND(ISNUMBER(AC73),AC73&lt;TODAY(),AO73=""),"Vertrag retour mahnen – Frist verstrichen",IF(AND(ISNUMBER(AD73),AD73&lt;TODAY(),AQ73=""),"Schlüsselübergabe nachtragen – Termin war fällig",IF(M73="","Haftungsdatum erfassen",IF(E73="","ex-Mieter erfassen",IF(AE73="","Kündigung bestätigen / G-Rem",IF(AF73="","Werke / EGT melden",IF(AG73="","Vorbesichtigung (oder n.e.)",IF(AH73="","VMZ aktualisieren",IF(AI73="","Inserat aufschalten",IF(AND(Z73="",AJ73=""),"Abnahmetermin vereinbaren",IF(AJ73="","Wohnungsabnahme durchführen",IF(AK73="","Handwerker aufbieten",IF(AL73="","Zustimmungserklärung einholen",IF(AM73="","Instandstellungen beauftragen",IF(R73="","Nachmieter erfassen",IF(AN73="","Vertrag versenden",IF(AO73="","Vertrag retour erfassen",IF(S73="","Vermietet per erfassen",IF(AP73="","Werke / EGT über Einzug informieren",IF(AND(AD73="",AQ73=""),"Schlüsselübergabe terminieren",IF(AQ73="","Schlüsselübergabe durchführen",IF(AR73="","Reinigung veranlassen",IF(AS73="","Namensschilder bestellen",IF(AT73="","Kaution prüfen / G-Rem mutieren",IF(AU73="","Instandstellungs-Rechnung erfassen",IF(AV73="","Schlussabrechnung erstellen",IF(AW73="","Zahlungseingang kontrollieren","Fall abschliessen"))))))))))))))))))))))))))))))))</f>
        <v/>
      </c>
      <c r="J73" s="17">
        <f>IF(M73="","",IF(S73&lt;&gt;"",MAX(0,S73-M73-1),MAX(0,TODAY()-M73)))</f>
        <v/>
      </c>
      <c r="K73" s="16">
        <f>IF($B73="","",TRIM(IF(AND(L73&lt;&gt;"",M73&lt;&gt;"",M73&lt;L73),"Haftungsdatum vor Kündigung. ","")&amp;IF(AND(S73&lt;&gt;"",M73&lt;&gt;"",S73&lt;M73),"Vermietung vor Leerstandsbeginn. ","")&amp;IF(AND(Z73&lt;&gt;"",L73&lt;&gt;"",Z73&lt;L73),"WA-Termin vor Kündigung. ","")&amp;IF(COUNTIFS($B$5:$B$404,$B73,$AY$5:$AY$404,"")&gt;1,"Zweiter offener Fall zum selben Objekt. ","")&amp;IF(AND($A73&lt;&gt;"",COUNTIFS($A$5:$A$404,$A73)&gt;1),"Fall-Nr. doppelt vergeben. ","")&amp;IF(E73="","ex-Mieter fehlt. ","")&amp;IF(M73="","Haftungsdatum fehlt. ","")&amp;IF(F73="","Bewirtschafter fehlt. ","")&amp;IF(AND(AY73&lt;&gt;"",AW73=""),"Abgeschlossen trotz offener Schlussabrechnung. ","")&amp;IF(AND(AY73="",S73="",ISNUMBER(J73),J73&gt;60),"Langläufer über 60 Tage. ","")))</f>
        <v/>
      </c>
      <c r="L73" s="18" t="n"/>
      <c r="M73" s="18" t="n"/>
      <c r="N73" s="19">
        <f>IF(M73="","",M73+1)</f>
        <v/>
      </c>
      <c r="O73" s="17">
        <f>IF(OR(L73="",M73=""),"",M73-L73)</f>
        <v/>
      </c>
      <c r="P73" s="16">
        <f>IF(M73="","",YEAR(M73+1)&amp;"-"&amp;TEXT(MONTH(M73+1),"00"))</f>
        <v/>
      </c>
      <c r="Q73" s="18" t="n"/>
      <c r="R73" s="15" t="n"/>
      <c r="S73" s="18" t="n"/>
      <c r="T73" s="16">
        <f>IF(U73="","",IF(LEFT(U73,1)="6","abgeschlossen",IF(OR(LEFT(U73,1)="1",LEFT(U73,1)="2"),"Kündigung &amp; Abnahme",IF(OR(LEFT(U73,1)="3",LEFT(U73,1)="4"),"Wiedervermietung","Schlussabrechnung"))))</f>
        <v/>
      </c>
      <c r="U73" s="16">
        <f>IF($B73="","",IF(AY73&lt;&gt;"","6 · abgeschlossen",IF(AW73&lt;&gt;"","5 · bereit zum Abschluss",IF(AT73&lt;&gt;"","5 · Schlussabrechnung",IF(AO73&lt;&gt;"","4 · Übergabe",IF(AM73&lt;&gt;"","3 · Neuvermietung",IF(M73&lt;&gt;"","2 · Abnahme &amp; Vermarktung","1 · Erfassung")))))))</f>
        <v/>
      </c>
      <c r="V73" s="15" t="n"/>
      <c r="W73" s="20" t="n"/>
      <c r="X73" s="15" t="n"/>
      <c r="Y73" s="15" t="n"/>
      <c r="Z73" s="18" t="n"/>
      <c r="AA73" s="19">
        <f>IF(M73="","",M73-30)</f>
        <v/>
      </c>
      <c r="AB73" s="19">
        <f>IF(ISNUMBER(AJ73),AJ73+3,"")</f>
        <v/>
      </c>
      <c r="AC73" s="18" t="n"/>
      <c r="AD73" s="18" t="n"/>
      <c r="AE73" s="18" t="n"/>
      <c r="AF73" s="18" t="n"/>
      <c r="AG73" s="18" t="n"/>
      <c r="AH73" s="18" t="n"/>
      <c r="AI73" s="18" t="n"/>
      <c r="AJ73" s="18" t="n"/>
      <c r="AK73" s="18" t="n"/>
      <c r="AL73" s="18" t="n"/>
      <c r="AM73" s="18" t="n"/>
      <c r="AN73" s="18" t="n"/>
      <c r="AO73" s="18" t="n"/>
      <c r="AP73" s="18" t="n"/>
      <c r="AQ73" s="18" t="n"/>
      <c r="AR73" s="18" t="n"/>
      <c r="AS73" s="18" t="n"/>
      <c r="AT73" s="18" t="n"/>
      <c r="AU73" s="18" t="n"/>
      <c r="AV73" s="18" t="n"/>
      <c r="AW73" s="18" t="n"/>
      <c r="AX73" s="18" t="n"/>
      <c r="AY73" s="18" t="n"/>
      <c r="AZ73" s="15" t="n"/>
    </row>
    <row r="74">
      <c r="A74" s="15" t="n"/>
      <c r="B74" s="15" t="n"/>
      <c r="C74" s="15" t="n"/>
      <c r="D74" s="15" t="n"/>
      <c r="E74" s="15" t="n"/>
      <c r="F74" s="15" t="n"/>
      <c r="G74" s="16">
        <f>IF(F74="","",IFERROR(INDEX(Stammdaten!$B$5:$B$24,MATCH(F74,Stammdaten!$A$5:$A$24,0)),"unbekannt"))</f>
        <v/>
      </c>
      <c r="H74" s="16">
        <f>IF($B74="","",IF(AY74&lt;&gt;"","abgeschlossen",IF(AND(ISNUMBER(AX74),AX74&gt;=TODAY()),"zurückgestellt",IF(OR(AND(ISNUMBER(AA74),AA74&lt;TODAY(),Z74="",AJ74=""),AND(ISNUMBER(Z74),Z74&lt;TODAY(),AJ74=""),AND(ISNUMBER(AB74),AB74&lt;TODAY(),AK74=""),AND(ISNUMBER(AC74),AC74&lt;TODAY(),AO74=""),AND(ISNUMBER(AD74),AD74&lt;TODAY(),AQ74="")),"überfällig","offen"))))</f>
        <v/>
      </c>
      <c r="I74" s="16">
        <f>IF($B74="","",IF(AY74&lt;&gt;"","—",IF(AND(ISNUMBER(AA74),AA74&lt;TODAY(),Z74="",AJ74=""),"Abnahmetermin vereinbaren – Sollfrist verstrichen",IF(AND(ISNUMBER(Z74),Z74&lt;TODAY(),AJ74=""),"Wohnungsabnahme nachtragen – Termin war fällig",IF(AND(ISNUMBER(AB74),AB74&lt;TODAY(),AK74=""),"Handwerker aufbieten – Frist verstrichen",IF(AND(ISNUMBER(AC74),AC74&lt;TODAY(),AO74=""),"Vertrag retour mahnen – Frist verstrichen",IF(AND(ISNUMBER(AD74),AD74&lt;TODAY(),AQ74=""),"Schlüsselübergabe nachtragen – Termin war fällig",IF(M74="","Haftungsdatum erfassen",IF(E74="","ex-Mieter erfassen",IF(AE74="","Kündigung bestätigen / G-Rem",IF(AF74="","Werke / EGT melden",IF(AG74="","Vorbesichtigung (oder n.e.)",IF(AH74="","VMZ aktualisieren",IF(AI74="","Inserat aufschalten",IF(AND(Z74="",AJ74=""),"Abnahmetermin vereinbaren",IF(AJ74="","Wohnungsabnahme durchführen",IF(AK74="","Handwerker aufbieten",IF(AL74="","Zustimmungserklärung einholen",IF(AM74="","Instandstellungen beauftragen",IF(R74="","Nachmieter erfassen",IF(AN74="","Vertrag versenden",IF(AO74="","Vertrag retour erfassen",IF(S74="","Vermietet per erfassen",IF(AP74="","Werke / EGT über Einzug informieren",IF(AND(AD74="",AQ74=""),"Schlüsselübergabe terminieren",IF(AQ74="","Schlüsselübergabe durchführen",IF(AR74="","Reinigung veranlassen",IF(AS74="","Namensschilder bestellen",IF(AT74="","Kaution prüfen / G-Rem mutieren",IF(AU74="","Instandstellungs-Rechnung erfassen",IF(AV74="","Schlussabrechnung erstellen",IF(AW74="","Zahlungseingang kontrollieren","Fall abschliessen"))))))))))))))))))))))))))))))))</f>
        <v/>
      </c>
      <c r="J74" s="17">
        <f>IF(M74="","",IF(S74&lt;&gt;"",MAX(0,S74-M74-1),MAX(0,TODAY()-M74)))</f>
        <v/>
      </c>
      <c r="K74" s="16">
        <f>IF($B74="","",TRIM(IF(AND(L74&lt;&gt;"",M74&lt;&gt;"",M74&lt;L74),"Haftungsdatum vor Kündigung. ","")&amp;IF(AND(S74&lt;&gt;"",M74&lt;&gt;"",S74&lt;M74),"Vermietung vor Leerstandsbeginn. ","")&amp;IF(AND(Z74&lt;&gt;"",L74&lt;&gt;"",Z74&lt;L74),"WA-Termin vor Kündigung. ","")&amp;IF(COUNTIFS($B$5:$B$404,$B74,$AY$5:$AY$404,"")&gt;1,"Zweiter offener Fall zum selben Objekt. ","")&amp;IF(AND($A74&lt;&gt;"",COUNTIFS($A$5:$A$404,$A74)&gt;1),"Fall-Nr. doppelt vergeben. ","")&amp;IF(E74="","ex-Mieter fehlt. ","")&amp;IF(M74="","Haftungsdatum fehlt. ","")&amp;IF(F74="","Bewirtschafter fehlt. ","")&amp;IF(AND(AY74&lt;&gt;"",AW74=""),"Abgeschlossen trotz offener Schlussabrechnung. ","")&amp;IF(AND(AY74="",S74="",ISNUMBER(J74),J74&gt;60),"Langläufer über 60 Tage. ","")))</f>
        <v/>
      </c>
      <c r="L74" s="18" t="n"/>
      <c r="M74" s="18" t="n"/>
      <c r="N74" s="19">
        <f>IF(M74="","",M74+1)</f>
        <v/>
      </c>
      <c r="O74" s="17">
        <f>IF(OR(L74="",M74=""),"",M74-L74)</f>
        <v/>
      </c>
      <c r="P74" s="16">
        <f>IF(M74="","",YEAR(M74+1)&amp;"-"&amp;TEXT(MONTH(M74+1),"00"))</f>
        <v/>
      </c>
      <c r="Q74" s="18" t="n"/>
      <c r="R74" s="15" t="n"/>
      <c r="S74" s="18" t="n"/>
      <c r="T74" s="16">
        <f>IF(U74="","",IF(LEFT(U74,1)="6","abgeschlossen",IF(OR(LEFT(U74,1)="1",LEFT(U74,1)="2"),"Kündigung &amp; Abnahme",IF(OR(LEFT(U74,1)="3",LEFT(U74,1)="4"),"Wiedervermietung","Schlussabrechnung"))))</f>
        <v/>
      </c>
      <c r="U74" s="16">
        <f>IF($B74="","",IF(AY74&lt;&gt;"","6 · abgeschlossen",IF(AW74&lt;&gt;"","5 · bereit zum Abschluss",IF(AT74&lt;&gt;"","5 · Schlussabrechnung",IF(AO74&lt;&gt;"","4 · Übergabe",IF(AM74&lt;&gt;"","3 · Neuvermietung",IF(M74&lt;&gt;"","2 · Abnahme &amp; Vermarktung","1 · Erfassung")))))))</f>
        <v/>
      </c>
      <c r="V74" s="15" t="n"/>
      <c r="W74" s="20" t="n"/>
      <c r="X74" s="15" t="n"/>
      <c r="Y74" s="15" t="n"/>
      <c r="Z74" s="18" t="n"/>
      <c r="AA74" s="19">
        <f>IF(M74="","",M74-30)</f>
        <v/>
      </c>
      <c r="AB74" s="19">
        <f>IF(ISNUMBER(AJ74),AJ74+3,"")</f>
        <v/>
      </c>
      <c r="AC74" s="18" t="n"/>
      <c r="AD74" s="18" t="n"/>
      <c r="AE74" s="18" t="n"/>
      <c r="AF74" s="18" t="n"/>
      <c r="AG74" s="18" t="n"/>
      <c r="AH74" s="18" t="n"/>
      <c r="AI74" s="18" t="n"/>
      <c r="AJ74" s="18" t="n"/>
      <c r="AK74" s="18" t="n"/>
      <c r="AL74" s="18" t="n"/>
      <c r="AM74" s="18" t="n"/>
      <c r="AN74" s="18" t="n"/>
      <c r="AO74" s="18" t="n"/>
      <c r="AP74" s="18" t="n"/>
      <c r="AQ74" s="18" t="n"/>
      <c r="AR74" s="18" t="n"/>
      <c r="AS74" s="18" t="n"/>
      <c r="AT74" s="18" t="n"/>
      <c r="AU74" s="18" t="n"/>
      <c r="AV74" s="18" t="n"/>
      <c r="AW74" s="18" t="n"/>
      <c r="AX74" s="18" t="n"/>
      <c r="AY74" s="18" t="n"/>
      <c r="AZ74" s="15" t="n"/>
    </row>
    <row r="75">
      <c r="A75" s="15" t="n"/>
      <c r="B75" s="15" t="n"/>
      <c r="C75" s="15" t="n"/>
      <c r="D75" s="15" t="n"/>
      <c r="E75" s="15" t="n"/>
      <c r="F75" s="15" t="n"/>
      <c r="G75" s="16">
        <f>IF(F75="","",IFERROR(INDEX(Stammdaten!$B$5:$B$24,MATCH(F75,Stammdaten!$A$5:$A$24,0)),"unbekannt"))</f>
        <v/>
      </c>
      <c r="H75" s="16">
        <f>IF($B75="","",IF(AY75&lt;&gt;"","abgeschlossen",IF(AND(ISNUMBER(AX75),AX75&gt;=TODAY()),"zurückgestellt",IF(OR(AND(ISNUMBER(AA75),AA75&lt;TODAY(),Z75="",AJ75=""),AND(ISNUMBER(Z75),Z75&lt;TODAY(),AJ75=""),AND(ISNUMBER(AB75),AB75&lt;TODAY(),AK75=""),AND(ISNUMBER(AC75),AC75&lt;TODAY(),AO75=""),AND(ISNUMBER(AD75),AD75&lt;TODAY(),AQ75="")),"überfällig","offen"))))</f>
        <v/>
      </c>
      <c r="I75" s="16">
        <f>IF($B75="","",IF(AY75&lt;&gt;"","—",IF(AND(ISNUMBER(AA75),AA75&lt;TODAY(),Z75="",AJ75=""),"Abnahmetermin vereinbaren – Sollfrist verstrichen",IF(AND(ISNUMBER(Z75),Z75&lt;TODAY(),AJ75=""),"Wohnungsabnahme nachtragen – Termin war fällig",IF(AND(ISNUMBER(AB75),AB75&lt;TODAY(),AK75=""),"Handwerker aufbieten – Frist verstrichen",IF(AND(ISNUMBER(AC75),AC75&lt;TODAY(),AO75=""),"Vertrag retour mahnen – Frist verstrichen",IF(AND(ISNUMBER(AD75),AD75&lt;TODAY(),AQ75=""),"Schlüsselübergabe nachtragen – Termin war fällig",IF(M75="","Haftungsdatum erfassen",IF(E75="","ex-Mieter erfassen",IF(AE75="","Kündigung bestätigen / G-Rem",IF(AF75="","Werke / EGT melden",IF(AG75="","Vorbesichtigung (oder n.e.)",IF(AH75="","VMZ aktualisieren",IF(AI75="","Inserat aufschalten",IF(AND(Z75="",AJ75=""),"Abnahmetermin vereinbaren",IF(AJ75="","Wohnungsabnahme durchführen",IF(AK75="","Handwerker aufbieten",IF(AL75="","Zustimmungserklärung einholen",IF(AM75="","Instandstellungen beauftragen",IF(R75="","Nachmieter erfassen",IF(AN75="","Vertrag versenden",IF(AO75="","Vertrag retour erfassen",IF(S75="","Vermietet per erfassen",IF(AP75="","Werke / EGT über Einzug informieren",IF(AND(AD75="",AQ75=""),"Schlüsselübergabe terminieren",IF(AQ75="","Schlüsselübergabe durchführen",IF(AR75="","Reinigung veranlassen",IF(AS75="","Namensschilder bestellen",IF(AT75="","Kaution prüfen / G-Rem mutieren",IF(AU75="","Instandstellungs-Rechnung erfassen",IF(AV75="","Schlussabrechnung erstellen",IF(AW75="","Zahlungseingang kontrollieren","Fall abschliessen"))))))))))))))))))))))))))))))))</f>
        <v/>
      </c>
      <c r="J75" s="17">
        <f>IF(M75="","",IF(S75&lt;&gt;"",MAX(0,S75-M75-1),MAX(0,TODAY()-M75)))</f>
        <v/>
      </c>
      <c r="K75" s="16">
        <f>IF($B75="","",TRIM(IF(AND(L75&lt;&gt;"",M75&lt;&gt;"",M75&lt;L75),"Haftungsdatum vor Kündigung. ","")&amp;IF(AND(S75&lt;&gt;"",M75&lt;&gt;"",S75&lt;M75),"Vermietung vor Leerstandsbeginn. ","")&amp;IF(AND(Z75&lt;&gt;"",L75&lt;&gt;"",Z75&lt;L75),"WA-Termin vor Kündigung. ","")&amp;IF(COUNTIFS($B$5:$B$404,$B75,$AY$5:$AY$404,"")&gt;1,"Zweiter offener Fall zum selben Objekt. ","")&amp;IF(AND($A75&lt;&gt;"",COUNTIFS($A$5:$A$404,$A75)&gt;1),"Fall-Nr. doppelt vergeben. ","")&amp;IF(E75="","ex-Mieter fehlt. ","")&amp;IF(M75="","Haftungsdatum fehlt. ","")&amp;IF(F75="","Bewirtschafter fehlt. ","")&amp;IF(AND(AY75&lt;&gt;"",AW75=""),"Abgeschlossen trotz offener Schlussabrechnung. ","")&amp;IF(AND(AY75="",S75="",ISNUMBER(J75),J75&gt;60),"Langläufer über 60 Tage. ","")))</f>
        <v/>
      </c>
      <c r="L75" s="18" t="n"/>
      <c r="M75" s="18" t="n"/>
      <c r="N75" s="19">
        <f>IF(M75="","",M75+1)</f>
        <v/>
      </c>
      <c r="O75" s="17">
        <f>IF(OR(L75="",M75=""),"",M75-L75)</f>
        <v/>
      </c>
      <c r="P75" s="16">
        <f>IF(M75="","",YEAR(M75+1)&amp;"-"&amp;TEXT(MONTH(M75+1),"00"))</f>
        <v/>
      </c>
      <c r="Q75" s="18" t="n"/>
      <c r="R75" s="15" t="n"/>
      <c r="S75" s="18" t="n"/>
      <c r="T75" s="16">
        <f>IF(U75="","",IF(LEFT(U75,1)="6","abgeschlossen",IF(OR(LEFT(U75,1)="1",LEFT(U75,1)="2"),"Kündigung &amp; Abnahme",IF(OR(LEFT(U75,1)="3",LEFT(U75,1)="4"),"Wiedervermietung","Schlussabrechnung"))))</f>
        <v/>
      </c>
      <c r="U75" s="16">
        <f>IF($B75="","",IF(AY75&lt;&gt;"","6 · abgeschlossen",IF(AW75&lt;&gt;"","5 · bereit zum Abschluss",IF(AT75&lt;&gt;"","5 · Schlussabrechnung",IF(AO75&lt;&gt;"","4 · Übergabe",IF(AM75&lt;&gt;"","3 · Neuvermietung",IF(M75&lt;&gt;"","2 · Abnahme &amp; Vermarktung","1 · Erfassung")))))))</f>
        <v/>
      </c>
      <c r="V75" s="15" t="n"/>
      <c r="W75" s="20" t="n"/>
      <c r="X75" s="15" t="n"/>
      <c r="Y75" s="15" t="n"/>
      <c r="Z75" s="18" t="n"/>
      <c r="AA75" s="19">
        <f>IF(M75="","",M75-30)</f>
        <v/>
      </c>
      <c r="AB75" s="19">
        <f>IF(ISNUMBER(AJ75),AJ75+3,"")</f>
        <v/>
      </c>
      <c r="AC75" s="18" t="n"/>
      <c r="AD75" s="18" t="n"/>
      <c r="AE75" s="18" t="n"/>
      <c r="AF75" s="18" t="n"/>
      <c r="AG75" s="18" t="n"/>
      <c r="AH75" s="18" t="n"/>
      <c r="AI75" s="18" t="n"/>
      <c r="AJ75" s="18" t="n"/>
      <c r="AK75" s="18" t="n"/>
      <c r="AL75" s="18" t="n"/>
      <c r="AM75" s="18" t="n"/>
      <c r="AN75" s="18" t="n"/>
      <c r="AO75" s="18" t="n"/>
      <c r="AP75" s="18" t="n"/>
      <c r="AQ75" s="18" t="n"/>
      <c r="AR75" s="18" t="n"/>
      <c r="AS75" s="18" t="n"/>
      <c r="AT75" s="18" t="n"/>
      <c r="AU75" s="18" t="n"/>
      <c r="AV75" s="18" t="n"/>
      <c r="AW75" s="18" t="n"/>
      <c r="AX75" s="18" t="n"/>
      <c r="AY75" s="18" t="n"/>
      <c r="AZ75" s="15" t="n"/>
    </row>
    <row r="76">
      <c r="A76" s="15" t="n"/>
      <c r="B76" s="15" t="n"/>
      <c r="C76" s="15" t="n"/>
      <c r="D76" s="15" t="n"/>
      <c r="E76" s="15" t="n"/>
      <c r="F76" s="15" t="n"/>
      <c r="G76" s="16">
        <f>IF(F76="","",IFERROR(INDEX(Stammdaten!$B$5:$B$24,MATCH(F76,Stammdaten!$A$5:$A$24,0)),"unbekannt"))</f>
        <v/>
      </c>
      <c r="H76" s="16">
        <f>IF($B76="","",IF(AY76&lt;&gt;"","abgeschlossen",IF(AND(ISNUMBER(AX76),AX76&gt;=TODAY()),"zurückgestellt",IF(OR(AND(ISNUMBER(AA76),AA76&lt;TODAY(),Z76="",AJ76=""),AND(ISNUMBER(Z76),Z76&lt;TODAY(),AJ76=""),AND(ISNUMBER(AB76),AB76&lt;TODAY(),AK76=""),AND(ISNUMBER(AC76),AC76&lt;TODAY(),AO76=""),AND(ISNUMBER(AD76),AD76&lt;TODAY(),AQ76="")),"überfällig","offen"))))</f>
        <v/>
      </c>
      <c r="I76" s="16">
        <f>IF($B76="","",IF(AY76&lt;&gt;"","—",IF(AND(ISNUMBER(AA76),AA76&lt;TODAY(),Z76="",AJ76=""),"Abnahmetermin vereinbaren – Sollfrist verstrichen",IF(AND(ISNUMBER(Z76),Z76&lt;TODAY(),AJ76=""),"Wohnungsabnahme nachtragen – Termin war fällig",IF(AND(ISNUMBER(AB76),AB76&lt;TODAY(),AK76=""),"Handwerker aufbieten – Frist verstrichen",IF(AND(ISNUMBER(AC76),AC76&lt;TODAY(),AO76=""),"Vertrag retour mahnen – Frist verstrichen",IF(AND(ISNUMBER(AD76),AD76&lt;TODAY(),AQ76=""),"Schlüsselübergabe nachtragen – Termin war fällig",IF(M76="","Haftungsdatum erfassen",IF(E76="","ex-Mieter erfassen",IF(AE76="","Kündigung bestätigen / G-Rem",IF(AF76="","Werke / EGT melden",IF(AG76="","Vorbesichtigung (oder n.e.)",IF(AH76="","VMZ aktualisieren",IF(AI76="","Inserat aufschalten",IF(AND(Z76="",AJ76=""),"Abnahmetermin vereinbaren",IF(AJ76="","Wohnungsabnahme durchführen",IF(AK76="","Handwerker aufbieten",IF(AL76="","Zustimmungserklärung einholen",IF(AM76="","Instandstellungen beauftragen",IF(R76="","Nachmieter erfassen",IF(AN76="","Vertrag versenden",IF(AO76="","Vertrag retour erfassen",IF(S76="","Vermietet per erfassen",IF(AP76="","Werke / EGT über Einzug informieren",IF(AND(AD76="",AQ76=""),"Schlüsselübergabe terminieren",IF(AQ76="","Schlüsselübergabe durchführen",IF(AR76="","Reinigung veranlassen",IF(AS76="","Namensschilder bestellen",IF(AT76="","Kaution prüfen / G-Rem mutieren",IF(AU76="","Instandstellungs-Rechnung erfassen",IF(AV76="","Schlussabrechnung erstellen",IF(AW76="","Zahlungseingang kontrollieren","Fall abschliessen"))))))))))))))))))))))))))))))))</f>
        <v/>
      </c>
      <c r="J76" s="17">
        <f>IF(M76="","",IF(S76&lt;&gt;"",MAX(0,S76-M76-1),MAX(0,TODAY()-M76)))</f>
        <v/>
      </c>
      <c r="K76" s="16">
        <f>IF($B76="","",TRIM(IF(AND(L76&lt;&gt;"",M76&lt;&gt;"",M76&lt;L76),"Haftungsdatum vor Kündigung. ","")&amp;IF(AND(S76&lt;&gt;"",M76&lt;&gt;"",S76&lt;M76),"Vermietung vor Leerstandsbeginn. ","")&amp;IF(AND(Z76&lt;&gt;"",L76&lt;&gt;"",Z76&lt;L76),"WA-Termin vor Kündigung. ","")&amp;IF(COUNTIFS($B$5:$B$404,$B76,$AY$5:$AY$404,"")&gt;1,"Zweiter offener Fall zum selben Objekt. ","")&amp;IF(AND($A76&lt;&gt;"",COUNTIFS($A$5:$A$404,$A76)&gt;1),"Fall-Nr. doppelt vergeben. ","")&amp;IF(E76="","ex-Mieter fehlt. ","")&amp;IF(M76="","Haftungsdatum fehlt. ","")&amp;IF(F76="","Bewirtschafter fehlt. ","")&amp;IF(AND(AY76&lt;&gt;"",AW76=""),"Abgeschlossen trotz offener Schlussabrechnung. ","")&amp;IF(AND(AY76="",S76="",ISNUMBER(J76),J76&gt;60),"Langläufer über 60 Tage. ","")))</f>
        <v/>
      </c>
      <c r="L76" s="18" t="n"/>
      <c r="M76" s="18" t="n"/>
      <c r="N76" s="19">
        <f>IF(M76="","",M76+1)</f>
        <v/>
      </c>
      <c r="O76" s="17">
        <f>IF(OR(L76="",M76=""),"",M76-L76)</f>
        <v/>
      </c>
      <c r="P76" s="16">
        <f>IF(M76="","",YEAR(M76+1)&amp;"-"&amp;TEXT(MONTH(M76+1),"00"))</f>
        <v/>
      </c>
      <c r="Q76" s="18" t="n"/>
      <c r="R76" s="15" t="n"/>
      <c r="S76" s="18" t="n"/>
      <c r="T76" s="16">
        <f>IF(U76="","",IF(LEFT(U76,1)="6","abgeschlossen",IF(OR(LEFT(U76,1)="1",LEFT(U76,1)="2"),"Kündigung &amp; Abnahme",IF(OR(LEFT(U76,1)="3",LEFT(U76,1)="4"),"Wiedervermietung","Schlussabrechnung"))))</f>
        <v/>
      </c>
      <c r="U76" s="16">
        <f>IF($B76="","",IF(AY76&lt;&gt;"","6 · abgeschlossen",IF(AW76&lt;&gt;"","5 · bereit zum Abschluss",IF(AT76&lt;&gt;"","5 · Schlussabrechnung",IF(AO76&lt;&gt;"","4 · Übergabe",IF(AM76&lt;&gt;"","3 · Neuvermietung",IF(M76&lt;&gt;"","2 · Abnahme &amp; Vermarktung","1 · Erfassung")))))))</f>
        <v/>
      </c>
      <c r="V76" s="15" t="n"/>
      <c r="W76" s="20" t="n"/>
      <c r="X76" s="15" t="n"/>
      <c r="Y76" s="15" t="n"/>
      <c r="Z76" s="18" t="n"/>
      <c r="AA76" s="19">
        <f>IF(M76="","",M76-30)</f>
        <v/>
      </c>
      <c r="AB76" s="19">
        <f>IF(ISNUMBER(AJ76),AJ76+3,"")</f>
        <v/>
      </c>
      <c r="AC76" s="18" t="n"/>
      <c r="AD76" s="18" t="n"/>
      <c r="AE76" s="18" t="n"/>
      <c r="AF76" s="18" t="n"/>
      <c r="AG76" s="18" t="n"/>
      <c r="AH76" s="18" t="n"/>
      <c r="AI76" s="18" t="n"/>
      <c r="AJ76" s="18" t="n"/>
      <c r="AK76" s="18" t="n"/>
      <c r="AL76" s="18" t="n"/>
      <c r="AM76" s="18" t="n"/>
      <c r="AN76" s="18" t="n"/>
      <c r="AO76" s="18" t="n"/>
      <c r="AP76" s="18" t="n"/>
      <c r="AQ76" s="18" t="n"/>
      <c r="AR76" s="18" t="n"/>
      <c r="AS76" s="18" t="n"/>
      <c r="AT76" s="18" t="n"/>
      <c r="AU76" s="18" t="n"/>
      <c r="AV76" s="18" t="n"/>
      <c r="AW76" s="18" t="n"/>
      <c r="AX76" s="18" t="n"/>
      <c r="AY76" s="18" t="n"/>
      <c r="AZ76" s="15" t="n"/>
    </row>
    <row r="77">
      <c r="A77" s="15" t="n"/>
      <c r="B77" s="15" t="n"/>
      <c r="C77" s="15" t="n"/>
      <c r="D77" s="15" t="n"/>
      <c r="E77" s="15" t="n"/>
      <c r="F77" s="15" t="n"/>
      <c r="G77" s="16">
        <f>IF(F77="","",IFERROR(INDEX(Stammdaten!$B$5:$B$24,MATCH(F77,Stammdaten!$A$5:$A$24,0)),"unbekannt"))</f>
        <v/>
      </c>
      <c r="H77" s="16">
        <f>IF($B77="","",IF(AY77&lt;&gt;"","abgeschlossen",IF(AND(ISNUMBER(AX77),AX77&gt;=TODAY()),"zurückgestellt",IF(OR(AND(ISNUMBER(AA77),AA77&lt;TODAY(),Z77="",AJ77=""),AND(ISNUMBER(Z77),Z77&lt;TODAY(),AJ77=""),AND(ISNUMBER(AB77),AB77&lt;TODAY(),AK77=""),AND(ISNUMBER(AC77),AC77&lt;TODAY(),AO77=""),AND(ISNUMBER(AD77),AD77&lt;TODAY(),AQ77="")),"überfällig","offen"))))</f>
        <v/>
      </c>
      <c r="I77" s="16">
        <f>IF($B77="","",IF(AY77&lt;&gt;"","—",IF(AND(ISNUMBER(AA77),AA77&lt;TODAY(),Z77="",AJ77=""),"Abnahmetermin vereinbaren – Sollfrist verstrichen",IF(AND(ISNUMBER(Z77),Z77&lt;TODAY(),AJ77=""),"Wohnungsabnahme nachtragen – Termin war fällig",IF(AND(ISNUMBER(AB77),AB77&lt;TODAY(),AK77=""),"Handwerker aufbieten – Frist verstrichen",IF(AND(ISNUMBER(AC77),AC77&lt;TODAY(),AO77=""),"Vertrag retour mahnen – Frist verstrichen",IF(AND(ISNUMBER(AD77),AD77&lt;TODAY(),AQ77=""),"Schlüsselübergabe nachtragen – Termin war fällig",IF(M77="","Haftungsdatum erfassen",IF(E77="","ex-Mieter erfassen",IF(AE77="","Kündigung bestätigen / G-Rem",IF(AF77="","Werke / EGT melden",IF(AG77="","Vorbesichtigung (oder n.e.)",IF(AH77="","VMZ aktualisieren",IF(AI77="","Inserat aufschalten",IF(AND(Z77="",AJ77=""),"Abnahmetermin vereinbaren",IF(AJ77="","Wohnungsabnahme durchführen",IF(AK77="","Handwerker aufbieten",IF(AL77="","Zustimmungserklärung einholen",IF(AM77="","Instandstellungen beauftragen",IF(R77="","Nachmieter erfassen",IF(AN77="","Vertrag versenden",IF(AO77="","Vertrag retour erfassen",IF(S77="","Vermietet per erfassen",IF(AP77="","Werke / EGT über Einzug informieren",IF(AND(AD77="",AQ77=""),"Schlüsselübergabe terminieren",IF(AQ77="","Schlüsselübergabe durchführen",IF(AR77="","Reinigung veranlassen",IF(AS77="","Namensschilder bestellen",IF(AT77="","Kaution prüfen / G-Rem mutieren",IF(AU77="","Instandstellungs-Rechnung erfassen",IF(AV77="","Schlussabrechnung erstellen",IF(AW77="","Zahlungseingang kontrollieren","Fall abschliessen"))))))))))))))))))))))))))))))))</f>
        <v/>
      </c>
      <c r="J77" s="17">
        <f>IF(M77="","",IF(S77&lt;&gt;"",MAX(0,S77-M77-1),MAX(0,TODAY()-M77)))</f>
        <v/>
      </c>
      <c r="K77" s="16">
        <f>IF($B77="","",TRIM(IF(AND(L77&lt;&gt;"",M77&lt;&gt;"",M77&lt;L77),"Haftungsdatum vor Kündigung. ","")&amp;IF(AND(S77&lt;&gt;"",M77&lt;&gt;"",S77&lt;M77),"Vermietung vor Leerstandsbeginn. ","")&amp;IF(AND(Z77&lt;&gt;"",L77&lt;&gt;"",Z77&lt;L77),"WA-Termin vor Kündigung. ","")&amp;IF(COUNTIFS($B$5:$B$404,$B77,$AY$5:$AY$404,"")&gt;1,"Zweiter offener Fall zum selben Objekt. ","")&amp;IF(AND($A77&lt;&gt;"",COUNTIFS($A$5:$A$404,$A77)&gt;1),"Fall-Nr. doppelt vergeben. ","")&amp;IF(E77="","ex-Mieter fehlt. ","")&amp;IF(M77="","Haftungsdatum fehlt. ","")&amp;IF(F77="","Bewirtschafter fehlt. ","")&amp;IF(AND(AY77&lt;&gt;"",AW77=""),"Abgeschlossen trotz offener Schlussabrechnung. ","")&amp;IF(AND(AY77="",S77="",ISNUMBER(J77),J77&gt;60),"Langläufer über 60 Tage. ","")))</f>
        <v/>
      </c>
      <c r="L77" s="18" t="n"/>
      <c r="M77" s="18" t="n"/>
      <c r="N77" s="19">
        <f>IF(M77="","",M77+1)</f>
        <v/>
      </c>
      <c r="O77" s="17">
        <f>IF(OR(L77="",M77=""),"",M77-L77)</f>
        <v/>
      </c>
      <c r="P77" s="16">
        <f>IF(M77="","",YEAR(M77+1)&amp;"-"&amp;TEXT(MONTH(M77+1),"00"))</f>
        <v/>
      </c>
      <c r="Q77" s="18" t="n"/>
      <c r="R77" s="15" t="n"/>
      <c r="S77" s="18" t="n"/>
      <c r="T77" s="16">
        <f>IF(U77="","",IF(LEFT(U77,1)="6","abgeschlossen",IF(OR(LEFT(U77,1)="1",LEFT(U77,1)="2"),"Kündigung &amp; Abnahme",IF(OR(LEFT(U77,1)="3",LEFT(U77,1)="4"),"Wiedervermietung","Schlussabrechnung"))))</f>
        <v/>
      </c>
      <c r="U77" s="16">
        <f>IF($B77="","",IF(AY77&lt;&gt;"","6 · abgeschlossen",IF(AW77&lt;&gt;"","5 · bereit zum Abschluss",IF(AT77&lt;&gt;"","5 · Schlussabrechnung",IF(AO77&lt;&gt;"","4 · Übergabe",IF(AM77&lt;&gt;"","3 · Neuvermietung",IF(M77&lt;&gt;"","2 · Abnahme &amp; Vermarktung","1 · Erfassung")))))))</f>
        <v/>
      </c>
      <c r="V77" s="15" t="n"/>
      <c r="W77" s="20" t="n"/>
      <c r="X77" s="15" t="n"/>
      <c r="Y77" s="15" t="n"/>
      <c r="Z77" s="18" t="n"/>
      <c r="AA77" s="19">
        <f>IF(M77="","",M77-30)</f>
        <v/>
      </c>
      <c r="AB77" s="19">
        <f>IF(ISNUMBER(AJ77),AJ77+3,"")</f>
        <v/>
      </c>
      <c r="AC77" s="18" t="n"/>
      <c r="AD77" s="18" t="n"/>
      <c r="AE77" s="18" t="n"/>
      <c r="AF77" s="18" t="n"/>
      <c r="AG77" s="18" t="n"/>
      <c r="AH77" s="18" t="n"/>
      <c r="AI77" s="18" t="n"/>
      <c r="AJ77" s="18" t="n"/>
      <c r="AK77" s="18" t="n"/>
      <c r="AL77" s="18" t="n"/>
      <c r="AM77" s="18" t="n"/>
      <c r="AN77" s="18" t="n"/>
      <c r="AO77" s="18" t="n"/>
      <c r="AP77" s="18" t="n"/>
      <c r="AQ77" s="18" t="n"/>
      <c r="AR77" s="18" t="n"/>
      <c r="AS77" s="18" t="n"/>
      <c r="AT77" s="18" t="n"/>
      <c r="AU77" s="18" t="n"/>
      <c r="AV77" s="18" t="n"/>
      <c r="AW77" s="18" t="n"/>
      <c r="AX77" s="18" t="n"/>
      <c r="AY77" s="18" t="n"/>
      <c r="AZ77" s="15" t="n"/>
    </row>
    <row r="78">
      <c r="A78" s="15" t="n"/>
      <c r="B78" s="15" t="n"/>
      <c r="C78" s="15" t="n"/>
      <c r="D78" s="15" t="n"/>
      <c r="E78" s="15" t="n"/>
      <c r="F78" s="15" t="n"/>
      <c r="G78" s="16">
        <f>IF(F78="","",IFERROR(INDEX(Stammdaten!$B$5:$B$24,MATCH(F78,Stammdaten!$A$5:$A$24,0)),"unbekannt"))</f>
        <v/>
      </c>
      <c r="H78" s="16">
        <f>IF($B78="","",IF(AY78&lt;&gt;"","abgeschlossen",IF(AND(ISNUMBER(AX78),AX78&gt;=TODAY()),"zurückgestellt",IF(OR(AND(ISNUMBER(AA78),AA78&lt;TODAY(),Z78="",AJ78=""),AND(ISNUMBER(Z78),Z78&lt;TODAY(),AJ78=""),AND(ISNUMBER(AB78),AB78&lt;TODAY(),AK78=""),AND(ISNUMBER(AC78),AC78&lt;TODAY(),AO78=""),AND(ISNUMBER(AD78),AD78&lt;TODAY(),AQ78="")),"überfällig","offen"))))</f>
        <v/>
      </c>
      <c r="I78" s="16">
        <f>IF($B78="","",IF(AY78&lt;&gt;"","—",IF(AND(ISNUMBER(AA78),AA78&lt;TODAY(),Z78="",AJ78=""),"Abnahmetermin vereinbaren – Sollfrist verstrichen",IF(AND(ISNUMBER(Z78),Z78&lt;TODAY(),AJ78=""),"Wohnungsabnahme nachtragen – Termin war fällig",IF(AND(ISNUMBER(AB78),AB78&lt;TODAY(),AK78=""),"Handwerker aufbieten – Frist verstrichen",IF(AND(ISNUMBER(AC78),AC78&lt;TODAY(),AO78=""),"Vertrag retour mahnen – Frist verstrichen",IF(AND(ISNUMBER(AD78),AD78&lt;TODAY(),AQ78=""),"Schlüsselübergabe nachtragen – Termin war fällig",IF(M78="","Haftungsdatum erfassen",IF(E78="","ex-Mieter erfassen",IF(AE78="","Kündigung bestätigen / G-Rem",IF(AF78="","Werke / EGT melden",IF(AG78="","Vorbesichtigung (oder n.e.)",IF(AH78="","VMZ aktualisieren",IF(AI78="","Inserat aufschalten",IF(AND(Z78="",AJ78=""),"Abnahmetermin vereinbaren",IF(AJ78="","Wohnungsabnahme durchführen",IF(AK78="","Handwerker aufbieten",IF(AL78="","Zustimmungserklärung einholen",IF(AM78="","Instandstellungen beauftragen",IF(R78="","Nachmieter erfassen",IF(AN78="","Vertrag versenden",IF(AO78="","Vertrag retour erfassen",IF(S78="","Vermietet per erfassen",IF(AP78="","Werke / EGT über Einzug informieren",IF(AND(AD78="",AQ78=""),"Schlüsselübergabe terminieren",IF(AQ78="","Schlüsselübergabe durchführen",IF(AR78="","Reinigung veranlassen",IF(AS78="","Namensschilder bestellen",IF(AT78="","Kaution prüfen / G-Rem mutieren",IF(AU78="","Instandstellungs-Rechnung erfassen",IF(AV78="","Schlussabrechnung erstellen",IF(AW78="","Zahlungseingang kontrollieren","Fall abschliessen"))))))))))))))))))))))))))))))))</f>
        <v/>
      </c>
      <c r="J78" s="17">
        <f>IF(M78="","",IF(S78&lt;&gt;"",MAX(0,S78-M78-1),MAX(0,TODAY()-M78)))</f>
        <v/>
      </c>
      <c r="K78" s="16">
        <f>IF($B78="","",TRIM(IF(AND(L78&lt;&gt;"",M78&lt;&gt;"",M78&lt;L78),"Haftungsdatum vor Kündigung. ","")&amp;IF(AND(S78&lt;&gt;"",M78&lt;&gt;"",S78&lt;M78),"Vermietung vor Leerstandsbeginn. ","")&amp;IF(AND(Z78&lt;&gt;"",L78&lt;&gt;"",Z78&lt;L78),"WA-Termin vor Kündigung. ","")&amp;IF(COUNTIFS($B$5:$B$404,$B78,$AY$5:$AY$404,"")&gt;1,"Zweiter offener Fall zum selben Objekt. ","")&amp;IF(AND($A78&lt;&gt;"",COUNTIFS($A$5:$A$404,$A78)&gt;1),"Fall-Nr. doppelt vergeben. ","")&amp;IF(E78="","ex-Mieter fehlt. ","")&amp;IF(M78="","Haftungsdatum fehlt. ","")&amp;IF(F78="","Bewirtschafter fehlt. ","")&amp;IF(AND(AY78&lt;&gt;"",AW78=""),"Abgeschlossen trotz offener Schlussabrechnung. ","")&amp;IF(AND(AY78="",S78="",ISNUMBER(J78),J78&gt;60),"Langläufer über 60 Tage. ","")))</f>
        <v/>
      </c>
      <c r="L78" s="18" t="n"/>
      <c r="M78" s="18" t="n"/>
      <c r="N78" s="19">
        <f>IF(M78="","",M78+1)</f>
        <v/>
      </c>
      <c r="O78" s="17">
        <f>IF(OR(L78="",M78=""),"",M78-L78)</f>
        <v/>
      </c>
      <c r="P78" s="16">
        <f>IF(M78="","",YEAR(M78+1)&amp;"-"&amp;TEXT(MONTH(M78+1),"00"))</f>
        <v/>
      </c>
      <c r="Q78" s="18" t="n"/>
      <c r="R78" s="15" t="n"/>
      <c r="S78" s="18" t="n"/>
      <c r="T78" s="16">
        <f>IF(U78="","",IF(LEFT(U78,1)="6","abgeschlossen",IF(OR(LEFT(U78,1)="1",LEFT(U78,1)="2"),"Kündigung &amp; Abnahme",IF(OR(LEFT(U78,1)="3",LEFT(U78,1)="4"),"Wiedervermietung","Schlussabrechnung"))))</f>
        <v/>
      </c>
      <c r="U78" s="16">
        <f>IF($B78="","",IF(AY78&lt;&gt;"","6 · abgeschlossen",IF(AW78&lt;&gt;"","5 · bereit zum Abschluss",IF(AT78&lt;&gt;"","5 · Schlussabrechnung",IF(AO78&lt;&gt;"","4 · Übergabe",IF(AM78&lt;&gt;"","3 · Neuvermietung",IF(M78&lt;&gt;"","2 · Abnahme &amp; Vermarktung","1 · Erfassung")))))))</f>
        <v/>
      </c>
      <c r="V78" s="15" t="n"/>
      <c r="W78" s="20" t="n"/>
      <c r="X78" s="15" t="n"/>
      <c r="Y78" s="15" t="n"/>
      <c r="Z78" s="18" t="n"/>
      <c r="AA78" s="19">
        <f>IF(M78="","",M78-30)</f>
        <v/>
      </c>
      <c r="AB78" s="19">
        <f>IF(ISNUMBER(AJ78),AJ78+3,"")</f>
        <v/>
      </c>
      <c r="AC78" s="18" t="n"/>
      <c r="AD78" s="18" t="n"/>
      <c r="AE78" s="18" t="n"/>
      <c r="AF78" s="18" t="n"/>
      <c r="AG78" s="18" t="n"/>
      <c r="AH78" s="18" t="n"/>
      <c r="AI78" s="18" t="n"/>
      <c r="AJ78" s="18" t="n"/>
      <c r="AK78" s="18" t="n"/>
      <c r="AL78" s="18" t="n"/>
      <c r="AM78" s="18" t="n"/>
      <c r="AN78" s="18" t="n"/>
      <c r="AO78" s="18" t="n"/>
      <c r="AP78" s="18" t="n"/>
      <c r="AQ78" s="18" t="n"/>
      <c r="AR78" s="18" t="n"/>
      <c r="AS78" s="18" t="n"/>
      <c r="AT78" s="18" t="n"/>
      <c r="AU78" s="18" t="n"/>
      <c r="AV78" s="18" t="n"/>
      <c r="AW78" s="18" t="n"/>
      <c r="AX78" s="18" t="n"/>
      <c r="AY78" s="18" t="n"/>
      <c r="AZ78" s="15" t="n"/>
    </row>
    <row r="79">
      <c r="A79" s="15" t="n"/>
      <c r="B79" s="15" t="n"/>
      <c r="C79" s="15" t="n"/>
      <c r="D79" s="15" t="n"/>
      <c r="E79" s="15" t="n"/>
      <c r="F79" s="15" t="n"/>
      <c r="G79" s="16">
        <f>IF(F79="","",IFERROR(INDEX(Stammdaten!$B$5:$B$24,MATCH(F79,Stammdaten!$A$5:$A$24,0)),"unbekannt"))</f>
        <v/>
      </c>
      <c r="H79" s="16">
        <f>IF($B79="","",IF(AY79&lt;&gt;"","abgeschlossen",IF(AND(ISNUMBER(AX79),AX79&gt;=TODAY()),"zurückgestellt",IF(OR(AND(ISNUMBER(AA79),AA79&lt;TODAY(),Z79="",AJ79=""),AND(ISNUMBER(Z79),Z79&lt;TODAY(),AJ79=""),AND(ISNUMBER(AB79),AB79&lt;TODAY(),AK79=""),AND(ISNUMBER(AC79),AC79&lt;TODAY(),AO79=""),AND(ISNUMBER(AD79),AD79&lt;TODAY(),AQ79="")),"überfällig","offen"))))</f>
        <v/>
      </c>
      <c r="I79" s="16">
        <f>IF($B79="","",IF(AY79&lt;&gt;"","—",IF(AND(ISNUMBER(AA79),AA79&lt;TODAY(),Z79="",AJ79=""),"Abnahmetermin vereinbaren – Sollfrist verstrichen",IF(AND(ISNUMBER(Z79),Z79&lt;TODAY(),AJ79=""),"Wohnungsabnahme nachtragen – Termin war fällig",IF(AND(ISNUMBER(AB79),AB79&lt;TODAY(),AK79=""),"Handwerker aufbieten – Frist verstrichen",IF(AND(ISNUMBER(AC79),AC79&lt;TODAY(),AO79=""),"Vertrag retour mahnen – Frist verstrichen",IF(AND(ISNUMBER(AD79),AD79&lt;TODAY(),AQ79=""),"Schlüsselübergabe nachtragen – Termin war fällig",IF(M79="","Haftungsdatum erfassen",IF(E79="","ex-Mieter erfassen",IF(AE79="","Kündigung bestätigen / G-Rem",IF(AF79="","Werke / EGT melden",IF(AG79="","Vorbesichtigung (oder n.e.)",IF(AH79="","VMZ aktualisieren",IF(AI79="","Inserat aufschalten",IF(AND(Z79="",AJ79=""),"Abnahmetermin vereinbaren",IF(AJ79="","Wohnungsabnahme durchführen",IF(AK79="","Handwerker aufbieten",IF(AL79="","Zustimmungserklärung einholen",IF(AM79="","Instandstellungen beauftragen",IF(R79="","Nachmieter erfassen",IF(AN79="","Vertrag versenden",IF(AO79="","Vertrag retour erfassen",IF(S79="","Vermietet per erfassen",IF(AP79="","Werke / EGT über Einzug informieren",IF(AND(AD79="",AQ79=""),"Schlüsselübergabe terminieren",IF(AQ79="","Schlüsselübergabe durchführen",IF(AR79="","Reinigung veranlassen",IF(AS79="","Namensschilder bestellen",IF(AT79="","Kaution prüfen / G-Rem mutieren",IF(AU79="","Instandstellungs-Rechnung erfassen",IF(AV79="","Schlussabrechnung erstellen",IF(AW79="","Zahlungseingang kontrollieren","Fall abschliessen"))))))))))))))))))))))))))))))))</f>
        <v/>
      </c>
      <c r="J79" s="17">
        <f>IF(M79="","",IF(S79&lt;&gt;"",MAX(0,S79-M79-1),MAX(0,TODAY()-M79)))</f>
        <v/>
      </c>
      <c r="K79" s="16">
        <f>IF($B79="","",TRIM(IF(AND(L79&lt;&gt;"",M79&lt;&gt;"",M79&lt;L79),"Haftungsdatum vor Kündigung. ","")&amp;IF(AND(S79&lt;&gt;"",M79&lt;&gt;"",S79&lt;M79),"Vermietung vor Leerstandsbeginn. ","")&amp;IF(AND(Z79&lt;&gt;"",L79&lt;&gt;"",Z79&lt;L79),"WA-Termin vor Kündigung. ","")&amp;IF(COUNTIFS($B$5:$B$404,$B79,$AY$5:$AY$404,"")&gt;1,"Zweiter offener Fall zum selben Objekt. ","")&amp;IF(AND($A79&lt;&gt;"",COUNTIFS($A$5:$A$404,$A79)&gt;1),"Fall-Nr. doppelt vergeben. ","")&amp;IF(E79="","ex-Mieter fehlt. ","")&amp;IF(M79="","Haftungsdatum fehlt. ","")&amp;IF(F79="","Bewirtschafter fehlt. ","")&amp;IF(AND(AY79&lt;&gt;"",AW79=""),"Abgeschlossen trotz offener Schlussabrechnung. ","")&amp;IF(AND(AY79="",S79="",ISNUMBER(J79),J79&gt;60),"Langläufer über 60 Tage. ","")))</f>
        <v/>
      </c>
      <c r="L79" s="18" t="n"/>
      <c r="M79" s="18" t="n"/>
      <c r="N79" s="19">
        <f>IF(M79="","",M79+1)</f>
        <v/>
      </c>
      <c r="O79" s="17">
        <f>IF(OR(L79="",M79=""),"",M79-L79)</f>
        <v/>
      </c>
      <c r="P79" s="16">
        <f>IF(M79="","",YEAR(M79+1)&amp;"-"&amp;TEXT(MONTH(M79+1),"00"))</f>
        <v/>
      </c>
      <c r="Q79" s="18" t="n"/>
      <c r="R79" s="15" t="n"/>
      <c r="S79" s="18" t="n"/>
      <c r="T79" s="16">
        <f>IF(U79="","",IF(LEFT(U79,1)="6","abgeschlossen",IF(OR(LEFT(U79,1)="1",LEFT(U79,1)="2"),"Kündigung &amp; Abnahme",IF(OR(LEFT(U79,1)="3",LEFT(U79,1)="4"),"Wiedervermietung","Schlussabrechnung"))))</f>
        <v/>
      </c>
      <c r="U79" s="16">
        <f>IF($B79="","",IF(AY79&lt;&gt;"","6 · abgeschlossen",IF(AW79&lt;&gt;"","5 · bereit zum Abschluss",IF(AT79&lt;&gt;"","5 · Schlussabrechnung",IF(AO79&lt;&gt;"","4 · Übergabe",IF(AM79&lt;&gt;"","3 · Neuvermietung",IF(M79&lt;&gt;"","2 · Abnahme &amp; Vermarktung","1 · Erfassung")))))))</f>
        <v/>
      </c>
      <c r="V79" s="15" t="n"/>
      <c r="W79" s="20" t="n"/>
      <c r="X79" s="15" t="n"/>
      <c r="Y79" s="15" t="n"/>
      <c r="Z79" s="18" t="n"/>
      <c r="AA79" s="19">
        <f>IF(M79="","",M79-30)</f>
        <v/>
      </c>
      <c r="AB79" s="19">
        <f>IF(ISNUMBER(AJ79),AJ79+3,"")</f>
        <v/>
      </c>
      <c r="AC79" s="18" t="n"/>
      <c r="AD79" s="18" t="n"/>
      <c r="AE79" s="18" t="n"/>
      <c r="AF79" s="18" t="n"/>
      <c r="AG79" s="18" t="n"/>
      <c r="AH79" s="18" t="n"/>
      <c r="AI79" s="18" t="n"/>
      <c r="AJ79" s="18" t="n"/>
      <c r="AK79" s="18" t="n"/>
      <c r="AL79" s="18" t="n"/>
      <c r="AM79" s="18" t="n"/>
      <c r="AN79" s="18" t="n"/>
      <c r="AO79" s="18" t="n"/>
      <c r="AP79" s="18" t="n"/>
      <c r="AQ79" s="18" t="n"/>
      <c r="AR79" s="18" t="n"/>
      <c r="AS79" s="18" t="n"/>
      <c r="AT79" s="18" t="n"/>
      <c r="AU79" s="18" t="n"/>
      <c r="AV79" s="18" t="n"/>
      <c r="AW79" s="18" t="n"/>
      <c r="AX79" s="18" t="n"/>
      <c r="AY79" s="18" t="n"/>
      <c r="AZ79" s="15" t="n"/>
    </row>
    <row r="80">
      <c r="A80" s="15" t="n"/>
      <c r="B80" s="15" t="n"/>
      <c r="C80" s="15" t="n"/>
      <c r="D80" s="15" t="n"/>
      <c r="E80" s="15" t="n"/>
      <c r="F80" s="15" t="n"/>
      <c r="G80" s="16">
        <f>IF(F80="","",IFERROR(INDEX(Stammdaten!$B$5:$B$24,MATCH(F80,Stammdaten!$A$5:$A$24,0)),"unbekannt"))</f>
        <v/>
      </c>
      <c r="H80" s="16">
        <f>IF($B80="","",IF(AY80&lt;&gt;"","abgeschlossen",IF(AND(ISNUMBER(AX80),AX80&gt;=TODAY()),"zurückgestellt",IF(OR(AND(ISNUMBER(AA80),AA80&lt;TODAY(),Z80="",AJ80=""),AND(ISNUMBER(Z80),Z80&lt;TODAY(),AJ80=""),AND(ISNUMBER(AB80),AB80&lt;TODAY(),AK80=""),AND(ISNUMBER(AC80),AC80&lt;TODAY(),AO80=""),AND(ISNUMBER(AD80),AD80&lt;TODAY(),AQ80="")),"überfällig","offen"))))</f>
        <v/>
      </c>
      <c r="I80" s="16">
        <f>IF($B80="","",IF(AY80&lt;&gt;"","—",IF(AND(ISNUMBER(AA80),AA80&lt;TODAY(),Z80="",AJ80=""),"Abnahmetermin vereinbaren – Sollfrist verstrichen",IF(AND(ISNUMBER(Z80),Z80&lt;TODAY(),AJ80=""),"Wohnungsabnahme nachtragen – Termin war fällig",IF(AND(ISNUMBER(AB80),AB80&lt;TODAY(),AK80=""),"Handwerker aufbieten – Frist verstrichen",IF(AND(ISNUMBER(AC80),AC80&lt;TODAY(),AO80=""),"Vertrag retour mahnen – Frist verstrichen",IF(AND(ISNUMBER(AD80),AD80&lt;TODAY(),AQ80=""),"Schlüsselübergabe nachtragen – Termin war fällig",IF(M80="","Haftungsdatum erfassen",IF(E80="","ex-Mieter erfassen",IF(AE80="","Kündigung bestätigen / G-Rem",IF(AF80="","Werke / EGT melden",IF(AG80="","Vorbesichtigung (oder n.e.)",IF(AH80="","VMZ aktualisieren",IF(AI80="","Inserat aufschalten",IF(AND(Z80="",AJ80=""),"Abnahmetermin vereinbaren",IF(AJ80="","Wohnungsabnahme durchführen",IF(AK80="","Handwerker aufbieten",IF(AL80="","Zustimmungserklärung einholen",IF(AM80="","Instandstellungen beauftragen",IF(R80="","Nachmieter erfassen",IF(AN80="","Vertrag versenden",IF(AO80="","Vertrag retour erfassen",IF(S80="","Vermietet per erfassen",IF(AP80="","Werke / EGT über Einzug informieren",IF(AND(AD80="",AQ80=""),"Schlüsselübergabe terminieren",IF(AQ80="","Schlüsselübergabe durchführen",IF(AR80="","Reinigung veranlassen",IF(AS80="","Namensschilder bestellen",IF(AT80="","Kaution prüfen / G-Rem mutieren",IF(AU80="","Instandstellungs-Rechnung erfassen",IF(AV80="","Schlussabrechnung erstellen",IF(AW80="","Zahlungseingang kontrollieren","Fall abschliessen"))))))))))))))))))))))))))))))))</f>
        <v/>
      </c>
      <c r="J80" s="17">
        <f>IF(M80="","",IF(S80&lt;&gt;"",MAX(0,S80-M80-1),MAX(0,TODAY()-M80)))</f>
        <v/>
      </c>
      <c r="K80" s="16">
        <f>IF($B80="","",TRIM(IF(AND(L80&lt;&gt;"",M80&lt;&gt;"",M80&lt;L80),"Haftungsdatum vor Kündigung. ","")&amp;IF(AND(S80&lt;&gt;"",M80&lt;&gt;"",S80&lt;M80),"Vermietung vor Leerstandsbeginn. ","")&amp;IF(AND(Z80&lt;&gt;"",L80&lt;&gt;"",Z80&lt;L80),"WA-Termin vor Kündigung. ","")&amp;IF(COUNTIFS($B$5:$B$404,$B80,$AY$5:$AY$404,"")&gt;1,"Zweiter offener Fall zum selben Objekt. ","")&amp;IF(AND($A80&lt;&gt;"",COUNTIFS($A$5:$A$404,$A80)&gt;1),"Fall-Nr. doppelt vergeben. ","")&amp;IF(E80="","ex-Mieter fehlt. ","")&amp;IF(M80="","Haftungsdatum fehlt. ","")&amp;IF(F80="","Bewirtschafter fehlt. ","")&amp;IF(AND(AY80&lt;&gt;"",AW80=""),"Abgeschlossen trotz offener Schlussabrechnung. ","")&amp;IF(AND(AY80="",S80="",ISNUMBER(J80),J80&gt;60),"Langläufer über 60 Tage. ","")))</f>
        <v/>
      </c>
      <c r="L80" s="18" t="n"/>
      <c r="M80" s="18" t="n"/>
      <c r="N80" s="19">
        <f>IF(M80="","",M80+1)</f>
        <v/>
      </c>
      <c r="O80" s="17">
        <f>IF(OR(L80="",M80=""),"",M80-L80)</f>
        <v/>
      </c>
      <c r="P80" s="16">
        <f>IF(M80="","",YEAR(M80+1)&amp;"-"&amp;TEXT(MONTH(M80+1),"00"))</f>
        <v/>
      </c>
      <c r="Q80" s="18" t="n"/>
      <c r="R80" s="15" t="n"/>
      <c r="S80" s="18" t="n"/>
      <c r="T80" s="16">
        <f>IF(U80="","",IF(LEFT(U80,1)="6","abgeschlossen",IF(OR(LEFT(U80,1)="1",LEFT(U80,1)="2"),"Kündigung &amp; Abnahme",IF(OR(LEFT(U80,1)="3",LEFT(U80,1)="4"),"Wiedervermietung","Schlussabrechnung"))))</f>
        <v/>
      </c>
      <c r="U80" s="16">
        <f>IF($B80="","",IF(AY80&lt;&gt;"","6 · abgeschlossen",IF(AW80&lt;&gt;"","5 · bereit zum Abschluss",IF(AT80&lt;&gt;"","5 · Schlussabrechnung",IF(AO80&lt;&gt;"","4 · Übergabe",IF(AM80&lt;&gt;"","3 · Neuvermietung",IF(M80&lt;&gt;"","2 · Abnahme &amp; Vermarktung","1 · Erfassung")))))))</f>
        <v/>
      </c>
      <c r="V80" s="15" t="n"/>
      <c r="W80" s="20" t="n"/>
      <c r="X80" s="15" t="n"/>
      <c r="Y80" s="15" t="n"/>
      <c r="Z80" s="18" t="n"/>
      <c r="AA80" s="19">
        <f>IF(M80="","",M80-30)</f>
        <v/>
      </c>
      <c r="AB80" s="19">
        <f>IF(ISNUMBER(AJ80),AJ80+3,"")</f>
        <v/>
      </c>
      <c r="AC80" s="18" t="n"/>
      <c r="AD80" s="18" t="n"/>
      <c r="AE80" s="18" t="n"/>
      <c r="AF80" s="18" t="n"/>
      <c r="AG80" s="18" t="n"/>
      <c r="AH80" s="18" t="n"/>
      <c r="AI80" s="18" t="n"/>
      <c r="AJ80" s="18" t="n"/>
      <c r="AK80" s="18" t="n"/>
      <c r="AL80" s="18" t="n"/>
      <c r="AM80" s="18" t="n"/>
      <c r="AN80" s="18" t="n"/>
      <c r="AO80" s="18" t="n"/>
      <c r="AP80" s="18" t="n"/>
      <c r="AQ80" s="18" t="n"/>
      <c r="AR80" s="18" t="n"/>
      <c r="AS80" s="18" t="n"/>
      <c r="AT80" s="18" t="n"/>
      <c r="AU80" s="18" t="n"/>
      <c r="AV80" s="18" t="n"/>
      <c r="AW80" s="18" t="n"/>
      <c r="AX80" s="18" t="n"/>
      <c r="AY80" s="18" t="n"/>
      <c r="AZ80" s="15" t="n"/>
    </row>
    <row r="81">
      <c r="A81" s="15" t="n"/>
      <c r="B81" s="15" t="n"/>
      <c r="C81" s="15" t="n"/>
      <c r="D81" s="15" t="n"/>
      <c r="E81" s="15" t="n"/>
      <c r="F81" s="15" t="n"/>
      <c r="G81" s="16">
        <f>IF(F81="","",IFERROR(INDEX(Stammdaten!$B$5:$B$24,MATCH(F81,Stammdaten!$A$5:$A$24,0)),"unbekannt"))</f>
        <v/>
      </c>
      <c r="H81" s="16">
        <f>IF($B81="","",IF(AY81&lt;&gt;"","abgeschlossen",IF(AND(ISNUMBER(AX81),AX81&gt;=TODAY()),"zurückgestellt",IF(OR(AND(ISNUMBER(AA81),AA81&lt;TODAY(),Z81="",AJ81=""),AND(ISNUMBER(Z81),Z81&lt;TODAY(),AJ81=""),AND(ISNUMBER(AB81),AB81&lt;TODAY(),AK81=""),AND(ISNUMBER(AC81),AC81&lt;TODAY(),AO81=""),AND(ISNUMBER(AD81),AD81&lt;TODAY(),AQ81="")),"überfällig","offen"))))</f>
        <v/>
      </c>
      <c r="I81" s="16">
        <f>IF($B81="","",IF(AY81&lt;&gt;"","—",IF(AND(ISNUMBER(AA81),AA81&lt;TODAY(),Z81="",AJ81=""),"Abnahmetermin vereinbaren – Sollfrist verstrichen",IF(AND(ISNUMBER(Z81),Z81&lt;TODAY(),AJ81=""),"Wohnungsabnahme nachtragen – Termin war fällig",IF(AND(ISNUMBER(AB81),AB81&lt;TODAY(),AK81=""),"Handwerker aufbieten – Frist verstrichen",IF(AND(ISNUMBER(AC81),AC81&lt;TODAY(),AO81=""),"Vertrag retour mahnen – Frist verstrichen",IF(AND(ISNUMBER(AD81),AD81&lt;TODAY(),AQ81=""),"Schlüsselübergabe nachtragen – Termin war fällig",IF(M81="","Haftungsdatum erfassen",IF(E81="","ex-Mieter erfassen",IF(AE81="","Kündigung bestätigen / G-Rem",IF(AF81="","Werke / EGT melden",IF(AG81="","Vorbesichtigung (oder n.e.)",IF(AH81="","VMZ aktualisieren",IF(AI81="","Inserat aufschalten",IF(AND(Z81="",AJ81=""),"Abnahmetermin vereinbaren",IF(AJ81="","Wohnungsabnahme durchführen",IF(AK81="","Handwerker aufbieten",IF(AL81="","Zustimmungserklärung einholen",IF(AM81="","Instandstellungen beauftragen",IF(R81="","Nachmieter erfassen",IF(AN81="","Vertrag versenden",IF(AO81="","Vertrag retour erfassen",IF(S81="","Vermietet per erfassen",IF(AP81="","Werke / EGT über Einzug informieren",IF(AND(AD81="",AQ81=""),"Schlüsselübergabe terminieren",IF(AQ81="","Schlüsselübergabe durchführen",IF(AR81="","Reinigung veranlassen",IF(AS81="","Namensschilder bestellen",IF(AT81="","Kaution prüfen / G-Rem mutieren",IF(AU81="","Instandstellungs-Rechnung erfassen",IF(AV81="","Schlussabrechnung erstellen",IF(AW81="","Zahlungseingang kontrollieren","Fall abschliessen"))))))))))))))))))))))))))))))))</f>
        <v/>
      </c>
      <c r="J81" s="17">
        <f>IF(M81="","",IF(S81&lt;&gt;"",MAX(0,S81-M81-1),MAX(0,TODAY()-M81)))</f>
        <v/>
      </c>
      <c r="K81" s="16">
        <f>IF($B81="","",TRIM(IF(AND(L81&lt;&gt;"",M81&lt;&gt;"",M81&lt;L81),"Haftungsdatum vor Kündigung. ","")&amp;IF(AND(S81&lt;&gt;"",M81&lt;&gt;"",S81&lt;M81),"Vermietung vor Leerstandsbeginn. ","")&amp;IF(AND(Z81&lt;&gt;"",L81&lt;&gt;"",Z81&lt;L81),"WA-Termin vor Kündigung. ","")&amp;IF(COUNTIFS($B$5:$B$404,$B81,$AY$5:$AY$404,"")&gt;1,"Zweiter offener Fall zum selben Objekt. ","")&amp;IF(AND($A81&lt;&gt;"",COUNTIFS($A$5:$A$404,$A81)&gt;1),"Fall-Nr. doppelt vergeben. ","")&amp;IF(E81="","ex-Mieter fehlt. ","")&amp;IF(M81="","Haftungsdatum fehlt. ","")&amp;IF(F81="","Bewirtschafter fehlt. ","")&amp;IF(AND(AY81&lt;&gt;"",AW81=""),"Abgeschlossen trotz offener Schlussabrechnung. ","")&amp;IF(AND(AY81="",S81="",ISNUMBER(J81),J81&gt;60),"Langläufer über 60 Tage. ","")))</f>
        <v/>
      </c>
      <c r="L81" s="18" t="n"/>
      <c r="M81" s="18" t="n"/>
      <c r="N81" s="19">
        <f>IF(M81="","",M81+1)</f>
        <v/>
      </c>
      <c r="O81" s="17">
        <f>IF(OR(L81="",M81=""),"",M81-L81)</f>
        <v/>
      </c>
      <c r="P81" s="16">
        <f>IF(M81="","",YEAR(M81+1)&amp;"-"&amp;TEXT(MONTH(M81+1),"00"))</f>
        <v/>
      </c>
      <c r="Q81" s="18" t="n"/>
      <c r="R81" s="15" t="n"/>
      <c r="S81" s="18" t="n"/>
      <c r="T81" s="16">
        <f>IF(U81="","",IF(LEFT(U81,1)="6","abgeschlossen",IF(OR(LEFT(U81,1)="1",LEFT(U81,1)="2"),"Kündigung &amp; Abnahme",IF(OR(LEFT(U81,1)="3",LEFT(U81,1)="4"),"Wiedervermietung","Schlussabrechnung"))))</f>
        <v/>
      </c>
      <c r="U81" s="16">
        <f>IF($B81="","",IF(AY81&lt;&gt;"","6 · abgeschlossen",IF(AW81&lt;&gt;"","5 · bereit zum Abschluss",IF(AT81&lt;&gt;"","5 · Schlussabrechnung",IF(AO81&lt;&gt;"","4 · Übergabe",IF(AM81&lt;&gt;"","3 · Neuvermietung",IF(M81&lt;&gt;"","2 · Abnahme &amp; Vermarktung","1 · Erfassung")))))))</f>
        <v/>
      </c>
      <c r="V81" s="15" t="n"/>
      <c r="W81" s="20" t="n"/>
      <c r="X81" s="15" t="n"/>
      <c r="Y81" s="15" t="n"/>
      <c r="Z81" s="18" t="n"/>
      <c r="AA81" s="19">
        <f>IF(M81="","",M81-30)</f>
        <v/>
      </c>
      <c r="AB81" s="19">
        <f>IF(ISNUMBER(AJ81),AJ81+3,"")</f>
        <v/>
      </c>
      <c r="AC81" s="18" t="n"/>
      <c r="AD81" s="18" t="n"/>
      <c r="AE81" s="18" t="n"/>
      <c r="AF81" s="18" t="n"/>
      <c r="AG81" s="18" t="n"/>
      <c r="AH81" s="18" t="n"/>
      <c r="AI81" s="18" t="n"/>
      <c r="AJ81" s="18" t="n"/>
      <c r="AK81" s="18" t="n"/>
      <c r="AL81" s="18" t="n"/>
      <c r="AM81" s="18" t="n"/>
      <c r="AN81" s="18" t="n"/>
      <c r="AO81" s="18" t="n"/>
      <c r="AP81" s="18" t="n"/>
      <c r="AQ81" s="18" t="n"/>
      <c r="AR81" s="18" t="n"/>
      <c r="AS81" s="18" t="n"/>
      <c r="AT81" s="18" t="n"/>
      <c r="AU81" s="18" t="n"/>
      <c r="AV81" s="18" t="n"/>
      <c r="AW81" s="18" t="n"/>
      <c r="AX81" s="18" t="n"/>
      <c r="AY81" s="18" t="n"/>
      <c r="AZ81" s="15" t="n"/>
    </row>
    <row r="82">
      <c r="A82" s="15" t="n"/>
      <c r="B82" s="15" t="n"/>
      <c r="C82" s="15" t="n"/>
      <c r="D82" s="15" t="n"/>
      <c r="E82" s="15" t="n"/>
      <c r="F82" s="15" t="n"/>
      <c r="G82" s="16">
        <f>IF(F82="","",IFERROR(INDEX(Stammdaten!$B$5:$B$24,MATCH(F82,Stammdaten!$A$5:$A$24,0)),"unbekannt"))</f>
        <v/>
      </c>
      <c r="H82" s="16">
        <f>IF($B82="","",IF(AY82&lt;&gt;"","abgeschlossen",IF(AND(ISNUMBER(AX82),AX82&gt;=TODAY()),"zurückgestellt",IF(OR(AND(ISNUMBER(AA82),AA82&lt;TODAY(),Z82="",AJ82=""),AND(ISNUMBER(Z82),Z82&lt;TODAY(),AJ82=""),AND(ISNUMBER(AB82),AB82&lt;TODAY(),AK82=""),AND(ISNUMBER(AC82),AC82&lt;TODAY(),AO82=""),AND(ISNUMBER(AD82),AD82&lt;TODAY(),AQ82="")),"überfällig","offen"))))</f>
        <v/>
      </c>
      <c r="I82" s="16">
        <f>IF($B82="","",IF(AY82&lt;&gt;"","—",IF(AND(ISNUMBER(AA82),AA82&lt;TODAY(),Z82="",AJ82=""),"Abnahmetermin vereinbaren – Sollfrist verstrichen",IF(AND(ISNUMBER(Z82),Z82&lt;TODAY(),AJ82=""),"Wohnungsabnahme nachtragen – Termin war fällig",IF(AND(ISNUMBER(AB82),AB82&lt;TODAY(),AK82=""),"Handwerker aufbieten – Frist verstrichen",IF(AND(ISNUMBER(AC82),AC82&lt;TODAY(),AO82=""),"Vertrag retour mahnen – Frist verstrichen",IF(AND(ISNUMBER(AD82),AD82&lt;TODAY(),AQ82=""),"Schlüsselübergabe nachtragen – Termin war fällig",IF(M82="","Haftungsdatum erfassen",IF(E82="","ex-Mieter erfassen",IF(AE82="","Kündigung bestätigen / G-Rem",IF(AF82="","Werke / EGT melden",IF(AG82="","Vorbesichtigung (oder n.e.)",IF(AH82="","VMZ aktualisieren",IF(AI82="","Inserat aufschalten",IF(AND(Z82="",AJ82=""),"Abnahmetermin vereinbaren",IF(AJ82="","Wohnungsabnahme durchführen",IF(AK82="","Handwerker aufbieten",IF(AL82="","Zustimmungserklärung einholen",IF(AM82="","Instandstellungen beauftragen",IF(R82="","Nachmieter erfassen",IF(AN82="","Vertrag versenden",IF(AO82="","Vertrag retour erfassen",IF(S82="","Vermietet per erfassen",IF(AP82="","Werke / EGT über Einzug informieren",IF(AND(AD82="",AQ82=""),"Schlüsselübergabe terminieren",IF(AQ82="","Schlüsselübergabe durchführen",IF(AR82="","Reinigung veranlassen",IF(AS82="","Namensschilder bestellen",IF(AT82="","Kaution prüfen / G-Rem mutieren",IF(AU82="","Instandstellungs-Rechnung erfassen",IF(AV82="","Schlussabrechnung erstellen",IF(AW82="","Zahlungseingang kontrollieren","Fall abschliessen"))))))))))))))))))))))))))))))))</f>
        <v/>
      </c>
      <c r="J82" s="17">
        <f>IF(M82="","",IF(S82&lt;&gt;"",MAX(0,S82-M82-1),MAX(0,TODAY()-M82)))</f>
        <v/>
      </c>
      <c r="K82" s="16">
        <f>IF($B82="","",TRIM(IF(AND(L82&lt;&gt;"",M82&lt;&gt;"",M82&lt;L82),"Haftungsdatum vor Kündigung. ","")&amp;IF(AND(S82&lt;&gt;"",M82&lt;&gt;"",S82&lt;M82),"Vermietung vor Leerstandsbeginn. ","")&amp;IF(AND(Z82&lt;&gt;"",L82&lt;&gt;"",Z82&lt;L82),"WA-Termin vor Kündigung. ","")&amp;IF(COUNTIFS($B$5:$B$404,$B82,$AY$5:$AY$404,"")&gt;1,"Zweiter offener Fall zum selben Objekt. ","")&amp;IF(AND($A82&lt;&gt;"",COUNTIFS($A$5:$A$404,$A82)&gt;1),"Fall-Nr. doppelt vergeben. ","")&amp;IF(E82="","ex-Mieter fehlt. ","")&amp;IF(M82="","Haftungsdatum fehlt. ","")&amp;IF(F82="","Bewirtschafter fehlt. ","")&amp;IF(AND(AY82&lt;&gt;"",AW82=""),"Abgeschlossen trotz offener Schlussabrechnung. ","")&amp;IF(AND(AY82="",S82="",ISNUMBER(J82),J82&gt;60),"Langläufer über 60 Tage. ","")))</f>
        <v/>
      </c>
      <c r="L82" s="18" t="n"/>
      <c r="M82" s="18" t="n"/>
      <c r="N82" s="19">
        <f>IF(M82="","",M82+1)</f>
        <v/>
      </c>
      <c r="O82" s="17">
        <f>IF(OR(L82="",M82=""),"",M82-L82)</f>
        <v/>
      </c>
      <c r="P82" s="16">
        <f>IF(M82="","",YEAR(M82+1)&amp;"-"&amp;TEXT(MONTH(M82+1),"00"))</f>
        <v/>
      </c>
      <c r="Q82" s="18" t="n"/>
      <c r="R82" s="15" t="n"/>
      <c r="S82" s="18" t="n"/>
      <c r="T82" s="16">
        <f>IF(U82="","",IF(LEFT(U82,1)="6","abgeschlossen",IF(OR(LEFT(U82,1)="1",LEFT(U82,1)="2"),"Kündigung &amp; Abnahme",IF(OR(LEFT(U82,1)="3",LEFT(U82,1)="4"),"Wiedervermietung","Schlussabrechnung"))))</f>
        <v/>
      </c>
      <c r="U82" s="16">
        <f>IF($B82="","",IF(AY82&lt;&gt;"","6 · abgeschlossen",IF(AW82&lt;&gt;"","5 · bereit zum Abschluss",IF(AT82&lt;&gt;"","5 · Schlussabrechnung",IF(AO82&lt;&gt;"","4 · Übergabe",IF(AM82&lt;&gt;"","3 · Neuvermietung",IF(M82&lt;&gt;"","2 · Abnahme &amp; Vermarktung","1 · Erfassung")))))))</f>
        <v/>
      </c>
      <c r="V82" s="15" t="n"/>
      <c r="W82" s="20" t="n"/>
      <c r="X82" s="15" t="n"/>
      <c r="Y82" s="15" t="n"/>
      <c r="Z82" s="18" t="n"/>
      <c r="AA82" s="19">
        <f>IF(M82="","",M82-30)</f>
        <v/>
      </c>
      <c r="AB82" s="19">
        <f>IF(ISNUMBER(AJ82),AJ82+3,"")</f>
        <v/>
      </c>
      <c r="AC82" s="18" t="n"/>
      <c r="AD82" s="18" t="n"/>
      <c r="AE82" s="18" t="n"/>
      <c r="AF82" s="18" t="n"/>
      <c r="AG82" s="18" t="n"/>
      <c r="AH82" s="18" t="n"/>
      <c r="AI82" s="18" t="n"/>
      <c r="AJ82" s="18" t="n"/>
      <c r="AK82" s="18" t="n"/>
      <c r="AL82" s="18" t="n"/>
      <c r="AM82" s="18" t="n"/>
      <c r="AN82" s="18" t="n"/>
      <c r="AO82" s="18" t="n"/>
      <c r="AP82" s="18" t="n"/>
      <c r="AQ82" s="18" t="n"/>
      <c r="AR82" s="18" t="n"/>
      <c r="AS82" s="18" t="n"/>
      <c r="AT82" s="18" t="n"/>
      <c r="AU82" s="18" t="n"/>
      <c r="AV82" s="18" t="n"/>
      <c r="AW82" s="18" t="n"/>
      <c r="AX82" s="18" t="n"/>
      <c r="AY82" s="18" t="n"/>
      <c r="AZ82" s="15" t="n"/>
    </row>
    <row r="83">
      <c r="A83" s="15" t="n"/>
      <c r="B83" s="15" t="n"/>
      <c r="C83" s="15" t="n"/>
      <c r="D83" s="15" t="n"/>
      <c r="E83" s="15" t="n"/>
      <c r="F83" s="15" t="n"/>
      <c r="G83" s="16">
        <f>IF(F83="","",IFERROR(INDEX(Stammdaten!$B$5:$B$24,MATCH(F83,Stammdaten!$A$5:$A$24,0)),"unbekannt"))</f>
        <v/>
      </c>
      <c r="H83" s="16">
        <f>IF($B83="","",IF(AY83&lt;&gt;"","abgeschlossen",IF(AND(ISNUMBER(AX83),AX83&gt;=TODAY()),"zurückgestellt",IF(OR(AND(ISNUMBER(AA83),AA83&lt;TODAY(),Z83="",AJ83=""),AND(ISNUMBER(Z83),Z83&lt;TODAY(),AJ83=""),AND(ISNUMBER(AB83),AB83&lt;TODAY(),AK83=""),AND(ISNUMBER(AC83),AC83&lt;TODAY(),AO83=""),AND(ISNUMBER(AD83),AD83&lt;TODAY(),AQ83="")),"überfällig","offen"))))</f>
        <v/>
      </c>
      <c r="I83" s="16">
        <f>IF($B83="","",IF(AY83&lt;&gt;"","—",IF(AND(ISNUMBER(AA83),AA83&lt;TODAY(),Z83="",AJ83=""),"Abnahmetermin vereinbaren – Sollfrist verstrichen",IF(AND(ISNUMBER(Z83),Z83&lt;TODAY(),AJ83=""),"Wohnungsabnahme nachtragen – Termin war fällig",IF(AND(ISNUMBER(AB83),AB83&lt;TODAY(),AK83=""),"Handwerker aufbieten – Frist verstrichen",IF(AND(ISNUMBER(AC83),AC83&lt;TODAY(),AO83=""),"Vertrag retour mahnen – Frist verstrichen",IF(AND(ISNUMBER(AD83),AD83&lt;TODAY(),AQ83=""),"Schlüsselübergabe nachtragen – Termin war fällig",IF(M83="","Haftungsdatum erfassen",IF(E83="","ex-Mieter erfassen",IF(AE83="","Kündigung bestätigen / G-Rem",IF(AF83="","Werke / EGT melden",IF(AG83="","Vorbesichtigung (oder n.e.)",IF(AH83="","VMZ aktualisieren",IF(AI83="","Inserat aufschalten",IF(AND(Z83="",AJ83=""),"Abnahmetermin vereinbaren",IF(AJ83="","Wohnungsabnahme durchführen",IF(AK83="","Handwerker aufbieten",IF(AL83="","Zustimmungserklärung einholen",IF(AM83="","Instandstellungen beauftragen",IF(R83="","Nachmieter erfassen",IF(AN83="","Vertrag versenden",IF(AO83="","Vertrag retour erfassen",IF(S83="","Vermietet per erfassen",IF(AP83="","Werke / EGT über Einzug informieren",IF(AND(AD83="",AQ83=""),"Schlüsselübergabe terminieren",IF(AQ83="","Schlüsselübergabe durchführen",IF(AR83="","Reinigung veranlassen",IF(AS83="","Namensschilder bestellen",IF(AT83="","Kaution prüfen / G-Rem mutieren",IF(AU83="","Instandstellungs-Rechnung erfassen",IF(AV83="","Schlussabrechnung erstellen",IF(AW83="","Zahlungseingang kontrollieren","Fall abschliessen"))))))))))))))))))))))))))))))))</f>
        <v/>
      </c>
      <c r="J83" s="17">
        <f>IF(M83="","",IF(S83&lt;&gt;"",MAX(0,S83-M83-1),MAX(0,TODAY()-M83)))</f>
        <v/>
      </c>
      <c r="K83" s="16">
        <f>IF($B83="","",TRIM(IF(AND(L83&lt;&gt;"",M83&lt;&gt;"",M83&lt;L83),"Haftungsdatum vor Kündigung. ","")&amp;IF(AND(S83&lt;&gt;"",M83&lt;&gt;"",S83&lt;M83),"Vermietung vor Leerstandsbeginn. ","")&amp;IF(AND(Z83&lt;&gt;"",L83&lt;&gt;"",Z83&lt;L83),"WA-Termin vor Kündigung. ","")&amp;IF(COUNTIFS($B$5:$B$404,$B83,$AY$5:$AY$404,"")&gt;1,"Zweiter offener Fall zum selben Objekt. ","")&amp;IF(AND($A83&lt;&gt;"",COUNTIFS($A$5:$A$404,$A83)&gt;1),"Fall-Nr. doppelt vergeben. ","")&amp;IF(E83="","ex-Mieter fehlt. ","")&amp;IF(M83="","Haftungsdatum fehlt. ","")&amp;IF(F83="","Bewirtschafter fehlt. ","")&amp;IF(AND(AY83&lt;&gt;"",AW83=""),"Abgeschlossen trotz offener Schlussabrechnung. ","")&amp;IF(AND(AY83="",S83="",ISNUMBER(J83),J83&gt;60),"Langläufer über 60 Tage. ","")))</f>
        <v/>
      </c>
      <c r="L83" s="18" t="n"/>
      <c r="M83" s="18" t="n"/>
      <c r="N83" s="19">
        <f>IF(M83="","",M83+1)</f>
        <v/>
      </c>
      <c r="O83" s="17">
        <f>IF(OR(L83="",M83=""),"",M83-L83)</f>
        <v/>
      </c>
      <c r="P83" s="16">
        <f>IF(M83="","",YEAR(M83+1)&amp;"-"&amp;TEXT(MONTH(M83+1),"00"))</f>
        <v/>
      </c>
      <c r="Q83" s="18" t="n"/>
      <c r="R83" s="15" t="n"/>
      <c r="S83" s="18" t="n"/>
      <c r="T83" s="16">
        <f>IF(U83="","",IF(LEFT(U83,1)="6","abgeschlossen",IF(OR(LEFT(U83,1)="1",LEFT(U83,1)="2"),"Kündigung &amp; Abnahme",IF(OR(LEFT(U83,1)="3",LEFT(U83,1)="4"),"Wiedervermietung","Schlussabrechnung"))))</f>
        <v/>
      </c>
      <c r="U83" s="16">
        <f>IF($B83="","",IF(AY83&lt;&gt;"","6 · abgeschlossen",IF(AW83&lt;&gt;"","5 · bereit zum Abschluss",IF(AT83&lt;&gt;"","5 · Schlussabrechnung",IF(AO83&lt;&gt;"","4 · Übergabe",IF(AM83&lt;&gt;"","3 · Neuvermietung",IF(M83&lt;&gt;"","2 · Abnahme &amp; Vermarktung","1 · Erfassung")))))))</f>
        <v/>
      </c>
      <c r="V83" s="15" t="n"/>
      <c r="W83" s="20" t="n"/>
      <c r="X83" s="15" t="n"/>
      <c r="Y83" s="15" t="n"/>
      <c r="Z83" s="18" t="n"/>
      <c r="AA83" s="19">
        <f>IF(M83="","",M83-30)</f>
        <v/>
      </c>
      <c r="AB83" s="19">
        <f>IF(ISNUMBER(AJ83),AJ83+3,"")</f>
        <v/>
      </c>
      <c r="AC83" s="18" t="n"/>
      <c r="AD83" s="18" t="n"/>
      <c r="AE83" s="18" t="n"/>
      <c r="AF83" s="18" t="n"/>
      <c r="AG83" s="18" t="n"/>
      <c r="AH83" s="18" t="n"/>
      <c r="AI83" s="18" t="n"/>
      <c r="AJ83" s="18" t="n"/>
      <c r="AK83" s="18" t="n"/>
      <c r="AL83" s="18" t="n"/>
      <c r="AM83" s="18" t="n"/>
      <c r="AN83" s="18" t="n"/>
      <c r="AO83" s="18" t="n"/>
      <c r="AP83" s="18" t="n"/>
      <c r="AQ83" s="18" t="n"/>
      <c r="AR83" s="18" t="n"/>
      <c r="AS83" s="18" t="n"/>
      <c r="AT83" s="18" t="n"/>
      <c r="AU83" s="18" t="n"/>
      <c r="AV83" s="18" t="n"/>
      <c r="AW83" s="18" t="n"/>
      <c r="AX83" s="18" t="n"/>
      <c r="AY83" s="18" t="n"/>
      <c r="AZ83" s="15" t="n"/>
    </row>
    <row r="84">
      <c r="A84" s="15" t="n"/>
      <c r="B84" s="15" t="n"/>
      <c r="C84" s="15" t="n"/>
      <c r="D84" s="15" t="n"/>
      <c r="E84" s="15" t="n"/>
      <c r="F84" s="15" t="n"/>
      <c r="G84" s="16">
        <f>IF(F84="","",IFERROR(INDEX(Stammdaten!$B$5:$B$24,MATCH(F84,Stammdaten!$A$5:$A$24,0)),"unbekannt"))</f>
        <v/>
      </c>
      <c r="H84" s="16">
        <f>IF($B84="","",IF(AY84&lt;&gt;"","abgeschlossen",IF(AND(ISNUMBER(AX84),AX84&gt;=TODAY()),"zurückgestellt",IF(OR(AND(ISNUMBER(AA84),AA84&lt;TODAY(),Z84="",AJ84=""),AND(ISNUMBER(Z84),Z84&lt;TODAY(),AJ84=""),AND(ISNUMBER(AB84),AB84&lt;TODAY(),AK84=""),AND(ISNUMBER(AC84),AC84&lt;TODAY(),AO84=""),AND(ISNUMBER(AD84),AD84&lt;TODAY(),AQ84="")),"überfällig","offen"))))</f>
        <v/>
      </c>
      <c r="I84" s="16">
        <f>IF($B84="","",IF(AY84&lt;&gt;"","—",IF(AND(ISNUMBER(AA84),AA84&lt;TODAY(),Z84="",AJ84=""),"Abnahmetermin vereinbaren – Sollfrist verstrichen",IF(AND(ISNUMBER(Z84),Z84&lt;TODAY(),AJ84=""),"Wohnungsabnahme nachtragen – Termin war fällig",IF(AND(ISNUMBER(AB84),AB84&lt;TODAY(),AK84=""),"Handwerker aufbieten – Frist verstrichen",IF(AND(ISNUMBER(AC84),AC84&lt;TODAY(),AO84=""),"Vertrag retour mahnen – Frist verstrichen",IF(AND(ISNUMBER(AD84),AD84&lt;TODAY(),AQ84=""),"Schlüsselübergabe nachtragen – Termin war fällig",IF(M84="","Haftungsdatum erfassen",IF(E84="","ex-Mieter erfassen",IF(AE84="","Kündigung bestätigen / G-Rem",IF(AF84="","Werke / EGT melden",IF(AG84="","Vorbesichtigung (oder n.e.)",IF(AH84="","VMZ aktualisieren",IF(AI84="","Inserat aufschalten",IF(AND(Z84="",AJ84=""),"Abnahmetermin vereinbaren",IF(AJ84="","Wohnungsabnahme durchführen",IF(AK84="","Handwerker aufbieten",IF(AL84="","Zustimmungserklärung einholen",IF(AM84="","Instandstellungen beauftragen",IF(R84="","Nachmieter erfassen",IF(AN84="","Vertrag versenden",IF(AO84="","Vertrag retour erfassen",IF(S84="","Vermietet per erfassen",IF(AP84="","Werke / EGT über Einzug informieren",IF(AND(AD84="",AQ84=""),"Schlüsselübergabe terminieren",IF(AQ84="","Schlüsselübergabe durchführen",IF(AR84="","Reinigung veranlassen",IF(AS84="","Namensschilder bestellen",IF(AT84="","Kaution prüfen / G-Rem mutieren",IF(AU84="","Instandstellungs-Rechnung erfassen",IF(AV84="","Schlussabrechnung erstellen",IF(AW84="","Zahlungseingang kontrollieren","Fall abschliessen"))))))))))))))))))))))))))))))))</f>
        <v/>
      </c>
      <c r="J84" s="17">
        <f>IF(M84="","",IF(S84&lt;&gt;"",MAX(0,S84-M84-1),MAX(0,TODAY()-M84)))</f>
        <v/>
      </c>
      <c r="K84" s="16">
        <f>IF($B84="","",TRIM(IF(AND(L84&lt;&gt;"",M84&lt;&gt;"",M84&lt;L84),"Haftungsdatum vor Kündigung. ","")&amp;IF(AND(S84&lt;&gt;"",M84&lt;&gt;"",S84&lt;M84),"Vermietung vor Leerstandsbeginn. ","")&amp;IF(AND(Z84&lt;&gt;"",L84&lt;&gt;"",Z84&lt;L84),"WA-Termin vor Kündigung. ","")&amp;IF(COUNTIFS($B$5:$B$404,$B84,$AY$5:$AY$404,"")&gt;1,"Zweiter offener Fall zum selben Objekt. ","")&amp;IF(AND($A84&lt;&gt;"",COUNTIFS($A$5:$A$404,$A84)&gt;1),"Fall-Nr. doppelt vergeben. ","")&amp;IF(E84="","ex-Mieter fehlt. ","")&amp;IF(M84="","Haftungsdatum fehlt. ","")&amp;IF(F84="","Bewirtschafter fehlt. ","")&amp;IF(AND(AY84&lt;&gt;"",AW84=""),"Abgeschlossen trotz offener Schlussabrechnung. ","")&amp;IF(AND(AY84="",S84="",ISNUMBER(J84),J84&gt;60),"Langläufer über 60 Tage. ","")))</f>
        <v/>
      </c>
      <c r="L84" s="18" t="n"/>
      <c r="M84" s="18" t="n"/>
      <c r="N84" s="19">
        <f>IF(M84="","",M84+1)</f>
        <v/>
      </c>
      <c r="O84" s="17">
        <f>IF(OR(L84="",M84=""),"",M84-L84)</f>
        <v/>
      </c>
      <c r="P84" s="16">
        <f>IF(M84="","",YEAR(M84+1)&amp;"-"&amp;TEXT(MONTH(M84+1),"00"))</f>
        <v/>
      </c>
      <c r="Q84" s="18" t="n"/>
      <c r="R84" s="15" t="n"/>
      <c r="S84" s="18" t="n"/>
      <c r="T84" s="16">
        <f>IF(U84="","",IF(LEFT(U84,1)="6","abgeschlossen",IF(OR(LEFT(U84,1)="1",LEFT(U84,1)="2"),"Kündigung &amp; Abnahme",IF(OR(LEFT(U84,1)="3",LEFT(U84,1)="4"),"Wiedervermietung","Schlussabrechnung"))))</f>
        <v/>
      </c>
      <c r="U84" s="16">
        <f>IF($B84="","",IF(AY84&lt;&gt;"","6 · abgeschlossen",IF(AW84&lt;&gt;"","5 · bereit zum Abschluss",IF(AT84&lt;&gt;"","5 · Schlussabrechnung",IF(AO84&lt;&gt;"","4 · Übergabe",IF(AM84&lt;&gt;"","3 · Neuvermietung",IF(M84&lt;&gt;"","2 · Abnahme &amp; Vermarktung","1 · Erfassung")))))))</f>
        <v/>
      </c>
      <c r="V84" s="15" t="n"/>
      <c r="W84" s="20" t="n"/>
      <c r="X84" s="15" t="n"/>
      <c r="Y84" s="15" t="n"/>
      <c r="Z84" s="18" t="n"/>
      <c r="AA84" s="19">
        <f>IF(M84="","",M84-30)</f>
        <v/>
      </c>
      <c r="AB84" s="19">
        <f>IF(ISNUMBER(AJ84),AJ84+3,"")</f>
        <v/>
      </c>
      <c r="AC84" s="18" t="n"/>
      <c r="AD84" s="18" t="n"/>
      <c r="AE84" s="18" t="n"/>
      <c r="AF84" s="18" t="n"/>
      <c r="AG84" s="18" t="n"/>
      <c r="AH84" s="18" t="n"/>
      <c r="AI84" s="18" t="n"/>
      <c r="AJ84" s="18" t="n"/>
      <c r="AK84" s="18" t="n"/>
      <c r="AL84" s="18" t="n"/>
      <c r="AM84" s="18" t="n"/>
      <c r="AN84" s="18" t="n"/>
      <c r="AO84" s="18" t="n"/>
      <c r="AP84" s="18" t="n"/>
      <c r="AQ84" s="18" t="n"/>
      <c r="AR84" s="18" t="n"/>
      <c r="AS84" s="18" t="n"/>
      <c r="AT84" s="18" t="n"/>
      <c r="AU84" s="18" t="n"/>
      <c r="AV84" s="18" t="n"/>
      <c r="AW84" s="18" t="n"/>
      <c r="AX84" s="18" t="n"/>
      <c r="AY84" s="18" t="n"/>
      <c r="AZ84" s="15" t="n"/>
    </row>
    <row r="85">
      <c r="A85" s="15" t="n"/>
      <c r="B85" s="15" t="n"/>
      <c r="C85" s="15" t="n"/>
      <c r="D85" s="15" t="n"/>
      <c r="E85" s="15" t="n"/>
      <c r="F85" s="15" t="n"/>
      <c r="G85" s="16">
        <f>IF(F85="","",IFERROR(INDEX(Stammdaten!$B$5:$B$24,MATCH(F85,Stammdaten!$A$5:$A$24,0)),"unbekannt"))</f>
        <v/>
      </c>
      <c r="H85" s="16">
        <f>IF($B85="","",IF(AY85&lt;&gt;"","abgeschlossen",IF(AND(ISNUMBER(AX85),AX85&gt;=TODAY()),"zurückgestellt",IF(OR(AND(ISNUMBER(AA85),AA85&lt;TODAY(),Z85="",AJ85=""),AND(ISNUMBER(Z85),Z85&lt;TODAY(),AJ85=""),AND(ISNUMBER(AB85),AB85&lt;TODAY(),AK85=""),AND(ISNUMBER(AC85),AC85&lt;TODAY(),AO85=""),AND(ISNUMBER(AD85),AD85&lt;TODAY(),AQ85="")),"überfällig","offen"))))</f>
        <v/>
      </c>
      <c r="I85" s="16">
        <f>IF($B85="","",IF(AY85&lt;&gt;"","—",IF(AND(ISNUMBER(AA85),AA85&lt;TODAY(),Z85="",AJ85=""),"Abnahmetermin vereinbaren – Sollfrist verstrichen",IF(AND(ISNUMBER(Z85),Z85&lt;TODAY(),AJ85=""),"Wohnungsabnahme nachtragen – Termin war fällig",IF(AND(ISNUMBER(AB85),AB85&lt;TODAY(),AK85=""),"Handwerker aufbieten – Frist verstrichen",IF(AND(ISNUMBER(AC85),AC85&lt;TODAY(),AO85=""),"Vertrag retour mahnen – Frist verstrichen",IF(AND(ISNUMBER(AD85),AD85&lt;TODAY(),AQ85=""),"Schlüsselübergabe nachtragen – Termin war fällig",IF(M85="","Haftungsdatum erfassen",IF(E85="","ex-Mieter erfassen",IF(AE85="","Kündigung bestätigen / G-Rem",IF(AF85="","Werke / EGT melden",IF(AG85="","Vorbesichtigung (oder n.e.)",IF(AH85="","VMZ aktualisieren",IF(AI85="","Inserat aufschalten",IF(AND(Z85="",AJ85=""),"Abnahmetermin vereinbaren",IF(AJ85="","Wohnungsabnahme durchführen",IF(AK85="","Handwerker aufbieten",IF(AL85="","Zustimmungserklärung einholen",IF(AM85="","Instandstellungen beauftragen",IF(R85="","Nachmieter erfassen",IF(AN85="","Vertrag versenden",IF(AO85="","Vertrag retour erfassen",IF(S85="","Vermietet per erfassen",IF(AP85="","Werke / EGT über Einzug informieren",IF(AND(AD85="",AQ85=""),"Schlüsselübergabe terminieren",IF(AQ85="","Schlüsselübergabe durchführen",IF(AR85="","Reinigung veranlassen",IF(AS85="","Namensschilder bestellen",IF(AT85="","Kaution prüfen / G-Rem mutieren",IF(AU85="","Instandstellungs-Rechnung erfassen",IF(AV85="","Schlussabrechnung erstellen",IF(AW85="","Zahlungseingang kontrollieren","Fall abschliessen"))))))))))))))))))))))))))))))))</f>
        <v/>
      </c>
      <c r="J85" s="17">
        <f>IF(M85="","",IF(S85&lt;&gt;"",MAX(0,S85-M85-1),MAX(0,TODAY()-M85)))</f>
        <v/>
      </c>
      <c r="K85" s="16">
        <f>IF($B85="","",TRIM(IF(AND(L85&lt;&gt;"",M85&lt;&gt;"",M85&lt;L85),"Haftungsdatum vor Kündigung. ","")&amp;IF(AND(S85&lt;&gt;"",M85&lt;&gt;"",S85&lt;M85),"Vermietung vor Leerstandsbeginn. ","")&amp;IF(AND(Z85&lt;&gt;"",L85&lt;&gt;"",Z85&lt;L85),"WA-Termin vor Kündigung. ","")&amp;IF(COUNTIFS($B$5:$B$404,$B85,$AY$5:$AY$404,"")&gt;1,"Zweiter offener Fall zum selben Objekt. ","")&amp;IF(AND($A85&lt;&gt;"",COUNTIFS($A$5:$A$404,$A85)&gt;1),"Fall-Nr. doppelt vergeben. ","")&amp;IF(E85="","ex-Mieter fehlt. ","")&amp;IF(M85="","Haftungsdatum fehlt. ","")&amp;IF(F85="","Bewirtschafter fehlt. ","")&amp;IF(AND(AY85&lt;&gt;"",AW85=""),"Abgeschlossen trotz offener Schlussabrechnung. ","")&amp;IF(AND(AY85="",S85="",ISNUMBER(J85),J85&gt;60),"Langläufer über 60 Tage. ","")))</f>
        <v/>
      </c>
      <c r="L85" s="18" t="n"/>
      <c r="M85" s="18" t="n"/>
      <c r="N85" s="19">
        <f>IF(M85="","",M85+1)</f>
        <v/>
      </c>
      <c r="O85" s="17">
        <f>IF(OR(L85="",M85=""),"",M85-L85)</f>
        <v/>
      </c>
      <c r="P85" s="16">
        <f>IF(M85="","",YEAR(M85+1)&amp;"-"&amp;TEXT(MONTH(M85+1),"00"))</f>
        <v/>
      </c>
      <c r="Q85" s="18" t="n"/>
      <c r="R85" s="15" t="n"/>
      <c r="S85" s="18" t="n"/>
      <c r="T85" s="16">
        <f>IF(U85="","",IF(LEFT(U85,1)="6","abgeschlossen",IF(OR(LEFT(U85,1)="1",LEFT(U85,1)="2"),"Kündigung &amp; Abnahme",IF(OR(LEFT(U85,1)="3",LEFT(U85,1)="4"),"Wiedervermietung","Schlussabrechnung"))))</f>
        <v/>
      </c>
      <c r="U85" s="16">
        <f>IF($B85="","",IF(AY85&lt;&gt;"","6 · abgeschlossen",IF(AW85&lt;&gt;"","5 · bereit zum Abschluss",IF(AT85&lt;&gt;"","5 · Schlussabrechnung",IF(AO85&lt;&gt;"","4 · Übergabe",IF(AM85&lt;&gt;"","3 · Neuvermietung",IF(M85&lt;&gt;"","2 · Abnahme &amp; Vermarktung","1 · Erfassung")))))))</f>
        <v/>
      </c>
      <c r="V85" s="15" t="n"/>
      <c r="W85" s="20" t="n"/>
      <c r="X85" s="15" t="n"/>
      <c r="Y85" s="15" t="n"/>
      <c r="Z85" s="18" t="n"/>
      <c r="AA85" s="19">
        <f>IF(M85="","",M85-30)</f>
        <v/>
      </c>
      <c r="AB85" s="19">
        <f>IF(ISNUMBER(AJ85),AJ85+3,"")</f>
        <v/>
      </c>
      <c r="AC85" s="18" t="n"/>
      <c r="AD85" s="18" t="n"/>
      <c r="AE85" s="18" t="n"/>
      <c r="AF85" s="18" t="n"/>
      <c r="AG85" s="18" t="n"/>
      <c r="AH85" s="18" t="n"/>
      <c r="AI85" s="18" t="n"/>
      <c r="AJ85" s="18" t="n"/>
      <c r="AK85" s="18" t="n"/>
      <c r="AL85" s="18" t="n"/>
      <c r="AM85" s="18" t="n"/>
      <c r="AN85" s="18" t="n"/>
      <c r="AO85" s="18" t="n"/>
      <c r="AP85" s="18" t="n"/>
      <c r="AQ85" s="18" t="n"/>
      <c r="AR85" s="18" t="n"/>
      <c r="AS85" s="18" t="n"/>
      <c r="AT85" s="18" t="n"/>
      <c r="AU85" s="18" t="n"/>
      <c r="AV85" s="18" t="n"/>
      <c r="AW85" s="18" t="n"/>
      <c r="AX85" s="18" t="n"/>
      <c r="AY85" s="18" t="n"/>
      <c r="AZ85" s="15" t="n"/>
    </row>
    <row r="86">
      <c r="A86" s="15" t="n"/>
      <c r="B86" s="15" t="n"/>
      <c r="C86" s="15" t="n"/>
      <c r="D86" s="15" t="n"/>
      <c r="E86" s="15" t="n"/>
      <c r="F86" s="15" t="n"/>
      <c r="G86" s="16">
        <f>IF(F86="","",IFERROR(INDEX(Stammdaten!$B$5:$B$24,MATCH(F86,Stammdaten!$A$5:$A$24,0)),"unbekannt"))</f>
        <v/>
      </c>
      <c r="H86" s="16">
        <f>IF($B86="","",IF(AY86&lt;&gt;"","abgeschlossen",IF(AND(ISNUMBER(AX86),AX86&gt;=TODAY()),"zurückgestellt",IF(OR(AND(ISNUMBER(AA86),AA86&lt;TODAY(),Z86="",AJ86=""),AND(ISNUMBER(Z86),Z86&lt;TODAY(),AJ86=""),AND(ISNUMBER(AB86),AB86&lt;TODAY(),AK86=""),AND(ISNUMBER(AC86),AC86&lt;TODAY(),AO86=""),AND(ISNUMBER(AD86),AD86&lt;TODAY(),AQ86="")),"überfällig","offen"))))</f>
        <v/>
      </c>
      <c r="I86" s="16">
        <f>IF($B86="","",IF(AY86&lt;&gt;"","—",IF(AND(ISNUMBER(AA86),AA86&lt;TODAY(),Z86="",AJ86=""),"Abnahmetermin vereinbaren – Sollfrist verstrichen",IF(AND(ISNUMBER(Z86),Z86&lt;TODAY(),AJ86=""),"Wohnungsabnahme nachtragen – Termin war fällig",IF(AND(ISNUMBER(AB86),AB86&lt;TODAY(),AK86=""),"Handwerker aufbieten – Frist verstrichen",IF(AND(ISNUMBER(AC86),AC86&lt;TODAY(),AO86=""),"Vertrag retour mahnen – Frist verstrichen",IF(AND(ISNUMBER(AD86),AD86&lt;TODAY(),AQ86=""),"Schlüsselübergabe nachtragen – Termin war fällig",IF(M86="","Haftungsdatum erfassen",IF(E86="","ex-Mieter erfassen",IF(AE86="","Kündigung bestätigen / G-Rem",IF(AF86="","Werke / EGT melden",IF(AG86="","Vorbesichtigung (oder n.e.)",IF(AH86="","VMZ aktualisieren",IF(AI86="","Inserat aufschalten",IF(AND(Z86="",AJ86=""),"Abnahmetermin vereinbaren",IF(AJ86="","Wohnungsabnahme durchführen",IF(AK86="","Handwerker aufbieten",IF(AL86="","Zustimmungserklärung einholen",IF(AM86="","Instandstellungen beauftragen",IF(R86="","Nachmieter erfassen",IF(AN86="","Vertrag versenden",IF(AO86="","Vertrag retour erfassen",IF(S86="","Vermietet per erfassen",IF(AP86="","Werke / EGT über Einzug informieren",IF(AND(AD86="",AQ86=""),"Schlüsselübergabe terminieren",IF(AQ86="","Schlüsselübergabe durchführen",IF(AR86="","Reinigung veranlassen",IF(AS86="","Namensschilder bestellen",IF(AT86="","Kaution prüfen / G-Rem mutieren",IF(AU86="","Instandstellungs-Rechnung erfassen",IF(AV86="","Schlussabrechnung erstellen",IF(AW86="","Zahlungseingang kontrollieren","Fall abschliessen"))))))))))))))))))))))))))))))))</f>
        <v/>
      </c>
      <c r="J86" s="17">
        <f>IF(M86="","",IF(S86&lt;&gt;"",MAX(0,S86-M86-1),MAX(0,TODAY()-M86)))</f>
        <v/>
      </c>
      <c r="K86" s="16">
        <f>IF($B86="","",TRIM(IF(AND(L86&lt;&gt;"",M86&lt;&gt;"",M86&lt;L86),"Haftungsdatum vor Kündigung. ","")&amp;IF(AND(S86&lt;&gt;"",M86&lt;&gt;"",S86&lt;M86),"Vermietung vor Leerstandsbeginn. ","")&amp;IF(AND(Z86&lt;&gt;"",L86&lt;&gt;"",Z86&lt;L86),"WA-Termin vor Kündigung. ","")&amp;IF(COUNTIFS($B$5:$B$404,$B86,$AY$5:$AY$404,"")&gt;1,"Zweiter offener Fall zum selben Objekt. ","")&amp;IF(AND($A86&lt;&gt;"",COUNTIFS($A$5:$A$404,$A86)&gt;1),"Fall-Nr. doppelt vergeben. ","")&amp;IF(E86="","ex-Mieter fehlt. ","")&amp;IF(M86="","Haftungsdatum fehlt. ","")&amp;IF(F86="","Bewirtschafter fehlt. ","")&amp;IF(AND(AY86&lt;&gt;"",AW86=""),"Abgeschlossen trotz offener Schlussabrechnung. ","")&amp;IF(AND(AY86="",S86="",ISNUMBER(J86),J86&gt;60),"Langläufer über 60 Tage. ","")))</f>
        <v/>
      </c>
      <c r="L86" s="18" t="n"/>
      <c r="M86" s="18" t="n"/>
      <c r="N86" s="19">
        <f>IF(M86="","",M86+1)</f>
        <v/>
      </c>
      <c r="O86" s="17">
        <f>IF(OR(L86="",M86=""),"",M86-L86)</f>
        <v/>
      </c>
      <c r="P86" s="16">
        <f>IF(M86="","",YEAR(M86+1)&amp;"-"&amp;TEXT(MONTH(M86+1),"00"))</f>
        <v/>
      </c>
      <c r="Q86" s="18" t="n"/>
      <c r="R86" s="15" t="n"/>
      <c r="S86" s="18" t="n"/>
      <c r="T86" s="16">
        <f>IF(U86="","",IF(LEFT(U86,1)="6","abgeschlossen",IF(OR(LEFT(U86,1)="1",LEFT(U86,1)="2"),"Kündigung &amp; Abnahme",IF(OR(LEFT(U86,1)="3",LEFT(U86,1)="4"),"Wiedervermietung","Schlussabrechnung"))))</f>
        <v/>
      </c>
      <c r="U86" s="16">
        <f>IF($B86="","",IF(AY86&lt;&gt;"","6 · abgeschlossen",IF(AW86&lt;&gt;"","5 · bereit zum Abschluss",IF(AT86&lt;&gt;"","5 · Schlussabrechnung",IF(AO86&lt;&gt;"","4 · Übergabe",IF(AM86&lt;&gt;"","3 · Neuvermietung",IF(M86&lt;&gt;"","2 · Abnahme &amp; Vermarktung","1 · Erfassung")))))))</f>
        <v/>
      </c>
      <c r="V86" s="15" t="n"/>
      <c r="W86" s="20" t="n"/>
      <c r="X86" s="15" t="n"/>
      <c r="Y86" s="15" t="n"/>
      <c r="Z86" s="18" t="n"/>
      <c r="AA86" s="19">
        <f>IF(M86="","",M86-30)</f>
        <v/>
      </c>
      <c r="AB86" s="19">
        <f>IF(ISNUMBER(AJ86),AJ86+3,"")</f>
        <v/>
      </c>
      <c r="AC86" s="18" t="n"/>
      <c r="AD86" s="18" t="n"/>
      <c r="AE86" s="18" t="n"/>
      <c r="AF86" s="18" t="n"/>
      <c r="AG86" s="18" t="n"/>
      <c r="AH86" s="18" t="n"/>
      <c r="AI86" s="18" t="n"/>
      <c r="AJ86" s="18" t="n"/>
      <c r="AK86" s="18" t="n"/>
      <c r="AL86" s="18" t="n"/>
      <c r="AM86" s="18" t="n"/>
      <c r="AN86" s="18" t="n"/>
      <c r="AO86" s="18" t="n"/>
      <c r="AP86" s="18" t="n"/>
      <c r="AQ86" s="18" t="n"/>
      <c r="AR86" s="18" t="n"/>
      <c r="AS86" s="18" t="n"/>
      <c r="AT86" s="18" t="n"/>
      <c r="AU86" s="18" t="n"/>
      <c r="AV86" s="18" t="n"/>
      <c r="AW86" s="18" t="n"/>
      <c r="AX86" s="18" t="n"/>
      <c r="AY86" s="18" t="n"/>
      <c r="AZ86" s="15" t="n"/>
    </row>
    <row r="87">
      <c r="A87" s="15" t="n"/>
      <c r="B87" s="15" t="n"/>
      <c r="C87" s="15" t="n"/>
      <c r="D87" s="15" t="n"/>
      <c r="E87" s="15" t="n"/>
      <c r="F87" s="15" t="n"/>
      <c r="G87" s="16">
        <f>IF(F87="","",IFERROR(INDEX(Stammdaten!$B$5:$B$24,MATCH(F87,Stammdaten!$A$5:$A$24,0)),"unbekannt"))</f>
        <v/>
      </c>
      <c r="H87" s="16">
        <f>IF($B87="","",IF(AY87&lt;&gt;"","abgeschlossen",IF(AND(ISNUMBER(AX87),AX87&gt;=TODAY()),"zurückgestellt",IF(OR(AND(ISNUMBER(AA87),AA87&lt;TODAY(),Z87="",AJ87=""),AND(ISNUMBER(Z87),Z87&lt;TODAY(),AJ87=""),AND(ISNUMBER(AB87),AB87&lt;TODAY(),AK87=""),AND(ISNUMBER(AC87),AC87&lt;TODAY(),AO87=""),AND(ISNUMBER(AD87),AD87&lt;TODAY(),AQ87="")),"überfällig","offen"))))</f>
        <v/>
      </c>
      <c r="I87" s="16">
        <f>IF($B87="","",IF(AY87&lt;&gt;"","—",IF(AND(ISNUMBER(AA87),AA87&lt;TODAY(),Z87="",AJ87=""),"Abnahmetermin vereinbaren – Sollfrist verstrichen",IF(AND(ISNUMBER(Z87),Z87&lt;TODAY(),AJ87=""),"Wohnungsabnahme nachtragen – Termin war fällig",IF(AND(ISNUMBER(AB87),AB87&lt;TODAY(),AK87=""),"Handwerker aufbieten – Frist verstrichen",IF(AND(ISNUMBER(AC87),AC87&lt;TODAY(),AO87=""),"Vertrag retour mahnen – Frist verstrichen",IF(AND(ISNUMBER(AD87),AD87&lt;TODAY(),AQ87=""),"Schlüsselübergabe nachtragen – Termin war fällig",IF(M87="","Haftungsdatum erfassen",IF(E87="","ex-Mieter erfassen",IF(AE87="","Kündigung bestätigen / G-Rem",IF(AF87="","Werke / EGT melden",IF(AG87="","Vorbesichtigung (oder n.e.)",IF(AH87="","VMZ aktualisieren",IF(AI87="","Inserat aufschalten",IF(AND(Z87="",AJ87=""),"Abnahmetermin vereinbaren",IF(AJ87="","Wohnungsabnahme durchführen",IF(AK87="","Handwerker aufbieten",IF(AL87="","Zustimmungserklärung einholen",IF(AM87="","Instandstellungen beauftragen",IF(R87="","Nachmieter erfassen",IF(AN87="","Vertrag versenden",IF(AO87="","Vertrag retour erfassen",IF(S87="","Vermietet per erfassen",IF(AP87="","Werke / EGT über Einzug informieren",IF(AND(AD87="",AQ87=""),"Schlüsselübergabe terminieren",IF(AQ87="","Schlüsselübergabe durchführen",IF(AR87="","Reinigung veranlassen",IF(AS87="","Namensschilder bestellen",IF(AT87="","Kaution prüfen / G-Rem mutieren",IF(AU87="","Instandstellungs-Rechnung erfassen",IF(AV87="","Schlussabrechnung erstellen",IF(AW87="","Zahlungseingang kontrollieren","Fall abschliessen"))))))))))))))))))))))))))))))))</f>
        <v/>
      </c>
      <c r="J87" s="17">
        <f>IF(M87="","",IF(S87&lt;&gt;"",MAX(0,S87-M87-1),MAX(0,TODAY()-M87)))</f>
        <v/>
      </c>
      <c r="K87" s="16">
        <f>IF($B87="","",TRIM(IF(AND(L87&lt;&gt;"",M87&lt;&gt;"",M87&lt;L87),"Haftungsdatum vor Kündigung. ","")&amp;IF(AND(S87&lt;&gt;"",M87&lt;&gt;"",S87&lt;M87),"Vermietung vor Leerstandsbeginn. ","")&amp;IF(AND(Z87&lt;&gt;"",L87&lt;&gt;"",Z87&lt;L87),"WA-Termin vor Kündigung. ","")&amp;IF(COUNTIFS($B$5:$B$404,$B87,$AY$5:$AY$404,"")&gt;1,"Zweiter offener Fall zum selben Objekt. ","")&amp;IF(AND($A87&lt;&gt;"",COUNTIFS($A$5:$A$404,$A87)&gt;1),"Fall-Nr. doppelt vergeben. ","")&amp;IF(E87="","ex-Mieter fehlt. ","")&amp;IF(M87="","Haftungsdatum fehlt. ","")&amp;IF(F87="","Bewirtschafter fehlt. ","")&amp;IF(AND(AY87&lt;&gt;"",AW87=""),"Abgeschlossen trotz offener Schlussabrechnung. ","")&amp;IF(AND(AY87="",S87="",ISNUMBER(J87),J87&gt;60),"Langläufer über 60 Tage. ","")))</f>
        <v/>
      </c>
      <c r="L87" s="18" t="n"/>
      <c r="M87" s="18" t="n"/>
      <c r="N87" s="19">
        <f>IF(M87="","",M87+1)</f>
        <v/>
      </c>
      <c r="O87" s="17">
        <f>IF(OR(L87="",M87=""),"",M87-L87)</f>
        <v/>
      </c>
      <c r="P87" s="16">
        <f>IF(M87="","",YEAR(M87+1)&amp;"-"&amp;TEXT(MONTH(M87+1),"00"))</f>
        <v/>
      </c>
      <c r="Q87" s="18" t="n"/>
      <c r="R87" s="15" t="n"/>
      <c r="S87" s="18" t="n"/>
      <c r="T87" s="16">
        <f>IF(U87="","",IF(LEFT(U87,1)="6","abgeschlossen",IF(OR(LEFT(U87,1)="1",LEFT(U87,1)="2"),"Kündigung &amp; Abnahme",IF(OR(LEFT(U87,1)="3",LEFT(U87,1)="4"),"Wiedervermietung","Schlussabrechnung"))))</f>
        <v/>
      </c>
      <c r="U87" s="16">
        <f>IF($B87="","",IF(AY87&lt;&gt;"","6 · abgeschlossen",IF(AW87&lt;&gt;"","5 · bereit zum Abschluss",IF(AT87&lt;&gt;"","5 · Schlussabrechnung",IF(AO87&lt;&gt;"","4 · Übergabe",IF(AM87&lt;&gt;"","3 · Neuvermietung",IF(M87&lt;&gt;"","2 · Abnahme &amp; Vermarktung","1 · Erfassung")))))))</f>
        <v/>
      </c>
      <c r="V87" s="15" t="n"/>
      <c r="W87" s="20" t="n"/>
      <c r="X87" s="15" t="n"/>
      <c r="Y87" s="15" t="n"/>
      <c r="Z87" s="18" t="n"/>
      <c r="AA87" s="19">
        <f>IF(M87="","",M87-30)</f>
        <v/>
      </c>
      <c r="AB87" s="19">
        <f>IF(ISNUMBER(AJ87),AJ87+3,"")</f>
        <v/>
      </c>
      <c r="AC87" s="18" t="n"/>
      <c r="AD87" s="18" t="n"/>
      <c r="AE87" s="18" t="n"/>
      <c r="AF87" s="18" t="n"/>
      <c r="AG87" s="18" t="n"/>
      <c r="AH87" s="18" t="n"/>
      <c r="AI87" s="18" t="n"/>
      <c r="AJ87" s="18" t="n"/>
      <c r="AK87" s="18" t="n"/>
      <c r="AL87" s="18" t="n"/>
      <c r="AM87" s="18" t="n"/>
      <c r="AN87" s="18" t="n"/>
      <c r="AO87" s="18" t="n"/>
      <c r="AP87" s="18" t="n"/>
      <c r="AQ87" s="18" t="n"/>
      <c r="AR87" s="18" t="n"/>
      <c r="AS87" s="18" t="n"/>
      <c r="AT87" s="18" t="n"/>
      <c r="AU87" s="18" t="n"/>
      <c r="AV87" s="18" t="n"/>
      <c r="AW87" s="18" t="n"/>
      <c r="AX87" s="18" t="n"/>
      <c r="AY87" s="18" t="n"/>
      <c r="AZ87" s="15" t="n"/>
    </row>
    <row r="88">
      <c r="A88" s="15" t="n"/>
      <c r="B88" s="15" t="n"/>
      <c r="C88" s="15" t="n"/>
      <c r="D88" s="15" t="n"/>
      <c r="E88" s="15" t="n"/>
      <c r="F88" s="15" t="n"/>
      <c r="G88" s="16">
        <f>IF(F88="","",IFERROR(INDEX(Stammdaten!$B$5:$B$24,MATCH(F88,Stammdaten!$A$5:$A$24,0)),"unbekannt"))</f>
        <v/>
      </c>
      <c r="H88" s="16">
        <f>IF($B88="","",IF(AY88&lt;&gt;"","abgeschlossen",IF(AND(ISNUMBER(AX88),AX88&gt;=TODAY()),"zurückgestellt",IF(OR(AND(ISNUMBER(AA88),AA88&lt;TODAY(),Z88="",AJ88=""),AND(ISNUMBER(Z88),Z88&lt;TODAY(),AJ88=""),AND(ISNUMBER(AB88),AB88&lt;TODAY(),AK88=""),AND(ISNUMBER(AC88),AC88&lt;TODAY(),AO88=""),AND(ISNUMBER(AD88),AD88&lt;TODAY(),AQ88="")),"überfällig","offen"))))</f>
        <v/>
      </c>
      <c r="I88" s="16">
        <f>IF($B88="","",IF(AY88&lt;&gt;"","—",IF(AND(ISNUMBER(AA88),AA88&lt;TODAY(),Z88="",AJ88=""),"Abnahmetermin vereinbaren – Sollfrist verstrichen",IF(AND(ISNUMBER(Z88),Z88&lt;TODAY(),AJ88=""),"Wohnungsabnahme nachtragen – Termin war fällig",IF(AND(ISNUMBER(AB88),AB88&lt;TODAY(),AK88=""),"Handwerker aufbieten – Frist verstrichen",IF(AND(ISNUMBER(AC88),AC88&lt;TODAY(),AO88=""),"Vertrag retour mahnen – Frist verstrichen",IF(AND(ISNUMBER(AD88),AD88&lt;TODAY(),AQ88=""),"Schlüsselübergabe nachtragen – Termin war fällig",IF(M88="","Haftungsdatum erfassen",IF(E88="","ex-Mieter erfassen",IF(AE88="","Kündigung bestätigen / G-Rem",IF(AF88="","Werke / EGT melden",IF(AG88="","Vorbesichtigung (oder n.e.)",IF(AH88="","VMZ aktualisieren",IF(AI88="","Inserat aufschalten",IF(AND(Z88="",AJ88=""),"Abnahmetermin vereinbaren",IF(AJ88="","Wohnungsabnahme durchführen",IF(AK88="","Handwerker aufbieten",IF(AL88="","Zustimmungserklärung einholen",IF(AM88="","Instandstellungen beauftragen",IF(R88="","Nachmieter erfassen",IF(AN88="","Vertrag versenden",IF(AO88="","Vertrag retour erfassen",IF(S88="","Vermietet per erfassen",IF(AP88="","Werke / EGT über Einzug informieren",IF(AND(AD88="",AQ88=""),"Schlüsselübergabe terminieren",IF(AQ88="","Schlüsselübergabe durchführen",IF(AR88="","Reinigung veranlassen",IF(AS88="","Namensschilder bestellen",IF(AT88="","Kaution prüfen / G-Rem mutieren",IF(AU88="","Instandstellungs-Rechnung erfassen",IF(AV88="","Schlussabrechnung erstellen",IF(AW88="","Zahlungseingang kontrollieren","Fall abschliessen"))))))))))))))))))))))))))))))))</f>
        <v/>
      </c>
      <c r="J88" s="17">
        <f>IF(M88="","",IF(S88&lt;&gt;"",MAX(0,S88-M88-1),MAX(0,TODAY()-M88)))</f>
        <v/>
      </c>
      <c r="K88" s="16">
        <f>IF($B88="","",TRIM(IF(AND(L88&lt;&gt;"",M88&lt;&gt;"",M88&lt;L88),"Haftungsdatum vor Kündigung. ","")&amp;IF(AND(S88&lt;&gt;"",M88&lt;&gt;"",S88&lt;M88),"Vermietung vor Leerstandsbeginn. ","")&amp;IF(AND(Z88&lt;&gt;"",L88&lt;&gt;"",Z88&lt;L88),"WA-Termin vor Kündigung. ","")&amp;IF(COUNTIFS($B$5:$B$404,$B88,$AY$5:$AY$404,"")&gt;1,"Zweiter offener Fall zum selben Objekt. ","")&amp;IF(AND($A88&lt;&gt;"",COUNTIFS($A$5:$A$404,$A88)&gt;1),"Fall-Nr. doppelt vergeben. ","")&amp;IF(E88="","ex-Mieter fehlt. ","")&amp;IF(M88="","Haftungsdatum fehlt. ","")&amp;IF(F88="","Bewirtschafter fehlt. ","")&amp;IF(AND(AY88&lt;&gt;"",AW88=""),"Abgeschlossen trotz offener Schlussabrechnung. ","")&amp;IF(AND(AY88="",S88="",ISNUMBER(J88),J88&gt;60),"Langläufer über 60 Tage. ","")))</f>
        <v/>
      </c>
      <c r="L88" s="18" t="n"/>
      <c r="M88" s="18" t="n"/>
      <c r="N88" s="19">
        <f>IF(M88="","",M88+1)</f>
        <v/>
      </c>
      <c r="O88" s="17">
        <f>IF(OR(L88="",M88=""),"",M88-L88)</f>
        <v/>
      </c>
      <c r="P88" s="16">
        <f>IF(M88="","",YEAR(M88+1)&amp;"-"&amp;TEXT(MONTH(M88+1),"00"))</f>
        <v/>
      </c>
      <c r="Q88" s="18" t="n"/>
      <c r="R88" s="15" t="n"/>
      <c r="S88" s="18" t="n"/>
      <c r="T88" s="16">
        <f>IF(U88="","",IF(LEFT(U88,1)="6","abgeschlossen",IF(OR(LEFT(U88,1)="1",LEFT(U88,1)="2"),"Kündigung &amp; Abnahme",IF(OR(LEFT(U88,1)="3",LEFT(U88,1)="4"),"Wiedervermietung","Schlussabrechnung"))))</f>
        <v/>
      </c>
      <c r="U88" s="16">
        <f>IF($B88="","",IF(AY88&lt;&gt;"","6 · abgeschlossen",IF(AW88&lt;&gt;"","5 · bereit zum Abschluss",IF(AT88&lt;&gt;"","5 · Schlussabrechnung",IF(AO88&lt;&gt;"","4 · Übergabe",IF(AM88&lt;&gt;"","3 · Neuvermietung",IF(M88&lt;&gt;"","2 · Abnahme &amp; Vermarktung","1 · Erfassung")))))))</f>
        <v/>
      </c>
      <c r="V88" s="15" t="n"/>
      <c r="W88" s="20" t="n"/>
      <c r="X88" s="15" t="n"/>
      <c r="Y88" s="15" t="n"/>
      <c r="Z88" s="18" t="n"/>
      <c r="AA88" s="19">
        <f>IF(M88="","",M88-30)</f>
        <v/>
      </c>
      <c r="AB88" s="19">
        <f>IF(ISNUMBER(AJ88),AJ88+3,"")</f>
        <v/>
      </c>
      <c r="AC88" s="18" t="n"/>
      <c r="AD88" s="18" t="n"/>
      <c r="AE88" s="18" t="n"/>
      <c r="AF88" s="18" t="n"/>
      <c r="AG88" s="18" t="n"/>
      <c r="AH88" s="18" t="n"/>
      <c r="AI88" s="18" t="n"/>
      <c r="AJ88" s="18" t="n"/>
      <c r="AK88" s="18" t="n"/>
      <c r="AL88" s="18" t="n"/>
      <c r="AM88" s="18" t="n"/>
      <c r="AN88" s="18" t="n"/>
      <c r="AO88" s="18" t="n"/>
      <c r="AP88" s="18" t="n"/>
      <c r="AQ88" s="18" t="n"/>
      <c r="AR88" s="18" t="n"/>
      <c r="AS88" s="18" t="n"/>
      <c r="AT88" s="18" t="n"/>
      <c r="AU88" s="18" t="n"/>
      <c r="AV88" s="18" t="n"/>
      <c r="AW88" s="18" t="n"/>
      <c r="AX88" s="18" t="n"/>
      <c r="AY88" s="18" t="n"/>
      <c r="AZ88" s="15" t="n"/>
    </row>
    <row r="89">
      <c r="A89" s="15" t="n"/>
      <c r="B89" s="15" t="n"/>
      <c r="C89" s="15" t="n"/>
      <c r="D89" s="15" t="n"/>
      <c r="E89" s="15" t="n"/>
      <c r="F89" s="15" t="n"/>
      <c r="G89" s="16">
        <f>IF(F89="","",IFERROR(INDEX(Stammdaten!$B$5:$B$24,MATCH(F89,Stammdaten!$A$5:$A$24,0)),"unbekannt"))</f>
        <v/>
      </c>
      <c r="H89" s="16">
        <f>IF($B89="","",IF(AY89&lt;&gt;"","abgeschlossen",IF(AND(ISNUMBER(AX89),AX89&gt;=TODAY()),"zurückgestellt",IF(OR(AND(ISNUMBER(AA89),AA89&lt;TODAY(),Z89="",AJ89=""),AND(ISNUMBER(Z89),Z89&lt;TODAY(),AJ89=""),AND(ISNUMBER(AB89),AB89&lt;TODAY(),AK89=""),AND(ISNUMBER(AC89),AC89&lt;TODAY(),AO89=""),AND(ISNUMBER(AD89),AD89&lt;TODAY(),AQ89="")),"überfällig","offen"))))</f>
        <v/>
      </c>
      <c r="I89" s="16">
        <f>IF($B89="","",IF(AY89&lt;&gt;"","—",IF(AND(ISNUMBER(AA89),AA89&lt;TODAY(),Z89="",AJ89=""),"Abnahmetermin vereinbaren – Sollfrist verstrichen",IF(AND(ISNUMBER(Z89),Z89&lt;TODAY(),AJ89=""),"Wohnungsabnahme nachtragen – Termin war fällig",IF(AND(ISNUMBER(AB89),AB89&lt;TODAY(),AK89=""),"Handwerker aufbieten – Frist verstrichen",IF(AND(ISNUMBER(AC89),AC89&lt;TODAY(),AO89=""),"Vertrag retour mahnen – Frist verstrichen",IF(AND(ISNUMBER(AD89),AD89&lt;TODAY(),AQ89=""),"Schlüsselübergabe nachtragen – Termin war fällig",IF(M89="","Haftungsdatum erfassen",IF(E89="","ex-Mieter erfassen",IF(AE89="","Kündigung bestätigen / G-Rem",IF(AF89="","Werke / EGT melden",IF(AG89="","Vorbesichtigung (oder n.e.)",IF(AH89="","VMZ aktualisieren",IF(AI89="","Inserat aufschalten",IF(AND(Z89="",AJ89=""),"Abnahmetermin vereinbaren",IF(AJ89="","Wohnungsabnahme durchführen",IF(AK89="","Handwerker aufbieten",IF(AL89="","Zustimmungserklärung einholen",IF(AM89="","Instandstellungen beauftragen",IF(R89="","Nachmieter erfassen",IF(AN89="","Vertrag versenden",IF(AO89="","Vertrag retour erfassen",IF(S89="","Vermietet per erfassen",IF(AP89="","Werke / EGT über Einzug informieren",IF(AND(AD89="",AQ89=""),"Schlüsselübergabe terminieren",IF(AQ89="","Schlüsselübergabe durchführen",IF(AR89="","Reinigung veranlassen",IF(AS89="","Namensschilder bestellen",IF(AT89="","Kaution prüfen / G-Rem mutieren",IF(AU89="","Instandstellungs-Rechnung erfassen",IF(AV89="","Schlussabrechnung erstellen",IF(AW89="","Zahlungseingang kontrollieren","Fall abschliessen"))))))))))))))))))))))))))))))))</f>
        <v/>
      </c>
      <c r="J89" s="17">
        <f>IF(M89="","",IF(S89&lt;&gt;"",MAX(0,S89-M89-1),MAX(0,TODAY()-M89)))</f>
        <v/>
      </c>
      <c r="K89" s="16">
        <f>IF($B89="","",TRIM(IF(AND(L89&lt;&gt;"",M89&lt;&gt;"",M89&lt;L89),"Haftungsdatum vor Kündigung. ","")&amp;IF(AND(S89&lt;&gt;"",M89&lt;&gt;"",S89&lt;M89),"Vermietung vor Leerstandsbeginn. ","")&amp;IF(AND(Z89&lt;&gt;"",L89&lt;&gt;"",Z89&lt;L89),"WA-Termin vor Kündigung. ","")&amp;IF(COUNTIFS($B$5:$B$404,$B89,$AY$5:$AY$404,"")&gt;1,"Zweiter offener Fall zum selben Objekt. ","")&amp;IF(AND($A89&lt;&gt;"",COUNTIFS($A$5:$A$404,$A89)&gt;1),"Fall-Nr. doppelt vergeben. ","")&amp;IF(E89="","ex-Mieter fehlt. ","")&amp;IF(M89="","Haftungsdatum fehlt. ","")&amp;IF(F89="","Bewirtschafter fehlt. ","")&amp;IF(AND(AY89&lt;&gt;"",AW89=""),"Abgeschlossen trotz offener Schlussabrechnung. ","")&amp;IF(AND(AY89="",S89="",ISNUMBER(J89),J89&gt;60),"Langläufer über 60 Tage. ","")))</f>
        <v/>
      </c>
      <c r="L89" s="18" t="n"/>
      <c r="M89" s="18" t="n"/>
      <c r="N89" s="19">
        <f>IF(M89="","",M89+1)</f>
        <v/>
      </c>
      <c r="O89" s="17">
        <f>IF(OR(L89="",M89=""),"",M89-L89)</f>
        <v/>
      </c>
      <c r="P89" s="16">
        <f>IF(M89="","",YEAR(M89+1)&amp;"-"&amp;TEXT(MONTH(M89+1),"00"))</f>
        <v/>
      </c>
      <c r="Q89" s="18" t="n"/>
      <c r="R89" s="15" t="n"/>
      <c r="S89" s="18" t="n"/>
      <c r="T89" s="16">
        <f>IF(U89="","",IF(LEFT(U89,1)="6","abgeschlossen",IF(OR(LEFT(U89,1)="1",LEFT(U89,1)="2"),"Kündigung &amp; Abnahme",IF(OR(LEFT(U89,1)="3",LEFT(U89,1)="4"),"Wiedervermietung","Schlussabrechnung"))))</f>
        <v/>
      </c>
      <c r="U89" s="16">
        <f>IF($B89="","",IF(AY89&lt;&gt;"","6 · abgeschlossen",IF(AW89&lt;&gt;"","5 · bereit zum Abschluss",IF(AT89&lt;&gt;"","5 · Schlussabrechnung",IF(AO89&lt;&gt;"","4 · Übergabe",IF(AM89&lt;&gt;"","3 · Neuvermietung",IF(M89&lt;&gt;"","2 · Abnahme &amp; Vermarktung","1 · Erfassung")))))))</f>
        <v/>
      </c>
      <c r="V89" s="15" t="n"/>
      <c r="W89" s="20" t="n"/>
      <c r="X89" s="15" t="n"/>
      <c r="Y89" s="15" t="n"/>
      <c r="Z89" s="18" t="n"/>
      <c r="AA89" s="19">
        <f>IF(M89="","",M89-30)</f>
        <v/>
      </c>
      <c r="AB89" s="19">
        <f>IF(ISNUMBER(AJ89),AJ89+3,"")</f>
        <v/>
      </c>
      <c r="AC89" s="18" t="n"/>
      <c r="AD89" s="18" t="n"/>
      <c r="AE89" s="18" t="n"/>
      <c r="AF89" s="18" t="n"/>
      <c r="AG89" s="18" t="n"/>
      <c r="AH89" s="18" t="n"/>
      <c r="AI89" s="18" t="n"/>
      <c r="AJ89" s="18" t="n"/>
      <c r="AK89" s="18" t="n"/>
      <c r="AL89" s="18" t="n"/>
      <c r="AM89" s="18" t="n"/>
      <c r="AN89" s="18" t="n"/>
      <c r="AO89" s="18" t="n"/>
      <c r="AP89" s="18" t="n"/>
      <c r="AQ89" s="18" t="n"/>
      <c r="AR89" s="18" t="n"/>
      <c r="AS89" s="18" t="n"/>
      <c r="AT89" s="18" t="n"/>
      <c r="AU89" s="18" t="n"/>
      <c r="AV89" s="18" t="n"/>
      <c r="AW89" s="18" t="n"/>
      <c r="AX89" s="18" t="n"/>
      <c r="AY89" s="18" t="n"/>
      <c r="AZ89" s="15" t="n"/>
    </row>
    <row r="90">
      <c r="A90" s="15" t="n"/>
      <c r="B90" s="15" t="n"/>
      <c r="C90" s="15" t="n"/>
      <c r="D90" s="15" t="n"/>
      <c r="E90" s="15" t="n"/>
      <c r="F90" s="15" t="n"/>
      <c r="G90" s="16">
        <f>IF(F90="","",IFERROR(INDEX(Stammdaten!$B$5:$B$24,MATCH(F90,Stammdaten!$A$5:$A$24,0)),"unbekannt"))</f>
        <v/>
      </c>
      <c r="H90" s="16">
        <f>IF($B90="","",IF(AY90&lt;&gt;"","abgeschlossen",IF(AND(ISNUMBER(AX90),AX90&gt;=TODAY()),"zurückgestellt",IF(OR(AND(ISNUMBER(AA90),AA90&lt;TODAY(),Z90="",AJ90=""),AND(ISNUMBER(Z90),Z90&lt;TODAY(),AJ90=""),AND(ISNUMBER(AB90),AB90&lt;TODAY(),AK90=""),AND(ISNUMBER(AC90),AC90&lt;TODAY(),AO90=""),AND(ISNUMBER(AD90),AD90&lt;TODAY(),AQ90="")),"überfällig","offen"))))</f>
        <v/>
      </c>
      <c r="I90" s="16">
        <f>IF($B90="","",IF(AY90&lt;&gt;"","—",IF(AND(ISNUMBER(AA90),AA90&lt;TODAY(),Z90="",AJ90=""),"Abnahmetermin vereinbaren – Sollfrist verstrichen",IF(AND(ISNUMBER(Z90),Z90&lt;TODAY(),AJ90=""),"Wohnungsabnahme nachtragen – Termin war fällig",IF(AND(ISNUMBER(AB90),AB90&lt;TODAY(),AK90=""),"Handwerker aufbieten – Frist verstrichen",IF(AND(ISNUMBER(AC90),AC90&lt;TODAY(),AO90=""),"Vertrag retour mahnen – Frist verstrichen",IF(AND(ISNUMBER(AD90),AD90&lt;TODAY(),AQ90=""),"Schlüsselübergabe nachtragen – Termin war fällig",IF(M90="","Haftungsdatum erfassen",IF(E90="","ex-Mieter erfassen",IF(AE90="","Kündigung bestätigen / G-Rem",IF(AF90="","Werke / EGT melden",IF(AG90="","Vorbesichtigung (oder n.e.)",IF(AH90="","VMZ aktualisieren",IF(AI90="","Inserat aufschalten",IF(AND(Z90="",AJ90=""),"Abnahmetermin vereinbaren",IF(AJ90="","Wohnungsabnahme durchführen",IF(AK90="","Handwerker aufbieten",IF(AL90="","Zustimmungserklärung einholen",IF(AM90="","Instandstellungen beauftragen",IF(R90="","Nachmieter erfassen",IF(AN90="","Vertrag versenden",IF(AO90="","Vertrag retour erfassen",IF(S90="","Vermietet per erfassen",IF(AP90="","Werke / EGT über Einzug informieren",IF(AND(AD90="",AQ90=""),"Schlüsselübergabe terminieren",IF(AQ90="","Schlüsselübergabe durchführen",IF(AR90="","Reinigung veranlassen",IF(AS90="","Namensschilder bestellen",IF(AT90="","Kaution prüfen / G-Rem mutieren",IF(AU90="","Instandstellungs-Rechnung erfassen",IF(AV90="","Schlussabrechnung erstellen",IF(AW90="","Zahlungseingang kontrollieren","Fall abschliessen"))))))))))))))))))))))))))))))))</f>
        <v/>
      </c>
      <c r="J90" s="17">
        <f>IF(M90="","",IF(S90&lt;&gt;"",MAX(0,S90-M90-1),MAX(0,TODAY()-M90)))</f>
        <v/>
      </c>
      <c r="K90" s="16">
        <f>IF($B90="","",TRIM(IF(AND(L90&lt;&gt;"",M90&lt;&gt;"",M90&lt;L90),"Haftungsdatum vor Kündigung. ","")&amp;IF(AND(S90&lt;&gt;"",M90&lt;&gt;"",S90&lt;M90),"Vermietung vor Leerstandsbeginn. ","")&amp;IF(AND(Z90&lt;&gt;"",L90&lt;&gt;"",Z90&lt;L90),"WA-Termin vor Kündigung. ","")&amp;IF(COUNTIFS($B$5:$B$404,$B90,$AY$5:$AY$404,"")&gt;1,"Zweiter offener Fall zum selben Objekt. ","")&amp;IF(AND($A90&lt;&gt;"",COUNTIFS($A$5:$A$404,$A90)&gt;1),"Fall-Nr. doppelt vergeben. ","")&amp;IF(E90="","ex-Mieter fehlt. ","")&amp;IF(M90="","Haftungsdatum fehlt. ","")&amp;IF(F90="","Bewirtschafter fehlt. ","")&amp;IF(AND(AY90&lt;&gt;"",AW90=""),"Abgeschlossen trotz offener Schlussabrechnung. ","")&amp;IF(AND(AY90="",S90="",ISNUMBER(J90),J90&gt;60),"Langläufer über 60 Tage. ","")))</f>
        <v/>
      </c>
      <c r="L90" s="18" t="n"/>
      <c r="M90" s="18" t="n"/>
      <c r="N90" s="19">
        <f>IF(M90="","",M90+1)</f>
        <v/>
      </c>
      <c r="O90" s="17">
        <f>IF(OR(L90="",M90=""),"",M90-L90)</f>
        <v/>
      </c>
      <c r="P90" s="16">
        <f>IF(M90="","",YEAR(M90+1)&amp;"-"&amp;TEXT(MONTH(M90+1),"00"))</f>
        <v/>
      </c>
      <c r="Q90" s="18" t="n"/>
      <c r="R90" s="15" t="n"/>
      <c r="S90" s="18" t="n"/>
      <c r="T90" s="16">
        <f>IF(U90="","",IF(LEFT(U90,1)="6","abgeschlossen",IF(OR(LEFT(U90,1)="1",LEFT(U90,1)="2"),"Kündigung &amp; Abnahme",IF(OR(LEFT(U90,1)="3",LEFT(U90,1)="4"),"Wiedervermietung","Schlussabrechnung"))))</f>
        <v/>
      </c>
      <c r="U90" s="16">
        <f>IF($B90="","",IF(AY90&lt;&gt;"","6 · abgeschlossen",IF(AW90&lt;&gt;"","5 · bereit zum Abschluss",IF(AT90&lt;&gt;"","5 · Schlussabrechnung",IF(AO90&lt;&gt;"","4 · Übergabe",IF(AM90&lt;&gt;"","3 · Neuvermietung",IF(M90&lt;&gt;"","2 · Abnahme &amp; Vermarktung","1 · Erfassung")))))))</f>
        <v/>
      </c>
      <c r="V90" s="15" t="n"/>
      <c r="W90" s="20" t="n"/>
      <c r="X90" s="15" t="n"/>
      <c r="Y90" s="15" t="n"/>
      <c r="Z90" s="18" t="n"/>
      <c r="AA90" s="19">
        <f>IF(M90="","",M90-30)</f>
        <v/>
      </c>
      <c r="AB90" s="19">
        <f>IF(ISNUMBER(AJ90),AJ90+3,"")</f>
        <v/>
      </c>
      <c r="AC90" s="18" t="n"/>
      <c r="AD90" s="18" t="n"/>
      <c r="AE90" s="18" t="n"/>
      <c r="AF90" s="18" t="n"/>
      <c r="AG90" s="18" t="n"/>
      <c r="AH90" s="18" t="n"/>
      <c r="AI90" s="18" t="n"/>
      <c r="AJ90" s="18" t="n"/>
      <c r="AK90" s="18" t="n"/>
      <c r="AL90" s="18" t="n"/>
      <c r="AM90" s="18" t="n"/>
      <c r="AN90" s="18" t="n"/>
      <c r="AO90" s="18" t="n"/>
      <c r="AP90" s="18" t="n"/>
      <c r="AQ90" s="18" t="n"/>
      <c r="AR90" s="18" t="n"/>
      <c r="AS90" s="18" t="n"/>
      <c r="AT90" s="18" t="n"/>
      <c r="AU90" s="18" t="n"/>
      <c r="AV90" s="18" t="n"/>
      <c r="AW90" s="18" t="n"/>
      <c r="AX90" s="18" t="n"/>
      <c r="AY90" s="18" t="n"/>
      <c r="AZ90" s="15" t="n"/>
    </row>
    <row r="91">
      <c r="A91" s="15" t="n"/>
      <c r="B91" s="15" t="n"/>
      <c r="C91" s="15" t="n"/>
      <c r="D91" s="15" t="n"/>
      <c r="E91" s="15" t="n"/>
      <c r="F91" s="15" t="n"/>
      <c r="G91" s="16">
        <f>IF(F91="","",IFERROR(INDEX(Stammdaten!$B$5:$B$24,MATCH(F91,Stammdaten!$A$5:$A$24,0)),"unbekannt"))</f>
        <v/>
      </c>
      <c r="H91" s="16">
        <f>IF($B91="","",IF(AY91&lt;&gt;"","abgeschlossen",IF(AND(ISNUMBER(AX91),AX91&gt;=TODAY()),"zurückgestellt",IF(OR(AND(ISNUMBER(AA91),AA91&lt;TODAY(),Z91="",AJ91=""),AND(ISNUMBER(Z91),Z91&lt;TODAY(),AJ91=""),AND(ISNUMBER(AB91),AB91&lt;TODAY(),AK91=""),AND(ISNUMBER(AC91),AC91&lt;TODAY(),AO91=""),AND(ISNUMBER(AD91),AD91&lt;TODAY(),AQ91="")),"überfällig","offen"))))</f>
        <v/>
      </c>
      <c r="I91" s="16">
        <f>IF($B91="","",IF(AY91&lt;&gt;"","—",IF(AND(ISNUMBER(AA91),AA91&lt;TODAY(),Z91="",AJ91=""),"Abnahmetermin vereinbaren – Sollfrist verstrichen",IF(AND(ISNUMBER(Z91),Z91&lt;TODAY(),AJ91=""),"Wohnungsabnahme nachtragen – Termin war fällig",IF(AND(ISNUMBER(AB91),AB91&lt;TODAY(),AK91=""),"Handwerker aufbieten – Frist verstrichen",IF(AND(ISNUMBER(AC91),AC91&lt;TODAY(),AO91=""),"Vertrag retour mahnen – Frist verstrichen",IF(AND(ISNUMBER(AD91),AD91&lt;TODAY(),AQ91=""),"Schlüsselübergabe nachtragen – Termin war fällig",IF(M91="","Haftungsdatum erfassen",IF(E91="","ex-Mieter erfassen",IF(AE91="","Kündigung bestätigen / G-Rem",IF(AF91="","Werke / EGT melden",IF(AG91="","Vorbesichtigung (oder n.e.)",IF(AH91="","VMZ aktualisieren",IF(AI91="","Inserat aufschalten",IF(AND(Z91="",AJ91=""),"Abnahmetermin vereinbaren",IF(AJ91="","Wohnungsabnahme durchführen",IF(AK91="","Handwerker aufbieten",IF(AL91="","Zustimmungserklärung einholen",IF(AM91="","Instandstellungen beauftragen",IF(R91="","Nachmieter erfassen",IF(AN91="","Vertrag versenden",IF(AO91="","Vertrag retour erfassen",IF(S91="","Vermietet per erfassen",IF(AP91="","Werke / EGT über Einzug informieren",IF(AND(AD91="",AQ91=""),"Schlüsselübergabe terminieren",IF(AQ91="","Schlüsselübergabe durchführen",IF(AR91="","Reinigung veranlassen",IF(AS91="","Namensschilder bestellen",IF(AT91="","Kaution prüfen / G-Rem mutieren",IF(AU91="","Instandstellungs-Rechnung erfassen",IF(AV91="","Schlussabrechnung erstellen",IF(AW91="","Zahlungseingang kontrollieren","Fall abschliessen"))))))))))))))))))))))))))))))))</f>
        <v/>
      </c>
      <c r="J91" s="17">
        <f>IF(M91="","",IF(S91&lt;&gt;"",MAX(0,S91-M91-1),MAX(0,TODAY()-M91)))</f>
        <v/>
      </c>
      <c r="K91" s="16">
        <f>IF($B91="","",TRIM(IF(AND(L91&lt;&gt;"",M91&lt;&gt;"",M91&lt;L91),"Haftungsdatum vor Kündigung. ","")&amp;IF(AND(S91&lt;&gt;"",M91&lt;&gt;"",S91&lt;M91),"Vermietung vor Leerstandsbeginn. ","")&amp;IF(AND(Z91&lt;&gt;"",L91&lt;&gt;"",Z91&lt;L91),"WA-Termin vor Kündigung. ","")&amp;IF(COUNTIFS($B$5:$B$404,$B91,$AY$5:$AY$404,"")&gt;1,"Zweiter offener Fall zum selben Objekt. ","")&amp;IF(AND($A91&lt;&gt;"",COUNTIFS($A$5:$A$404,$A91)&gt;1),"Fall-Nr. doppelt vergeben. ","")&amp;IF(E91="","ex-Mieter fehlt. ","")&amp;IF(M91="","Haftungsdatum fehlt. ","")&amp;IF(F91="","Bewirtschafter fehlt. ","")&amp;IF(AND(AY91&lt;&gt;"",AW91=""),"Abgeschlossen trotz offener Schlussabrechnung. ","")&amp;IF(AND(AY91="",S91="",ISNUMBER(J91),J91&gt;60),"Langläufer über 60 Tage. ","")))</f>
        <v/>
      </c>
      <c r="L91" s="18" t="n"/>
      <c r="M91" s="18" t="n"/>
      <c r="N91" s="19">
        <f>IF(M91="","",M91+1)</f>
        <v/>
      </c>
      <c r="O91" s="17">
        <f>IF(OR(L91="",M91=""),"",M91-L91)</f>
        <v/>
      </c>
      <c r="P91" s="16">
        <f>IF(M91="","",YEAR(M91+1)&amp;"-"&amp;TEXT(MONTH(M91+1),"00"))</f>
        <v/>
      </c>
      <c r="Q91" s="18" t="n"/>
      <c r="R91" s="15" t="n"/>
      <c r="S91" s="18" t="n"/>
      <c r="T91" s="16">
        <f>IF(U91="","",IF(LEFT(U91,1)="6","abgeschlossen",IF(OR(LEFT(U91,1)="1",LEFT(U91,1)="2"),"Kündigung &amp; Abnahme",IF(OR(LEFT(U91,1)="3",LEFT(U91,1)="4"),"Wiedervermietung","Schlussabrechnung"))))</f>
        <v/>
      </c>
      <c r="U91" s="16">
        <f>IF($B91="","",IF(AY91&lt;&gt;"","6 · abgeschlossen",IF(AW91&lt;&gt;"","5 · bereit zum Abschluss",IF(AT91&lt;&gt;"","5 · Schlussabrechnung",IF(AO91&lt;&gt;"","4 · Übergabe",IF(AM91&lt;&gt;"","3 · Neuvermietung",IF(M91&lt;&gt;"","2 · Abnahme &amp; Vermarktung","1 · Erfassung")))))))</f>
        <v/>
      </c>
      <c r="V91" s="15" t="n"/>
      <c r="W91" s="20" t="n"/>
      <c r="X91" s="15" t="n"/>
      <c r="Y91" s="15" t="n"/>
      <c r="Z91" s="18" t="n"/>
      <c r="AA91" s="19">
        <f>IF(M91="","",M91-30)</f>
        <v/>
      </c>
      <c r="AB91" s="19">
        <f>IF(ISNUMBER(AJ91),AJ91+3,"")</f>
        <v/>
      </c>
      <c r="AC91" s="18" t="n"/>
      <c r="AD91" s="18" t="n"/>
      <c r="AE91" s="18" t="n"/>
      <c r="AF91" s="18" t="n"/>
      <c r="AG91" s="18" t="n"/>
      <c r="AH91" s="18" t="n"/>
      <c r="AI91" s="18" t="n"/>
      <c r="AJ91" s="18" t="n"/>
      <c r="AK91" s="18" t="n"/>
      <c r="AL91" s="18" t="n"/>
      <c r="AM91" s="18" t="n"/>
      <c r="AN91" s="18" t="n"/>
      <c r="AO91" s="18" t="n"/>
      <c r="AP91" s="18" t="n"/>
      <c r="AQ91" s="18" t="n"/>
      <c r="AR91" s="18" t="n"/>
      <c r="AS91" s="18" t="n"/>
      <c r="AT91" s="18" t="n"/>
      <c r="AU91" s="18" t="n"/>
      <c r="AV91" s="18" t="n"/>
      <c r="AW91" s="18" t="n"/>
      <c r="AX91" s="18" t="n"/>
      <c r="AY91" s="18" t="n"/>
      <c r="AZ91" s="15" t="n"/>
    </row>
    <row r="92">
      <c r="A92" s="15" t="n"/>
      <c r="B92" s="15" t="n"/>
      <c r="C92" s="15" t="n"/>
      <c r="D92" s="15" t="n"/>
      <c r="E92" s="15" t="n"/>
      <c r="F92" s="15" t="n"/>
      <c r="G92" s="16">
        <f>IF(F92="","",IFERROR(INDEX(Stammdaten!$B$5:$B$24,MATCH(F92,Stammdaten!$A$5:$A$24,0)),"unbekannt"))</f>
        <v/>
      </c>
      <c r="H92" s="16">
        <f>IF($B92="","",IF(AY92&lt;&gt;"","abgeschlossen",IF(AND(ISNUMBER(AX92),AX92&gt;=TODAY()),"zurückgestellt",IF(OR(AND(ISNUMBER(AA92),AA92&lt;TODAY(),Z92="",AJ92=""),AND(ISNUMBER(Z92),Z92&lt;TODAY(),AJ92=""),AND(ISNUMBER(AB92),AB92&lt;TODAY(),AK92=""),AND(ISNUMBER(AC92),AC92&lt;TODAY(),AO92=""),AND(ISNUMBER(AD92),AD92&lt;TODAY(),AQ92="")),"überfällig","offen"))))</f>
        <v/>
      </c>
      <c r="I92" s="16">
        <f>IF($B92="","",IF(AY92&lt;&gt;"","—",IF(AND(ISNUMBER(AA92),AA92&lt;TODAY(),Z92="",AJ92=""),"Abnahmetermin vereinbaren – Sollfrist verstrichen",IF(AND(ISNUMBER(Z92),Z92&lt;TODAY(),AJ92=""),"Wohnungsabnahme nachtragen – Termin war fällig",IF(AND(ISNUMBER(AB92),AB92&lt;TODAY(),AK92=""),"Handwerker aufbieten – Frist verstrichen",IF(AND(ISNUMBER(AC92),AC92&lt;TODAY(),AO92=""),"Vertrag retour mahnen – Frist verstrichen",IF(AND(ISNUMBER(AD92),AD92&lt;TODAY(),AQ92=""),"Schlüsselübergabe nachtragen – Termin war fällig",IF(M92="","Haftungsdatum erfassen",IF(E92="","ex-Mieter erfassen",IF(AE92="","Kündigung bestätigen / G-Rem",IF(AF92="","Werke / EGT melden",IF(AG92="","Vorbesichtigung (oder n.e.)",IF(AH92="","VMZ aktualisieren",IF(AI92="","Inserat aufschalten",IF(AND(Z92="",AJ92=""),"Abnahmetermin vereinbaren",IF(AJ92="","Wohnungsabnahme durchführen",IF(AK92="","Handwerker aufbieten",IF(AL92="","Zustimmungserklärung einholen",IF(AM92="","Instandstellungen beauftragen",IF(R92="","Nachmieter erfassen",IF(AN92="","Vertrag versenden",IF(AO92="","Vertrag retour erfassen",IF(S92="","Vermietet per erfassen",IF(AP92="","Werke / EGT über Einzug informieren",IF(AND(AD92="",AQ92=""),"Schlüsselübergabe terminieren",IF(AQ92="","Schlüsselübergabe durchführen",IF(AR92="","Reinigung veranlassen",IF(AS92="","Namensschilder bestellen",IF(AT92="","Kaution prüfen / G-Rem mutieren",IF(AU92="","Instandstellungs-Rechnung erfassen",IF(AV92="","Schlussabrechnung erstellen",IF(AW92="","Zahlungseingang kontrollieren","Fall abschliessen"))))))))))))))))))))))))))))))))</f>
        <v/>
      </c>
      <c r="J92" s="17">
        <f>IF(M92="","",IF(S92&lt;&gt;"",MAX(0,S92-M92-1),MAX(0,TODAY()-M92)))</f>
        <v/>
      </c>
      <c r="K92" s="16">
        <f>IF($B92="","",TRIM(IF(AND(L92&lt;&gt;"",M92&lt;&gt;"",M92&lt;L92),"Haftungsdatum vor Kündigung. ","")&amp;IF(AND(S92&lt;&gt;"",M92&lt;&gt;"",S92&lt;M92),"Vermietung vor Leerstandsbeginn. ","")&amp;IF(AND(Z92&lt;&gt;"",L92&lt;&gt;"",Z92&lt;L92),"WA-Termin vor Kündigung. ","")&amp;IF(COUNTIFS($B$5:$B$404,$B92,$AY$5:$AY$404,"")&gt;1,"Zweiter offener Fall zum selben Objekt. ","")&amp;IF(AND($A92&lt;&gt;"",COUNTIFS($A$5:$A$404,$A92)&gt;1),"Fall-Nr. doppelt vergeben. ","")&amp;IF(E92="","ex-Mieter fehlt. ","")&amp;IF(M92="","Haftungsdatum fehlt. ","")&amp;IF(F92="","Bewirtschafter fehlt. ","")&amp;IF(AND(AY92&lt;&gt;"",AW92=""),"Abgeschlossen trotz offener Schlussabrechnung. ","")&amp;IF(AND(AY92="",S92="",ISNUMBER(J92),J92&gt;60),"Langläufer über 60 Tage. ","")))</f>
        <v/>
      </c>
      <c r="L92" s="18" t="n"/>
      <c r="M92" s="18" t="n"/>
      <c r="N92" s="19">
        <f>IF(M92="","",M92+1)</f>
        <v/>
      </c>
      <c r="O92" s="17">
        <f>IF(OR(L92="",M92=""),"",M92-L92)</f>
        <v/>
      </c>
      <c r="P92" s="16">
        <f>IF(M92="","",YEAR(M92+1)&amp;"-"&amp;TEXT(MONTH(M92+1),"00"))</f>
        <v/>
      </c>
      <c r="Q92" s="18" t="n"/>
      <c r="R92" s="15" t="n"/>
      <c r="S92" s="18" t="n"/>
      <c r="T92" s="16">
        <f>IF(U92="","",IF(LEFT(U92,1)="6","abgeschlossen",IF(OR(LEFT(U92,1)="1",LEFT(U92,1)="2"),"Kündigung &amp; Abnahme",IF(OR(LEFT(U92,1)="3",LEFT(U92,1)="4"),"Wiedervermietung","Schlussabrechnung"))))</f>
        <v/>
      </c>
      <c r="U92" s="16">
        <f>IF($B92="","",IF(AY92&lt;&gt;"","6 · abgeschlossen",IF(AW92&lt;&gt;"","5 · bereit zum Abschluss",IF(AT92&lt;&gt;"","5 · Schlussabrechnung",IF(AO92&lt;&gt;"","4 · Übergabe",IF(AM92&lt;&gt;"","3 · Neuvermietung",IF(M92&lt;&gt;"","2 · Abnahme &amp; Vermarktung","1 · Erfassung")))))))</f>
        <v/>
      </c>
      <c r="V92" s="15" t="n"/>
      <c r="W92" s="20" t="n"/>
      <c r="X92" s="15" t="n"/>
      <c r="Y92" s="15" t="n"/>
      <c r="Z92" s="18" t="n"/>
      <c r="AA92" s="19">
        <f>IF(M92="","",M92-30)</f>
        <v/>
      </c>
      <c r="AB92" s="19">
        <f>IF(ISNUMBER(AJ92),AJ92+3,"")</f>
        <v/>
      </c>
      <c r="AC92" s="18" t="n"/>
      <c r="AD92" s="18" t="n"/>
      <c r="AE92" s="18" t="n"/>
      <c r="AF92" s="18" t="n"/>
      <c r="AG92" s="18" t="n"/>
      <c r="AH92" s="18" t="n"/>
      <c r="AI92" s="18" t="n"/>
      <c r="AJ92" s="18" t="n"/>
      <c r="AK92" s="18" t="n"/>
      <c r="AL92" s="18" t="n"/>
      <c r="AM92" s="18" t="n"/>
      <c r="AN92" s="18" t="n"/>
      <c r="AO92" s="18" t="n"/>
      <c r="AP92" s="18" t="n"/>
      <c r="AQ92" s="18" t="n"/>
      <c r="AR92" s="18" t="n"/>
      <c r="AS92" s="18" t="n"/>
      <c r="AT92" s="18" t="n"/>
      <c r="AU92" s="18" t="n"/>
      <c r="AV92" s="18" t="n"/>
      <c r="AW92" s="18" t="n"/>
      <c r="AX92" s="18" t="n"/>
      <c r="AY92" s="18" t="n"/>
      <c r="AZ92" s="15" t="n"/>
    </row>
    <row r="93">
      <c r="A93" s="15" t="n"/>
      <c r="B93" s="15" t="n"/>
      <c r="C93" s="15" t="n"/>
      <c r="D93" s="15" t="n"/>
      <c r="E93" s="15" t="n"/>
      <c r="F93" s="15" t="n"/>
      <c r="G93" s="16">
        <f>IF(F93="","",IFERROR(INDEX(Stammdaten!$B$5:$B$24,MATCH(F93,Stammdaten!$A$5:$A$24,0)),"unbekannt"))</f>
        <v/>
      </c>
      <c r="H93" s="16">
        <f>IF($B93="","",IF(AY93&lt;&gt;"","abgeschlossen",IF(AND(ISNUMBER(AX93),AX93&gt;=TODAY()),"zurückgestellt",IF(OR(AND(ISNUMBER(AA93),AA93&lt;TODAY(),Z93="",AJ93=""),AND(ISNUMBER(Z93),Z93&lt;TODAY(),AJ93=""),AND(ISNUMBER(AB93),AB93&lt;TODAY(),AK93=""),AND(ISNUMBER(AC93),AC93&lt;TODAY(),AO93=""),AND(ISNUMBER(AD93),AD93&lt;TODAY(),AQ93="")),"überfällig","offen"))))</f>
        <v/>
      </c>
      <c r="I93" s="16">
        <f>IF($B93="","",IF(AY93&lt;&gt;"","—",IF(AND(ISNUMBER(AA93),AA93&lt;TODAY(),Z93="",AJ93=""),"Abnahmetermin vereinbaren – Sollfrist verstrichen",IF(AND(ISNUMBER(Z93),Z93&lt;TODAY(),AJ93=""),"Wohnungsabnahme nachtragen – Termin war fällig",IF(AND(ISNUMBER(AB93),AB93&lt;TODAY(),AK93=""),"Handwerker aufbieten – Frist verstrichen",IF(AND(ISNUMBER(AC93),AC93&lt;TODAY(),AO93=""),"Vertrag retour mahnen – Frist verstrichen",IF(AND(ISNUMBER(AD93),AD93&lt;TODAY(),AQ93=""),"Schlüsselübergabe nachtragen – Termin war fällig",IF(M93="","Haftungsdatum erfassen",IF(E93="","ex-Mieter erfassen",IF(AE93="","Kündigung bestätigen / G-Rem",IF(AF93="","Werke / EGT melden",IF(AG93="","Vorbesichtigung (oder n.e.)",IF(AH93="","VMZ aktualisieren",IF(AI93="","Inserat aufschalten",IF(AND(Z93="",AJ93=""),"Abnahmetermin vereinbaren",IF(AJ93="","Wohnungsabnahme durchführen",IF(AK93="","Handwerker aufbieten",IF(AL93="","Zustimmungserklärung einholen",IF(AM93="","Instandstellungen beauftragen",IF(R93="","Nachmieter erfassen",IF(AN93="","Vertrag versenden",IF(AO93="","Vertrag retour erfassen",IF(S93="","Vermietet per erfassen",IF(AP93="","Werke / EGT über Einzug informieren",IF(AND(AD93="",AQ93=""),"Schlüsselübergabe terminieren",IF(AQ93="","Schlüsselübergabe durchführen",IF(AR93="","Reinigung veranlassen",IF(AS93="","Namensschilder bestellen",IF(AT93="","Kaution prüfen / G-Rem mutieren",IF(AU93="","Instandstellungs-Rechnung erfassen",IF(AV93="","Schlussabrechnung erstellen",IF(AW93="","Zahlungseingang kontrollieren","Fall abschliessen"))))))))))))))))))))))))))))))))</f>
        <v/>
      </c>
      <c r="J93" s="17">
        <f>IF(M93="","",IF(S93&lt;&gt;"",MAX(0,S93-M93-1),MAX(0,TODAY()-M93)))</f>
        <v/>
      </c>
      <c r="K93" s="16">
        <f>IF($B93="","",TRIM(IF(AND(L93&lt;&gt;"",M93&lt;&gt;"",M93&lt;L93),"Haftungsdatum vor Kündigung. ","")&amp;IF(AND(S93&lt;&gt;"",M93&lt;&gt;"",S93&lt;M93),"Vermietung vor Leerstandsbeginn. ","")&amp;IF(AND(Z93&lt;&gt;"",L93&lt;&gt;"",Z93&lt;L93),"WA-Termin vor Kündigung. ","")&amp;IF(COUNTIFS($B$5:$B$404,$B93,$AY$5:$AY$404,"")&gt;1,"Zweiter offener Fall zum selben Objekt. ","")&amp;IF(AND($A93&lt;&gt;"",COUNTIFS($A$5:$A$404,$A93)&gt;1),"Fall-Nr. doppelt vergeben. ","")&amp;IF(E93="","ex-Mieter fehlt. ","")&amp;IF(M93="","Haftungsdatum fehlt. ","")&amp;IF(F93="","Bewirtschafter fehlt. ","")&amp;IF(AND(AY93&lt;&gt;"",AW93=""),"Abgeschlossen trotz offener Schlussabrechnung. ","")&amp;IF(AND(AY93="",S93="",ISNUMBER(J93),J93&gt;60),"Langläufer über 60 Tage. ","")))</f>
        <v/>
      </c>
      <c r="L93" s="18" t="n"/>
      <c r="M93" s="18" t="n"/>
      <c r="N93" s="19">
        <f>IF(M93="","",M93+1)</f>
        <v/>
      </c>
      <c r="O93" s="17">
        <f>IF(OR(L93="",M93=""),"",M93-L93)</f>
        <v/>
      </c>
      <c r="P93" s="16">
        <f>IF(M93="","",YEAR(M93+1)&amp;"-"&amp;TEXT(MONTH(M93+1),"00"))</f>
        <v/>
      </c>
      <c r="Q93" s="18" t="n"/>
      <c r="R93" s="15" t="n"/>
      <c r="S93" s="18" t="n"/>
      <c r="T93" s="16">
        <f>IF(U93="","",IF(LEFT(U93,1)="6","abgeschlossen",IF(OR(LEFT(U93,1)="1",LEFT(U93,1)="2"),"Kündigung &amp; Abnahme",IF(OR(LEFT(U93,1)="3",LEFT(U93,1)="4"),"Wiedervermietung","Schlussabrechnung"))))</f>
        <v/>
      </c>
      <c r="U93" s="16">
        <f>IF($B93="","",IF(AY93&lt;&gt;"","6 · abgeschlossen",IF(AW93&lt;&gt;"","5 · bereit zum Abschluss",IF(AT93&lt;&gt;"","5 · Schlussabrechnung",IF(AO93&lt;&gt;"","4 · Übergabe",IF(AM93&lt;&gt;"","3 · Neuvermietung",IF(M93&lt;&gt;"","2 · Abnahme &amp; Vermarktung","1 · Erfassung")))))))</f>
        <v/>
      </c>
      <c r="V93" s="15" t="n"/>
      <c r="W93" s="20" t="n"/>
      <c r="X93" s="15" t="n"/>
      <c r="Y93" s="15" t="n"/>
      <c r="Z93" s="18" t="n"/>
      <c r="AA93" s="19">
        <f>IF(M93="","",M93-30)</f>
        <v/>
      </c>
      <c r="AB93" s="19">
        <f>IF(ISNUMBER(AJ93),AJ93+3,"")</f>
        <v/>
      </c>
      <c r="AC93" s="18" t="n"/>
      <c r="AD93" s="18" t="n"/>
      <c r="AE93" s="18" t="n"/>
      <c r="AF93" s="18" t="n"/>
      <c r="AG93" s="18" t="n"/>
      <c r="AH93" s="18" t="n"/>
      <c r="AI93" s="18" t="n"/>
      <c r="AJ93" s="18" t="n"/>
      <c r="AK93" s="18" t="n"/>
      <c r="AL93" s="18" t="n"/>
      <c r="AM93" s="18" t="n"/>
      <c r="AN93" s="18" t="n"/>
      <c r="AO93" s="18" t="n"/>
      <c r="AP93" s="18" t="n"/>
      <c r="AQ93" s="18" t="n"/>
      <c r="AR93" s="18" t="n"/>
      <c r="AS93" s="18" t="n"/>
      <c r="AT93" s="18" t="n"/>
      <c r="AU93" s="18" t="n"/>
      <c r="AV93" s="18" t="n"/>
      <c r="AW93" s="18" t="n"/>
      <c r="AX93" s="18" t="n"/>
      <c r="AY93" s="18" t="n"/>
      <c r="AZ93" s="15" t="n"/>
    </row>
    <row r="94">
      <c r="A94" s="15" t="n"/>
      <c r="B94" s="15" t="n"/>
      <c r="C94" s="15" t="n"/>
      <c r="D94" s="15" t="n"/>
      <c r="E94" s="15" t="n"/>
      <c r="F94" s="15" t="n"/>
      <c r="G94" s="16">
        <f>IF(F94="","",IFERROR(INDEX(Stammdaten!$B$5:$B$24,MATCH(F94,Stammdaten!$A$5:$A$24,0)),"unbekannt"))</f>
        <v/>
      </c>
      <c r="H94" s="16">
        <f>IF($B94="","",IF(AY94&lt;&gt;"","abgeschlossen",IF(AND(ISNUMBER(AX94),AX94&gt;=TODAY()),"zurückgestellt",IF(OR(AND(ISNUMBER(AA94),AA94&lt;TODAY(),Z94="",AJ94=""),AND(ISNUMBER(Z94),Z94&lt;TODAY(),AJ94=""),AND(ISNUMBER(AB94),AB94&lt;TODAY(),AK94=""),AND(ISNUMBER(AC94),AC94&lt;TODAY(),AO94=""),AND(ISNUMBER(AD94),AD94&lt;TODAY(),AQ94="")),"überfällig","offen"))))</f>
        <v/>
      </c>
      <c r="I94" s="16">
        <f>IF($B94="","",IF(AY94&lt;&gt;"","—",IF(AND(ISNUMBER(AA94),AA94&lt;TODAY(),Z94="",AJ94=""),"Abnahmetermin vereinbaren – Sollfrist verstrichen",IF(AND(ISNUMBER(Z94),Z94&lt;TODAY(),AJ94=""),"Wohnungsabnahme nachtragen – Termin war fällig",IF(AND(ISNUMBER(AB94),AB94&lt;TODAY(),AK94=""),"Handwerker aufbieten – Frist verstrichen",IF(AND(ISNUMBER(AC94),AC94&lt;TODAY(),AO94=""),"Vertrag retour mahnen – Frist verstrichen",IF(AND(ISNUMBER(AD94),AD94&lt;TODAY(),AQ94=""),"Schlüsselübergabe nachtragen – Termin war fällig",IF(M94="","Haftungsdatum erfassen",IF(E94="","ex-Mieter erfassen",IF(AE94="","Kündigung bestätigen / G-Rem",IF(AF94="","Werke / EGT melden",IF(AG94="","Vorbesichtigung (oder n.e.)",IF(AH94="","VMZ aktualisieren",IF(AI94="","Inserat aufschalten",IF(AND(Z94="",AJ94=""),"Abnahmetermin vereinbaren",IF(AJ94="","Wohnungsabnahme durchführen",IF(AK94="","Handwerker aufbieten",IF(AL94="","Zustimmungserklärung einholen",IF(AM94="","Instandstellungen beauftragen",IF(R94="","Nachmieter erfassen",IF(AN94="","Vertrag versenden",IF(AO94="","Vertrag retour erfassen",IF(S94="","Vermietet per erfassen",IF(AP94="","Werke / EGT über Einzug informieren",IF(AND(AD94="",AQ94=""),"Schlüsselübergabe terminieren",IF(AQ94="","Schlüsselübergabe durchführen",IF(AR94="","Reinigung veranlassen",IF(AS94="","Namensschilder bestellen",IF(AT94="","Kaution prüfen / G-Rem mutieren",IF(AU94="","Instandstellungs-Rechnung erfassen",IF(AV94="","Schlussabrechnung erstellen",IF(AW94="","Zahlungseingang kontrollieren","Fall abschliessen"))))))))))))))))))))))))))))))))</f>
        <v/>
      </c>
      <c r="J94" s="17">
        <f>IF(M94="","",IF(S94&lt;&gt;"",MAX(0,S94-M94-1),MAX(0,TODAY()-M94)))</f>
        <v/>
      </c>
      <c r="K94" s="16">
        <f>IF($B94="","",TRIM(IF(AND(L94&lt;&gt;"",M94&lt;&gt;"",M94&lt;L94),"Haftungsdatum vor Kündigung. ","")&amp;IF(AND(S94&lt;&gt;"",M94&lt;&gt;"",S94&lt;M94),"Vermietung vor Leerstandsbeginn. ","")&amp;IF(AND(Z94&lt;&gt;"",L94&lt;&gt;"",Z94&lt;L94),"WA-Termin vor Kündigung. ","")&amp;IF(COUNTIFS($B$5:$B$404,$B94,$AY$5:$AY$404,"")&gt;1,"Zweiter offener Fall zum selben Objekt. ","")&amp;IF(AND($A94&lt;&gt;"",COUNTIFS($A$5:$A$404,$A94)&gt;1),"Fall-Nr. doppelt vergeben. ","")&amp;IF(E94="","ex-Mieter fehlt. ","")&amp;IF(M94="","Haftungsdatum fehlt. ","")&amp;IF(F94="","Bewirtschafter fehlt. ","")&amp;IF(AND(AY94&lt;&gt;"",AW94=""),"Abgeschlossen trotz offener Schlussabrechnung. ","")&amp;IF(AND(AY94="",S94="",ISNUMBER(J94),J94&gt;60),"Langläufer über 60 Tage. ","")))</f>
        <v/>
      </c>
      <c r="L94" s="18" t="n"/>
      <c r="M94" s="18" t="n"/>
      <c r="N94" s="19">
        <f>IF(M94="","",M94+1)</f>
        <v/>
      </c>
      <c r="O94" s="17">
        <f>IF(OR(L94="",M94=""),"",M94-L94)</f>
        <v/>
      </c>
      <c r="P94" s="16">
        <f>IF(M94="","",YEAR(M94+1)&amp;"-"&amp;TEXT(MONTH(M94+1),"00"))</f>
        <v/>
      </c>
      <c r="Q94" s="18" t="n"/>
      <c r="R94" s="15" t="n"/>
      <c r="S94" s="18" t="n"/>
      <c r="T94" s="16">
        <f>IF(U94="","",IF(LEFT(U94,1)="6","abgeschlossen",IF(OR(LEFT(U94,1)="1",LEFT(U94,1)="2"),"Kündigung &amp; Abnahme",IF(OR(LEFT(U94,1)="3",LEFT(U94,1)="4"),"Wiedervermietung","Schlussabrechnung"))))</f>
        <v/>
      </c>
      <c r="U94" s="16">
        <f>IF($B94="","",IF(AY94&lt;&gt;"","6 · abgeschlossen",IF(AW94&lt;&gt;"","5 · bereit zum Abschluss",IF(AT94&lt;&gt;"","5 · Schlussabrechnung",IF(AO94&lt;&gt;"","4 · Übergabe",IF(AM94&lt;&gt;"","3 · Neuvermietung",IF(M94&lt;&gt;"","2 · Abnahme &amp; Vermarktung","1 · Erfassung")))))))</f>
        <v/>
      </c>
      <c r="V94" s="15" t="n"/>
      <c r="W94" s="20" t="n"/>
      <c r="X94" s="15" t="n"/>
      <c r="Y94" s="15" t="n"/>
      <c r="Z94" s="18" t="n"/>
      <c r="AA94" s="19">
        <f>IF(M94="","",M94-30)</f>
        <v/>
      </c>
      <c r="AB94" s="19">
        <f>IF(ISNUMBER(AJ94),AJ94+3,"")</f>
        <v/>
      </c>
      <c r="AC94" s="18" t="n"/>
      <c r="AD94" s="18" t="n"/>
      <c r="AE94" s="18" t="n"/>
      <c r="AF94" s="18" t="n"/>
      <c r="AG94" s="18" t="n"/>
      <c r="AH94" s="18" t="n"/>
      <c r="AI94" s="18" t="n"/>
      <c r="AJ94" s="18" t="n"/>
      <c r="AK94" s="18" t="n"/>
      <c r="AL94" s="18" t="n"/>
      <c r="AM94" s="18" t="n"/>
      <c r="AN94" s="18" t="n"/>
      <c r="AO94" s="18" t="n"/>
      <c r="AP94" s="18" t="n"/>
      <c r="AQ94" s="18" t="n"/>
      <c r="AR94" s="18" t="n"/>
      <c r="AS94" s="18" t="n"/>
      <c r="AT94" s="18" t="n"/>
      <c r="AU94" s="18" t="n"/>
      <c r="AV94" s="18" t="n"/>
      <c r="AW94" s="18" t="n"/>
      <c r="AX94" s="18" t="n"/>
      <c r="AY94" s="18" t="n"/>
      <c r="AZ94" s="15" t="n"/>
    </row>
    <row r="95">
      <c r="A95" s="15" t="n"/>
      <c r="B95" s="15" t="n"/>
      <c r="C95" s="15" t="n"/>
      <c r="D95" s="15" t="n"/>
      <c r="E95" s="15" t="n"/>
      <c r="F95" s="15" t="n"/>
      <c r="G95" s="16">
        <f>IF(F95="","",IFERROR(INDEX(Stammdaten!$B$5:$B$24,MATCH(F95,Stammdaten!$A$5:$A$24,0)),"unbekannt"))</f>
        <v/>
      </c>
      <c r="H95" s="16">
        <f>IF($B95="","",IF(AY95&lt;&gt;"","abgeschlossen",IF(AND(ISNUMBER(AX95),AX95&gt;=TODAY()),"zurückgestellt",IF(OR(AND(ISNUMBER(AA95),AA95&lt;TODAY(),Z95="",AJ95=""),AND(ISNUMBER(Z95),Z95&lt;TODAY(),AJ95=""),AND(ISNUMBER(AB95),AB95&lt;TODAY(),AK95=""),AND(ISNUMBER(AC95),AC95&lt;TODAY(),AO95=""),AND(ISNUMBER(AD95),AD95&lt;TODAY(),AQ95="")),"überfällig","offen"))))</f>
        <v/>
      </c>
      <c r="I95" s="16">
        <f>IF($B95="","",IF(AY95&lt;&gt;"","—",IF(AND(ISNUMBER(AA95),AA95&lt;TODAY(),Z95="",AJ95=""),"Abnahmetermin vereinbaren – Sollfrist verstrichen",IF(AND(ISNUMBER(Z95),Z95&lt;TODAY(),AJ95=""),"Wohnungsabnahme nachtragen – Termin war fällig",IF(AND(ISNUMBER(AB95),AB95&lt;TODAY(),AK95=""),"Handwerker aufbieten – Frist verstrichen",IF(AND(ISNUMBER(AC95),AC95&lt;TODAY(),AO95=""),"Vertrag retour mahnen – Frist verstrichen",IF(AND(ISNUMBER(AD95),AD95&lt;TODAY(),AQ95=""),"Schlüsselübergabe nachtragen – Termin war fällig",IF(M95="","Haftungsdatum erfassen",IF(E95="","ex-Mieter erfassen",IF(AE95="","Kündigung bestätigen / G-Rem",IF(AF95="","Werke / EGT melden",IF(AG95="","Vorbesichtigung (oder n.e.)",IF(AH95="","VMZ aktualisieren",IF(AI95="","Inserat aufschalten",IF(AND(Z95="",AJ95=""),"Abnahmetermin vereinbaren",IF(AJ95="","Wohnungsabnahme durchführen",IF(AK95="","Handwerker aufbieten",IF(AL95="","Zustimmungserklärung einholen",IF(AM95="","Instandstellungen beauftragen",IF(R95="","Nachmieter erfassen",IF(AN95="","Vertrag versenden",IF(AO95="","Vertrag retour erfassen",IF(S95="","Vermietet per erfassen",IF(AP95="","Werke / EGT über Einzug informieren",IF(AND(AD95="",AQ95=""),"Schlüsselübergabe terminieren",IF(AQ95="","Schlüsselübergabe durchführen",IF(AR95="","Reinigung veranlassen",IF(AS95="","Namensschilder bestellen",IF(AT95="","Kaution prüfen / G-Rem mutieren",IF(AU95="","Instandstellungs-Rechnung erfassen",IF(AV95="","Schlussabrechnung erstellen",IF(AW95="","Zahlungseingang kontrollieren","Fall abschliessen"))))))))))))))))))))))))))))))))</f>
        <v/>
      </c>
      <c r="J95" s="17">
        <f>IF(M95="","",IF(S95&lt;&gt;"",MAX(0,S95-M95-1),MAX(0,TODAY()-M95)))</f>
        <v/>
      </c>
      <c r="K95" s="16">
        <f>IF($B95="","",TRIM(IF(AND(L95&lt;&gt;"",M95&lt;&gt;"",M95&lt;L95),"Haftungsdatum vor Kündigung. ","")&amp;IF(AND(S95&lt;&gt;"",M95&lt;&gt;"",S95&lt;M95),"Vermietung vor Leerstandsbeginn. ","")&amp;IF(AND(Z95&lt;&gt;"",L95&lt;&gt;"",Z95&lt;L95),"WA-Termin vor Kündigung. ","")&amp;IF(COUNTIFS($B$5:$B$404,$B95,$AY$5:$AY$404,"")&gt;1,"Zweiter offener Fall zum selben Objekt. ","")&amp;IF(AND($A95&lt;&gt;"",COUNTIFS($A$5:$A$404,$A95)&gt;1),"Fall-Nr. doppelt vergeben. ","")&amp;IF(E95="","ex-Mieter fehlt. ","")&amp;IF(M95="","Haftungsdatum fehlt. ","")&amp;IF(F95="","Bewirtschafter fehlt. ","")&amp;IF(AND(AY95&lt;&gt;"",AW95=""),"Abgeschlossen trotz offener Schlussabrechnung. ","")&amp;IF(AND(AY95="",S95="",ISNUMBER(J95),J95&gt;60),"Langläufer über 60 Tage. ","")))</f>
        <v/>
      </c>
      <c r="L95" s="18" t="n"/>
      <c r="M95" s="18" t="n"/>
      <c r="N95" s="19">
        <f>IF(M95="","",M95+1)</f>
        <v/>
      </c>
      <c r="O95" s="17">
        <f>IF(OR(L95="",M95=""),"",M95-L95)</f>
        <v/>
      </c>
      <c r="P95" s="16">
        <f>IF(M95="","",YEAR(M95+1)&amp;"-"&amp;TEXT(MONTH(M95+1),"00"))</f>
        <v/>
      </c>
      <c r="Q95" s="18" t="n"/>
      <c r="R95" s="15" t="n"/>
      <c r="S95" s="18" t="n"/>
      <c r="T95" s="16">
        <f>IF(U95="","",IF(LEFT(U95,1)="6","abgeschlossen",IF(OR(LEFT(U95,1)="1",LEFT(U95,1)="2"),"Kündigung &amp; Abnahme",IF(OR(LEFT(U95,1)="3",LEFT(U95,1)="4"),"Wiedervermietung","Schlussabrechnung"))))</f>
        <v/>
      </c>
      <c r="U95" s="16">
        <f>IF($B95="","",IF(AY95&lt;&gt;"","6 · abgeschlossen",IF(AW95&lt;&gt;"","5 · bereit zum Abschluss",IF(AT95&lt;&gt;"","5 · Schlussabrechnung",IF(AO95&lt;&gt;"","4 · Übergabe",IF(AM95&lt;&gt;"","3 · Neuvermietung",IF(M95&lt;&gt;"","2 · Abnahme &amp; Vermarktung","1 · Erfassung")))))))</f>
        <v/>
      </c>
      <c r="V95" s="15" t="n"/>
      <c r="W95" s="20" t="n"/>
      <c r="X95" s="15" t="n"/>
      <c r="Y95" s="15" t="n"/>
      <c r="Z95" s="18" t="n"/>
      <c r="AA95" s="19">
        <f>IF(M95="","",M95-30)</f>
        <v/>
      </c>
      <c r="AB95" s="19">
        <f>IF(ISNUMBER(AJ95),AJ95+3,"")</f>
        <v/>
      </c>
      <c r="AC95" s="18" t="n"/>
      <c r="AD95" s="18" t="n"/>
      <c r="AE95" s="18" t="n"/>
      <c r="AF95" s="18" t="n"/>
      <c r="AG95" s="18" t="n"/>
      <c r="AH95" s="18" t="n"/>
      <c r="AI95" s="18" t="n"/>
      <c r="AJ95" s="18" t="n"/>
      <c r="AK95" s="18" t="n"/>
      <c r="AL95" s="18" t="n"/>
      <c r="AM95" s="18" t="n"/>
      <c r="AN95" s="18" t="n"/>
      <c r="AO95" s="18" t="n"/>
      <c r="AP95" s="18" t="n"/>
      <c r="AQ95" s="18" t="n"/>
      <c r="AR95" s="18" t="n"/>
      <c r="AS95" s="18" t="n"/>
      <c r="AT95" s="18" t="n"/>
      <c r="AU95" s="18" t="n"/>
      <c r="AV95" s="18" t="n"/>
      <c r="AW95" s="18" t="n"/>
      <c r="AX95" s="18" t="n"/>
      <c r="AY95" s="18" t="n"/>
      <c r="AZ95" s="15" t="n"/>
    </row>
    <row r="96">
      <c r="A96" s="15" t="n"/>
      <c r="B96" s="15" t="n"/>
      <c r="C96" s="15" t="n"/>
      <c r="D96" s="15" t="n"/>
      <c r="E96" s="15" t="n"/>
      <c r="F96" s="15" t="n"/>
      <c r="G96" s="16">
        <f>IF(F96="","",IFERROR(INDEX(Stammdaten!$B$5:$B$24,MATCH(F96,Stammdaten!$A$5:$A$24,0)),"unbekannt"))</f>
        <v/>
      </c>
      <c r="H96" s="16">
        <f>IF($B96="","",IF(AY96&lt;&gt;"","abgeschlossen",IF(AND(ISNUMBER(AX96),AX96&gt;=TODAY()),"zurückgestellt",IF(OR(AND(ISNUMBER(AA96),AA96&lt;TODAY(),Z96="",AJ96=""),AND(ISNUMBER(Z96),Z96&lt;TODAY(),AJ96=""),AND(ISNUMBER(AB96),AB96&lt;TODAY(),AK96=""),AND(ISNUMBER(AC96),AC96&lt;TODAY(),AO96=""),AND(ISNUMBER(AD96),AD96&lt;TODAY(),AQ96="")),"überfällig","offen"))))</f>
        <v/>
      </c>
      <c r="I96" s="16">
        <f>IF($B96="","",IF(AY96&lt;&gt;"","—",IF(AND(ISNUMBER(AA96),AA96&lt;TODAY(),Z96="",AJ96=""),"Abnahmetermin vereinbaren – Sollfrist verstrichen",IF(AND(ISNUMBER(Z96),Z96&lt;TODAY(),AJ96=""),"Wohnungsabnahme nachtragen – Termin war fällig",IF(AND(ISNUMBER(AB96),AB96&lt;TODAY(),AK96=""),"Handwerker aufbieten – Frist verstrichen",IF(AND(ISNUMBER(AC96),AC96&lt;TODAY(),AO96=""),"Vertrag retour mahnen – Frist verstrichen",IF(AND(ISNUMBER(AD96),AD96&lt;TODAY(),AQ96=""),"Schlüsselübergabe nachtragen – Termin war fällig",IF(M96="","Haftungsdatum erfassen",IF(E96="","ex-Mieter erfassen",IF(AE96="","Kündigung bestätigen / G-Rem",IF(AF96="","Werke / EGT melden",IF(AG96="","Vorbesichtigung (oder n.e.)",IF(AH96="","VMZ aktualisieren",IF(AI96="","Inserat aufschalten",IF(AND(Z96="",AJ96=""),"Abnahmetermin vereinbaren",IF(AJ96="","Wohnungsabnahme durchführen",IF(AK96="","Handwerker aufbieten",IF(AL96="","Zustimmungserklärung einholen",IF(AM96="","Instandstellungen beauftragen",IF(R96="","Nachmieter erfassen",IF(AN96="","Vertrag versenden",IF(AO96="","Vertrag retour erfassen",IF(S96="","Vermietet per erfassen",IF(AP96="","Werke / EGT über Einzug informieren",IF(AND(AD96="",AQ96=""),"Schlüsselübergabe terminieren",IF(AQ96="","Schlüsselübergabe durchführen",IF(AR96="","Reinigung veranlassen",IF(AS96="","Namensschilder bestellen",IF(AT96="","Kaution prüfen / G-Rem mutieren",IF(AU96="","Instandstellungs-Rechnung erfassen",IF(AV96="","Schlussabrechnung erstellen",IF(AW96="","Zahlungseingang kontrollieren","Fall abschliessen"))))))))))))))))))))))))))))))))</f>
        <v/>
      </c>
      <c r="J96" s="17">
        <f>IF(M96="","",IF(S96&lt;&gt;"",MAX(0,S96-M96-1),MAX(0,TODAY()-M96)))</f>
        <v/>
      </c>
      <c r="K96" s="16">
        <f>IF($B96="","",TRIM(IF(AND(L96&lt;&gt;"",M96&lt;&gt;"",M96&lt;L96),"Haftungsdatum vor Kündigung. ","")&amp;IF(AND(S96&lt;&gt;"",M96&lt;&gt;"",S96&lt;M96),"Vermietung vor Leerstandsbeginn. ","")&amp;IF(AND(Z96&lt;&gt;"",L96&lt;&gt;"",Z96&lt;L96),"WA-Termin vor Kündigung. ","")&amp;IF(COUNTIFS($B$5:$B$404,$B96,$AY$5:$AY$404,"")&gt;1,"Zweiter offener Fall zum selben Objekt. ","")&amp;IF(AND($A96&lt;&gt;"",COUNTIFS($A$5:$A$404,$A96)&gt;1),"Fall-Nr. doppelt vergeben. ","")&amp;IF(E96="","ex-Mieter fehlt. ","")&amp;IF(M96="","Haftungsdatum fehlt. ","")&amp;IF(F96="","Bewirtschafter fehlt. ","")&amp;IF(AND(AY96&lt;&gt;"",AW96=""),"Abgeschlossen trotz offener Schlussabrechnung. ","")&amp;IF(AND(AY96="",S96="",ISNUMBER(J96),J96&gt;60),"Langläufer über 60 Tage. ","")))</f>
        <v/>
      </c>
      <c r="L96" s="18" t="n"/>
      <c r="M96" s="18" t="n"/>
      <c r="N96" s="19">
        <f>IF(M96="","",M96+1)</f>
        <v/>
      </c>
      <c r="O96" s="17">
        <f>IF(OR(L96="",M96=""),"",M96-L96)</f>
        <v/>
      </c>
      <c r="P96" s="16">
        <f>IF(M96="","",YEAR(M96+1)&amp;"-"&amp;TEXT(MONTH(M96+1),"00"))</f>
        <v/>
      </c>
      <c r="Q96" s="18" t="n"/>
      <c r="R96" s="15" t="n"/>
      <c r="S96" s="18" t="n"/>
      <c r="T96" s="16">
        <f>IF(U96="","",IF(LEFT(U96,1)="6","abgeschlossen",IF(OR(LEFT(U96,1)="1",LEFT(U96,1)="2"),"Kündigung &amp; Abnahme",IF(OR(LEFT(U96,1)="3",LEFT(U96,1)="4"),"Wiedervermietung","Schlussabrechnung"))))</f>
        <v/>
      </c>
      <c r="U96" s="16">
        <f>IF($B96="","",IF(AY96&lt;&gt;"","6 · abgeschlossen",IF(AW96&lt;&gt;"","5 · bereit zum Abschluss",IF(AT96&lt;&gt;"","5 · Schlussabrechnung",IF(AO96&lt;&gt;"","4 · Übergabe",IF(AM96&lt;&gt;"","3 · Neuvermietung",IF(M96&lt;&gt;"","2 · Abnahme &amp; Vermarktung","1 · Erfassung")))))))</f>
        <v/>
      </c>
      <c r="V96" s="15" t="n"/>
      <c r="W96" s="20" t="n"/>
      <c r="X96" s="15" t="n"/>
      <c r="Y96" s="15" t="n"/>
      <c r="Z96" s="18" t="n"/>
      <c r="AA96" s="19">
        <f>IF(M96="","",M96-30)</f>
        <v/>
      </c>
      <c r="AB96" s="19">
        <f>IF(ISNUMBER(AJ96),AJ96+3,"")</f>
        <v/>
      </c>
      <c r="AC96" s="18" t="n"/>
      <c r="AD96" s="18" t="n"/>
      <c r="AE96" s="18" t="n"/>
      <c r="AF96" s="18" t="n"/>
      <c r="AG96" s="18" t="n"/>
      <c r="AH96" s="18" t="n"/>
      <c r="AI96" s="18" t="n"/>
      <c r="AJ96" s="18" t="n"/>
      <c r="AK96" s="18" t="n"/>
      <c r="AL96" s="18" t="n"/>
      <c r="AM96" s="18" t="n"/>
      <c r="AN96" s="18" t="n"/>
      <c r="AO96" s="18" t="n"/>
      <c r="AP96" s="18" t="n"/>
      <c r="AQ96" s="18" t="n"/>
      <c r="AR96" s="18" t="n"/>
      <c r="AS96" s="18" t="n"/>
      <c r="AT96" s="18" t="n"/>
      <c r="AU96" s="18" t="n"/>
      <c r="AV96" s="18" t="n"/>
      <c r="AW96" s="18" t="n"/>
      <c r="AX96" s="18" t="n"/>
      <c r="AY96" s="18" t="n"/>
      <c r="AZ96" s="15" t="n"/>
    </row>
    <row r="97">
      <c r="A97" s="15" t="n"/>
      <c r="B97" s="15" t="n"/>
      <c r="C97" s="15" t="n"/>
      <c r="D97" s="15" t="n"/>
      <c r="E97" s="15" t="n"/>
      <c r="F97" s="15" t="n"/>
      <c r="G97" s="16">
        <f>IF(F97="","",IFERROR(INDEX(Stammdaten!$B$5:$B$24,MATCH(F97,Stammdaten!$A$5:$A$24,0)),"unbekannt"))</f>
        <v/>
      </c>
      <c r="H97" s="16">
        <f>IF($B97="","",IF(AY97&lt;&gt;"","abgeschlossen",IF(AND(ISNUMBER(AX97),AX97&gt;=TODAY()),"zurückgestellt",IF(OR(AND(ISNUMBER(AA97),AA97&lt;TODAY(),Z97="",AJ97=""),AND(ISNUMBER(Z97),Z97&lt;TODAY(),AJ97=""),AND(ISNUMBER(AB97),AB97&lt;TODAY(),AK97=""),AND(ISNUMBER(AC97),AC97&lt;TODAY(),AO97=""),AND(ISNUMBER(AD97),AD97&lt;TODAY(),AQ97="")),"überfällig","offen"))))</f>
        <v/>
      </c>
      <c r="I97" s="16">
        <f>IF($B97="","",IF(AY97&lt;&gt;"","—",IF(AND(ISNUMBER(AA97),AA97&lt;TODAY(),Z97="",AJ97=""),"Abnahmetermin vereinbaren – Sollfrist verstrichen",IF(AND(ISNUMBER(Z97),Z97&lt;TODAY(),AJ97=""),"Wohnungsabnahme nachtragen – Termin war fällig",IF(AND(ISNUMBER(AB97),AB97&lt;TODAY(),AK97=""),"Handwerker aufbieten – Frist verstrichen",IF(AND(ISNUMBER(AC97),AC97&lt;TODAY(),AO97=""),"Vertrag retour mahnen – Frist verstrichen",IF(AND(ISNUMBER(AD97),AD97&lt;TODAY(),AQ97=""),"Schlüsselübergabe nachtragen – Termin war fällig",IF(M97="","Haftungsdatum erfassen",IF(E97="","ex-Mieter erfassen",IF(AE97="","Kündigung bestätigen / G-Rem",IF(AF97="","Werke / EGT melden",IF(AG97="","Vorbesichtigung (oder n.e.)",IF(AH97="","VMZ aktualisieren",IF(AI97="","Inserat aufschalten",IF(AND(Z97="",AJ97=""),"Abnahmetermin vereinbaren",IF(AJ97="","Wohnungsabnahme durchführen",IF(AK97="","Handwerker aufbieten",IF(AL97="","Zustimmungserklärung einholen",IF(AM97="","Instandstellungen beauftragen",IF(R97="","Nachmieter erfassen",IF(AN97="","Vertrag versenden",IF(AO97="","Vertrag retour erfassen",IF(S97="","Vermietet per erfassen",IF(AP97="","Werke / EGT über Einzug informieren",IF(AND(AD97="",AQ97=""),"Schlüsselübergabe terminieren",IF(AQ97="","Schlüsselübergabe durchführen",IF(AR97="","Reinigung veranlassen",IF(AS97="","Namensschilder bestellen",IF(AT97="","Kaution prüfen / G-Rem mutieren",IF(AU97="","Instandstellungs-Rechnung erfassen",IF(AV97="","Schlussabrechnung erstellen",IF(AW97="","Zahlungseingang kontrollieren","Fall abschliessen"))))))))))))))))))))))))))))))))</f>
        <v/>
      </c>
      <c r="J97" s="17">
        <f>IF(M97="","",IF(S97&lt;&gt;"",MAX(0,S97-M97-1),MAX(0,TODAY()-M97)))</f>
        <v/>
      </c>
      <c r="K97" s="16">
        <f>IF($B97="","",TRIM(IF(AND(L97&lt;&gt;"",M97&lt;&gt;"",M97&lt;L97),"Haftungsdatum vor Kündigung. ","")&amp;IF(AND(S97&lt;&gt;"",M97&lt;&gt;"",S97&lt;M97),"Vermietung vor Leerstandsbeginn. ","")&amp;IF(AND(Z97&lt;&gt;"",L97&lt;&gt;"",Z97&lt;L97),"WA-Termin vor Kündigung. ","")&amp;IF(COUNTIFS($B$5:$B$404,$B97,$AY$5:$AY$404,"")&gt;1,"Zweiter offener Fall zum selben Objekt. ","")&amp;IF(AND($A97&lt;&gt;"",COUNTIFS($A$5:$A$404,$A97)&gt;1),"Fall-Nr. doppelt vergeben. ","")&amp;IF(E97="","ex-Mieter fehlt. ","")&amp;IF(M97="","Haftungsdatum fehlt. ","")&amp;IF(F97="","Bewirtschafter fehlt. ","")&amp;IF(AND(AY97&lt;&gt;"",AW97=""),"Abgeschlossen trotz offener Schlussabrechnung. ","")&amp;IF(AND(AY97="",S97="",ISNUMBER(J97),J97&gt;60),"Langläufer über 60 Tage. ","")))</f>
        <v/>
      </c>
      <c r="L97" s="18" t="n"/>
      <c r="M97" s="18" t="n"/>
      <c r="N97" s="19">
        <f>IF(M97="","",M97+1)</f>
        <v/>
      </c>
      <c r="O97" s="17">
        <f>IF(OR(L97="",M97=""),"",M97-L97)</f>
        <v/>
      </c>
      <c r="P97" s="16">
        <f>IF(M97="","",YEAR(M97+1)&amp;"-"&amp;TEXT(MONTH(M97+1),"00"))</f>
        <v/>
      </c>
      <c r="Q97" s="18" t="n"/>
      <c r="R97" s="15" t="n"/>
      <c r="S97" s="18" t="n"/>
      <c r="T97" s="16">
        <f>IF(U97="","",IF(LEFT(U97,1)="6","abgeschlossen",IF(OR(LEFT(U97,1)="1",LEFT(U97,1)="2"),"Kündigung &amp; Abnahme",IF(OR(LEFT(U97,1)="3",LEFT(U97,1)="4"),"Wiedervermietung","Schlussabrechnung"))))</f>
        <v/>
      </c>
      <c r="U97" s="16">
        <f>IF($B97="","",IF(AY97&lt;&gt;"","6 · abgeschlossen",IF(AW97&lt;&gt;"","5 · bereit zum Abschluss",IF(AT97&lt;&gt;"","5 · Schlussabrechnung",IF(AO97&lt;&gt;"","4 · Übergabe",IF(AM97&lt;&gt;"","3 · Neuvermietung",IF(M97&lt;&gt;"","2 · Abnahme &amp; Vermarktung","1 · Erfassung")))))))</f>
        <v/>
      </c>
      <c r="V97" s="15" t="n"/>
      <c r="W97" s="20" t="n"/>
      <c r="X97" s="15" t="n"/>
      <c r="Y97" s="15" t="n"/>
      <c r="Z97" s="18" t="n"/>
      <c r="AA97" s="19">
        <f>IF(M97="","",M97-30)</f>
        <v/>
      </c>
      <c r="AB97" s="19">
        <f>IF(ISNUMBER(AJ97),AJ97+3,"")</f>
        <v/>
      </c>
      <c r="AC97" s="18" t="n"/>
      <c r="AD97" s="18" t="n"/>
      <c r="AE97" s="18" t="n"/>
      <c r="AF97" s="18" t="n"/>
      <c r="AG97" s="18" t="n"/>
      <c r="AH97" s="18" t="n"/>
      <c r="AI97" s="18" t="n"/>
      <c r="AJ97" s="18" t="n"/>
      <c r="AK97" s="18" t="n"/>
      <c r="AL97" s="18" t="n"/>
      <c r="AM97" s="18" t="n"/>
      <c r="AN97" s="18" t="n"/>
      <c r="AO97" s="18" t="n"/>
      <c r="AP97" s="18" t="n"/>
      <c r="AQ97" s="18" t="n"/>
      <c r="AR97" s="18" t="n"/>
      <c r="AS97" s="18" t="n"/>
      <c r="AT97" s="18" t="n"/>
      <c r="AU97" s="18" t="n"/>
      <c r="AV97" s="18" t="n"/>
      <c r="AW97" s="18" t="n"/>
      <c r="AX97" s="18" t="n"/>
      <c r="AY97" s="18" t="n"/>
      <c r="AZ97" s="15" t="n"/>
    </row>
    <row r="98">
      <c r="A98" s="15" t="n"/>
      <c r="B98" s="15" t="n"/>
      <c r="C98" s="15" t="n"/>
      <c r="D98" s="15" t="n"/>
      <c r="E98" s="15" t="n"/>
      <c r="F98" s="15" t="n"/>
      <c r="G98" s="16">
        <f>IF(F98="","",IFERROR(INDEX(Stammdaten!$B$5:$B$24,MATCH(F98,Stammdaten!$A$5:$A$24,0)),"unbekannt"))</f>
        <v/>
      </c>
      <c r="H98" s="16">
        <f>IF($B98="","",IF(AY98&lt;&gt;"","abgeschlossen",IF(AND(ISNUMBER(AX98),AX98&gt;=TODAY()),"zurückgestellt",IF(OR(AND(ISNUMBER(AA98),AA98&lt;TODAY(),Z98="",AJ98=""),AND(ISNUMBER(Z98),Z98&lt;TODAY(),AJ98=""),AND(ISNUMBER(AB98),AB98&lt;TODAY(),AK98=""),AND(ISNUMBER(AC98),AC98&lt;TODAY(),AO98=""),AND(ISNUMBER(AD98),AD98&lt;TODAY(),AQ98="")),"überfällig","offen"))))</f>
        <v/>
      </c>
      <c r="I98" s="16">
        <f>IF($B98="","",IF(AY98&lt;&gt;"","—",IF(AND(ISNUMBER(AA98),AA98&lt;TODAY(),Z98="",AJ98=""),"Abnahmetermin vereinbaren – Sollfrist verstrichen",IF(AND(ISNUMBER(Z98),Z98&lt;TODAY(),AJ98=""),"Wohnungsabnahme nachtragen – Termin war fällig",IF(AND(ISNUMBER(AB98),AB98&lt;TODAY(),AK98=""),"Handwerker aufbieten – Frist verstrichen",IF(AND(ISNUMBER(AC98),AC98&lt;TODAY(),AO98=""),"Vertrag retour mahnen – Frist verstrichen",IF(AND(ISNUMBER(AD98),AD98&lt;TODAY(),AQ98=""),"Schlüsselübergabe nachtragen – Termin war fällig",IF(M98="","Haftungsdatum erfassen",IF(E98="","ex-Mieter erfassen",IF(AE98="","Kündigung bestätigen / G-Rem",IF(AF98="","Werke / EGT melden",IF(AG98="","Vorbesichtigung (oder n.e.)",IF(AH98="","VMZ aktualisieren",IF(AI98="","Inserat aufschalten",IF(AND(Z98="",AJ98=""),"Abnahmetermin vereinbaren",IF(AJ98="","Wohnungsabnahme durchführen",IF(AK98="","Handwerker aufbieten",IF(AL98="","Zustimmungserklärung einholen",IF(AM98="","Instandstellungen beauftragen",IF(R98="","Nachmieter erfassen",IF(AN98="","Vertrag versenden",IF(AO98="","Vertrag retour erfassen",IF(S98="","Vermietet per erfassen",IF(AP98="","Werke / EGT über Einzug informieren",IF(AND(AD98="",AQ98=""),"Schlüsselübergabe terminieren",IF(AQ98="","Schlüsselübergabe durchführen",IF(AR98="","Reinigung veranlassen",IF(AS98="","Namensschilder bestellen",IF(AT98="","Kaution prüfen / G-Rem mutieren",IF(AU98="","Instandstellungs-Rechnung erfassen",IF(AV98="","Schlussabrechnung erstellen",IF(AW98="","Zahlungseingang kontrollieren","Fall abschliessen"))))))))))))))))))))))))))))))))</f>
        <v/>
      </c>
      <c r="J98" s="17">
        <f>IF(M98="","",IF(S98&lt;&gt;"",MAX(0,S98-M98-1),MAX(0,TODAY()-M98)))</f>
        <v/>
      </c>
      <c r="K98" s="16">
        <f>IF($B98="","",TRIM(IF(AND(L98&lt;&gt;"",M98&lt;&gt;"",M98&lt;L98),"Haftungsdatum vor Kündigung. ","")&amp;IF(AND(S98&lt;&gt;"",M98&lt;&gt;"",S98&lt;M98),"Vermietung vor Leerstandsbeginn. ","")&amp;IF(AND(Z98&lt;&gt;"",L98&lt;&gt;"",Z98&lt;L98),"WA-Termin vor Kündigung. ","")&amp;IF(COUNTIFS($B$5:$B$404,$B98,$AY$5:$AY$404,"")&gt;1,"Zweiter offener Fall zum selben Objekt. ","")&amp;IF(AND($A98&lt;&gt;"",COUNTIFS($A$5:$A$404,$A98)&gt;1),"Fall-Nr. doppelt vergeben. ","")&amp;IF(E98="","ex-Mieter fehlt. ","")&amp;IF(M98="","Haftungsdatum fehlt. ","")&amp;IF(F98="","Bewirtschafter fehlt. ","")&amp;IF(AND(AY98&lt;&gt;"",AW98=""),"Abgeschlossen trotz offener Schlussabrechnung. ","")&amp;IF(AND(AY98="",S98="",ISNUMBER(J98),J98&gt;60),"Langläufer über 60 Tage. ","")))</f>
        <v/>
      </c>
      <c r="L98" s="18" t="n"/>
      <c r="M98" s="18" t="n"/>
      <c r="N98" s="19">
        <f>IF(M98="","",M98+1)</f>
        <v/>
      </c>
      <c r="O98" s="17">
        <f>IF(OR(L98="",M98=""),"",M98-L98)</f>
        <v/>
      </c>
      <c r="P98" s="16">
        <f>IF(M98="","",YEAR(M98+1)&amp;"-"&amp;TEXT(MONTH(M98+1),"00"))</f>
        <v/>
      </c>
      <c r="Q98" s="18" t="n"/>
      <c r="R98" s="15" t="n"/>
      <c r="S98" s="18" t="n"/>
      <c r="T98" s="16">
        <f>IF(U98="","",IF(LEFT(U98,1)="6","abgeschlossen",IF(OR(LEFT(U98,1)="1",LEFT(U98,1)="2"),"Kündigung &amp; Abnahme",IF(OR(LEFT(U98,1)="3",LEFT(U98,1)="4"),"Wiedervermietung","Schlussabrechnung"))))</f>
        <v/>
      </c>
      <c r="U98" s="16">
        <f>IF($B98="","",IF(AY98&lt;&gt;"","6 · abgeschlossen",IF(AW98&lt;&gt;"","5 · bereit zum Abschluss",IF(AT98&lt;&gt;"","5 · Schlussabrechnung",IF(AO98&lt;&gt;"","4 · Übergabe",IF(AM98&lt;&gt;"","3 · Neuvermietung",IF(M98&lt;&gt;"","2 · Abnahme &amp; Vermarktung","1 · Erfassung")))))))</f>
        <v/>
      </c>
      <c r="V98" s="15" t="n"/>
      <c r="W98" s="20" t="n"/>
      <c r="X98" s="15" t="n"/>
      <c r="Y98" s="15" t="n"/>
      <c r="Z98" s="18" t="n"/>
      <c r="AA98" s="19">
        <f>IF(M98="","",M98-30)</f>
        <v/>
      </c>
      <c r="AB98" s="19">
        <f>IF(ISNUMBER(AJ98),AJ98+3,"")</f>
        <v/>
      </c>
      <c r="AC98" s="18" t="n"/>
      <c r="AD98" s="18" t="n"/>
      <c r="AE98" s="18" t="n"/>
      <c r="AF98" s="18" t="n"/>
      <c r="AG98" s="18" t="n"/>
      <c r="AH98" s="18" t="n"/>
      <c r="AI98" s="18" t="n"/>
      <c r="AJ98" s="18" t="n"/>
      <c r="AK98" s="18" t="n"/>
      <c r="AL98" s="18" t="n"/>
      <c r="AM98" s="18" t="n"/>
      <c r="AN98" s="18" t="n"/>
      <c r="AO98" s="18" t="n"/>
      <c r="AP98" s="18" t="n"/>
      <c r="AQ98" s="18" t="n"/>
      <c r="AR98" s="18" t="n"/>
      <c r="AS98" s="18" t="n"/>
      <c r="AT98" s="18" t="n"/>
      <c r="AU98" s="18" t="n"/>
      <c r="AV98" s="18" t="n"/>
      <c r="AW98" s="18" t="n"/>
      <c r="AX98" s="18" t="n"/>
      <c r="AY98" s="18" t="n"/>
      <c r="AZ98" s="15" t="n"/>
    </row>
    <row r="99">
      <c r="A99" s="15" t="n"/>
      <c r="B99" s="15" t="n"/>
      <c r="C99" s="15" t="n"/>
      <c r="D99" s="15" t="n"/>
      <c r="E99" s="15" t="n"/>
      <c r="F99" s="15" t="n"/>
      <c r="G99" s="16">
        <f>IF(F99="","",IFERROR(INDEX(Stammdaten!$B$5:$B$24,MATCH(F99,Stammdaten!$A$5:$A$24,0)),"unbekannt"))</f>
        <v/>
      </c>
      <c r="H99" s="16">
        <f>IF($B99="","",IF(AY99&lt;&gt;"","abgeschlossen",IF(AND(ISNUMBER(AX99),AX99&gt;=TODAY()),"zurückgestellt",IF(OR(AND(ISNUMBER(AA99),AA99&lt;TODAY(),Z99="",AJ99=""),AND(ISNUMBER(Z99),Z99&lt;TODAY(),AJ99=""),AND(ISNUMBER(AB99),AB99&lt;TODAY(),AK99=""),AND(ISNUMBER(AC99),AC99&lt;TODAY(),AO99=""),AND(ISNUMBER(AD99),AD99&lt;TODAY(),AQ99="")),"überfällig","offen"))))</f>
        <v/>
      </c>
      <c r="I99" s="16">
        <f>IF($B99="","",IF(AY99&lt;&gt;"","—",IF(AND(ISNUMBER(AA99),AA99&lt;TODAY(),Z99="",AJ99=""),"Abnahmetermin vereinbaren – Sollfrist verstrichen",IF(AND(ISNUMBER(Z99),Z99&lt;TODAY(),AJ99=""),"Wohnungsabnahme nachtragen – Termin war fällig",IF(AND(ISNUMBER(AB99),AB99&lt;TODAY(),AK99=""),"Handwerker aufbieten – Frist verstrichen",IF(AND(ISNUMBER(AC99),AC99&lt;TODAY(),AO99=""),"Vertrag retour mahnen – Frist verstrichen",IF(AND(ISNUMBER(AD99),AD99&lt;TODAY(),AQ99=""),"Schlüsselübergabe nachtragen – Termin war fällig",IF(M99="","Haftungsdatum erfassen",IF(E99="","ex-Mieter erfassen",IF(AE99="","Kündigung bestätigen / G-Rem",IF(AF99="","Werke / EGT melden",IF(AG99="","Vorbesichtigung (oder n.e.)",IF(AH99="","VMZ aktualisieren",IF(AI99="","Inserat aufschalten",IF(AND(Z99="",AJ99=""),"Abnahmetermin vereinbaren",IF(AJ99="","Wohnungsabnahme durchführen",IF(AK99="","Handwerker aufbieten",IF(AL99="","Zustimmungserklärung einholen",IF(AM99="","Instandstellungen beauftragen",IF(R99="","Nachmieter erfassen",IF(AN99="","Vertrag versenden",IF(AO99="","Vertrag retour erfassen",IF(S99="","Vermietet per erfassen",IF(AP99="","Werke / EGT über Einzug informieren",IF(AND(AD99="",AQ99=""),"Schlüsselübergabe terminieren",IF(AQ99="","Schlüsselübergabe durchführen",IF(AR99="","Reinigung veranlassen",IF(AS99="","Namensschilder bestellen",IF(AT99="","Kaution prüfen / G-Rem mutieren",IF(AU99="","Instandstellungs-Rechnung erfassen",IF(AV99="","Schlussabrechnung erstellen",IF(AW99="","Zahlungseingang kontrollieren","Fall abschliessen"))))))))))))))))))))))))))))))))</f>
        <v/>
      </c>
      <c r="J99" s="17">
        <f>IF(M99="","",IF(S99&lt;&gt;"",MAX(0,S99-M99-1),MAX(0,TODAY()-M99)))</f>
        <v/>
      </c>
      <c r="K99" s="16">
        <f>IF($B99="","",TRIM(IF(AND(L99&lt;&gt;"",M99&lt;&gt;"",M99&lt;L99),"Haftungsdatum vor Kündigung. ","")&amp;IF(AND(S99&lt;&gt;"",M99&lt;&gt;"",S99&lt;M99),"Vermietung vor Leerstandsbeginn. ","")&amp;IF(AND(Z99&lt;&gt;"",L99&lt;&gt;"",Z99&lt;L99),"WA-Termin vor Kündigung. ","")&amp;IF(COUNTIFS($B$5:$B$404,$B99,$AY$5:$AY$404,"")&gt;1,"Zweiter offener Fall zum selben Objekt. ","")&amp;IF(AND($A99&lt;&gt;"",COUNTIFS($A$5:$A$404,$A99)&gt;1),"Fall-Nr. doppelt vergeben. ","")&amp;IF(E99="","ex-Mieter fehlt. ","")&amp;IF(M99="","Haftungsdatum fehlt. ","")&amp;IF(F99="","Bewirtschafter fehlt. ","")&amp;IF(AND(AY99&lt;&gt;"",AW99=""),"Abgeschlossen trotz offener Schlussabrechnung. ","")&amp;IF(AND(AY99="",S99="",ISNUMBER(J99),J99&gt;60),"Langläufer über 60 Tage. ","")))</f>
        <v/>
      </c>
      <c r="L99" s="18" t="n"/>
      <c r="M99" s="18" t="n"/>
      <c r="N99" s="19">
        <f>IF(M99="","",M99+1)</f>
        <v/>
      </c>
      <c r="O99" s="17">
        <f>IF(OR(L99="",M99=""),"",M99-L99)</f>
        <v/>
      </c>
      <c r="P99" s="16">
        <f>IF(M99="","",YEAR(M99+1)&amp;"-"&amp;TEXT(MONTH(M99+1),"00"))</f>
        <v/>
      </c>
      <c r="Q99" s="18" t="n"/>
      <c r="R99" s="15" t="n"/>
      <c r="S99" s="18" t="n"/>
      <c r="T99" s="16">
        <f>IF(U99="","",IF(LEFT(U99,1)="6","abgeschlossen",IF(OR(LEFT(U99,1)="1",LEFT(U99,1)="2"),"Kündigung &amp; Abnahme",IF(OR(LEFT(U99,1)="3",LEFT(U99,1)="4"),"Wiedervermietung","Schlussabrechnung"))))</f>
        <v/>
      </c>
      <c r="U99" s="16">
        <f>IF($B99="","",IF(AY99&lt;&gt;"","6 · abgeschlossen",IF(AW99&lt;&gt;"","5 · bereit zum Abschluss",IF(AT99&lt;&gt;"","5 · Schlussabrechnung",IF(AO99&lt;&gt;"","4 · Übergabe",IF(AM99&lt;&gt;"","3 · Neuvermietung",IF(M99&lt;&gt;"","2 · Abnahme &amp; Vermarktung","1 · Erfassung")))))))</f>
        <v/>
      </c>
      <c r="V99" s="15" t="n"/>
      <c r="W99" s="20" t="n"/>
      <c r="X99" s="15" t="n"/>
      <c r="Y99" s="15" t="n"/>
      <c r="Z99" s="18" t="n"/>
      <c r="AA99" s="19">
        <f>IF(M99="","",M99-30)</f>
        <v/>
      </c>
      <c r="AB99" s="19">
        <f>IF(ISNUMBER(AJ99),AJ99+3,"")</f>
        <v/>
      </c>
      <c r="AC99" s="18" t="n"/>
      <c r="AD99" s="18" t="n"/>
      <c r="AE99" s="18" t="n"/>
      <c r="AF99" s="18" t="n"/>
      <c r="AG99" s="18" t="n"/>
      <c r="AH99" s="18" t="n"/>
      <c r="AI99" s="18" t="n"/>
      <c r="AJ99" s="18" t="n"/>
      <c r="AK99" s="18" t="n"/>
      <c r="AL99" s="18" t="n"/>
      <c r="AM99" s="18" t="n"/>
      <c r="AN99" s="18" t="n"/>
      <c r="AO99" s="18" t="n"/>
      <c r="AP99" s="18" t="n"/>
      <c r="AQ99" s="18" t="n"/>
      <c r="AR99" s="18" t="n"/>
      <c r="AS99" s="18" t="n"/>
      <c r="AT99" s="18" t="n"/>
      <c r="AU99" s="18" t="n"/>
      <c r="AV99" s="18" t="n"/>
      <c r="AW99" s="18" t="n"/>
      <c r="AX99" s="18" t="n"/>
      <c r="AY99" s="18" t="n"/>
      <c r="AZ99" s="15" t="n"/>
    </row>
    <row r="100">
      <c r="A100" s="15" t="n"/>
      <c r="B100" s="15" t="n"/>
      <c r="C100" s="15" t="n"/>
      <c r="D100" s="15" t="n"/>
      <c r="E100" s="15" t="n"/>
      <c r="F100" s="15" t="n"/>
      <c r="G100" s="16">
        <f>IF(F100="","",IFERROR(INDEX(Stammdaten!$B$5:$B$24,MATCH(F100,Stammdaten!$A$5:$A$24,0)),"unbekannt"))</f>
        <v/>
      </c>
      <c r="H100" s="16">
        <f>IF($B100="","",IF(AY100&lt;&gt;"","abgeschlossen",IF(AND(ISNUMBER(AX100),AX100&gt;=TODAY()),"zurückgestellt",IF(OR(AND(ISNUMBER(AA100),AA100&lt;TODAY(),Z100="",AJ100=""),AND(ISNUMBER(Z100),Z100&lt;TODAY(),AJ100=""),AND(ISNUMBER(AB100),AB100&lt;TODAY(),AK100=""),AND(ISNUMBER(AC100),AC100&lt;TODAY(),AO100=""),AND(ISNUMBER(AD100),AD100&lt;TODAY(),AQ100="")),"überfällig","offen"))))</f>
        <v/>
      </c>
      <c r="I100" s="16">
        <f>IF($B100="","",IF(AY100&lt;&gt;"","—",IF(AND(ISNUMBER(AA100),AA100&lt;TODAY(),Z100="",AJ100=""),"Abnahmetermin vereinbaren – Sollfrist verstrichen",IF(AND(ISNUMBER(Z100),Z100&lt;TODAY(),AJ100=""),"Wohnungsabnahme nachtragen – Termin war fällig",IF(AND(ISNUMBER(AB100),AB100&lt;TODAY(),AK100=""),"Handwerker aufbieten – Frist verstrichen",IF(AND(ISNUMBER(AC100),AC100&lt;TODAY(),AO100=""),"Vertrag retour mahnen – Frist verstrichen",IF(AND(ISNUMBER(AD100),AD100&lt;TODAY(),AQ100=""),"Schlüsselübergabe nachtragen – Termin war fällig",IF(M100="","Haftungsdatum erfassen",IF(E100="","ex-Mieter erfassen",IF(AE100="","Kündigung bestätigen / G-Rem",IF(AF100="","Werke / EGT melden",IF(AG100="","Vorbesichtigung (oder n.e.)",IF(AH100="","VMZ aktualisieren",IF(AI100="","Inserat aufschalten",IF(AND(Z100="",AJ100=""),"Abnahmetermin vereinbaren",IF(AJ100="","Wohnungsabnahme durchführen",IF(AK100="","Handwerker aufbieten",IF(AL100="","Zustimmungserklärung einholen",IF(AM100="","Instandstellungen beauftragen",IF(R100="","Nachmieter erfassen",IF(AN100="","Vertrag versenden",IF(AO100="","Vertrag retour erfassen",IF(S100="","Vermietet per erfassen",IF(AP100="","Werke / EGT über Einzug informieren",IF(AND(AD100="",AQ100=""),"Schlüsselübergabe terminieren",IF(AQ100="","Schlüsselübergabe durchführen",IF(AR100="","Reinigung veranlassen",IF(AS100="","Namensschilder bestellen",IF(AT100="","Kaution prüfen / G-Rem mutieren",IF(AU100="","Instandstellungs-Rechnung erfassen",IF(AV100="","Schlussabrechnung erstellen",IF(AW100="","Zahlungseingang kontrollieren","Fall abschliessen"))))))))))))))))))))))))))))))))</f>
        <v/>
      </c>
      <c r="J100" s="17">
        <f>IF(M100="","",IF(S100&lt;&gt;"",MAX(0,S100-M100-1),MAX(0,TODAY()-M100)))</f>
        <v/>
      </c>
      <c r="K100" s="16">
        <f>IF($B100="","",TRIM(IF(AND(L100&lt;&gt;"",M100&lt;&gt;"",M100&lt;L100),"Haftungsdatum vor Kündigung. ","")&amp;IF(AND(S100&lt;&gt;"",M100&lt;&gt;"",S100&lt;M100),"Vermietung vor Leerstandsbeginn. ","")&amp;IF(AND(Z100&lt;&gt;"",L100&lt;&gt;"",Z100&lt;L100),"WA-Termin vor Kündigung. ","")&amp;IF(COUNTIFS($B$5:$B$404,$B100,$AY$5:$AY$404,"")&gt;1,"Zweiter offener Fall zum selben Objekt. ","")&amp;IF(AND($A100&lt;&gt;"",COUNTIFS($A$5:$A$404,$A100)&gt;1),"Fall-Nr. doppelt vergeben. ","")&amp;IF(E100="","ex-Mieter fehlt. ","")&amp;IF(M100="","Haftungsdatum fehlt. ","")&amp;IF(F100="","Bewirtschafter fehlt. ","")&amp;IF(AND(AY100&lt;&gt;"",AW100=""),"Abgeschlossen trotz offener Schlussabrechnung. ","")&amp;IF(AND(AY100="",S100="",ISNUMBER(J100),J100&gt;60),"Langläufer über 60 Tage. ","")))</f>
        <v/>
      </c>
      <c r="L100" s="18" t="n"/>
      <c r="M100" s="18" t="n"/>
      <c r="N100" s="19">
        <f>IF(M100="","",M100+1)</f>
        <v/>
      </c>
      <c r="O100" s="17">
        <f>IF(OR(L100="",M100=""),"",M100-L100)</f>
        <v/>
      </c>
      <c r="P100" s="16">
        <f>IF(M100="","",YEAR(M100+1)&amp;"-"&amp;TEXT(MONTH(M100+1),"00"))</f>
        <v/>
      </c>
      <c r="Q100" s="18" t="n"/>
      <c r="R100" s="15" t="n"/>
      <c r="S100" s="18" t="n"/>
      <c r="T100" s="16">
        <f>IF(U100="","",IF(LEFT(U100,1)="6","abgeschlossen",IF(OR(LEFT(U100,1)="1",LEFT(U100,1)="2"),"Kündigung &amp; Abnahme",IF(OR(LEFT(U100,1)="3",LEFT(U100,1)="4"),"Wiedervermietung","Schlussabrechnung"))))</f>
        <v/>
      </c>
      <c r="U100" s="16">
        <f>IF($B100="","",IF(AY100&lt;&gt;"","6 · abgeschlossen",IF(AW100&lt;&gt;"","5 · bereit zum Abschluss",IF(AT100&lt;&gt;"","5 · Schlussabrechnung",IF(AO100&lt;&gt;"","4 · Übergabe",IF(AM100&lt;&gt;"","3 · Neuvermietung",IF(M100&lt;&gt;"","2 · Abnahme &amp; Vermarktung","1 · Erfassung")))))))</f>
        <v/>
      </c>
      <c r="V100" s="15" t="n"/>
      <c r="W100" s="20" t="n"/>
      <c r="X100" s="15" t="n"/>
      <c r="Y100" s="15" t="n"/>
      <c r="Z100" s="18" t="n"/>
      <c r="AA100" s="19">
        <f>IF(M100="","",M100-30)</f>
        <v/>
      </c>
      <c r="AB100" s="19">
        <f>IF(ISNUMBER(AJ100),AJ100+3,"")</f>
        <v/>
      </c>
      <c r="AC100" s="18" t="n"/>
      <c r="AD100" s="18" t="n"/>
      <c r="AE100" s="18" t="n"/>
      <c r="AF100" s="18" t="n"/>
      <c r="AG100" s="18" t="n"/>
      <c r="AH100" s="18" t="n"/>
      <c r="AI100" s="18" t="n"/>
      <c r="AJ100" s="18" t="n"/>
      <c r="AK100" s="18" t="n"/>
      <c r="AL100" s="18" t="n"/>
      <c r="AM100" s="18" t="n"/>
      <c r="AN100" s="18" t="n"/>
      <c r="AO100" s="18" t="n"/>
      <c r="AP100" s="18" t="n"/>
      <c r="AQ100" s="18" t="n"/>
      <c r="AR100" s="18" t="n"/>
      <c r="AS100" s="18" t="n"/>
      <c r="AT100" s="18" t="n"/>
      <c r="AU100" s="18" t="n"/>
      <c r="AV100" s="18" t="n"/>
      <c r="AW100" s="18" t="n"/>
      <c r="AX100" s="18" t="n"/>
      <c r="AY100" s="18" t="n"/>
      <c r="AZ100" s="15" t="n"/>
    </row>
    <row r="101">
      <c r="A101" s="15" t="n"/>
      <c r="B101" s="15" t="n"/>
      <c r="C101" s="15" t="n"/>
      <c r="D101" s="15" t="n"/>
      <c r="E101" s="15" t="n"/>
      <c r="F101" s="15" t="n"/>
      <c r="G101" s="16">
        <f>IF(F101="","",IFERROR(INDEX(Stammdaten!$B$5:$B$24,MATCH(F101,Stammdaten!$A$5:$A$24,0)),"unbekannt"))</f>
        <v/>
      </c>
      <c r="H101" s="16">
        <f>IF($B101="","",IF(AY101&lt;&gt;"","abgeschlossen",IF(AND(ISNUMBER(AX101),AX101&gt;=TODAY()),"zurückgestellt",IF(OR(AND(ISNUMBER(AA101),AA101&lt;TODAY(),Z101="",AJ101=""),AND(ISNUMBER(Z101),Z101&lt;TODAY(),AJ101=""),AND(ISNUMBER(AB101),AB101&lt;TODAY(),AK101=""),AND(ISNUMBER(AC101),AC101&lt;TODAY(),AO101=""),AND(ISNUMBER(AD101),AD101&lt;TODAY(),AQ101="")),"überfällig","offen"))))</f>
        <v/>
      </c>
      <c r="I101" s="16">
        <f>IF($B101="","",IF(AY101&lt;&gt;"","—",IF(AND(ISNUMBER(AA101),AA101&lt;TODAY(),Z101="",AJ101=""),"Abnahmetermin vereinbaren – Sollfrist verstrichen",IF(AND(ISNUMBER(Z101),Z101&lt;TODAY(),AJ101=""),"Wohnungsabnahme nachtragen – Termin war fällig",IF(AND(ISNUMBER(AB101),AB101&lt;TODAY(),AK101=""),"Handwerker aufbieten – Frist verstrichen",IF(AND(ISNUMBER(AC101),AC101&lt;TODAY(),AO101=""),"Vertrag retour mahnen – Frist verstrichen",IF(AND(ISNUMBER(AD101),AD101&lt;TODAY(),AQ101=""),"Schlüsselübergabe nachtragen – Termin war fällig",IF(M101="","Haftungsdatum erfassen",IF(E101="","ex-Mieter erfassen",IF(AE101="","Kündigung bestätigen / G-Rem",IF(AF101="","Werke / EGT melden",IF(AG101="","Vorbesichtigung (oder n.e.)",IF(AH101="","VMZ aktualisieren",IF(AI101="","Inserat aufschalten",IF(AND(Z101="",AJ101=""),"Abnahmetermin vereinbaren",IF(AJ101="","Wohnungsabnahme durchführen",IF(AK101="","Handwerker aufbieten",IF(AL101="","Zustimmungserklärung einholen",IF(AM101="","Instandstellungen beauftragen",IF(R101="","Nachmieter erfassen",IF(AN101="","Vertrag versenden",IF(AO101="","Vertrag retour erfassen",IF(S101="","Vermietet per erfassen",IF(AP101="","Werke / EGT über Einzug informieren",IF(AND(AD101="",AQ101=""),"Schlüsselübergabe terminieren",IF(AQ101="","Schlüsselübergabe durchführen",IF(AR101="","Reinigung veranlassen",IF(AS101="","Namensschilder bestellen",IF(AT101="","Kaution prüfen / G-Rem mutieren",IF(AU101="","Instandstellungs-Rechnung erfassen",IF(AV101="","Schlussabrechnung erstellen",IF(AW101="","Zahlungseingang kontrollieren","Fall abschliessen"))))))))))))))))))))))))))))))))</f>
        <v/>
      </c>
      <c r="J101" s="17">
        <f>IF(M101="","",IF(S101&lt;&gt;"",MAX(0,S101-M101-1),MAX(0,TODAY()-M101)))</f>
        <v/>
      </c>
      <c r="K101" s="16">
        <f>IF($B101="","",TRIM(IF(AND(L101&lt;&gt;"",M101&lt;&gt;"",M101&lt;L101),"Haftungsdatum vor Kündigung. ","")&amp;IF(AND(S101&lt;&gt;"",M101&lt;&gt;"",S101&lt;M101),"Vermietung vor Leerstandsbeginn. ","")&amp;IF(AND(Z101&lt;&gt;"",L101&lt;&gt;"",Z101&lt;L101),"WA-Termin vor Kündigung. ","")&amp;IF(COUNTIFS($B$5:$B$404,$B101,$AY$5:$AY$404,"")&gt;1,"Zweiter offener Fall zum selben Objekt. ","")&amp;IF(AND($A101&lt;&gt;"",COUNTIFS($A$5:$A$404,$A101)&gt;1),"Fall-Nr. doppelt vergeben. ","")&amp;IF(E101="","ex-Mieter fehlt. ","")&amp;IF(M101="","Haftungsdatum fehlt. ","")&amp;IF(F101="","Bewirtschafter fehlt. ","")&amp;IF(AND(AY101&lt;&gt;"",AW101=""),"Abgeschlossen trotz offener Schlussabrechnung. ","")&amp;IF(AND(AY101="",S101="",ISNUMBER(J101),J101&gt;60),"Langläufer über 60 Tage. ","")))</f>
        <v/>
      </c>
      <c r="L101" s="18" t="n"/>
      <c r="M101" s="18" t="n"/>
      <c r="N101" s="19">
        <f>IF(M101="","",M101+1)</f>
        <v/>
      </c>
      <c r="O101" s="17">
        <f>IF(OR(L101="",M101=""),"",M101-L101)</f>
        <v/>
      </c>
      <c r="P101" s="16">
        <f>IF(M101="","",YEAR(M101+1)&amp;"-"&amp;TEXT(MONTH(M101+1),"00"))</f>
        <v/>
      </c>
      <c r="Q101" s="18" t="n"/>
      <c r="R101" s="15" t="n"/>
      <c r="S101" s="18" t="n"/>
      <c r="T101" s="16">
        <f>IF(U101="","",IF(LEFT(U101,1)="6","abgeschlossen",IF(OR(LEFT(U101,1)="1",LEFT(U101,1)="2"),"Kündigung &amp; Abnahme",IF(OR(LEFT(U101,1)="3",LEFT(U101,1)="4"),"Wiedervermietung","Schlussabrechnung"))))</f>
        <v/>
      </c>
      <c r="U101" s="16">
        <f>IF($B101="","",IF(AY101&lt;&gt;"","6 · abgeschlossen",IF(AW101&lt;&gt;"","5 · bereit zum Abschluss",IF(AT101&lt;&gt;"","5 · Schlussabrechnung",IF(AO101&lt;&gt;"","4 · Übergabe",IF(AM101&lt;&gt;"","3 · Neuvermietung",IF(M101&lt;&gt;"","2 · Abnahme &amp; Vermarktung","1 · Erfassung")))))))</f>
        <v/>
      </c>
      <c r="V101" s="15" t="n"/>
      <c r="W101" s="20" t="n"/>
      <c r="X101" s="15" t="n"/>
      <c r="Y101" s="15" t="n"/>
      <c r="Z101" s="18" t="n"/>
      <c r="AA101" s="19">
        <f>IF(M101="","",M101-30)</f>
        <v/>
      </c>
      <c r="AB101" s="19">
        <f>IF(ISNUMBER(AJ101),AJ101+3,"")</f>
        <v/>
      </c>
      <c r="AC101" s="18" t="n"/>
      <c r="AD101" s="18" t="n"/>
      <c r="AE101" s="18" t="n"/>
      <c r="AF101" s="18" t="n"/>
      <c r="AG101" s="18" t="n"/>
      <c r="AH101" s="18" t="n"/>
      <c r="AI101" s="18" t="n"/>
      <c r="AJ101" s="18" t="n"/>
      <c r="AK101" s="18" t="n"/>
      <c r="AL101" s="18" t="n"/>
      <c r="AM101" s="18" t="n"/>
      <c r="AN101" s="18" t="n"/>
      <c r="AO101" s="18" t="n"/>
      <c r="AP101" s="18" t="n"/>
      <c r="AQ101" s="18" t="n"/>
      <c r="AR101" s="18" t="n"/>
      <c r="AS101" s="18" t="n"/>
      <c r="AT101" s="18" t="n"/>
      <c r="AU101" s="18" t="n"/>
      <c r="AV101" s="18" t="n"/>
      <c r="AW101" s="18" t="n"/>
      <c r="AX101" s="18" t="n"/>
      <c r="AY101" s="18" t="n"/>
      <c r="AZ101" s="15" t="n"/>
    </row>
    <row r="102">
      <c r="A102" s="15" t="n"/>
      <c r="B102" s="15" t="n"/>
      <c r="C102" s="15" t="n"/>
      <c r="D102" s="15" t="n"/>
      <c r="E102" s="15" t="n"/>
      <c r="F102" s="15" t="n"/>
      <c r="G102" s="16">
        <f>IF(F102="","",IFERROR(INDEX(Stammdaten!$B$5:$B$24,MATCH(F102,Stammdaten!$A$5:$A$24,0)),"unbekannt"))</f>
        <v/>
      </c>
      <c r="H102" s="16">
        <f>IF($B102="","",IF(AY102&lt;&gt;"","abgeschlossen",IF(AND(ISNUMBER(AX102),AX102&gt;=TODAY()),"zurückgestellt",IF(OR(AND(ISNUMBER(AA102),AA102&lt;TODAY(),Z102="",AJ102=""),AND(ISNUMBER(Z102),Z102&lt;TODAY(),AJ102=""),AND(ISNUMBER(AB102),AB102&lt;TODAY(),AK102=""),AND(ISNUMBER(AC102),AC102&lt;TODAY(),AO102=""),AND(ISNUMBER(AD102),AD102&lt;TODAY(),AQ102="")),"überfällig","offen"))))</f>
        <v/>
      </c>
      <c r="I102" s="16">
        <f>IF($B102="","",IF(AY102&lt;&gt;"","—",IF(AND(ISNUMBER(AA102),AA102&lt;TODAY(),Z102="",AJ102=""),"Abnahmetermin vereinbaren – Sollfrist verstrichen",IF(AND(ISNUMBER(Z102),Z102&lt;TODAY(),AJ102=""),"Wohnungsabnahme nachtragen – Termin war fällig",IF(AND(ISNUMBER(AB102),AB102&lt;TODAY(),AK102=""),"Handwerker aufbieten – Frist verstrichen",IF(AND(ISNUMBER(AC102),AC102&lt;TODAY(),AO102=""),"Vertrag retour mahnen – Frist verstrichen",IF(AND(ISNUMBER(AD102),AD102&lt;TODAY(),AQ102=""),"Schlüsselübergabe nachtragen – Termin war fällig",IF(M102="","Haftungsdatum erfassen",IF(E102="","ex-Mieter erfassen",IF(AE102="","Kündigung bestätigen / G-Rem",IF(AF102="","Werke / EGT melden",IF(AG102="","Vorbesichtigung (oder n.e.)",IF(AH102="","VMZ aktualisieren",IF(AI102="","Inserat aufschalten",IF(AND(Z102="",AJ102=""),"Abnahmetermin vereinbaren",IF(AJ102="","Wohnungsabnahme durchführen",IF(AK102="","Handwerker aufbieten",IF(AL102="","Zustimmungserklärung einholen",IF(AM102="","Instandstellungen beauftragen",IF(R102="","Nachmieter erfassen",IF(AN102="","Vertrag versenden",IF(AO102="","Vertrag retour erfassen",IF(S102="","Vermietet per erfassen",IF(AP102="","Werke / EGT über Einzug informieren",IF(AND(AD102="",AQ102=""),"Schlüsselübergabe terminieren",IF(AQ102="","Schlüsselübergabe durchführen",IF(AR102="","Reinigung veranlassen",IF(AS102="","Namensschilder bestellen",IF(AT102="","Kaution prüfen / G-Rem mutieren",IF(AU102="","Instandstellungs-Rechnung erfassen",IF(AV102="","Schlussabrechnung erstellen",IF(AW102="","Zahlungseingang kontrollieren","Fall abschliessen"))))))))))))))))))))))))))))))))</f>
        <v/>
      </c>
      <c r="J102" s="17">
        <f>IF(M102="","",IF(S102&lt;&gt;"",MAX(0,S102-M102-1),MAX(0,TODAY()-M102)))</f>
        <v/>
      </c>
      <c r="K102" s="16">
        <f>IF($B102="","",TRIM(IF(AND(L102&lt;&gt;"",M102&lt;&gt;"",M102&lt;L102),"Haftungsdatum vor Kündigung. ","")&amp;IF(AND(S102&lt;&gt;"",M102&lt;&gt;"",S102&lt;M102),"Vermietung vor Leerstandsbeginn. ","")&amp;IF(AND(Z102&lt;&gt;"",L102&lt;&gt;"",Z102&lt;L102),"WA-Termin vor Kündigung. ","")&amp;IF(COUNTIFS($B$5:$B$404,$B102,$AY$5:$AY$404,"")&gt;1,"Zweiter offener Fall zum selben Objekt. ","")&amp;IF(AND($A102&lt;&gt;"",COUNTIFS($A$5:$A$404,$A102)&gt;1),"Fall-Nr. doppelt vergeben. ","")&amp;IF(E102="","ex-Mieter fehlt. ","")&amp;IF(M102="","Haftungsdatum fehlt. ","")&amp;IF(F102="","Bewirtschafter fehlt. ","")&amp;IF(AND(AY102&lt;&gt;"",AW102=""),"Abgeschlossen trotz offener Schlussabrechnung. ","")&amp;IF(AND(AY102="",S102="",ISNUMBER(J102),J102&gt;60),"Langläufer über 60 Tage. ","")))</f>
        <v/>
      </c>
      <c r="L102" s="18" t="n"/>
      <c r="M102" s="18" t="n"/>
      <c r="N102" s="19">
        <f>IF(M102="","",M102+1)</f>
        <v/>
      </c>
      <c r="O102" s="17">
        <f>IF(OR(L102="",M102=""),"",M102-L102)</f>
        <v/>
      </c>
      <c r="P102" s="16">
        <f>IF(M102="","",YEAR(M102+1)&amp;"-"&amp;TEXT(MONTH(M102+1),"00"))</f>
        <v/>
      </c>
      <c r="Q102" s="18" t="n"/>
      <c r="R102" s="15" t="n"/>
      <c r="S102" s="18" t="n"/>
      <c r="T102" s="16">
        <f>IF(U102="","",IF(LEFT(U102,1)="6","abgeschlossen",IF(OR(LEFT(U102,1)="1",LEFT(U102,1)="2"),"Kündigung &amp; Abnahme",IF(OR(LEFT(U102,1)="3",LEFT(U102,1)="4"),"Wiedervermietung","Schlussabrechnung"))))</f>
        <v/>
      </c>
      <c r="U102" s="16">
        <f>IF($B102="","",IF(AY102&lt;&gt;"","6 · abgeschlossen",IF(AW102&lt;&gt;"","5 · bereit zum Abschluss",IF(AT102&lt;&gt;"","5 · Schlussabrechnung",IF(AO102&lt;&gt;"","4 · Übergabe",IF(AM102&lt;&gt;"","3 · Neuvermietung",IF(M102&lt;&gt;"","2 · Abnahme &amp; Vermarktung","1 · Erfassung")))))))</f>
        <v/>
      </c>
      <c r="V102" s="15" t="n"/>
      <c r="W102" s="20" t="n"/>
      <c r="X102" s="15" t="n"/>
      <c r="Y102" s="15" t="n"/>
      <c r="Z102" s="18" t="n"/>
      <c r="AA102" s="19">
        <f>IF(M102="","",M102-30)</f>
        <v/>
      </c>
      <c r="AB102" s="19">
        <f>IF(ISNUMBER(AJ102),AJ102+3,"")</f>
        <v/>
      </c>
      <c r="AC102" s="18" t="n"/>
      <c r="AD102" s="18" t="n"/>
      <c r="AE102" s="18" t="n"/>
      <c r="AF102" s="18" t="n"/>
      <c r="AG102" s="18" t="n"/>
      <c r="AH102" s="18" t="n"/>
      <c r="AI102" s="18" t="n"/>
      <c r="AJ102" s="18" t="n"/>
      <c r="AK102" s="18" t="n"/>
      <c r="AL102" s="18" t="n"/>
      <c r="AM102" s="18" t="n"/>
      <c r="AN102" s="18" t="n"/>
      <c r="AO102" s="18" t="n"/>
      <c r="AP102" s="18" t="n"/>
      <c r="AQ102" s="18" t="n"/>
      <c r="AR102" s="18" t="n"/>
      <c r="AS102" s="18" t="n"/>
      <c r="AT102" s="18" t="n"/>
      <c r="AU102" s="18" t="n"/>
      <c r="AV102" s="18" t="n"/>
      <c r="AW102" s="18" t="n"/>
      <c r="AX102" s="18" t="n"/>
      <c r="AY102" s="18" t="n"/>
      <c r="AZ102" s="15" t="n"/>
    </row>
    <row r="103">
      <c r="A103" s="15" t="n"/>
      <c r="B103" s="15" t="n"/>
      <c r="C103" s="15" t="n"/>
      <c r="D103" s="15" t="n"/>
      <c r="E103" s="15" t="n"/>
      <c r="F103" s="15" t="n"/>
      <c r="G103" s="16">
        <f>IF(F103="","",IFERROR(INDEX(Stammdaten!$B$5:$B$24,MATCH(F103,Stammdaten!$A$5:$A$24,0)),"unbekannt"))</f>
        <v/>
      </c>
      <c r="H103" s="16">
        <f>IF($B103="","",IF(AY103&lt;&gt;"","abgeschlossen",IF(AND(ISNUMBER(AX103),AX103&gt;=TODAY()),"zurückgestellt",IF(OR(AND(ISNUMBER(AA103),AA103&lt;TODAY(),Z103="",AJ103=""),AND(ISNUMBER(Z103),Z103&lt;TODAY(),AJ103=""),AND(ISNUMBER(AB103),AB103&lt;TODAY(),AK103=""),AND(ISNUMBER(AC103),AC103&lt;TODAY(),AO103=""),AND(ISNUMBER(AD103),AD103&lt;TODAY(),AQ103="")),"überfällig","offen"))))</f>
        <v/>
      </c>
      <c r="I103" s="16">
        <f>IF($B103="","",IF(AY103&lt;&gt;"","—",IF(AND(ISNUMBER(AA103),AA103&lt;TODAY(),Z103="",AJ103=""),"Abnahmetermin vereinbaren – Sollfrist verstrichen",IF(AND(ISNUMBER(Z103),Z103&lt;TODAY(),AJ103=""),"Wohnungsabnahme nachtragen – Termin war fällig",IF(AND(ISNUMBER(AB103),AB103&lt;TODAY(),AK103=""),"Handwerker aufbieten – Frist verstrichen",IF(AND(ISNUMBER(AC103),AC103&lt;TODAY(),AO103=""),"Vertrag retour mahnen – Frist verstrichen",IF(AND(ISNUMBER(AD103),AD103&lt;TODAY(),AQ103=""),"Schlüsselübergabe nachtragen – Termin war fällig",IF(M103="","Haftungsdatum erfassen",IF(E103="","ex-Mieter erfassen",IF(AE103="","Kündigung bestätigen / G-Rem",IF(AF103="","Werke / EGT melden",IF(AG103="","Vorbesichtigung (oder n.e.)",IF(AH103="","VMZ aktualisieren",IF(AI103="","Inserat aufschalten",IF(AND(Z103="",AJ103=""),"Abnahmetermin vereinbaren",IF(AJ103="","Wohnungsabnahme durchführen",IF(AK103="","Handwerker aufbieten",IF(AL103="","Zustimmungserklärung einholen",IF(AM103="","Instandstellungen beauftragen",IF(R103="","Nachmieter erfassen",IF(AN103="","Vertrag versenden",IF(AO103="","Vertrag retour erfassen",IF(S103="","Vermietet per erfassen",IF(AP103="","Werke / EGT über Einzug informieren",IF(AND(AD103="",AQ103=""),"Schlüsselübergabe terminieren",IF(AQ103="","Schlüsselübergabe durchführen",IF(AR103="","Reinigung veranlassen",IF(AS103="","Namensschilder bestellen",IF(AT103="","Kaution prüfen / G-Rem mutieren",IF(AU103="","Instandstellungs-Rechnung erfassen",IF(AV103="","Schlussabrechnung erstellen",IF(AW103="","Zahlungseingang kontrollieren","Fall abschliessen"))))))))))))))))))))))))))))))))</f>
        <v/>
      </c>
      <c r="J103" s="17">
        <f>IF(M103="","",IF(S103&lt;&gt;"",MAX(0,S103-M103-1),MAX(0,TODAY()-M103)))</f>
        <v/>
      </c>
      <c r="K103" s="16">
        <f>IF($B103="","",TRIM(IF(AND(L103&lt;&gt;"",M103&lt;&gt;"",M103&lt;L103),"Haftungsdatum vor Kündigung. ","")&amp;IF(AND(S103&lt;&gt;"",M103&lt;&gt;"",S103&lt;M103),"Vermietung vor Leerstandsbeginn. ","")&amp;IF(AND(Z103&lt;&gt;"",L103&lt;&gt;"",Z103&lt;L103),"WA-Termin vor Kündigung. ","")&amp;IF(COUNTIFS($B$5:$B$404,$B103,$AY$5:$AY$404,"")&gt;1,"Zweiter offener Fall zum selben Objekt. ","")&amp;IF(AND($A103&lt;&gt;"",COUNTIFS($A$5:$A$404,$A103)&gt;1),"Fall-Nr. doppelt vergeben. ","")&amp;IF(E103="","ex-Mieter fehlt. ","")&amp;IF(M103="","Haftungsdatum fehlt. ","")&amp;IF(F103="","Bewirtschafter fehlt. ","")&amp;IF(AND(AY103&lt;&gt;"",AW103=""),"Abgeschlossen trotz offener Schlussabrechnung. ","")&amp;IF(AND(AY103="",S103="",ISNUMBER(J103),J103&gt;60),"Langläufer über 60 Tage. ","")))</f>
        <v/>
      </c>
      <c r="L103" s="18" t="n"/>
      <c r="M103" s="18" t="n"/>
      <c r="N103" s="19">
        <f>IF(M103="","",M103+1)</f>
        <v/>
      </c>
      <c r="O103" s="17">
        <f>IF(OR(L103="",M103=""),"",M103-L103)</f>
        <v/>
      </c>
      <c r="P103" s="16">
        <f>IF(M103="","",YEAR(M103+1)&amp;"-"&amp;TEXT(MONTH(M103+1),"00"))</f>
        <v/>
      </c>
      <c r="Q103" s="18" t="n"/>
      <c r="R103" s="15" t="n"/>
      <c r="S103" s="18" t="n"/>
      <c r="T103" s="16">
        <f>IF(U103="","",IF(LEFT(U103,1)="6","abgeschlossen",IF(OR(LEFT(U103,1)="1",LEFT(U103,1)="2"),"Kündigung &amp; Abnahme",IF(OR(LEFT(U103,1)="3",LEFT(U103,1)="4"),"Wiedervermietung","Schlussabrechnung"))))</f>
        <v/>
      </c>
      <c r="U103" s="16">
        <f>IF($B103="","",IF(AY103&lt;&gt;"","6 · abgeschlossen",IF(AW103&lt;&gt;"","5 · bereit zum Abschluss",IF(AT103&lt;&gt;"","5 · Schlussabrechnung",IF(AO103&lt;&gt;"","4 · Übergabe",IF(AM103&lt;&gt;"","3 · Neuvermietung",IF(M103&lt;&gt;"","2 · Abnahme &amp; Vermarktung","1 · Erfassung")))))))</f>
        <v/>
      </c>
      <c r="V103" s="15" t="n"/>
      <c r="W103" s="20" t="n"/>
      <c r="X103" s="15" t="n"/>
      <c r="Y103" s="15" t="n"/>
      <c r="Z103" s="18" t="n"/>
      <c r="AA103" s="19">
        <f>IF(M103="","",M103-30)</f>
        <v/>
      </c>
      <c r="AB103" s="19">
        <f>IF(ISNUMBER(AJ103),AJ103+3,"")</f>
        <v/>
      </c>
      <c r="AC103" s="18" t="n"/>
      <c r="AD103" s="18" t="n"/>
      <c r="AE103" s="18" t="n"/>
      <c r="AF103" s="18" t="n"/>
      <c r="AG103" s="18" t="n"/>
      <c r="AH103" s="18" t="n"/>
      <c r="AI103" s="18" t="n"/>
      <c r="AJ103" s="18" t="n"/>
      <c r="AK103" s="18" t="n"/>
      <c r="AL103" s="18" t="n"/>
      <c r="AM103" s="18" t="n"/>
      <c r="AN103" s="18" t="n"/>
      <c r="AO103" s="18" t="n"/>
      <c r="AP103" s="18" t="n"/>
      <c r="AQ103" s="18" t="n"/>
      <c r="AR103" s="18" t="n"/>
      <c r="AS103" s="18" t="n"/>
      <c r="AT103" s="18" t="n"/>
      <c r="AU103" s="18" t="n"/>
      <c r="AV103" s="18" t="n"/>
      <c r="AW103" s="18" t="n"/>
      <c r="AX103" s="18" t="n"/>
      <c r="AY103" s="18" t="n"/>
      <c r="AZ103" s="15" t="n"/>
    </row>
    <row r="104">
      <c r="A104" s="15" t="n"/>
      <c r="B104" s="15" t="n"/>
      <c r="C104" s="15" t="n"/>
      <c r="D104" s="15" t="n"/>
      <c r="E104" s="15" t="n"/>
      <c r="F104" s="15" t="n"/>
      <c r="G104" s="16">
        <f>IF(F104="","",IFERROR(INDEX(Stammdaten!$B$5:$B$24,MATCH(F104,Stammdaten!$A$5:$A$24,0)),"unbekannt"))</f>
        <v/>
      </c>
      <c r="H104" s="16">
        <f>IF($B104="","",IF(AY104&lt;&gt;"","abgeschlossen",IF(AND(ISNUMBER(AX104),AX104&gt;=TODAY()),"zurückgestellt",IF(OR(AND(ISNUMBER(AA104),AA104&lt;TODAY(),Z104="",AJ104=""),AND(ISNUMBER(Z104),Z104&lt;TODAY(),AJ104=""),AND(ISNUMBER(AB104),AB104&lt;TODAY(),AK104=""),AND(ISNUMBER(AC104),AC104&lt;TODAY(),AO104=""),AND(ISNUMBER(AD104),AD104&lt;TODAY(),AQ104="")),"überfällig","offen"))))</f>
        <v/>
      </c>
      <c r="I104" s="16">
        <f>IF($B104="","",IF(AY104&lt;&gt;"","—",IF(AND(ISNUMBER(AA104),AA104&lt;TODAY(),Z104="",AJ104=""),"Abnahmetermin vereinbaren – Sollfrist verstrichen",IF(AND(ISNUMBER(Z104),Z104&lt;TODAY(),AJ104=""),"Wohnungsabnahme nachtragen – Termin war fällig",IF(AND(ISNUMBER(AB104),AB104&lt;TODAY(),AK104=""),"Handwerker aufbieten – Frist verstrichen",IF(AND(ISNUMBER(AC104),AC104&lt;TODAY(),AO104=""),"Vertrag retour mahnen – Frist verstrichen",IF(AND(ISNUMBER(AD104),AD104&lt;TODAY(),AQ104=""),"Schlüsselübergabe nachtragen – Termin war fällig",IF(M104="","Haftungsdatum erfassen",IF(E104="","ex-Mieter erfassen",IF(AE104="","Kündigung bestätigen / G-Rem",IF(AF104="","Werke / EGT melden",IF(AG104="","Vorbesichtigung (oder n.e.)",IF(AH104="","VMZ aktualisieren",IF(AI104="","Inserat aufschalten",IF(AND(Z104="",AJ104=""),"Abnahmetermin vereinbaren",IF(AJ104="","Wohnungsabnahme durchführen",IF(AK104="","Handwerker aufbieten",IF(AL104="","Zustimmungserklärung einholen",IF(AM104="","Instandstellungen beauftragen",IF(R104="","Nachmieter erfassen",IF(AN104="","Vertrag versenden",IF(AO104="","Vertrag retour erfassen",IF(S104="","Vermietet per erfassen",IF(AP104="","Werke / EGT über Einzug informieren",IF(AND(AD104="",AQ104=""),"Schlüsselübergabe terminieren",IF(AQ104="","Schlüsselübergabe durchführen",IF(AR104="","Reinigung veranlassen",IF(AS104="","Namensschilder bestellen",IF(AT104="","Kaution prüfen / G-Rem mutieren",IF(AU104="","Instandstellungs-Rechnung erfassen",IF(AV104="","Schlussabrechnung erstellen",IF(AW104="","Zahlungseingang kontrollieren","Fall abschliessen"))))))))))))))))))))))))))))))))</f>
        <v/>
      </c>
      <c r="J104" s="17">
        <f>IF(M104="","",IF(S104&lt;&gt;"",MAX(0,S104-M104-1),MAX(0,TODAY()-M104)))</f>
        <v/>
      </c>
      <c r="K104" s="16">
        <f>IF($B104="","",TRIM(IF(AND(L104&lt;&gt;"",M104&lt;&gt;"",M104&lt;L104),"Haftungsdatum vor Kündigung. ","")&amp;IF(AND(S104&lt;&gt;"",M104&lt;&gt;"",S104&lt;M104),"Vermietung vor Leerstandsbeginn. ","")&amp;IF(AND(Z104&lt;&gt;"",L104&lt;&gt;"",Z104&lt;L104),"WA-Termin vor Kündigung. ","")&amp;IF(COUNTIFS($B$5:$B$404,$B104,$AY$5:$AY$404,"")&gt;1,"Zweiter offener Fall zum selben Objekt. ","")&amp;IF(AND($A104&lt;&gt;"",COUNTIFS($A$5:$A$404,$A104)&gt;1),"Fall-Nr. doppelt vergeben. ","")&amp;IF(E104="","ex-Mieter fehlt. ","")&amp;IF(M104="","Haftungsdatum fehlt. ","")&amp;IF(F104="","Bewirtschafter fehlt. ","")&amp;IF(AND(AY104&lt;&gt;"",AW104=""),"Abgeschlossen trotz offener Schlussabrechnung. ","")&amp;IF(AND(AY104="",S104="",ISNUMBER(J104),J104&gt;60),"Langläufer über 60 Tage. ","")))</f>
        <v/>
      </c>
      <c r="L104" s="18" t="n"/>
      <c r="M104" s="18" t="n"/>
      <c r="N104" s="19">
        <f>IF(M104="","",M104+1)</f>
        <v/>
      </c>
      <c r="O104" s="17">
        <f>IF(OR(L104="",M104=""),"",M104-L104)</f>
        <v/>
      </c>
      <c r="P104" s="16">
        <f>IF(M104="","",YEAR(M104+1)&amp;"-"&amp;TEXT(MONTH(M104+1),"00"))</f>
        <v/>
      </c>
      <c r="Q104" s="18" t="n"/>
      <c r="R104" s="15" t="n"/>
      <c r="S104" s="18" t="n"/>
      <c r="T104" s="16">
        <f>IF(U104="","",IF(LEFT(U104,1)="6","abgeschlossen",IF(OR(LEFT(U104,1)="1",LEFT(U104,1)="2"),"Kündigung &amp; Abnahme",IF(OR(LEFT(U104,1)="3",LEFT(U104,1)="4"),"Wiedervermietung","Schlussabrechnung"))))</f>
        <v/>
      </c>
      <c r="U104" s="16">
        <f>IF($B104="","",IF(AY104&lt;&gt;"","6 · abgeschlossen",IF(AW104&lt;&gt;"","5 · bereit zum Abschluss",IF(AT104&lt;&gt;"","5 · Schlussabrechnung",IF(AO104&lt;&gt;"","4 · Übergabe",IF(AM104&lt;&gt;"","3 · Neuvermietung",IF(M104&lt;&gt;"","2 · Abnahme &amp; Vermarktung","1 · Erfassung")))))))</f>
        <v/>
      </c>
      <c r="V104" s="15" t="n"/>
      <c r="W104" s="20" t="n"/>
      <c r="X104" s="15" t="n"/>
      <c r="Y104" s="15" t="n"/>
      <c r="Z104" s="18" t="n"/>
      <c r="AA104" s="19">
        <f>IF(M104="","",M104-30)</f>
        <v/>
      </c>
      <c r="AB104" s="19">
        <f>IF(ISNUMBER(AJ104),AJ104+3,"")</f>
        <v/>
      </c>
      <c r="AC104" s="18" t="n"/>
      <c r="AD104" s="18" t="n"/>
      <c r="AE104" s="18" t="n"/>
      <c r="AF104" s="18" t="n"/>
      <c r="AG104" s="18" t="n"/>
      <c r="AH104" s="18" t="n"/>
      <c r="AI104" s="18" t="n"/>
      <c r="AJ104" s="18" t="n"/>
      <c r="AK104" s="18" t="n"/>
      <c r="AL104" s="18" t="n"/>
      <c r="AM104" s="18" t="n"/>
      <c r="AN104" s="18" t="n"/>
      <c r="AO104" s="18" t="n"/>
      <c r="AP104" s="18" t="n"/>
      <c r="AQ104" s="18" t="n"/>
      <c r="AR104" s="18" t="n"/>
      <c r="AS104" s="18" t="n"/>
      <c r="AT104" s="18" t="n"/>
      <c r="AU104" s="18" t="n"/>
      <c r="AV104" s="18" t="n"/>
      <c r="AW104" s="18" t="n"/>
      <c r="AX104" s="18" t="n"/>
      <c r="AY104" s="18" t="n"/>
      <c r="AZ104" s="15" t="n"/>
    </row>
    <row r="105">
      <c r="A105" s="15" t="n"/>
      <c r="B105" s="15" t="n"/>
      <c r="C105" s="15" t="n"/>
      <c r="D105" s="15" t="n"/>
      <c r="E105" s="15" t="n"/>
      <c r="F105" s="15" t="n"/>
      <c r="G105" s="16">
        <f>IF(F105="","",IFERROR(INDEX(Stammdaten!$B$5:$B$24,MATCH(F105,Stammdaten!$A$5:$A$24,0)),"unbekannt"))</f>
        <v/>
      </c>
      <c r="H105" s="16">
        <f>IF($B105="","",IF(AY105&lt;&gt;"","abgeschlossen",IF(AND(ISNUMBER(AX105),AX105&gt;=TODAY()),"zurückgestellt",IF(OR(AND(ISNUMBER(AA105),AA105&lt;TODAY(),Z105="",AJ105=""),AND(ISNUMBER(Z105),Z105&lt;TODAY(),AJ105=""),AND(ISNUMBER(AB105),AB105&lt;TODAY(),AK105=""),AND(ISNUMBER(AC105),AC105&lt;TODAY(),AO105=""),AND(ISNUMBER(AD105),AD105&lt;TODAY(),AQ105="")),"überfällig","offen"))))</f>
        <v/>
      </c>
      <c r="I105" s="16">
        <f>IF($B105="","",IF(AY105&lt;&gt;"","—",IF(AND(ISNUMBER(AA105),AA105&lt;TODAY(),Z105="",AJ105=""),"Abnahmetermin vereinbaren – Sollfrist verstrichen",IF(AND(ISNUMBER(Z105),Z105&lt;TODAY(),AJ105=""),"Wohnungsabnahme nachtragen – Termin war fällig",IF(AND(ISNUMBER(AB105),AB105&lt;TODAY(),AK105=""),"Handwerker aufbieten – Frist verstrichen",IF(AND(ISNUMBER(AC105),AC105&lt;TODAY(),AO105=""),"Vertrag retour mahnen – Frist verstrichen",IF(AND(ISNUMBER(AD105),AD105&lt;TODAY(),AQ105=""),"Schlüsselübergabe nachtragen – Termin war fällig",IF(M105="","Haftungsdatum erfassen",IF(E105="","ex-Mieter erfassen",IF(AE105="","Kündigung bestätigen / G-Rem",IF(AF105="","Werke / EGT melden",IF(AG105="","Vorbesichtigung (oder n.e.)",IF(AH105="","VMZ aktualisieren",IF(AI105="","Inserat aufschalten",IF(AND(Z105="",AJ105=""),"Abnahmetermin vereinbaren",IF(AJ105="","Wohnungsabnahme durchführen",IF(AK105="","Handwerker aufbieten",IF(AL105="","Zustimmungserklärung einholen",IF(AM105="","Instandstellungen beauftragen",IF(R105="","Nachmieter erfassen",IF(AN105="","Vertrag versenden",IF(AO105="","Vertrag retour erfassen",IF(S105="","Vermietet per erfassen",IF(AP105="","Werke / EGT über Einzug informieren",IF(AND(AD105="",AQ105=""),"Schlüsselübergabe terminieren",IF(AQ105="","Schlüsselübergabe durchführen",IF(AR105="","Reinigung veranlassen",IF(AS105="","Namensschilder bestellen",IF(AT105="","Kaution prüfen / G-Rem mutieren",IF(AU105="","Instandstellungs-Rechnung erfassen",IF(AV105="","Schlussabrechnung erstellen",IF(AW105="","Zahlungseingang kontrollieren","Fall abschliessen"))))))))))))))))))))))))))))))))</f>
        <v/>
      </c>
      <c r="J105" s="17">
        <f>IF(M105="","",IF(S105&lt;&gt;"",MAX(0,S105-M105-1),MAX(0,TODAY()-M105)))</f>
        <v/>
      </c>
      <c r="K105" s="16">
        <f>IF($B105="","",TRIM(IF(AND(L105&lt;&gt;"",M105&lt;&gt;"",M105&lt;L105),"Haftungsdatum vor Kündigung. ","")&amp;IF(AND(S105&lt;&gt;"",M105&lt;&gt;"",S105&lt;M105),"Vermietung vor Leerstandsbeginn. ","")&amp;IF(AND(Z105&lt;&gt;"",L105&lt;&gt;"",Z105&lt;L105),"WA-Termin vor Kündigung. ","")&amp;IF(COUNTIFS($B$5:$B$404,$B105,$AY$5:$AY$404,"")&gt;1,"Zweiter offener Fall zum selben Objekt. ","")&amp;IF(AND($A105&lt;&gt;"",COUNTIFS($A$5:$A$404,$A105)&gt;1),"Fall-Nr. doppelt vergeben. ","")&amp;IF(E105="","ex-Mieter fehlt. ","")&amp;IF(M105="","Haftungsdatum fehlt. ","")&amp;IF(F105="","Bewirtschafter fehlt. ","")&amp;IF(AND(AY105&lt;&gt;"",AW105=""),"Abgeschlossen trotz offener Schlussabrechnung. ","")&amp;IF(AND(AY105="",S105="",ISNUMBER(J105),J105&gt;60),"Langläufer über 60 Tage. ","")))</f>
        <v/>
      </c>
      <c r="L105" s="18" t="n"/>
      <c r="M105" s="18" t="n"/>
      <c r="N105" s="19">
        <f>IF(M105="","",M105+1)</f>
        <v/>
      </c>
      <c r="O105" s="17">
        <f>IF(OR(L105="",M105=""),"",M105-L105)</f>
        <v/>
      </c>
      <c r="P105" s="16">
        <f>IF(M105="","",YEAR(M105+1)&amp;"-"&amp;TEXT(MONTH(M105+1),"00"))</f>
        <v/>
      </c>
      <c r="Q105" s="18" t="n"/>
      <c r="R105" s="15" t="n"/>
      <c r="S105" s="18" t="n"/>
      <c r="T105" s="16">
        <f>IF(U105="","",IF(LEFT(U105,1)="6","abgeschlossen",IF(OR(LEFT(U105,1)="1",LEFT(U105,1)="2"),"Kündigung &amp; Abnahme",IF(OR(LEFT(U105,1)="3",LEFT(U105,1)="4"),"Wiedervermietung","Schlussabrechnung"))))</f>
        <v/>
      </c>
      <c r="U105" s="16">
        <f>IF($B105="","",IF(AY105&lt;&gt;"","6 · abgeschlossen",IF(AW105&lt;&gt;"","5 · bereit zum Abschluss",IF(AT105&lt;&gt;"","5 · Schlussabrechnung",IF(AO105&lt;&gt;"","4 · Übergabe",IF(AM105&lt;&gt;"","3 · Neuvermietung",IF(M105&lt;&gt;"","2 · Abnahme &amp; Vermarktung","1 · Erfassung")))))))</f>
        <v/>
      </c>
      <c r="V105" s="15" t="n"/>
      <c r="W105" s="20" t="n"/>
      <c r="X105" s="15" t="n"/>
      <c r="Y105" s="15" t="n"/>
      <c r="Z105" s="18" t="n"/>
      <c r="AA105" s="19">
        <f>IF(M105="","",M105-30)</f>
        <v/>
      </c>
      <c r="AB105" s="19">
        <f>IF(ISNUMBER(AJ105),AJ105+3,"")</f>
        <v/>
      </c>
      <c r="AC105" s="18" t="n"/>
      <c r="AD105" s="18" t="n"/>
      <c r="AE105" s="18" t="n"/>
      <c r="AF105" s="18" t="n"/>
      <c r="AG105" s="18" t="n"/>
      <c r="AH105" s="18" t="n"/>
      <c r="AI105" s="18" t="n"/>
      <c r="AJ105" s="18" t="n"/>
      <c r="AK105" s="18" t="n"/>
      <c r="AL105" s="18" t="n"/>
      <c r="AM105" s="18" t="n"/>
      <c r="AN105" s="18" t="n"/>
      <c r="AO105" s="18" t="n"/>
      <c r="AP105" s="18" t="n"/>
      <c r="AQ105" s="18" t="n"/>
      <c r="AR105" s="18" t="n"/>
      <c r="AS105" s="18" t="n"/>
      <c r="AT105" s="18" t="n"/>
      <c r="AU105" s="18" t="n"/>
      <c r="AV105" s="18" t="n"/>
      <c r="AW105" s="18" t="n"/>
      <c r="AX105" s="18" t="n"/>
      <c r="AY105" s="18" t="n"/>
      <c r="AZ105" s="15" t="n"/>
    </row>
    <row r="106">
      <c r="A106" s="15" t="n"/>
      <c r="B106" s="15" t="n"/>
      <c r="C106" s="15" t="n"/>
      <c r="D106" s="15" t="n"/>
      <c r="E106" s="15" t="n"/>
      <c r="F106" s="15" t="n"/>
      <c r="G106" s="16">
        <f>IF(F106="","",IFERROR(INDEX(Stammdaten!$B$5:$B$24,MATCH(F106,Stammdaten!$A$5:$A$24,0)),"unbekannt"))</f>
        <v/>
      </c>
      <c r="H106" s="16">
        <f>IF($B106="","",IF(AY106&lt;&gt;"","abgeschlossen",IF(AND(ISNUMBER(AX106),AX106&gt;=TODAY()),"zurückgestellt",IF(OR(AND(ISNUMBER(AA106),AA106&lt;TODAY(),Z106="",AJ106=""),AND(ISNUMBER(Z106),Z106&lt;TODAY(),AJ106=""),AND(ISNUMBER(AB106),AB106&lt;TODAY(),AK106=""),AND(ISNUMBER(AC106),AC106&lt;TODAY(),AO106=""),AND(ISNUMBER(AD106),AD106&lt;TODAY(),AQ106="")),"überfällig","offen"))))</f>
        <v/>
      </c>
      <c r="I106" s="16">
        <f>IF($B106="","",IF(AY106&lt;&gt;"","—",IF(AND(ISNUMBER(AA106),AA106&lt;TODAY(),Z106="",AJ106=""),"Abnahmetermin vereinbaren – Sollfrist verstrichen",IF(AND(ISNUMBER(Z106),Z106&lt;TODAY(),AJ106=""),"Wohnungsabnahme nachtragen – Termin war fällig",IF(AND(ISNUMBER(AB106),AB106&lt;TODAY(),AK106=""),"Handwerker aufbieten – Frist verstrichen",IF(AND(ISNUMBER(AC106),AC106&lt;TODAY(),AO106=""),"Vertrag retour mahnen – Frist verstrichen",IF(AND(ISNUMBER(AD106),AD106&lt;TODAY(),AQ106=""),"Schlüsselübergabe nachtragen – Termin war fällig",IF(M106="","Haftungsdatum erfassen",IF(E106="","ex-Mieter erfassen",IF(AE106="","Kündigung bestätigen / G-Rem",IF(AF106="","Werke / EGT melden",IF(AG106="","Vorbesichtigung (oder n.e.)",IF(AH106="","VMZ aktualisieren",IF(AI106="","Inserat aufschalten",IF(AND(Z106="",AJ106=""),"Abnahmetermin vereinbaren",IF(AJ106="","Wohnungsabnahme durchführen",IF(AK106="","Handwerker aufbieten",IF(AL106="","Zustimmungserklärung einholen",IF(AM106="","Instandstellungen beauftragen",IF(R106="","Nachmieter erfassen",IF(AN106="","Vertrag versenden",IF(AO106="","Vertrag retour erfassen",IF(S106="","Vermietet per erfassen",IF(AP106="","Werke / EGT über Einzug informieren",IF(AND(AD106="",AQ106=""),"Schlüsselübergabe terminieren",IF(AQ106="","Schlüsselübergabe durchführen",IF(AR106="","Reinigung veranlassen",IF(AS106="","Namensschilder bestellen",IF(AT106="","Kaution prüfen / G-Rem mutieren",IF(AU106="","Instandstellungs-Rechnung erfassen",IF(AV106="","Schlussabrechnung erstellen",IF(AW106="","Zahlungseingang kontrollieren","Fall abschliessen"))))))))))))))))))))))))))))))))</f>
        <v/>
      </c>
      <c r="J106" s="17">
        <f>IF(M106="","",IF(S106&lt;&gt;"",MAX(0,S106-M106-1),MAX(0,TODAY()-M106)))</f>
        <v/>
      </c>
      <c r="K106" s="16">
        <f>IF($B106="","",TRIM(IF(AND(L106&lt;&gt;"",M106&lt;&gt;"",M106&lt;L106),"Haftungsdatum vor Kündigung. ","")&amp;IF(AND(S106&lt;&gt;"",M106&lt;&gt;"",S106&lt;M106),"Vermietung vor Leerstandsbeginn. ","")&amp;IF(AND(Z106&lt;&gt;"",L106&lt;&gt;"",Z106&lt;L106),"WA-Termin vor Kündigung. ","")&amp;IF(COUNTIFS($B$5:$B$404,$B106,$AY$5:$AY$404,"")&gt;1,"Zweiter offener Fall zum selben Objekt. ","")&amp;IF(AND($A106&lt;&gt;"",COUNTIFS($A$5:$A$404,$A106)&gt;1),"Fall-Nr. doppelt vergeben. ","")&amp;IF(E106="","ex-Mieter fehlt. ","")&amp;IF(M106="","Haftungsdatum fehlt. ","")&amp;IF(F106="","Bewirtschafter fehlt. ","")&amp;IF(AND(AY106&lt;&gt;"",AW106=""),"Abgeschlossen trotz offener Schlussabrechnung. ","")&amp;IF(AND(AY106="",S106="",ISNUMBER(J106),J106&gt;60),"Langläufer über 60 Tage. ","")))</f>
        <v/>
      </c>
      <c r="L106" s="18" t="n"/>
      <c r="M106" s="18" t="n"/>
      <c r="N106" s="19">
        <f>IF(M106="","",M106+1)</f>
        <v/>
      </c>
      <c r="O106" s="17">
        <f>IF(OR(L106="",M106=""),"",M106-L106)</f>
        <v/>
      </c>
      <c r="P106" s="16">
        <f>IF(M106="","",YEAR(M106+1)&amp;"-"&amp;TEXT(MONTH(M106+1),"00"))</f>
        <v/>
      </c>
      <c r="Q106" s="18" t="n"/>
      <c r="R106" s="15" t="n"/>
      <c r="S106" s="18" t="n"/>
      <c r="T106" s="16">
        <f>IF(U106="","",IF(LEFT(U106,1)="6","abgeschlossen",IF(OR(LEFT(U106,1)="1",LEFT(U106,1)="2"),"Kündigung &amp; Abnahme",IF(OR(LEFT(U106,1)="3",LEFT(U106,1)="4"),"Wiedervermietung","Schlussabrechnung"))))</f>
        <v/>
      </c>
      <c r="U106" s="16">
        <f>IF($B106="","",IF(AY106&lt;&gt;"","6 · abgeschlossen",IF(AW106&lt;&gt;"","5 · bereit zum Abschluss",IF(AT106&lt;&gt;"","5 · Schlussabrechnung",IF(AO106&lt;&gt;"","4 · Übergabe",IF(AM106&lt;&gt;"","3 · Neuvermietung",IF(M106&lt;&gt;"","2 · Abnahme &amp; Vermarktung","1 · Erfassung")))))))</f>
        <v/>
      </c>
      <c r="V106" s="15" t="n"/>
      <c r="W106" s="20" t="n"/>
      <c r="X106" s="15" t="n"/>
      <c r="Y106" s="15" t="n"/>
      <c r="Z106" s="18" t="n"/>
      <c r="AA106" s="19">
        <f>IF(M106="","",M106-30)</f>
        <v/>
      </c>
      <c r="AB106" s="19">
        <f>IF(ISNUMBER(AJ106),AJ106+3,"")</f>
        <v/>
      </c>
      <c r="AC106" s="18" t="n"/>
      <c r="AD106" s="18" t="n"/>
      <c r="AE106" s="18" t="n"/>
      <c r="AF106" s="18" t="n"/>
      <c r="AG106" s="18" t="n"/>
      <c r="AH106" s="18" t="n"/>
      <c r="AI106" s="18" t="n"/>
      <c r="AJ106" s="18" t="n"/>
      <c r="AK106" s="18" t="n"/>
      <c r="AL106" s="18" t="n"/>
      <c r="AM106" s="18" t="n"/>
      <c r="AN106" s="18" t="n"/>
      <c r="AO106" s="18" t="n"/>
      <c r="AP106" s="18" t="n"/>
      <c r="AQ106" s="18" t="n"/>
      <c r="AR106" s="18" t="n"/>
      <c r="AS106" s="18" t="n"/>
      <c r="AT106" s="18" t="n"/>
      <c r="AU106" s="18" t="n"/>
      <c r="AV106" s="18" t="n"/>
      <c r="AW106" s="18" t="n"/>
      <c r="AX106" s="18" t="n"/>
      <c r="AY106" s="18" t="n"/>
      <c r="AZ106" s="15" t="n"/>
    </row>
    <row r="107">
      <c r="A107" s="15" t="n"/>
      <c r="B107" s="15" t="n"/>
      <c r="C107" s="15" t="n"/>
      <c r="D107" s="15" t="n"/>
      <c r="E107" s="15" t="n"/>
      <c r="F107" s="15" t="n"/>
      <c r="G107" s="16">
        <f>IF(F107="","",IFERROR(INDEX(Stammdaten!$B$5:$B$24,MATCH(F107,Stammdaten!$A$5:$A$24,0)),"unbekannt"))</f>
        <v/>
      </c>
      <c r="H107" s="16">
        <f>IF($B107="","",IF(AY107&lt;&gt;"","abgeschlossen",IF(AND(ISNUMBER(AX107),AX107&gt;=TODAY()),"zurückgestellt",IF(OR(AND(ISNUMBER(AA107),AA107&lt;TODAY(),Z107="",AJ107=""),AND(ISNUMBER(Z107),Z107&lt;TODAY(),AJ107=""),AND(ISNUMBER(AB107),AB107&lt;TODAY(),AK107=""),AND(ISNUMBER(AC107),AC107&lt;TODAY(),AO107=""),AND(ISNUMBER(AD107),AD107&lt;TODAY(),AQ107="")),"überfällig","offen"))))</f>
        <v/>
      </c>
      <c r="I107" s="16">
        <f>IF($B107="","",IF(AY107&lt;&gt;"","—",IF(AND(ISNUMBER(AA107),AA107&lt;TODAY(),Z107="",AJ107=""),"Abnahmetermin vereinbaren – Sollfrist verstrichen",IF(AND(ISNUMBER(Z107),Z107&lt;TODAY(),AJ107=""),"Wohnungsabnahme nachtragen – Termin war fällig",IF(AND(ISNUMBER(AB107),AB107&lt;TODAY(),AK107=""),"Handwerker aufbieten – Frist verstrichen",IF(AND(ISNUMBER(AC107),AC107&lt;TODAY(),AO107=""),"Vertrag retour mahnen – Frist verstrichen",IF(AND(ISNUMBER(AD107),AD107&lt;TODAY(),AQ107=""),"Schlüsselübergabe nachtragen – Termin war fällig",IF(M107="","Haftungsdatum erfassen",IF(E107="","ex-Mieter erfassen",IF(AE107="","Kündigung bestätigen / G-Rem",IF(AF107="","Werke / EGT melden",IF(AG107="","Vorbesichtigung (oder n.e.)",IF(AH107="","VMZ aktualisieren",IF(AI107="","Inserat aufschalten",IF(AND(Z107="",AJ107=""),"Abnahmetermin vereinbaren",IF(AJ107="","Wohnungsabnahme durchführen",IF(AK107="","Handwerker aufbieten",IF(AL107="","Zustimmungserklärung einholen",IF(AM107="","Instandstellungen beauftragen",IF(R107="","Nachmieter erfassen",IF(AN107="","Vertrag versenden",IF(AO107="","Vertrag retour erfassen",IF(S107="","Vermietet per erfassen",IF(AP107="","Werke / EGT über Einzug informieren",IF(AND(AD107="",AQ107=""),"Schlüsselübergabe terminieren",IF(AQ107="","Schlüsselübergabe durchführen",IF(AR107="","Reinigung veranlassen",IF(AS107="","Namensschilder bestellen",IF(AT107="","Kaution prüfen / G-Rem mutieren",IF(AU107="","Instandstellungs-Rechnung erfassen",IF(AV107="","Schlussabrechnung erstellen",IF(AW107="","Zahlungseingang kontrollieren","Fall abschliessen"))))))))))))))))))))))))))))))))</f>
        <v/>
      </c>
      <c r="J107" s="17">
        <f>IF(M107="","",IF(S107&lt;&gt;"",MAX(0,S107-M107-1),MAX(0,TODAY()-M107)))</f>
        <v/>
      </c>
      <c r="K107" s="16">
        <f>IF($B107="","",TRIM(IF(AND(L107&lt;&gt;"",M107&lt;&gt;"",M107&lt;L107),"Haftungsdatum vor Kündigung. ","")&amp;IF(AND(S107&lt;&gt;"",M107&lt;&gt;"",S107&lt;M107),"Vermietung vor Leerstandsbeginn. ","")&amp;IF(AND(Z107&lt;&gt;"",L107&lt;&gt;"",Z107&lt;L107),"WA-Termin vor Kündigung. ","")&amp;IF(COUNTIFS($B$5:$B$404,$B107,$AY$5:$AY$404,"")&gt;1,"Zweiter offener Fall zum selben Objekt. ","")&amp;IF(AND($A107&lt;&gt;"",COUNTIFS($A$5:$A$404,$A107)&gt;1),"Fall-Nr. doppelt vergeben. ","")&amp;IF(E107="","ex-Mieter fehlt. ","")&amp;IF(M107="","Haftungsdatum fehlt. ","")&amp;IF(F107="","Bewirtschafter fehlt. ","")&amp;IF(AND(AY107&lt;&gt;"",AW107=""),"Abgeschlossen trotz offener Schlussabrechnung. ","")&amp;IF(AND(AY107="",S107="",ISNUMBER(J107),J107&gt;60),"Langläufer über 60 Tage. ","")))</f>
        <v/>
      </c>
      <c r="L107" s="18" t="n"/>
      <c r="M107" s="18" t="n"/>
      <c r="N107" s="19">
        <f>IF(M107="","",M107+1)</f>
        <v/>
      </c>
      <c r="O107" s="17">
        <f>IF(OR(L107="",M107=""),"",M107-L107)</f>
        <v/>
      </c>
      <c r="P107" s="16">
        <f>IF(M107="","",YEAR(M107+1)&amp;"-"&amp;TEXT(MONTH(M107+1),"00"))</f>
        <v/>
      </c>
      <c r="Q107" s="18" t="n"/>
      <c r="R107" s="15" t="n"/>
      <c r="S107" s="18" t="n"/>
      <c r="T107" s="16">
        <f>IF(U107="","",IF(LEFT(U107,1)="6","abgeschlossen",IF(OR(LEFT(U107,1)="1",LEFT(U107,1)="2"),"Kündigung &amp; Abnahme",IF(OR(LEFT(U107,1)="3",LEFT(U107,1)="4"),"Wiedervermietung","Schlussabrechnung"))))</f>
        <v/>
      </c>
      <c r="U107" s="16">
        <f>IF($B107="","",IF(AY107&lt;&gt;"","6 · abgeschlossen",IF(AW107&lt;&gt;"","5 · bereit zum Abschluss",IF(AT107&lt;&gt;"","5 · Schlussabrechnung",IF(AO107&lt;&gt;"","4 · Übergabe",IF(AM107&lt;&gt;"","3 · Neuvermietung",IF(M107&lt;&gt;"","2 · Abnahme &amp; Vermarktung","1 · Erfassung")))))))</f>
        <v/>
      </c>
      <c r="V107" s="15" t="n"/>
      <c r="W107" s="20" t="n"/>
      <c r="X107" s="15" t="n"/>
      <c r="Y107" s="15" t="n"/>
      <c r="Z107" s="18" t="n"/>
      <c r="AA107" s="19">
        <f>IF(M107="","",M107-30)</f>
        <v/>
      </c>
      <c r="AB107" s="19">
        <f>IF(ISNUMBER(AJ107),AJ107+3,"")</f>
        <v/>
      </c>
      <c r="AC107" s="18" t="n"/>
      <c r="AD107" s="18" t="n"/>
      <c r="AE107" s="18" t="n"/>
      <c r="AF107" s="18" t="n"/>
      <c r="AG107" s="18" t="n"/>
      <c r="AH107" s="18" t="n"/>
      <c r="AI107" s="18" t="n"/>
      <c r="AJ107" s="18" t="n"/>
      <c r="AK107" s="18" t="n"/>
      <c r="AL107" s="18" t="n"/>
      <c r="AM107" s="18" t="n"/>
      <c r="AN107" s="18" t="n"/>
      <c r="AO107" s="18" t="n"/>
      <c r="AP107" s="18" t="n"/>
      <c r="AQ107" s="18" t="n"/>
      <c r="AR107" s="18" t="n"/>
      <c r="AS107" s="18" t="n"/>
      <c r="AT107" s="18" t="n"/>
      <c r="AU107" s="18" t="n"/>
      <c r="AV107" s="18" t="n"/>
      <c r="AW107" s="18" t="n"/>
      <c r="AX107" s="18" t="n"/>
      <c r="AY107" s="18" t="n"/>
      <c r="AZ107" s="15" t="n"/>
    </row>
    <row r="108">
      <c r="A108" s="15" t="n"/>
      <c r="B108" s="15" t="n"/>
      <c r="C108" s="15" t="n"/>
      <c r="D108" s="15" t="n"/>
      <c r="E108" s="15" t="n"/>
      <c r="F108" s="15" t="n"/>
      <c r="G108" s="16">
        <f>IF(F108="","",IFERROR(INDEX(Stammdaten!$B$5:$B$24,MATCH(F108,Stammdaten!$A$5:$A$24,0)),"unbekannt"))</f>
        <v/>
      </c>
      <c r="H108" s="16">
        <f>IF($B108="","",IF(AY108&lt;&gt;"","abgeschlossen",IF(AND(ISNUMBER(AX108),AX108&gt;=TODAY()),"zurückgestellt",IF(OR(AND(ISNUMBER(AA108),AA108&lt;TODAY(),Z108="",AJ108=""),AND(ISNUMBER(Z108),Z108&lt;TODAY(),AJ108=""),AND(ISNUMBER(AB108),AB108&lt;TODAY(),AK108=""),AND(ISNUMBER(AC108),AC108&lt;TODAY(),AO108=""),AND(ISNUMBER(AD108),AD108&lt;TODAY(),AQ108="")),"überfällig","offen"))))</f>
        <v/>
      </c>
      <c r="I108" s="16">
        <f>IF($B108="","",IF(AY108&lt;&gt;"","—",IF(AND(ISNUMBER(AA108),AA108&lt;TODAY(),Z108="",AJ108=""),"Abnahmetermin vereinbaren – Sollfrist verstrichen",IF(AND(ISNUMBER(Z108),Z108&lt;TODAY(),AJ108=""),"Wohnungsabnahme nachtragen – Termin war fällig",IF(AND(ISNUMBER(AB108),AB108&lt;TODAY(),AK108=""),"Handwerker aufbieten – Frist verstrichen",IF(AND(ISNUMBER(AC108),AC108&lt;TODAY(),AO108=""),"Vertrag retour mahnen – Frist verstrichen",IF(AND(ISNUMBER(AD108),AD108&lt;TODAY(),AQ108=""),"Schlüsselübergabe nachtragen – Termin war fällig",IF(M108="","Haftungsdatum erfassen",IF(E108="","ex-Mieter erfassen",IF(AE108="","Kündigung bestätigen / G-Rem",IF(AF108="","Werke / EGT melden",IF(AG108="","Vorbesichtigung (oder n.e.)",IF(AH108="","VMZ aktualisieren",IF(AI108="","Inserat aufschalten",IF(AND(Z108="",AJ108=""),"Abnahmetermin vereinbaren",IF(AJ108="","Wohnungsabnahme durchführen",IF(AK108="","Handwerker aufbieten",IF(AL108="","Zustimmungserklärung einholen",IF(AM108="","Instandstellungen beauftragen",IF(R108="","Nachmieter erfassen",IF(AN108="","Vertrag versenden",IF(AO108="","Vertrag retour erfassen",IF(S108="","Vermietet per erfassen",IF(AP108="","Werke / EGT über Einzug informieren",IF(AND(AD108="",AQ108=""),"Schlüsselübergabe terminieren",IF(AQ108="","Schlüsselübergabe durchführen",IF(AR108="","Reinigung veranlassen",IF(AS108="","Namensschilder bestellen",IF(AT108="","Kaution prüfen / G-Rem mutieren",IF(AU108="","Instandstellungs-Rechnung erfassen",IF(AV108="","Schlussabrechnung erstellen",IF(AW108="","Zahlungseingang kontrollieren","Fall abschliessen"))))))))))))))))))))))))))))))))</f>
        <v/>
      </c>
      <c r="J108" s="17">
        <f>IF(M108="","",IF(S108&lt;&gt;"",MAX(0,S108-M108-1),MAX(0,TODAY()-M108)))</f>
        <v/>
      </c>
      <c r="K108" s="16">
        <f>IF($B108="","",TRIM(IF(AND(L108&lt;&gt;"",M108&lt;&gt;"",M108&lt;L108),"Haftungsdatum vor Kündigung. ","")&amp;IF(AND(S108&lt;&gt;"",M108&lt;&gt;"",S108&lt;M108),"Vermietung vor Leerstandsbeginn. ","")&amp;IF(AND(Z108&lt;&gt;"",L108&lt;&gt;"",Z108&lt;L108),"WA-Termin vor Kündigung. ","")&amp;IF(COUNTIFS($B$5:$B$404,$B108,$AY$5:$AY$404,"")&gt;1,"Zweiter offener Fall zum selben Objekt. ","")&amp;IF(AND($A108&lt;&gt;"",COUNTIFS($A$5:$A$404,$A108)&gt;1),"Fall-Nr. doppelt vergeben. ","")&amp;IF(E108="","ex-Mieter fehlt. ","")&amp;IF(M108="","Haftungsdatum fehlt. ","")&amp;IF(F108="","Bewirtschafter fehlt. ","")&amp;IF(AND(AY108&lt;&gt;"",AW108=""),"Abgeschlossen trotz offener Schlussabrechnung. ","")&amp;IF(AND(AY108="",S108="",ISNUMBER(J108),J108&gt;60),"Langläufer über 60 Tage. ","")))</f>
        <v/>
      </c>
      <c r="L108" s="18" t="n"/>
      <c r="M108" s="18" t="n"/>
      <c r="N108" s="19">
        <f>IF(M108="","",M108+1)</f>
        <v/>
      </c>
      <c r="O108" s="17">
        <f>IF(OR(L108="",M108=""),"",M108-L108)</f>
        <v/>
      </c>
      <c r="P108" s="16">
        <f>IF(M108="","",YEAR(M108+1)&amp;"-"&amp;TEXT(MONTH(M108+1),"00"))</f>
        <v/>
      </c>
      <c r="Q108" s="18" t="n"/>
      <c r="R108" s="15" t="n"/>
      <c r="S108" s="18" t="n"/>
      <c r="T108" s="16">
        <f>IF(U108="","",IF(LEFT(U108,1)="6","abgeschlossen",IF(OR(LEFT(U108,1)="1",LEFT(U108,1)="2"),"Kündigung &amp; Abnahme",IF(OR(LEFT(U108,1)="3",LEFT(U108,1)="4"),"Wiedervermietung","Schlussabrechnung"))))</f>
        <v/>
      </c>
      <c r="U108" s="16">
        <f>IF($B108="","",IF(AY108&lt;&gt;"","6 · abgeschlossen",IF(AW108&lt;&gt;"","5 · bereit zum Abschluss",IF(AT108&lt;&gt;"","5 · Schlussabrechnung",IF(AO108&lt;&gt;"","4 · Übergabe",IF(AM108&lt;&gt;"","3 · Neuvermietung",IF(M108&lt;&gt;"","2 · Abnahme &amp; Vermarktung","1 · Erfassung")))))))</f>
        <v/>
      </c>
      <c r="V108" s="15" t="n"/>
      <c r="W108" s="20" t="n"/>
      <c r="X108" s="15" t="n"/>
      <c r="Y108" s="15" t="n"/>
      <c r="Z108" s="18" t="n"/>
      <c r="AA108" s="19">
        <f>IF(M108="","",M108-30)</f>
        <v/>
      </c>
      <c r="AB108" s="19">
        <f>IF(ISNUMBER(AJ108),AJ108+3,"")</f>
        <v/>
      </c>
      <c r="AC108" s="18" t="n"/>
      <c r="AD108" s="18" t="n"/>
      <c r="AE108" s="18" t="n"/>
      <c r="AF108" s="18" t="n"/>
      <c r="AG108" s="18" t="n"/>
      <c r="AH108" s="18" t="n"/>
      <c r="AI108" s="18" t="n"/>
      <c r="AJ108" s="18" t="n"/>
      <c r="AK108" s="18" t="n"/>
      <c r="AL108" s="18" t="n"/>
      <c r="AM108" s="18" t="n"/>
      <c r="AN108" s="18" t="n"/>
      <c r="AO108" s="18" t="n"/>
      <c r="AP108" s="18" t="n"/>
      <c r="AQ108" s="18" t="n"/>
      <c r="AR108" s="18" t="n"/>
      <c r="AS108" s="18" t="n"/>
      <c r="AT108" s="18" t="n"/>
      <c r="AU108" s="18" t="n"/>
      <c r="AV108" s="18" t="n"/>
      <c r="AW108" s="18" t="n"/>
      <c r="AX108" s="18" t="n"/>
      <c r="AY108" s="18" t="n"/>
      <c r="AZ108" s="15" t="n"/>
    </row>
    <row r="109">
      <c r="A109" s="15" t="n"/>
      <c r="B109" s="15" t="n"/>
      <c r="C109" s="15" t="n"/>
      <c r="D109" s="15" t="n"/>
      <c r="E109" s="15" t="n"/>
      <c r="F109" s="15" t="n"/>
      <c r="G109" s="16">
        <f>IF(F109="","",IFERROR(INDEX(Stammdaten!$B$5:$B$24,MATCH(F109,Stammdaten!$A$5:$A$24,0)),"unbekannt"))</f>
        <v/>
      </c>
      <c r="H109" s="16">
        <f>IF($B109="","",IF(AY109&lt;&gt;"","abgeschlossen",IF(AND(ISNUMBER(AX109),AX109&gt;=TODAY()),"zurückgestellt",IF(OR(AND(ISNUMBER(AA109),AA109&lt;TODAY(),Z109="",AJ109=""),AND(ISNUMBER(Z109),Z109&lt;TODAY(),AJ109=""),AND(ISNUMBER(AB109),AB109&lt;TODAY(),AK109=""),AND(ISNUMBER(AC109),AC109&lt;TODAY(),AO109=""),AND(ISNUMBER(AD109),AD109&lt;TODAY(),AQ109="")),"überfällig","offen"))))</f>
        <v/>
      </c>
      <c r="I109" s="16">
        <f>IF($B109="","",IF(AY109&lt;&gt;"","—",IF(AND(ISNUMBER(AA109),AA109&lt;TODAY(),Z109="",AJ109=""),"Abnahmetermin vereinbaren – Sollfrist verstrichen",IF(AND(ISNUMBER(Z109),Z109&lt;TODAY(),AJ109=""),"Wohnungsabnahme nachtragen – Termin war fällig",IF(AND(ISNUMBER(AB109),AB109&lt;TODAY(),AK109=""),"Handwerker aufbieten – Frist verstrichen",IF(AND(ISNUMBER(AC109),AC109&lt;TODAY(),AO109=""),"Vertrag retour mahnen – Frist verstrichen",IF(AND(ISNUMBER(AD109),AD109&lt;TODAY(),AQ109=""),"Schlüsselübergabe nachtragen – Termin war fällig",IF(M109="","Haftungsdatum erfassen",IF(E109="","ex-Mieter erfassen",IF(AE109="","Kündigung bestätigen / G-Rem",IF(AF109="","Werke / EGT melden",IF(AG109="","Vorbesichtigung (oder n.e.)",IF(AH109="","VMZ aktualisieren",IF(AI109="","Inserat aufschalten",IF(AND(Z109="",AJ109=""),"Abnahmetermin vereinbaren",IF(AJ109="","Wohnungsabnahme durchführen",IF(AK109="","Handwerker aufbieten",IF(AL109="","Zustimmungserklärung einholen",IF(AM109="","Instandstellungen beauftragen",IF(R109="","Nachmieter erfassen",IF(AN109="","Vertrag versenden",IF(AO109="","Vertrag retour erfassen",IF(S109="","Vermietet per erfassen",IF(AP109="","Werke / EGT über Einzug informieren",IF(AND(AD109="",AQ109=""),"Schlüsselübergabe terminieren",IF(AQ109="","Schlüsselübergabe durchführen",IF(AR109="","Reinigung veranlassen",IF(AS109="","Namensschilder bestellen",IF(AT109="","Kaution prüfen / G-Rem mutieren",IF(AU109="","Instandstellungs-Rechnung erfassen",IF(AV109="","Schlussabrechnung erstellen",IF(AW109="","Zahlungseingang kontrollieren","Fall abschliessen"))))))))))))))))))))))))))))))))</f>
        <v/>
      </c>
      <c r="J109" s="17">
        <f>IF(M109="","",IF(S109&lt;&gt;"",MAX(0,S109-M109-1),MAX(0,TODAY()-M109)))</f>
        <v/>
      </c>
      <c r="K109" s="16">
        <f>IF($B109="","",TRIM(IF(AND(L109&lt;&gt;"",M109&lt;&gt;"",M109&lt;L109),"Haftungsdatum vor Kündigung. ","")&amp;IF(AND(S109&lt;&gt;"",M109&lt;&gt;"",S109&lt;M109),"Vermietung vor Leerstandsbeginn. ","")&amp;IF(AND(Z109&lt;&gt;"",L109&lt;&gt;"",Z109&lt;L109),"WA-Termin vor Kündigung. ","")&amp;IF(COUNTIFS($B$5:$B$404,$B109,$AY$5:$AY$404,"")&gt;1,"Zweiter offener Fall zum selben Objekt. ","")&amp;IF(AND($A109&lt;&gt;"",COUNTIFS($A$5:$A$404,$A109)&gt;1),"Fall-Nr. doppelt vergeben. ","")&amp;IF(E109="","ex-Mieter fehlt. ","")&amp;IF(M109="","Haftungsdatum fehlt. ","")&amp;IF(F109="","Bewirtschafter fehlt. ","")&amp;IF(AND(AY109&lt;&gt;"",AW109=""),"Abgeschlossen trotz offener Schlussabrechnung. ","")&amp;IF(AND(AY109="",S109="",ISNUMBER(J109),J109&gt;60),"Langläufer über 60 Tage. ","")))</f>
        <v/>
      </c>
      <c r="L109" s="18" t="n"/>
      <c r="M109" s="18" t="n"/>
      <c r="N109" s="19">
        <f>IF(M109="","",M109+1)</f>
        <v/>
      </c>
      <c r="O109" s="17">
        <f>IF(OR(L109="",M109=""),"",M109-L109)</f>
        <v/>
      </c>
      <c r="P109" s="16">
        <f>IF(M109="","",YEAR(M109+1)&amp;"-"&amp;TEXT(MONTH(M109+1),"00"))</f>
        <v/>
      </c>
      <c r="Q109" s="18" t="n"/>
      <c r="R109" s="15" t="n"/>
      <c r="S109" s="18" t="n"/>
      <c r="T109" s="16">
        <f>IF(U109="","",IF(LEFT(U109,1)="6","abgeschlossen",IF(OR(LEFT(U109,1)="1",LEFT(U109,1)="2"),"Kündigung &amp; Abnahme",IF(OR(LEFT(U109,1)="3",LEFT(U109,1)="4"),"Wiedervermietung","Schlussabrechnung"))))</f>
        <v/>
      </c>
      <c r="U109" s="16">
        <f>IF($B109="","",IF(AY109&lt;&gt;"","6 · abgeschlossen",IF(AW109&lt;&gt;"","5 · bereit zum Abschluss",IF(AT109&lt;&gt;"","5 · Schlussabrechnung",IF(AO109&lt;&gt;"","4 · Übergabe",IF(AM109&lt;&gt;"","3 · Neuvermietung",IF(M109&lt;&gt;"","2 · Abnahme &amp; Vermarktung","1 · Erfassung")))))))</f>
        <v/>
      </c>
      <c r="V109" s="15" t="n"/>
      <c r="W109" s="20" t="n"/>
      <c r="X109" s="15" t="n"/>
      <c r="Y109" s="15" t="n"/>
      <c r="Z109" s="18" t="n"/>
      <c r="AA109" s="19">
        <f>IF(M109="","",M109-30)</f>
        <v/>
      </c>
      <c r="AB109" s="19">
        <f>IF(ISNUMBER(AJ109),AJ109+3,"")</f>
        <v/>
      </c>
      <c r="AC109" s="18" t="n"/>
      <c r="AD109" s="18" t="n"/>
      <c r="AE109" s="18" t="n"/>
      <c r="AF109" s="18" t="n"/>
      <c r="AG109" s="18" t="n"/>
      <c r="AH109" s="18" t="n"/>
      <c r="AI109" s="18" t="n"/>
      <c r="AJ109" s="18" t="n"/>
      <c r="AK109" s="18" t="n"/>
      <c r="AL109" s="18" t="n"/>
      <c r="AM109" s="18" t="n"/>
      <c r="AN109" s="18" t="n"/>
      <c r="AO109" s="18" t="n"/>
      <c r="AP109" s="18" t="n"/>
      <c r="AQ109" s="18" t="n"/>
      <c r="AR109" s="18" t="n"/>
      <c r="AS109" s="18" t="n"/>
      <c r="AT109" s="18" t="n"/>
      <c r="AU109" s="18" t="n"/>
      <c r="AV109" s="18" t="n"/>
      <c r="AW109" s="18" t="n"/>
      <c r="AX109" s="18" t="n"/>
      <c r="AY109" s="18" t="n"/>
      <c r="AZ109" s="15" t="n"/>
    </row>
    <row r="110">
      <c r="A110" s="15" t="n"/>
      <c r="B110" s="15" t="n"/>
      <c r="C110" s="15" t="n"/>
      <c r="D110" s="15" t="n"/>
      <c r="E110" s="15" t="n"/>
      <c r="F110" s="15" t="n"/>
      <c r="G110" s="16">
        <f>IF(F110="","",IFERROR(INDEX(Stammdaten!$B$5:$B$24,MATCH(F110,Stammdaten!$A$5:$A$24,0)),"unbekannt"))</f>
        <v/>
      </c>
      <c r="H110" s="16">
        <f>IF($B110="","",IF(AY110&lt;&gt;"","abgeschlossen",IF(AND(ISNUMBER(AX110),AX110&gt;=TODAY()),"zurückgestellt",IF(OR(AND(ISNUMBER(AA110),AA110&lt;TODAY(),Z110="",AJ110=""),AND(ISNUMBER(Z110),Z110&lt;TODAY(),AJ110=""),AND(ISNUMBER(AB110),AB110&lt;TODAY(),AK110=""),AND(ISNUMBER(AC110),AC110&lt;TODAY(),AO110=""),AND(ISNUMBER(AD110),AD110&lt;TODAY(),AQ110="")),"überfällig","offen"))))</f>
        <v/>
      </c>
      <c r="I110" s="16">
        <f>IF($B110="","",IF(AY110&lt;&gt;"","—",IF(AND(ISNUMBER(AA110),AA110&lt;TODAY(),Z110="",AJ110=""),"Abnahmetermin vereinbaren – Sollfrist verstrichen",IF(AND(ISNUMBER(Z110),Z110&lt;TODAY(),AJ110=""),"Wohnungsabnahme nachtragen – Termin war fällig",IF(AND(ISNUMBER(AB110),AB110&lt;TODAY(),AK110=""),"Handwerker aufbieten – Frist verstrichen",IF(AND(ISNUMBER(AC110),AC110&lt;TODAY(),AO110=""),"Vertrag retour mahnen – Frist verstrichen",IF(AND(ISNUMBER(AD110),AD110&lt;TODAY(),AQ110=""),"Schlüsselübergabe nachtragen – Termin war fällig",IF(M110="","Haftungsdatum erfassen",IF(E110="","ex-Mieter erfassen",IF(AE110="","Kündigung bestätigen / G-Rem",IF(AF110="","Werke / EGT melden",IF(AG110="","Vorbesichtigung (oder n.e.)",IF(AH110="","VMZ aktualisieren",IF(AI110="","Inserat aufschalten",IF(AND(Z110="",AJ110=""),"Abnahmetermin vereinbaren",IF(AJ110="","Wohnungsabnahme durchführen",IF(AK110="","Handwerker aufbieten",IF(AL110="","Zustimmungserklärung einholen",IF(AM110="","Instandstellungen beauftragen",IF(R110="","Nachmieter erfassen",IF(AN110="","Vertrag versenden",IF(AO110="","Vertrag retour erfassen",IF(S110="","Vermietet per erfassen",IF(AP110="","Werke / EGT über Einzug informieren",IF(AND(AD110="",AQ110=""),"Schlüsselübergabe terminieren",IF(AQ110="","Schlüsselübergabe durchführen",IF(AR110="","Reinigung veranlassen",IF(AS110="","Namensschilder bestellen",IF(AT110="","Kaution prüfen / G-Rem mutieren",IF(AU110="","Instandstellungs-Rechnung erfassen",IF(AV110="","Schlussabrechnung erstellen",IF(AW110="","Zahlungseingang kontrollieren","Fall abschliessen"))))))))))))))))))))))))))))))))</f>
        <v/>
      </c>
      <c r="J110" s="17">
        <f>IF(M110="","",IF(S110&lt;&gt;"",MAX(0,S110-M110-1),MAX(0,TODAY()-M110)))</f>
        <v/>
      </c>
      <c r="K110" s="16">
        <f>IF($B110="","",TRIM(IF(AND(L110&lt;&gt;"",M110&lt;&gt;"",M110&lt;L110),"Haftungsdatum vor Kündigung. ","")&amp;IF(AND(S110&lt;&gt;"",M110&lt;&gt;"",S110&lt;M110),"Vermietung vor Leerstandsbeginn. ","")&amp;IF(AND(Z110&lt;&gt;"",L110&lt;&gt;"",Z110&lt;L110),"WA-Termin vor Kündigung. ","")&amp;IF(COUNTIFS($B$5:$B$404,$B110,$AY$5:$AY$404,"")&gt;1,"Zweiter offener Fall zum selben Objekt. ","")&amp;IF(AND($A110&lt;&gt;"",COUNTIFS($A$5:$A$404,$A110)&gt;1),"Fall-Nr. doppelt vergeben. ","")&amp;IF(E110="","ex-Mieter fehlt. ","")&amp;IF(M110="","Haftungsdatum fehlt. ","")&amp;IF(F110="","Bewirtschafter fehlt. ","")&amp;IF(AND(AY110&lt;&gt;"",AW110=""),"Abgeschlossen trotz offener Schlussabrechnung. ","")&amp;IF(AND(AY110="",S110="",ISNUMBER(J110),J110&gt;60),"Langläufer über 60 Tage. ","")))</f>
        <v/>
      </c>
      <c r="L110" s="18" t="n"/>
      <c r="M110" s="18" t="n"/>
      <c r="N110" s="19">
        <f>IF(M110="","",M110+1)</f>
        <v/>
      </c>
      <c r="O110" s="17">
        <f>IF(OR(L110="",M110=""),"",M110-L110)</f>
        <v/>
      </c>
      <c r="P110" s="16">
        <f>IF(M110="","",YEAR(M110+1)&amp;"-"&amp;TEXT(MONTH(M110+1),"00"))</f>
        <v/>
      </c>
      <c r="Q110" s="18" t="n"/>
      <c r="R110" s="15" t="n"/>
      <c r="S110" s="18" t="n"/>
      <c r="T110" s="16">
        <f>IF(U110="","",IF(LEFT(U110,1)="6","abgeschlossen",IF(OR(LEFT(U110,1)="1",LEFT(U110,1)="2"),"Kündigung &amp; Abnahme",IF(OR(LEFT(U110,1)="3",LEFT(U110,1)="4"),"Wiedervermietung","Schlussabrechnung"))))</f>
        <v/>
      </c>
      <c r="U110" s="16">
        <f>IF($B110="","",IF(AY110&lt;&gt;"","6 · abgeschlossen",IF(AW110&lt;&gt;"","5 · bereit zum Abschluss",IF(AT110&lt;&gt;"","5 · Schlussabrechnung",IF(AO110&lt;&gt;"","4 · Übergabe",IF(AM110&lt;&gt;"","3 · Neuvermietung",IF(M110&lt;&gt;"","2 · Abnahme &amp; Vermarktung","1 · Erfassung")))))))</f>
        <v/>
      </c>
      <c r="V110" s="15" t="n"/>
      <c r="W110" s="20" t="n"/>
      <c r="X110" s="15" t="n"/>
      <c r="Y110" s="15" t="n"/>
      <c r="Z110" s="18" t="n"/>
      <c r="AA110" s="19">
        <f>IF(M110="","",M110-30)</f>
        <v/>
      </c>
      <c r="AB110" s="19">
        <f>IF(ISNUMBER(AJ110),AJ110+3,"")</f>
        <v/>
      </c>
      <c r="AC110" s="18" t="n"/>
      <c r="AD110" s="18" t="n"/>
      <c r="AE110" s="18" t="n"/>
      <c r="AF110" s="18" t="n"/>
      <c r="AG110" s="18" t="n"/>
      <c r="AH110" s="18" t="n"/>
      <c r="AI110" s="18" t="n"/>
      <c r="AJ110" s="18" t="n"/>
      <c r="AK110" s="18" t="n"/>
      <c r="AL110" s="18" t="n"/>
      <c r="AM110" s="18" t="n"/>
      <c r="AN110" s="18" t="n"/>
      <c r="AO110" s="18" t="n"/>
      <c r="AP110" s="18" t="n"/>
      <c r="AQ110" s="18" t="n"/>
      <c r="AR110" s="18" t="n"/>
      <c r="AS110" s="18" t="n"/>
      <c r="AT110" s="18" t="n"/>
      <c r="AU110" s="18" t="n"/>
      <c r="AV110" s="18" t="n"/>
      <c r="AW110" s="18" t="n"/>
      <c r="AX110" s="18" t="n"/>
      <c r="AY110" s="18" t="n"/>
      <c r="AZ110" s="15" t="n"/>
    </row>
    <row r="111">
      <c r="A111" s="15" t="n"/>
      <c r="B111" s="15" t="n"/>
      <c r="C111" s="15" t="n"/>
      <c r="D111" s="15" t="n"/>
      <c r="E111" s="15" t="n"/>
      <c r="F111" s="15" t="n"/>
      <c r="G111" s="16">
        <f>IF(F111="","",IFERROR(INDEX(Stammdaten!$B$5:$B$24,MATCH(F111,Stammdaten!$A$5:$A$24,0)),"unbekannt"))</f>
        <v/>
      </c>
      <c r="H111" s="16">
        <f>IF($B111="","",IF(AY111&lt;&gt;"","abgeschlossen",IF(AND(ISNUMBER(AX111),AX111&gt;=TODAY()),"zurückgestellt",IF(OR(AND(ISNUMBER(AA111),AA111&lt;TODAY(),Z111="",AJ111=""),AND(ISNUMBER(Z111),Z111&lt;TODAY(),AJ111=""),AND(ISNUMBER(AB111),AB111&lt;TODAY(),AK111=""),AND(ISNUMBER(AC111),AC111&lt;TODAY(),AO111=""),AND(ISNUMBER(AD111),AD111&lt;TODAY(),AQ111="")),"überfällig","offen"))))</f>
        <v/>
      </c>
      <c r="I111" s="16">
        <f>IF($B111="","",IF(AY111&lt;&gt;"","—",IF(AND(ISNUMBER(AA111),AA111&lt;TODAY(),Z111="",AJ111=""),"Abnahmetermin vereinbaren – Sollfrist verstrichen",IF(AND(ISNUMBER(Z111),Z111&lt;TODAY(),AJ111=""),"Wohnungsabnahme nachtragen – Termin war fällig",IF(AND(ISNUMBER(AB111),AB111&lt;TODAY(),AK111=""),"Handwerker aufbieten – Frist verstrichen",IF(AND(ISNUMBER(AC111),AC111&lt;TODAY(),AO111=""),"Vertrag retour mahnen – Frist verstrichen",IF(AND(ISNUMBER(AD111),AD111&lt;TODAY(),AQ111=""),"Schlüsselübergabe nachtragen – Termin war fällig",IF(M111="","Haftungsdatum erfassen",IF(E111="","ex-Mieter erfassen",IF(AE111="","Kündigung bestätigen / G-Rem",IF(AF111="","Werke / EGT melden",IF(AG111="","Vorbesichtigung (oder n.e.)",IF(AH111="","VMZ aktualisieren",IF(AI111="","Inserat aufschalten",IF(AND(Z111="",AJ111=""),"Abnahmetermin vereinbaren",IF(AJ111="","Wohnungsabnahme durchführen",IF(AK111="","Handwerker aufbieten",IF(AL111="","Zustimmungserklärung einholen",IF(AM111="","Instandstellungen beauftragen",IF(R111="","Nachmieter erfassen",IF(AN111="","Vertrag versenden",IF(AO111="","Vertrag retour erfassen",IF(S111="","Vermietet per erfassen",IF(AP111="","Werke / EGT über Einzug informieren",IF(AND(AD111="",AQ111=""),"Schlüsselübergabe terminieren",IF(AQ111="","Schlüsselübergabe durchführen",IF(AR111="","Reinigung veranlassen",IF(AS111="","Namensschilder bestellen",IF(AT111="","Kaution prüfen / G-Rem mutieren",IF(AU111="","Instandstellungs-Rechnung erfassen",IF(AV111="","Schlussabrechnung erstellen",IF(AW111="","Zahlungseingang kontrollieren","Fall abschliessen"))))))))))))))))))))))))))))))))</f>
        <v/>
      </c>
      <c r="J111" s="17">
        <f>IF(M111="","",IF(S111&lt;&gt;"",MAX(0,S111-M111-1),MAX(0,TODAY()-M111)))</f>
        <v/>
      </c>
      <c r="K111" s="16">
        <f>IF($B111="","",TRIM(IF(AND(L111&lt;&gt;"",M111&lt;&gt;"",M111&lt;L111),"Haftungsdatum vor Kündigung. ","")&amp;IF(AND(S111&lt;&gt;"",M111&lt;&gt;"",S111&lt;M111),"Vermietung vor Leerstandsbeginn. ","")&amp;IF(AND(Z111&lt;&gt;"",L111&lt;&gt;"",Z111&lt;L111),"WA-Termin vor Kündigung. ","")&amp;IF(COUNTIFS($B$5:$B$404,$B111,$AY$5:$AY$404,"")&gt;1,"Zweiter offener Fall zum selben Objekt. ","")&amp;IF(AND($A111&lt;&gt;"",COUNTIFS($A$5:$A$404,$A111)&gt;1),"Fall-Nr. doppelt vergeben. ","")&amp;IF(E111="","ex-Mieter fehlt. ","")&amp;IF(M111="","Haftungsdatum fehlt. ","")&amp;IF(F111="","Bewirtschafter fehlt. ","")&amp;IF(AND(AY111&lt;&gt;"",AW111=""),"Abgeschlossen trotz offener Schlussabrechnung. ","")&amp;IF(AND(AY111="",S111="",ISNUMBER(J111),J111&gt;60),"Langläufer über 60 Tage. ","")))</f>
        <v/>
      </c>
      <c r="L111" s="18" t="n"/>
      <c r="M111" s="18" t="n"/>
      <c r="N111" s="19">
        <f>IF(M111="","",M111+1)</f>
        <v/>
      </c>
      <c r="O111" s="17">
        <f>IF(OR(L111="",M111=""),"",M111-L111)</f>
        <v/>
      </c>
      <c r="P111" s="16">
        <f>IF(M111="","",YEAR(M111+1)&amp;"-"&amp;TEXT(MONTH(M111+1),"00"))</f>
        <v/>
      </c>
      <c r="Q111" s="18" t="n"/>
      <c r="R111" s="15" t="n"/>
      <c r="S111" s="18" t="n"/>
      <c r="T111" s="16">
        <f>IF(U111="","",IF(LEFT(U111,1)="6","abgeschlossen",IF(OR(LEFT(U111,1)="1",LEFT(U111,1)="2"),"Kündigung &amp; Abnahme",IF(OR(LEFT(U111,1)="3",LEFT(U111,1)="4"),"Wiedervermietung","Schlussabrechnung"))))</f>
        <v/>
      </c>
      <c r="U111" s="16">
        <f>IF($B111="","",IF(AY111&lt;&gt;"","6 · abgeschlossen",IF(AW111&lt;&gt;"","5 · bereit zum Abschluss",IF(AT111&lt;&gt;"","5 · Schlussabrechnung",IF(AO111&lt;&gt;"","4 · Übergabe",IF(AM111&lt;&gt;"","3 · Neuvermietung",IF(M111&lt;&gt;"","2 · Abnahme &amp; Vermarktung","1 · Erfassung")))))))</f>
        <v/>
      </c>
      <c r="V111" s="15" t="n"/>
      <c r="W111" s="20" t="n"/>
      <c r="X111" s="15" t="n"/>
      <c r="Y111" s="15" t="n"/>
      <c r="Z111" s="18" t="n"/>
      <c r="AA111" s="19">
        <f>IF(M111="","",M111-30)</f>
        <v/>
      </c>
      <c r="AB111" s="19">
        <f>IF(ISNUMBER(AJ111),AJ111+3,"")</f>
        <v/>
      </c>
      <c r="AC111" s="18" t="n"/>
      <c r="AD111" s="18" t="n"/>
      <c r="AE111" s="18" t="n"/>
      <c r="AF111" s="18" t="n"/>
      <c r="AG111" s="18" t="n"/>
      <c r="AH111" s="18" t="n"/>
      <c r="AI111" s="18" t="n"/>
      <c r="AJ111" s="18" t="n"/>
      <c r="AK111" s="18" t="n"/>
      <c r="AL111" s="18" t="n"/>
      <c r="AM111" s="18" t="n"/>
      <c r="AN111" s="18" t="n"/>
      <c r="AO111" s="18" t="n"/>
      <c r="AP111" s="18" t="n"/>
      <c r="AQ111" s="18" t="n"/>
      <c r="AR111" s="18" t="n"/>
      <c r="AS111" s="18" t="n"/>
      <c r="AT111" s="18" t="n"/>
      <c r="AU111" s="18" t="n"/>
      <c r="AV111" s="18" t="n"/>
      <c r="AW111" s="18" t="n"/>
      <c r="AX111" s="18" t="n"/>
      <c r="AY111" s="18" t="n"/>
      <c r="AZ111" s="15" t="n"/>
    </row>
    <row r="112">
      <c r="A112" s="15" t="n"/>
      <c r="B112" s="15" t="n"/>
      <c r="C112" s="15" t="n"/>
      <c r="D112" s="15" t="n"/>
      <c r="E112" s="15" t="n"/>
      <c r="F112" s="15" t="n"/>
      <c r="G112" s="16">
        <f>IF(F112="","",IFERROR(INDEX(Stammdaten!$B$5:$B$24,MATCH(F112,Stammdaten!$A$5:$A$24,0)),"unbekannt"))</f>
        <v/>
      </c>
      <c r="H112" s="16">
        <f>IF($B112="","",IF(AY112&lt;&gt;"","abgeschlossen",IF(AND(ISNUMBER(AX112),AX112&gt;=TODAY()),"zurückgestellt",IF(OR(AND(ISNUMBER(AA112),AA112&lt;TODAY(),Z112="",AJ112=""),AND(ISNUMBER(Z112),Z112&lt;TODAY(),AJ112=""),AND(ISNUMBER(AB112),AB112&lt;TODAY(),AK112=""),AND(ISNUMBER(AC112),AC112&lt;TODAY(),AO112=""),AND(ISNUMBER(AD112),AD112&lt;TODAY(),AQ112="")),"überfällig","offen"))))</f>
        <v/>
      </c>
      <c r="I112" s="16">
        <f>IF($B112="","",IF(AY112&lt;&gt;"","—",IF(AND(ISNUMBER(AA112),AA112&lt;TODAY(),Z112="",AJ112=""),"Abnahmetermin vereinbaren – Sollfrist verstrichen",IF(AND(ISNUMBER(Z112),Z112&lt;TODAY(),AJ112=""),"Wohnungsabnahme nachtragen – Termin war fällig",IF(AND(ISNUMBER(AB112),AB112&lt;TODAY(),AK112=""),"Handwerker aufbieten – Frist verstrichen",IF(AND(ISNUMBER(AC112),AC112&lt;TODAY(),AO112=""),"Vertrag retour mahnen – Frist verstrichen",IF(AND(ISNUMBER(AD112),AD112&lt;TODAY(),AQ112=""),"Schlüsselübergabe nachtragen – Termin war fällig",IF(M112="","Haftungsdatum erfassen",IF(E112="","ex-Mieter erfassen",IF(AE112="","Kündigung bestätigen / G-Rem",IF(AF112="","Werke / EGT melden",IF(AG112="","Vorbesichtigung (oder n.e.)",IF(AH112="","VMZ aktualisieren",IF(AI112="","Inserat aufschalten",IF(AND(Z112="",AJ112=""),"Abnahmetermin vereinbaren",IF(AJ112="","Wohnungsabnahme durchführen",IF(AK112="","Handwerker aufbieten",IF(AL112="","Zustimmungserklärung einholen",IF(AM112="","Instandstellungen beauftragen",IF(R112="","Nachmieter erfassen",IF(AN112="","Vertrag versenden",IF(AO112="","Vertrag retour erfassen",IF(S112="","Vermietet per erfassen",IF(AP112="","Werke / EGT über Einzug informieren",IF(AND(AD112="",AQ112=""),"Schlüsselübergabe terminieren",IF(AQ112="","Schlüsselübergabe durchführen",IF(AR112="","Reinigung veranlassen",IF(AS112="","Namensschilder bestellen",IF(AT112="","Kaution prüfen / G-Rem mutieren",IF(AU112="","Instandstellungs-Rechnung erfassen",IF(AV112="","Schlussabrechnung erstellen",IF(AW112="","Zahlungseingang kontrollieren","Fall abschliessen"))))))))))))))))))))))))))))))))</f>
        <v/>
      </c>
      <c r="J112" s="17">
        <f>IF(M112="","",IF(S112&lt;&gt;"",MAX(0,S112-M112-1),MAX(0,TODAY()-M112)))</f>
        <v/>
      </c>
      <c r="K112" s="16">
        <f>IF($B112="","",TRIM(IF(AND(L112&lt;&gt;"",M112&lt;&gt;"",M112&lt;L112),"Haftungsdatum vor Kündigung. ","")&amp;IF(AND(S112&lt;&gt;"",M112&lt;&gt;"",S112&lt;M112),"Vermietung vor Leerstandsbeginn. ","")&amp;IF(AND(Z112&lt;&gt;"",L112&lt;&gt;"",Z112&lt;L112),"WA-Termin vor Kündigung. ","")&amp;IF(COUNTIFS($B$5:$B$404,$B112,$AY$5:$AY$404,"")&gt;1,"Zweiter offener Fall zum selben Objekt. ","")&amp;IF(AND($A112&lt;&gt;"",COUNTIFS($A$5:$A$404,$A112)&gt;1),"Fall-Nr. doppelt vergeben. ","")&amp;IF(E112="","ex-Mieter fehlt. ","")&amp;IF(M112="","Haftungsdatum fehlt. ","")&amp;IF(F112="","Bewirtschafter fehlt. ","")&amp;IF(AND(AY112&lt;&gt;"",AW112=""),"Abgeschlossen trotz offener Schlussabrechnung. ","")&amp;IF(AND(AY112="",S112="",ISNUMBER(J112),J112&gt;60),"Langläufer über 60 Tage. ","")))</f>
        <v/>
      </c>
      <c r="L112" s="18" t="n"/>
      <c r="M112" s="18" t="n"/>
      <c r="N112" s="19">
        <f>IF(M112="","",M112+1)</f>
        <v/>
      </c>
      <c r="O112" s="17">
        <f>IF(OR(L112="",M112=""),"",M112-L112)</f>
        <v/>
      </c>
      <c r="P112" s="16">
        <f>IF(M112="","",YEAR(M112+1)&amp;"-"&amp;TEXT(MONTH(M112+1),"00"))</f>
        <v/>
      </c>
      <c r="Q112" s="18" t="n"/>
      <c r="R112" s="15" t="n"/>
      <c r="S112" s="18" t="n"/>
      <c r="T112" s="16">
        <f>IF(U112="","",IF(LEFT(U112,1)="6","abgeschlossen",IF(OR(LEFT(U112,1)="1",LEFT(U112,1)="2"),"Kündigung &amp; Abnahme",IF(OR(LEFT(U112,1)="3",LEFT(U112,1)="4"),"Wiedervermietung","Schlussabrechnung"))))</f>
        <v/>
      </c>
      <c r="U112" s="16">
        <f>IF($B112="","",IF(AY112&lt;&gt;"","6 · abgeschlossen",IF(AW112&lt;&gt;"","5 · bereit zum Abschluss",IF(AT112&lt;&gt;"","5 · Schlussabrechnung",IF(AO112&lt;&gt;"","4 · Übergabe",IF(AM112&lt;&gt;"","3 · Neuvermietung",IF(M112&lt;&gt;"","2 · Abnahme &amp; Vermarktung","1 · Erfassung")))))))</f>
        <v/>
      </c>
      <c r="V112" s="15" t="n"/>
      <c r="W112" s="20" t="n"/>
      <c r="X112" s="15" t="n"/>
      <c r="Y112" s="15" t="n"/>
      <c r="Z112" s="18" t="n"/>
      <c r="AA112" s="19">
        <f>IF(M112="","",M112-30)</f>
        <v/>
      </c>
      <c r="AB112" s="19">
        <f>IF(ISNUMBER(AJ112),AJ112+3,"")</f>
        <v/>
      </c>
      <c r="AC112" s="18" t="n"/>
      <c r="AD112" s="18" t="n"/>
      <c r="AE112" s="18" t="n"/>
      <c r="AF112" s="18" t="n"/>
      <c r="AG112" s="18" t="n"/>
      <c r="AH112" s="18" t="n"/>
      <c r="AI112" s="18" t="n"/>
      <c r="AJ112" s="18" t="n"/>
      <c r="AK112" s="18" t="n"/>
      <c r="AL112" s="18" t="n"/>
      <c r="AM112" s="18" t="n"/>
      <c r="AN112" s="18" t="n"/>
      <c r="AO112" s="18" t="n"/>
      <c r="AP112" s="18" t="n"/>
      <c r="AQ112" s="18" t="n"/>
      <c r="AR112" s="18" t="n"/>
      <c r="AS112" s="18" t="n"/>
      <c r="AT112" s="18" t="n"/>
      <c r="AU112" s="18" t="n"/>
      <c r="AV112" s="18" t="n"/>
      <c r="AW112" s="18" t="n"/>
      <c r="AX112" s="18" t="n"/>
      <c r="AY112" s="18" t="n"/>
      <c r="AZ112" s="15" t="n"/>
    </row>
    <row r="113">
      <c r="A113" s="15" t="n"/>
      <c r="B113" s="15" t="n"/>
      <c r="C113" s="15" t="n"/>
      <c r="D113" s="15" t="n"/>
      <c r="E113" s="15" t="n"/>
      <c r="F113" s="15" t="n"/>
      <c r="G113" s="16">
        <f>IF(F113="","",IFERROR(INDEX(Stammdaten!$B$5:$B$24,MATCH(F113,Stammdaten!$A$5:$A$24,0)),"unbekannt"))</f>
        <v/>
      </c>
      <c r="H113" s="16">
        <f>IF($B113="","",IF(AY113&lt;&gt;"","abgeschlossen",IF(AND(ISNUMBER(AX113),AX113&gt;=TODAY()),"zurückgestellt",IF(OR(AND(ISNUMBER(AA113),AA113&lt;TODAY(),Z113="",AJ113=""),AND(ISNUMBER(Z113),Z113&lt;TODAY(),AJ113=""),AND(ISNUMBER(AB113),AB113&lt;TODAY(),AK113=""),AND(ISNUMBER(AC113),AC113&lt;TODAY(),AO113=""),AND(ISNUMBER(AD113),AD113&lt;TODAY(),AQ113="")),"überfällig","offen"))))</f>
        <v/>
      </c>
      <c r="I113" s="16">
        <f>IF($B113="","",IF(AY113&lt;&gt;"","—",IF(AND(ISNUMBER(AA113),AA113&lt;TODAY(),Z113="",AJ113=""),"Abnahmetermin vereinbaren – Sollfrist verstrichen",IF(AND(ISNUMBER(Z113),Z113&lt;TODAY(),AJ113=""),"Wohnungsabnahme nachtragen – Termin war fällig",IF(AND(ISNUMBER(AB113),AB113&lt;TODAY(),AK113=""),"Handwerker aufbieten – Frist verstrichen",IF(AND(ISNUMBER(AC113),AC113&lt;TODAY(),AO113=""),"Vertrag retour mahnen – Frist verstrichen",IF(AND(ISNUMBER(AD113),AD113&lt;TODAY(),AQ113=""),"Schlüsselübergabe nachtragen – Termin war fällig",IF(M113="","Haftungsdatum erfassen",IF(E113="","ex-Mieter erfassen",IF(AE113="","Kündigung bestätigen / G-Rem",IF(AF113="","Werke / EGT melden",IF(AG113="","Vorbesichtigung (oder n.e.)",IF(AH113="","VMZ aktualisieren",IF(AI113="","Inserat aufschalten",IF(AND(Z113="",AJ113=""),"Abnahmetermin vereinbaren",IF(AJ113="","Wohnungsabnahme durchführen",IF(AK113="","Handwerker aufbieten",IF(AL113="","Zustimmungserklärung einholen",IF(AM113="","Instandstellungen beauftragen",IF(R113="","Nachmieter erfassen",IF(AN113="","Vertrag versenden",IF(AO113="","Vertrag retour erfassen",IF(S113="","Vermietet per erfassen",IF(AP113="","Werke / EGT über Einzug informieren",IF(AND(AD113="",AQ113=""),"Schlüsselübergabe terminieren",IF(AQ113="","Schlüsselübergabe durchführen",IF(AR113="","Reinigung veranlassen",IF(AS113="","Namensschilder bestellen",IF(AT113="","Kaution prüfen / G-Rem mutieren",IF(AU113="","Instandstellungs-Rechnung erfassen",IF(AV113="","Schlussabrechnung erstellen",IF(AW113="","Zahlungseingang kontrollieren","Fall abschliessen"))))))))))))))))))))))))))))))))</f>
        <v/>
      </c>
      <c r="J113" s="17">
        <f>IF(M113="","",IF(S113&lt;&gt;"",MAX(0,S113-M113-1),MAX(0,TODAY()-M113)))</f>
        <v/>
      </c>
      <c r="K113" s="16">
        <f>IF($B113="","",TRIM(IF(AND(L113&lt;&gt;"",M113&lt;&gt;"",M113&lt;L113),"Haftungsdatum vor Kündigung. ","")&amp;IF(AND(S113&lt;&gt;"",M113&lt;&gt;"",S113&lt;M113),"Vermietung vor Leerstandsbeginn. ","")&amp;IF(AND(Z113&lt;&gt;"",L113&lt;&gt;"",Z113&lt;L113),"WA-Termin vor Kündigung. ","")&amp;IF(COUNTIFS($B$5:$B$404,$B113,$AY$5:$AY$404,"")&gt;1,"Zweiter offener Fall zum selben Objekt. ","")&amp;IF(AND($A113&lt;&gt;"",COUNTIFS($A$5:$A$404,$A113)&gt;1),"Fall-Nr. doppelt vergeben. ","")&amp;IF(E113="","ex-Mieter fehlt. ","")&amp;IF(M113="","Haftungsdatum fehlt. ","")&amp;IF(F113="","Bewirtschafter fehlt. ","")&amp;IF(AND(AY113&lt;&gt;"",AW113=""),"Abgeschlossen trotz offener Schlussabrechnung. ","")&amp;IF(AND(AY113="",S113="",ISNUMBER(J113),J113&gt;60),"Langläufer über 60 Tage. ","")))</f>
        <v/>
      </c>
      <c r="L113" s="18" t="n"/>
      <c r="M113" s="18" t="n"/>
      <c r="N113" s="19">
        <f>IF(M113="","",M113+1)</f>
        <v/>
      </c>
      <c r="O113" s="17">
        <f>IF(OR(L113="",M113=""),"",M113-L113)</f>
        <v/>
      </c>
      <c r="P113" s="16">
        <f>IF(M113="","",YEAR(M113+1)&amp;"-"&amp;TEXT(MONTH(M113+1),"00"))</f>
        <v/>
      </c>
      <c r="Q113" s="18" t="n"/>
      <c r="R113" s="15" t="n"/>
      <c r="S113" s="18" t="n"/>
      <c r="T113" s="16">
        <f>IF(U113="","",IF(LEFT(U113,1)="6","abgeschlossen",IF(OR(LEFT(U113,1)="1",LEFT(U113,1)="2"),"Kündigung &amp; Abnahme",IF(OR(LEFT(U113,1)="3",LEFT(U113,1)="4"),"Wiedervermietung","Schlussabrechnung"))))</f>
        <v/>
      </c>
      <c r="U113" s="16">
        <f>IF($B113="","",IF(AY113&lt;&gt;"","6 · abgeschlossen",IF(AW113&lt;&gt;"","5 · bereit zum Abschluss",IF(AT113&lt;&gt;"","5 · Schlussabrechnung",IF(AO113&lt;&gt;"","4 · Übergabe",IF(AM113&lt;&gt;"","3 · Neuvermietung",IF(M113&lt;&gt;"","2 · Abnahme &amp; Vermarktung","1 · Erfassung")))))))</f>
        <v/>
      </c>
      <c r="V113" s="15" t="n"/>
      <c r="W113" s="20" t="n"/>
      <c r="X113" s="15" t="n"/>
      <c r="Y113" s="15" t="n"/>
      <c r="Z113" s="18" t="n"/>
      <c r="AA113" s="19">
        <f>IF(M113="","",M113-30)</f>
        <v/>
      </c>
      <c r="AB113" s="19">
        <f>IF(ISNUMBER(AJ113),AJ113+3,"")</f>
        <v/>
      </c>
      <c r="AC113" s="18" t="n"/>
      <c r="AD113" s="18" t="n"/>
      <c r="AE113" s="18" t="n"/>
      <c r="AF113" s="18" t="n"/>
      <c r="AG113" s="18" t="n"/>
      <c r="AH113" s="18" t="n"/>
      <c r="AI113" s="18" t="n"/>
      <c r="AJ113" s="18" t="n"/>
      <c r="AK113" s="18" t="n"/>
      <c r="AL113" s="18" t="n"/>
      <c r="AM113" s="18" t="n"/>
      <c r="AN113" s="18" t="n"/>
      <c r="AO113" s="18" t="n"/>
      <c r="AP113" s="18" t="n"/>
      <c r="AQ113" s="18" t="n"/>
      <c r="AR113" s="18" t="n"/>
      <c r="AS113" s="18" t="n"/>
      <c r="AT113" s="18" t="n"/>
      <c r="AU113" s="18" t="n"/>
      <c r="AV113" s="18" t="n"/>
      <c r="AW113" s="18" t="n"/>
      <c r="AX113" s="18" t="n"/>
      <c r="AY113" s="18" t="n"/>
      <c r="AZ113" s="15" t="n"/>
    </row>
    <row r="114">
      <c r="A114" s="15" t="n"/>
      <c r="B114" s="15" t="n"/>
      <c r="C114" s="15" t="n"/>
      <c r="D114" s="15" t="n"/>
      <c r="E114" s="15" t="n"/>
      <c r="F114" s="15" t="n"/>
      <c r="G114" s="16">
        <f>IF(F114="","",IFERROR(INDEX(Stammdaten!$B$5:$B$24,MATCH(F114,Stammdaten!$A$5:$A$24,0)),"unbekannt"))</f>
        <v/>
      </c>
      <c r="H114" s="16">
        <f>IF($B114="","",IF(AY114&lt;&gt;"","abgeschlossen",IF(AND(ISNUMBER(AX114),AX114&gt;=TODAY()),"zurückgestellt",IF(OR(AND(ISNUMBER(AA114),AA114&lt;TODAY(),Z114="",AJ114=""),AND(ISNUMBER(Z114),Z114&lt;TODAY(),AJ114=""),AND(ISNUMBER(AB114),AB114&lt;TODAY(),AK114=""),AND(ISNUMBER(AC114),AC114&lt;TODAY(),AO114=""),AND(ISNUMBER(AD114),AD114&lt;TODAY(),AQ114="")),"überfällig","offen"))))</f>
        <v/>
      </c>
      <c r="I114" s="16">
        <f>IF($B114="","",IF(AY114&lt;&gt;"","—",IF(AND(ISNUMBER(AA114),AA114&lt;TODAY(),Z114="",AJ114=""),"Abnahmetermin vereinbaren – Sollfrist verstrichen",IF(AND(ISNUMBER(Z114),Z114&lt;TODAY(),AJ114=""),"Wohnungsabnahme nachtragen – Termin war fällig",IF(AND(ISNUMBER(AB114),AB114&lt;TODAY(),AK114=""),"Handwerker aufbieten – Frist verstrichen",IF(AND(ISNUMBER(AC114),AC114&lt;TODAY(),AO114=""),"Vertrag retour mahnen – Frist verstrichen",IF(AND(ISNUMBER(AD114),AD114&lt;TODAY(),AQ114=""),"Schlüsselübergabe nachtragen – Termin war fällig",IF(M114="","Haftungsdatum erfassen",IF(E114="","ex-Mieter erfassen",IF(AE114="","Kündigung bestätigen / G-Rem",IF(AF114="","Werke / EGT melden",IF(AG114="","Vorbesichtigung (oder n.e.)",IF(AH114="","VMZ aktualisieren",IF(AI114="","Inserat aufschalten",IF(AND(Z114="",AJ114=""),"Abnahmetermin vereinbaren",IF(AJ114="","Wohnungsabnahme durchführen",IF(AK114="","Handwerker aufbieten",IF(AL114="","Zustimmungserklärung einholen",IF(AM114="","Instandstellungen beauftragen",IF(R114="","Nachmieter erfassen",IF(AN114="","Vertrag versenden",IF(AO114="","Vertrag retour erfassen",IF(S114="","Vermietet per erfassen",IF(AP114="","Werke / EGT über Einzug informieren",IF(AND(AD114="",AQ114=""),"Schlüsselübergabe terminieren",IF(AQ114="","Schlüsselübergabe durchführen",IF(AR114="","Reinigung veranlassen",IF(AS114="","Namensschilder bestellen",IF(AT114="","Kaution prüfen / G-Rem mutieren",IF(AU114="","Instandstellungs-Rechnung erfassen",IF(AV114="","Schlussabrechnung erstellen",IF(AW114="","Zahlungseingang kontrollieren","Fall abschliessen"))))))))))))))))))))))))))))))))</f>
        <v/>
      </c>
      <c r="J114" s="17">
        <f>IF(M114="","",IF(S114&lt;&gt;"",MAX(0,S114-M114-1),MAX(0,TODAY()-M114)))</f>
        <v/>
      </c>
      <c r="K114" s="16">
        <f>IF($B114="","",TRIM(IF(AND(L114&lt;&gt;"",M114&lt;&gt;"",M114&lt;L114),"Haftungsdatum vor Kündigung. ","")&amp;IF(AND(S114&lt;&gt;"",M114&lt;&gt;"",S114&lt;M114),"Vermietung vor Leerstandsbeginn. ","")&amp;IF(AND(Z114&lt;&gt;"",L114&lt;&gt;"",Z114&lt;L114),"WA-Termin vor Kündigung. ","")&amp;IF(COUNTIFS($B$5:$B$404,$B114,$AY$5:$AY$404,"")&gt;1,"Zweiter offener Fall zum selben Objekt. ","")&amp;IF(AND($A114&lt;&gt;"",COUNTIFS($A$5:$A$404,$A114)&gt;1),"Fall-Nr. doppelt vergeben. ","")&amp;IF(E114="","ex-Mieter fehlt. ","")&amp;IF(M114="","Haftungsdatum fehlt. ","")&amp;IF(F114="","Bewirtschafter fehlt. ","")&amp;IF(AND(AY114&lt;&gt;"",AW114=""),"Abgeschlossen trotz offener Schlussabrechnung. ","")&amp;IF(AND(AY114="",S114="",ISNUMBER(J114),J114&gt;60),"Langläufer über 60 Tage. ","")))</f>
        <v/>
      </c>
      <c r="L114" s="18" t="n"/>
      <c r="M114" s="18" t="n"/>
      <c r="N114" s="19">
        <f>IF(M114="","",M114+1)</f>
        <v/>
      </c>
      <c r="O114" s="17">
        <f>IF(OR(L114="",M114=""),"",M114-L114)</f>
        <v/>
      </c>
      <c r="P114" s="16">
        <f>IF(M114="","",YEAR(M114+1)&amp;"-"&amp;TEXT(MONTH(M114+1),"00"))</f>
        <v/>
      </c>
      <c r="Q114" s="18" t="n"/>
      <c r="R114" s="15" t="n"/>
      <c r="S114" s="18" t="n"/>
      <c r="T114" s="16">
        <f>IF(U114="","",IF(LEFT(U114,1)="6","abgeschlossen",IF(OR(LEFT(U114,1)="1",LEFT(U114,1)="2"),"Kündigung &amp; Abnahme",IF(OR(LEFT(U114,1)="3",LEFT(U114,1)="4"),"Wiedervermietung","Schlussabrechnung"))))</f>
        <v/>
      </c>
      <c r="U114" s="16">
        <f>IF($B114="","",IF(AY114&lt;&gt;"","6 · abgeschlossen",IF(AW114&lt;&gt;"","5 · bereit zum Abschluss",IF(AT114&lt;&gt;"","5 · Schlussabrechnung",IF(AO114&lt;&gt;"","4 · Übergabe",IF(AM114&lt;&gt;"","3 · Neuvermietung",IF(M114&lt;&gt;"","2 · Abnahme &amp; Vermarktung","1 · Erfassung")))))))</f>
        <v/>
      </c>
      <c r="V114" s="15" t="n"/>
      <c r="W114" s="20" t="n"/>
      <c r="X114" s="15" t="n"/>
      <c r="Y114" s="15" t="n"/>
      <c r="Z114" s="18" t="n"/>
      <c r="AA114" s="19">
        <f>IF(M114="","",M114-30)</f>
        <v/>
      </c>
      <c r="AB114" s="19">
        <f>IF(ISNUMBER(AJ114),AJ114+3,"")</f>
        <v/>
      </c>
      <c r="AC114" s="18" t="n"/>
      <c r="AD114" s="18" t="n"/>
      <c r="AE114" s="18" t="n"/>
      <c r="AF114" s="18" t="n"/>
      <c r="AG114" s="18" t="n"/>
      <c r="AH114" s="18" t="n"/>
      <c r="AI114" s="18" t="n"/>
      <c r="AJ114" s="18" t="n"/>
      <c r="AK114" s="18" t="n"/>
      <c r="AL114" s="18" t="n"/>
      <c r="AM114" s="18" t="n"/>
      <c r="AN114" s="18" t="n"/>
      <c r="AO114" s="18" t="n"/>
      <c r="AP114" s="18" t="n"/>
      <c r="AQ114" s="18" t="n"/>
      <c r="AR114" s="18" t="n"/>
      <c r="AS114" s="18" t="n"/>
      <c r="AT114" s="18" t="n"/>
      <c r="AU114" s="18" t="n"/>
      <c r="AV114" s="18" t="n"/>
      <c r="AW114" s="18" t="n"/>
      <c r="AX114" s="18" t="n"/>
      <c r="AY114" s="18" t="n"/>
      <c r="AZ114" s="15" t="n"/>
    </row>
    <row r="115">
      <c r="A115" s="15" t="n"/>
      <c r="B115" s="15" t="n"/>
      <c r="C115" s="15" t="n"/>
      <c r="D115" s="15" t="n"/>
      <c r="E115" s="15" t="n"/>
      <c r="F115" s="15" t="n"/>
      <c r="G115" s="16">
        <f>IF(F115="","",IFERROR(INDEX(Stammdaten!$B$5:$B$24,MATCH(F115,Stammdaten!$A$5:$A$24,0)),"unbekannt"))</f>
        <v/>
      </c>
      <c r="H115" s="16">
        <f>IF($B115="","",IF(AY115&lt;&gt;"","abgeschlossen",IF(AND(ISNUMBER(AX115),AX115&gt;=TODAY()),"zurückgestellt",IF(OR(AND(ISNUMBER(AA115),AA115&lt;TODAY(),Z115="",AJ115=""),AND(ISNUMBER(Z115),Z115&lt;TODAY(),AJ115=""),AND(ISNUMBER(AB115),AB115&lt;TODAY(),AK115=""),AND(ISNUMBER(AC115),AC115&lt;TODAY(),AO115=""),AND(ISNUMBER(AD115),AD115&lt;TODAY(),AQ115="")),"überfällig","offen"))))</f>
        <v/>
      </c>
      <c r="I115" s="16">
        <f>IF($B115="","",IF(AY115&lt;&gt;"","—",IF(AND(ISNUMBER(AA115),AA115&lt;TODAY(),Z115="",AJ115=""),"Abnahmetermin vereinbaren – Sollfrist verstrichen",IF(AND(ISNUMBER(Z115),Z115&lt;TODAY(),AJ115=""),"Wohnungsabnahme nachtragen – Termin war fällig",IF(AND(ISNUMBER(AB115),AB115&lt;TODAY(),AK115=""),"Handwerker aufbieten – Frist verstrichen",IF(AND(ISNUMBER(AC115),AC115&lt;TODAY(),AO115=""),"Vertrag retour mahnen – Frist verstrichen",IF(AND(ISNUMBER(AD115),AD115&lt;TODAY(),AQ115=""),"Schlüsselübergabe nachtragen – Termin war fällig",IF(M115="","Haftungsdatum erfassen",IF(E115="","ex-Mieter erfassen",IF(AE115="","Kündigung bestätigen / G-Rem",IF(AF115="","Werke / EGT melden",IF(AG115="","Vorbesichtigung (oder n.e.)",IF(AH115="","VMZ aktualisieren",IF(AI115="","Inserat aufschalten",IF(AND(Z115="",AJ115=""),"Abnahmetermin vereinbaren",IF(AJ115="","Wohnungsabnahme durchführen",IF(AK115="","Handwerker aufbieten",IF(AL115="","Zustimmungserklärung einholen",IF(AM115="","Instandstellungen beauftragen",IF(R115="","Nachmieter erfassen",IF(AN115="","Vertrag versenden",IF(AO115="","Vertrag retour erfassen",IF(S115="","Vermietet per erfassen",IF(AP115="","Werke / EGT über Einzug informieren",IF(AND(AD115="",AQ115=""),"Schlüsselübergabe terminieren",IF(AQ115="","Schlüsselübergabe durchführen",IF(AR115="","Reinigung veranlassen",IF(AS115="","Namensschilder bestellen",IF(AT115="","Kaution prüfen / G-Rem mutieren",IF(AU115="","Instandstellungs-Rechnung erfassen",IF(AV115="","Schlussabrechnung erstellen",IF(AW115="","Zahlungseingang kontrollieren","Fall abschliessen"))))))))))))))))))))))))))))))))</f>
        <v/>
      </c>
      <c r="J115" s="17">
        <f>IF(M115="","",IF(S115&lt;&gt;"",MAX(0,S115-M115-1),MAX(0,TODAY()-M115)))</f>
        <v/>
      </c>
      <c r="K115" s="16">
        <f>IF($B115="","",TRIM(IF(AND(L115&lt;&gt;"",M115&lt;&gt;"",M115&lt;L115),"Haftungsdatum vor Kündigung. ","")&amp;IF(AND(S115&lt;&gt;"",M115&lt;&gt;"",S115&lt;M115),"Vermietung vor Leerstandsbeginn. ","")&amp;IF(AND(Z115&lt;&gt;"",L115&lt;&gt;"",Z115&lt;L115),"WA-Termin vor Kündigung. ","")&amp;IF(COUNTIFS($B$5:$B$404,$B115,$AY$5:$AY$404,"")&gt;1,"Zweiter offener Fall zum selben Objekt. ","")&amp;IF(AND($A115&lt;&gt;"",COUNTIFS($A$5:$A$404,$A115)&gt;1),"Fall-Nr. doppelt vergeben. ","")&amp;IF(E115="","ex-Mieter fehlt. ","")&amp;IF(M115="","Haftungsdatum fehlt. ","")&amp;IF(F115="","Bewirtschafter fehlt. ","")&amp;IF(AND(AY115&lt;&gt;"",AW115=""),"Abgeschlossen trotz offener Schlussabrechnung. ","")&amp;IF(AND(AY115="",S115="",ISNUMBER(J115),J115&gt;60),"Langläufer über 60 Tage. ","")))</f>
        <v/>
      </c>
      <c r="L115" s="18" t="n"/>
      <c r="M115" s="18" t="n"/>
      <c r="N115" s="19">
        <f>IF(M115="","",M115+1)</f>
        <v/>
      </c>
      <c r="O115" s="17">
        <f>IF(OR(L115="",M115=""),"",M115-L115)</f>
        <v/>
      </c>
      <c r="P115" s="16">
        <f>IF(M115="","",YEAR(M115+1)&amp;"-"&amp;TEXT(MONTH(M115+1),"00"))</f>
        <v/>
      </c>
      <c r="Q115" s="18" t="n"/>
      <c r="R115" s="15" t="n"/>
      <c r="S115" s="18" t="n"/>
      <c r="T115" s="16">
        <f>IF(U115="","",IF(LEFT(U115,1)="6","abgeschlossen",IF(OR(LEFT(U115,1)="1",LEFT(U115,1)="2"),"Kündigung &amp; Abnahme",IF(OR(LEFT(U115,1)="3",LEFT(U115,1)="4"),"Wiedervermietung","Schlussabrechnung"))))</f>
        <v/>
      </c>
      <c r="U115" s="16">
        <f>IF($B115="","",IF(AY115&lt;&gt;"","6 · abgeschlossen",IF(AW115&lt;&gt;"","5 · bereit zum Abschluss",IF(AT115&lt;&gt;"","5 · Schlussabrechnung",IF(AO115&lt;&gt;"","4 · Übergabe",IF(AM115&lt;&gt;"","3 · Neuvermietung",IF(M115&lt;&gt;"","2 · Abnahme &amp; Vermarktung","1 · Erfassung")))))))</f>
        <v/>
      </c>
      <c r="V115" s="15" t="n"/>
      <c r="W115" s="20" t="n"/>
      <c r="X115" s="15" t="n"/>
      <c r="Y115" s="15" t="n"/>
      <c r="Z115" s="18" t="n"/>
      <c r="AA115" s="19">
        <f>IF(M115="","",M115-30)</f>
        <v/>
      </c>
      <c r="AB115" s="19">
        <f>IF(ISNUMBER(AJ115),AJ115+3,"")</f>
        <v/>
      </c>
      <c r="AC115" s="18" t="n"/>
      <c r="AD115" s="18" t="n"/>
      <c r="AE115" s="18" t="n"/>
      <c r="AF115" s="18" t="n"/>
      <c r="AG115" s="18" t="n"/>
      <c r="AH115" s="18" t="n"/>
      <c r="AI115" s="18" t="n"/>
      <c r="AJ115" s="18" t="n"/>
      <c r="AK115" s="18" t="n"/>
      <c r="AL115" s="18" t="n"/>
      <c r="AM115" s="18" t="n"/>
      <c r="AN115" s="18" t="n"/>
      <c r="AO115" s="18" t="n"/>
      <c r="AP115" s="18" t="n"/>
      <c r="AQ115" s="18" t="n"/>
      <c r="AR115" s="18" t="n"/>
      <c r="AS115" s="18" t="n"/>
      <c r="AT115" s="18" t="n"/>
      <c r="AU115" s="18" t="n"/>
      <c r="AV115" s="18" t="n"/>
      <c r="AW115" s="18" t="n"/>
      <c r="AX115" s="18" t="n"/>
      <c r="AY115" s="18" t="n"/>
      <c r="AZ115" s="15" t="n"/>
    </row>
    <row r="116">
      <c r="A116" s="15" t="n"/>
      <c r="B116" s="15" t="n"/>
      <c r="C116" s="15" t="n"/>
      <c r="D116" s="15" t="n"/>
      <c r="E116" s="15" t="n"/>
      <c r="F116" s="15" t="n"/>
      <c r="G116" s="16">
        <f>IF(F116="","",IFERROR(INDEX(Stammdaten!$B$5:$B$24,MATCH(F116,Stammdaten!$A$5:$A$24,0)),"unbekannt"))</f>
        <v/>
      </c>
      <c r="H116" s="16">
        <f>IF($B116="","",IF(AY116&lt;&gt;"","abgeschlossen",IF(AND(ISNUMBER(AX116),AX116&gt;=TODAY()),"zurückgestellt",IF(OR(AND(ISNUMBER(AA116),AA116&lt;TODAY(),Z116="",AJ116=""),AND(ISNUMBER(Z116),Z116&lt;TODAY(),AJ116=""),AND(ISNUMBER(AB116),AB116&lt;TODAY(),AK116=""),AND(ISNUMBER(AC116),AC116&lt;TODAY(),AO116=""),AND(ISNUMBER(AD116),AD116&lt;TODAY(),AQ116="")),"überfällig","offen"))))</f>
        <v/>
      </c>
      <c r="I116" s="16">
        <f>IF($B116="","",IF(AY116&lt;&gt;"","—",IF(AND(ISNUMBER(AA116),AA116&lt;TODAY(),Z116="",AJ116=""),"Abnahmetermin vereinbaren – Sollfrist verstrichen",IF(AND(ISNUMBER(Z116),Z116&lt;TODAY(),AJ116=""),"Wohnungsabnahme nachtragen – Termin war fällig",IF(AND(ISNUMBER(AB116),AB116&lt;TODAY(),AK116=""),"Handwerker aufbieten – Frist verstrichen",IF(AND(ISNUMBER(AC116),AC116&lt;TODAY(),AO116=""),"Vertrag retour mahnen – Frist verstrichen",IF(AND(ISNUMBER(AD116),AD116&lt;TODAY(),AQ116=""),"Schlüsselübergabe nachtragen – Termin war fällig",IF(M116="","Haftungsdatum erfassen",IF(E116="","ex-Mieter erfassen",IF(AE116="","Kündigung bestätigen / G-Rem",IF(AF116="","Werke / EGT melden",IF(AG116="","Vorbesichtigung (oder n.e.)",IF(AH116="","VMZ aktualisieren",IF(AI116="","Inserat aufschalten",IF(AND(Z116="",AJ116=""),"Abnahmetermin vereinbaren",IF(AJ116="","Wohnungsabnahme durchführen",IF(AK116="","Handwerker aufbieten",IF(AL116="","Zustimmungserklärung einholen",IF(AM116="","Instandstellungen beauftragen",IF(R116="","Nachmieter erfassen",IF(AN116="","Vertrag versenden",IF(AO116="","Vertrag retour erfassen",IF(S116="","Vermietet per erfassen",IF(AP116="","Werke / EGT über Einzug informieren",IF(AND(AD116="",AQ116=""),"Schlüsselübergabe terminieren",IF(AQ116="","Schlüsselübergabe durchführen",IF(AR116="","Reinigung veranlassen",IF(AS116="","Namensschilder bestellen",IF(AT116="","Kaution prüfen / G-Rem mutieren",IF(AU116="","Instandstellungs-Rechnung erfassen",IF(AV116="","Schlussabrechnung erstellen",IF(AW116="","Zahlungseingang kontrollieren","Fall abschliessen"))))))))))))))))))))))))))))))))</f>
        <v/>
      </c>
      <c r="J116" s="17">
        <f>IF(M116="","",IF(S116&lt;&gt;"",MAX(0,S116-M116-1),MAX(0,TODAY()-M116)))</f>
        <v/>
      </c>
      <c r="K116" s="16">
        <f>IF($B116="","",TRIM(IF(AND(L116&lt;&gt;"",M116&lt;&gt;"",M116&lt;L116),"Haftungsdatum vor Kündigung. ","")&amp;IF(AND(S116&lt;&gt;"",M116&lt;&gt;"",S116&lt;M116),"Vermietung vor Leerstandsbeginn. ","")&amp;IF(AND(Z116&lt;&gt;"",L116&lt;&gt;"",Z116&lt;L116),"WA-Termin vor Kündigung. ","")&amp;IF(COUNTIFS($B$5:$B$404,$B116,$AY$5:$AY$404,"")&gt;1,"Zweiter offener Fall zum selben Objekt. ","")&amp;IF(AND($A116&lt;&gt;"",COUNTIFS($A$5:$A$404,$A116)&gt;1),"Fall-Nr. doppelt vergeben. ","")&amp;IF(E116="","ex-Mieter fehlt. ","")&amp;IF(M116="","Haftungsdatum fehlt. ","")&amp;IF(F116="","Bewirtschafter fehlt. ","")&amp;IF(AND(AY116&lt;&gt;"",AW116=""),"Abgeschlossen trotz offener Schlussabrechnung. ","")&amp;IF(AND(AY116="",S116="",ISNUMBER(J116),J116&gt;60),"Langläufer über 60 Tage. ","")))</f>
        <v/>
      </c>
      <c r="L116" s="18" t="n"/>
      <c r="M116" s="18" t="n"/>
      <c r="N116" s="19">
        <f>IF(M116="","",M116+1)</f>
        <v/>
      </c>
      <c r="O116" s="17">
        <f>IF(OR(L116="",M116=""),"",M116-L116)</f>
        <v/>
      </c>
      <c r="P116" s="16">
        <f>IF(M116="","",YEAR(M116+1)&amp;"-"&amp;TEXT(MONTH(M116+1),"00"))</f>
        <v/>
      </c>
      <c r="Q116" s="18" t="n"/>
      <c r="R116" s="15" t="n"/>
      <c r="S116" s="18" t="n"/>
      <c r="T116" s="16">
        <f>IF(U116="","",IF(LEFT(U116,1)="6","abgeschlossen",IF(OR(LEFT(U116,1)="1",LEFT(U116,1)="2"),"Kündigung &amp; Abnahme",IF(OR(LEFT(U116,1)="3",LEFT(U116,1)="4"),"Wiedervermietung","Schlussabrechnung"))))</f>
        <v/>
      </c>
      <c r="U116" s="16">
        <f>IF($B116="","",IF(AY116&lt;&gt;"","6 · abgeschlossen",IF(AW116&lt;&gt;"","5 · bereit zum Abschluss",IF(AT116&lt;&gt;"","5 · Schlussabrechnung",IF(AO116&lt;&gt;"","4 · Übergabe",IF(AM116&lt;&gt;"","3 · Neuvermietung",IF(M116&lt;&gt;"","2 · Abnahme &amp; Vermarktung","1 · Erfassung")))))))</f>
        <v/>
      </c>
      <c r="V116" s="15" t="n"/>
      <c r="W116" s="20" t="n"/>
      <c r="X116" s="15" t="n"/>
      <c r="Y116" s="15" t="n"/>
      <c r="Z116" s="18" t="n"/>
      <c r="AA116" s="19">
        <f>IF(M116="","",M116-30)</f>
        <v/>
      </c>
      <c r="AB116" s="19">
        <f>IF(ISNUMBER(AJ116),AJ116+3,"")</f>
        <v/>
      </c>
      <c r="AC116" s="18" t="n"/>
      <c r="AD116" s="18" t="n"/>
      <c r="AE116" s="18" t="n"/>
      <c r="AF116" s="18" t="n"/>
      <c r="AG116" s="18" t="n"/>
      <c r="AH116" s="18" t="n"/>
      <c r="AI116" s="18" t="n"/>
      <c r="AJ116" s="18" t="n"/>
      <c r="AK116" s="18" t="n"/>
      <c r="AL116" s="18" t="n"/>
      <c r="AM116" s="18" t="n"/>
      <c r="AN116" s="18" t="n"/>
      <c r="AO116" s="18" t="n"/>
      <c r="AP116" s="18" t="n"/>
      <c r="AQ116" s="18" t="n"/>
      <c r="AR116" s="18" t="n"/>
      <c r="AS116" s="18" t="n"/>
      <c r="AT116" s="18" t="n"/>
      <c r="AU116" s="18" t="n"/>
      <c r="AV116" s="18" t="n"/>
      <c r="AW116" s="18" t="n"/>
      <c r="AX116" s="18" t="n"/>
      <c r="AY116" s="18" t="n"/>
      <c r="AZ116" s="15" t="n"/>
    </row>
    <row r="117">
      <c r="A117" s="15" t="n"/>
      <c r="B117" s="15" t="n"/>
      <c r="C117" s="15" t="n"/>
      <c r="D117" s="15" t="n"/>
      <c r="E117" s="15" t="n"/>
      <c r="F117" s="15" t="n"/>
      <c r="G117" s="16">
        <f>IF(F117="","",IFERROR(INDEX(Stammdaten!$B$5:$B$24,MATCH(F117,Stammdaten!$A$5:$A$24,0)),"unbekannt"))</f>
        <v/>
      </c>
      <c r="H117" s="16">
        <f>IF($B117="","",IF(AY117&lt;&gt;"","abgeschlossen",IF(AND(ISNUMBER(AX117),AX117&gt;=TODAY()),"zurückgestellt",IF(OR(AND(ISNUMBER(AA117),AA117&lt;TODAY(),Z117="",AJ117=""),AND(ISNUMBER(Z117),Z117&lt;TODAY(),AJ117=""),AND(ISNUMBER(AB117),AB117&lt;TODAY(),AK117=""),AND(ISNUMBER(AC117),AC117&lt;TODAY(),AO117=""),AND(ISNUMBER(AD117),AD117&lt;TODAY(),AQ117="")),"überfällig","offen"))))</f>
        <v/>
      </c>
      <c r="I117" s="16">
        <f>IF($B117="","",IF(AY117&lt;&gt;"","—",IF(AND(ISNUMBER(AA117),AA117&lt;TODAY(),Z117="",AJ117=""),"Abnahmetermin vereinbaren – Sollfrist verstrichen",IF(AND(ISNUMBER(Z117),Z117&lt;TODAY(),AJ117=""),"Wohnungsabnahme nachtragen – Termin war fällig",IF(AND(ISNUMBER(AB117),AB117&lt;TODAY(),AK117=""),"Handwerker aufbieten – Frist verstrichen",IF(AND(ISNUMBER(AC117),AC117&lt;TODAY(),AO117=""),"Vertrag retour mahnen – Frist verstrichen",IF(AND(ISNUMBER(AD117),AD117&lt;TODAY(),AQ117=""),"Schlüsselübergabe nachtragen – Termin war fällig",IF(M117="","Haftungsdatum erfassen",IF(E117="","ex-Mieter erfassen",IF(AE117="","Kündigung bestätigen / G-Rem",IF(AF117="","Werke / EGT melden",IF(AG117="","Vorbesichtigung (oder n.e.)",IF(AH117="","VMZ aktualisieren",IF(AI117="","Inserat aufschalten",IF(AND(Z117="",AJ117=""),"Abnahmetermin vereinbaren",IF(AJ117="","Wohnungsabnahme durchführen",IF(AK117="","Handwerker aufbieten",IF(AL117="","Zustimmungserklärung einholen",IF(AM117="","Instandstellungen beauftragen",IF(R117="","Nachmieter erfassen",IF(AN117="","Vertrag versenden",IF(AO117="","Vertrag retour erfassen",IF(S117="","Vermietet per erfassen",IF(AP117="","Werke / EGT über Einzug informieren",IF(AND(AD117="",AQ117=""),"Schlüsselübergabe terminieren",IF(AQ117="","Schlüsselübergabe durchführen",IF(AR117="","Reinigung veranlassen",IF(AS117="","Namensschilder bestellen",IF(AT117="","Kaution prüfen / G-Rem mutieren",IF(AU117="","Instandstellungs-Rechnung erfassen",IF(AV117="","Schlussabrechnung erstellen",IF(AW117="","Zahlungseingang kontrollieren","Fall abschliessen"))))))))))))))))))))))))))))))))</f>
        <v/>
      </c>
      <c r="J117" s="17">
        <f>IF(M117="","",IF(S117&lt;&gt;"",MAX(0,S117-M117-1),MAX(0,TODAY()-M117)))</f>
        <v/>
      </c>
      <c r="K117" s="16">
        <f>IF($B117="","",TRIM(IF(AND(L117&lt;&gt;"",M117&lt;&gt;"",M117&lt;L117),"Haftungsdatum vor Kündigung. ","")&amp;IF(AND(S117&lt;&gt;"",M117&lt;&gt;"",S117&lt;M117),"Vermietung vor Leerstandsbeginn. ","")&amp;IF(AND(Z117&lt;&gt;"",L117&lt;&gt;"",Z117&lt;L117),"WA-Termin vor Kündigung. ","")&amp;IF(COUNTIFS($B$5:$B$404,$B117,$AY$5:$AY$404,"")&gt;1,"Zweiter offener Fall zum selben Objekt. ","")&amp;IF(AND($A117&lt;&gt;"",COUNTIFS($A$5:$A$404,$A117)&gt;1),"Fall-Nr. doppelt vergeben. ","")&amp;IF(E117="","ex-Mieter fehlt. ","")&amp;IF(M117="","Haftungsdatum fehlt. ","")&amp;IF(F117="","Bewirtschafter fehlt. ","")&amp;IF(AND(AY117&lt;&gt;"",AW117=""),"Abgeschlossen trotz offener Schlussabrechnung. ","")&amp;IF(AND(AY117="",S117="",ISNUMBER(J117),J117&gt;60),"Langläufer über 60 Tage. ","")))</f>
        <v/>
      </c>
      <c r="L117" s="18" t="n"/>
      <c r="M117" s="18" t="n"/>
      <c r="N117" s="19">
        <f>IF(M117="","",M117+1)</f>
        <v/>
      </c>
      <c r="O117" s="17">
        <f>IF(OR(L117="",M117=""),"",M117-L117)</f>
        <v/>
      </c>
      <c r="P117" s="16">
        <f>IF(M117="","",YEAR(M117+1)&amp;"-"&amp;TEXT(MONTH(M117+1),"00"))</f>
        <v/>
      </c>
      <c r="Q117" s="18" t="n"/>
      <c r="R117" s="15" t="n"/>
      <c r="S117" s="18" t="n"/>
      <c r="T117" s="16">
        <f>IF(U117="","",IF(LEFT(U117,1)="6","abgeschlossen",IF(OR(LEFT(U117,1)="1",LEFT(U117,1)="2"),"Kündigung &amp; Abnahme",IF(OR(LEFT(U117,1)="3",LEFT(U117,1)="4"),"Wiedervermietung","Schlussabrechnung"))))</f>
        <v/>
      </c>
      <c r="U117" s="16">
        <f>IF($B117="","",IF(AY117&lt;&gt;"","6 · abgeschlossen",IF(AW117&lt;&gt;"","5 · bereit zum Abschluss",IF(AT117&lt;&gt;"","5 · Schlussabrechnung",IF(AO117&lt;&gt;"","4 · Übergabe",IF(AM117&lt;&gt;"","3 · Neuvermietung",IF(M117&lt;&gt;"","2 · Abnahme &amp; Vermarktung","1 · Erfassung")))))))</f>
        <v/>
      </c>
      <c r="V117" s="15" t="n"/>
      <c r="W117" s="20" t="n"/>
      <c r="X117" s="15" t="n"/>
      <c r="Y117" s="15" t="n"/>
      <c r="Z117" s="18" t="n"/>
      <c r="AA117" s="19">
        <f>IF(M117="","",M117-30)</f>
        <v/>
      </c>
      <c r="AB117" s="19">
        <f>IF(ISNUMBER(AJ117),AJ117+3,"")</f>
        <v/>
      </c>
      <c r="AC117" s="18" t="n"/>
      <c r="AD117" s="18" t="n"/>
      <c r="AE117" s="18" t="n"/>
      <c r="AF117" s="18" t="n"/>
      <c r="AG117" s="18" t="n"/>
      <c r="AH117" s="18" t="n"/>
      <c r="AI117" s="18" t="n"/>
      <c r="AJ117" s="18" t="n"/>
      <c r="AK117" s="18" t="n"/>
      <c r="AL117" s="18" t="n"/>
      <c r="AM117" s="18" t="n"/>
      <c r="AN117" s="18" t="n"/>
      <c r="AO117" s="18" t="n"/>
      <c r="AP117" s="18" t="n"/>
      <c r="AQ117" s="18" t="n"/>
      <c r="AR117" s="18" t="n"/>
      <c r="AS117" s="18" t="n"/>
      <c r="AT117" s="18" t="n"/>
      <c r="AU117" s="18" t="n"/>
      <c r="AV117" s="18" t="n"/>
      <c r="AW117" s="18" t="n"/>
      <c r="AX117" s="18" t="n"/>
      <c r="AY117" s="18" t="n"/>
      <c r="AZ117" s="15" t="n"/>
    </row>
    <row r="118">
      <c r="A118" s="15" t="n"/>
      <c r="B118" s="15" t="n"/>
      <c r="C118" s="15" t="n"/>
      <c r="D118" s="15" t="n"/>
      <c r="E118" s="15" t="n"/>
      <c r="F118" s="15" t="n"/>
      <c r="G118" s="16">
        <f>IF(F118="","",IFERROR(INDEX(Stammdaten!$B$5:$B$24,MATCH(F118,Stammdaten!$A$5:$A$24,0)),"unbekannt"))</f>
        <v/>
      </c>
      <c r="H118" s="16">
        <f>IF($B118="","",IF(AY118&lt;&gt;"","abgeschlossen",IF(AND(ISNUMBER(AX118),AX118&gt;=TODAY()),"zurückgestellt",IF(OR(AND(ISNUMBER(AA118),AA118&lt;TODAY(),Z118="",AJ118=""),AND(ISNUMBER(Z118),Z118&lt;TODAY(),AJ118=""),AND(ISNUMBER(AB118),AB118&lt;TODAY(),AK118=""),AND(ISNUMBER(AC118),AC118&lt;TODAY(),AO118=""),AND(ISNUMBER(AD118),AD118&lt;TODAY(),AQ118="")),"überfällig","offen"))))</f>
        <v/>
      </c>
      <c r="I118" s="16">
        <f>IF($B118="","",IF(AY118&lt;&gt;"","—",IF(AND(ISNUMBER(AA118),AA118&lt;TODAY(),Z118="",AJ118=""),"Abnahmetermin vereinbaren – Sollfrist verstrichen",IF(AND(ISNUMBER(Z118),Z118&lt;TODAY(),AJ118=""),"Wohnungsabnahme nachtragen – Termin war fällig",IF(AND(ISNUMBER(AB118),AB118&lt;TODAY(),AK118=""),"Handwerker aufbieten – Frist verstrichen",IF(AND(ISNUMBER(AC118),AC118&lt;TODAY(),AO118=""),"Vertrag retour mahnen – Frist verstrichen",IF(AND(ISNUMBER(AD118),AD118&lt;TODAY(),AQ118=""),"Schlüsselübergabe nachtragen – Termin war fällig",IF(M118="","Haftungsdatum erfassen",IF(E118="","ex-Mieter erfassen",IF(AE118="","Kündigung bestätigen / G-Rem",IF(AF118="","Werke / EGT melden",IF(AG118="","Vorbesichtigung (oder n.e.)",IF(AH118="","VMZ aktualisieren",IF(AI118="","Inserat aufschalten",IF(AND(Z118="",AJ118=""),"Abnahmetermin vereinbaren",IF(AJ118="","Wohnungsabnahme durchführen",IF(AK118="","Handwerker aufbieten",IF(AL118="","Zustimmungserklärung einholen",IF(AM118="","Instandstellungen beauftragen",IF(R118="","Nachmieter erfassen",IF(AN118="","Vertrag versenden",IF(AO118="","Vertrag retour erfassen",IF(S118="","Vermietet per erfassen",IF(AP118="","Werke / EGT über Einzug informieren",IF(AND(AD118="",AQ118=""),"Schlüsselübergabe terminieren",IF(AQ118="","Schlüsselübergabe durchführen",IF(AR118="","Reinigung veranlassen",IF(AS118="","Namensschilder bestellen",IF(AT118="","Kaution prüfen / G-Rem mutieren",IF(AU118="","Instandstellungs-Rechnung erfassen",IF(AV118="","Schlussabrechnung erstellen",IF(AW118="","Zahlungseingang kontrollieren","Fall abschliessen"))))))))))))))))))))))))))))))))</f>
        <v/>
      </c>
      <c r="J118" s="17">
        <f>IF(M118="","",IF(S118&lt;&gt;"",MAX(0,S118-M118-1),MAX(0,TODAY()-M118)))</f>
        <v/>
      </c>
      <c r="K118" s="16">
        <f>IF($B118="","",TRIM(IF(AND(L118&lt;&gt;"",M118&lt;&gt;"",M118&lt;L118),"Haftungsdatum vor Kündigung. ","")&amp;IF(AND(S118&lt;&gt;"",M118&lt;&gt;"",S118&lt;M118),"Vermietung vor Leerstandsbeginn. ","")&amp;IF(AND(Z118&lt;&gt;"",L118&lt;&gt;"",Z118&lt;L118),"WA-Termin vor Kündigung. ","")&amp;IF(COUNTIFS($B$5:$B$404,$B118,$AY$5:$AY$404,"")&gt;1,"Zweiter offener Fall zum selben Objekt. ","")&amp;IF(AND($A118&lt;&gt;"",COUNTIFS($A$5:$A$404,$A118)&gt;1),"Fall-Nr. doppelt vergeben. ","")&amp;IF(E118="","ex-Mieter fehlt. ","")&amp;IF(M118="","Haftungsdatum fehlt. ","")&amp;IF(F118="","Bewirtschafter fehlt. ","")&amp;IF(AND(AY118&lt;&gt;"",AW118=""),"Abgeschlossen trotz offener Schlussabrechnung. ","")&amp;IF(AND(AY118="",S118="",ISNUMBER(J118),J118&gt;60),"Langläufer über 60 Tage. ","")))</f>
        <v/>
      </c>
      <c r="L118" s="18" t="n"/>
      <c r="M118" s="18" t="n"/>
      <c r="N118" s="19">
        <f>IF(M118="","",M118+1)</f>
        <v/>
      </c>
      <c r="O118" s="17">
        <f>IF(OR(L118="",M118=""),"",M118-L118)</f>
        <v/>
      </c>
      <c r="P118" s="16">
        <f>IF(M118="","",YEAR(M118+1)&amp;"-"&amp;TEXT(MONTH(M118+1),"00"))</f>
        <v/>
      </c>
      <c r="Q118" s="18" t="n"/>
      <c r="R118" s="15" t="n"/>
      <c r="S118" s="18" t="n"/>
      <c r="T118" s="16">
        <f>IF(U118="","",IF(LEFT(U118,1)="6","abgeschlossen",IF(OR(LEFT(U118,1)="1",LEFT(U118,1)="2"),"Kündigung &amp; Abnahme",IF(OR(LEFT(U118,1)="3",LEFT(U118,1)="4"),"Wiedervermietung","Schlussabrechnung"))))</f>
        <v/>
      </c>
      <c r="U118" s="16">
        <f>IF($B118="","",IF(AY118&lt;&gt;"","6 · abgeschlossen",IF(AW118&lt;&gt;"","5 · bereit zum Abschluss",IF(AT118&lt;&gt;"","5 · Schlussabrechnung",IF(AO118&lt;&gt;"","4 · Übergabe",IF(AM118&lt;&gt;"","3 · Neuvermietung",IF(M118&lt;&gt;"","2 · Abnahme &amp; Vermarktung","1 · Erfassung")))))))</f>
        <v/>
      </c>
      <c r="V118" s="15" t="n"/>
      <c r="W118" s="20" t="n"/>
      <c r="X118" s="15" t="n"/>
      <c r="Y118" s="15" t="n"/>
      <c r="Z118" s="18" t="n"/>
      <c r="AA118" s="19">
        <f>IF(M118="","",M118-30)</f>
        <v/>
      </c>
      <c r="AB118" s="19">
        <f>IF(ISNUMBER(AJ118),AJ118+3,"")</f>
        <v/>
      </c>
      <c r="AC118" s="18" t="n"/>
      <c r="AD118" s="18" t="n"/>
      <c r="AE118" s="18" t="n"/>
      <c r="AF118" s="18" t="n"/>
      <c r="AG118" s="18" t="n"/>
      <c r="AH118" s="18" t="n"/>
      <c r="AI118" s="18" t="n"/>
      <c r="AJ118" s="18" t="n"/>
      <c r="AK118" s="18" t="n"/>
      <c r="AL118" s="18" t="n"/>
      <c r="AM118" s="18" t="n"/>
      <c r="AN118" s="18" t="n"/>
      <c r="AO118" s="18" t="n"/>
      <c r="AP118" s="18" t="n"/>
      <c r="AQ118" s="18" t="n"/>
      <c r="AR118" s="18" t="n"/>
      <c r="AS118" s="18" t="n"/>
      <c r="AT118" s="18" t="n"/>
      <c r="AU118" s="18" t="n"/>
      <c r="AV118" s="18" t="n"/>
      <c r="AW118" s="18" t="n"/>
      <c r="AX118" s="18" t="n"/>
      <c r="AY118" s="18" t="n"/>
      <c r="AZ118" s="15" t="n"/>
    </row>
    <row r="119">
      <c r="A119" s="15" t="n"/>
      <c r="B119" s="15" t="n"/>
      <c r="C119" s="15" t="n"/>
      <c r="D119" s="15" t="n"/>
      <c r="E119" s="15" t="n"/>
      <c r="F119" s="15" t="n"/>
      <c r="G119" s="16">
        <f>IF(F119="","",IFERROR(INDEX(Stammdaten!$B$5:$B$24,MATCH(F119,Stammdaten!$A$5:$A$24,0)),"unbekannt"))</f>
        <v/>
      </c>
      <c r="H119" s="16">
        <f>IF($B119="","",IF(AY119&lt;&gt;"","abgeschlossen",IF(AND(ISNUMBER(AX119),AX119&gt;=TODAY()),"zurückgestellt",IF(OR(AND(ISNUMBER(AA119),AA119&lt;TODAY(),Z119="",AJ119=""),AND(ISNUMBER(Z119),Z119&lt;TODAY(),AJ119=""),AND(ISNUMBER(AB119),AB119&lt;TODAY(),AK119=""),AND(ISNUMBER(AC119),AC119&lt;TODAY(),AO119=""),AND(ISNUMBER(AD119),AD119&lt;TODAY(),AQ119="")),"überfällig","offen"))))</f>
        <v/>
      </c>
      <c r="I119" s="16">
        <f>IF($B119="","",IF(AY119&lt;&gt;"","—",IF(AND(ISNUMBER(AA119),AA119&lt;TODAY(),Z119="",AJ119=""),"Abnahmetermin vereinbaren – Sollfrist verstrichen",IF(AND(ISNUMBER(Z119),Z119&lt;TODAY(),AJ119=""),"Wohnungsabnahme nachtragen – Termin war fällig",IF(AND(ISNUMBER(AB119),AB119&lt;TODAY(),AK119=""),"Handwerker aufbieten – Frist verstrichen",IF(AND(ISNUMBER(AC119),AC119&lt;TODAY(),AO119=""),"Vertrag retour mahnen – Frist verstrichen",IF(AND(ISNUMBER(AD119),AD119&lt;TODAY(),AQ119=""),"Schlüsselübergabe nachtragen – Termin war fällig",IF(M119="","Haftungsdatum erfassen",IF(E119="","ex-Mieter erfassen",IF(AE119="","Kündigung bestätigen / G-Rem",IF(AF119="","Werke / EGT melden",IF(AG119="","Vorbesichtigung (oder n.e.)",IF(AH119="","VMZ aktualisieren",IF(AI119="","Inserat aufschalten",IF(AND(Z119="",AJ119=""),"Abnahmetermin vereinbaren",IF(AJ119="","Wohnungsabnahme durchführen",IF(AK119="","Handwerker aufbieten",IF(AL119="","Zustimmungserklärung einholen",IF(AM119="","Instandstellungen beauftragen",IF(R119="","Nachmieter erfassen",IF(AN119="","Vertrag versenden",IF(AO119="","Vertrag retour erfassen",IF(S119="","Vermietet per erfassen",IF(AP119="","Werke / EGT über Einzug informieren",IF(AND(AD119="",AQ119=""),"Schlüsselübergabe terminieren",IF(AQ119="","Schlüsselübergabe durchführen",IF(AR119="","Reinigung veranlassen",IF(AS119="","Namensschilder bestellen",IF(AT119="","Kaution prüfen / G-Rem mutieren",IF(AU119="","Instandstellungs-Rechnung erfassen",IF(AV119="","Schlussabrechnung erstellen",IF(AW119="","Zahlungseingang kontrollieren","Fall abschliessen"))))))))))))))))))))))))))))))))</f>
        <v/>
      </c>
      <c r="J119" s="17">
        <f>IF(M119="","",IF(S119&lt;&gt;"",MAX(0,S119-M119-1),MAX(0,TODAY()-M119)))</f>
        <v/>
      </c>
      <c r="K119" s="16">
        <f>IF($B119="","",TRIM(IF(AND(L119&lt;&gt;"",M119&lt;&gt;"",M119&lt;L119),"Haftungsdatum vor Kündigung. ","")&amp;IF(AND(S119&lt;&gt;"",M119&lt;&gt;"",S119&lt;M119),"Vermietung vor Leerstandsbeginn. ","")&amp;IF(AND(Z119&lt;&gt;"",L119&lt;&gt;"",Z119&lt;L119),"WA-Termin vor Kündigung. ","")&amp;IF(COUNTIFS($B$5:$B$404,$B119,$AY$5:$AY$404,"")&gt;1,"Zweiter offener Fall zum selben Objekt. ","")&amp;IF(AND($A119&lt;&gt;"",COUNTIFS($A$5:$A$404,$A119)&gt;1),"Fall-Nr. doppelt vergeben. ","")&amp;IF(E119="","ex-Mieter fehlt. ","")&amp;IF(M119="","Haftungsdatum fehlt. ","")&amp;IF(F119="","Bewirtschafter fehlt. ","")&amp;IF(AND(AY119&lt;&gt;"",AW119=""),"Abgeschlossen trotz offener Schlussabrechnung. ","")&amp;IF(AND(AY119="",S119="",ISNUMBER(J119),J119&gt;60),"Langläufer über 60 Tage. ","")))</f>
        <v/>
      </c>
      <c r="L119" s="18" t="n"/>
      <c r="M119" s="18" t="n"/>
      <c r="N119" s="19">
        <f>IF(M119="","",M119+1)</f>
        <v/>
      </c>
      <c r="O119" s="17">
        <f>IF(OR(L119="",M119=""),"",M119-L119)</f>
        <v/>
      </c>
      <c r="P119" s="16">
        <f>IF(M119="","",YEAR(M119+1)&amp;"-"&amp;TEXT(MONTH(M119+1),"00"))</f>
        <v/>
      </c>
      <c r="Q119" s="18" t="n"/>
      <c r="R119" s="15" t="n"/>
      <c r="S119" s="18" t="n"/>
      <c r="T119" s="16">
        <f>IF(U119="","",IF(LEFT(U119,1)="6","abgeschlossen",IF(OR(LEFT(U119,1)="1",LEFT(U119,1)="2"),"Kündigung &amp; Abnahme",IF(OR(LEFT(U119,1)="3",LEFT(U119,1)="4"),"Wiedervermietung","Schlussabrechnung"))))</f>
        <v/>
      </c>
      <c r="U119" s="16">
        <f>IF($B119="","",IF(AY119&lt;&gt;"","6 · abgeschlossen",IF(AW119&lt;&gt;"","5 · bereit zum Abschluss",IF(AT119&lt;&gt;"","5 · Schlussabrechnung",IF(AO119&lt;&gt;"","4 · Übergabe",IF(AM119&lt;&gt;"","3 · Neuvermietung",IF(M119&lt;&gt;"","2 · Abnahme &amp; Vermarktung","1 · Erfassung")))))))</f>
        <v/>
      </c>
      <c r="V119" s="15" t="n"/>
      <c r="W119" s="20" t="n"/>
      <c r="X119" s="15" t="n"/>
      <c r="Y119" s="15" t="n"/>
      <c r="Z119" s="18" t="n"/>
      <c r="AA119" s="19">
        <f>IF(M119="","",M119-30)</f>
        <v/>
      </c>
      <c r="AB119" s="19">
        <f>IF(ISNUMBER(AJ119),AJ119+3,"")</f>
        <v/>
      </c>
      <c r="AC119" s="18" t="n"/>
      <c r="AD119" s="18" t="n"/>
      <c r="AE119" s="18" t="n"/>
      <c r="AF119" s="18" t="n"/>
      <c r="AG119" s="18" t="n"/>
      <c r="AH119" s="18" t="n"/>
      <c r="AI119" s="18" t="n"/>
      <c r="AJ119" s="18" t="n"/>
      <c r="AK119" s="18" t="n"/>
      <c r="AL119" s="18" t="n"/>
      <c r="AM119" s="18" t="n"/>
      <c r="AN119" s="18" t="n"/>
      <c r="AO119" s="18" t="n"/>
      <c r="AP119" s="18" t="n"/>
      <c r="AQ119" s="18" t="n"/>
      <c r="AR119" s="18" t="n"/>
      <c r="AS119" s="18" t="n"/>
      <c r="AT119" s="18" t="n"/>
      <c r="AU119" s="18" t="n"/>
      <c r="AV119" s="18" t="n"/>
      <c r="AW119" s="18" t="n"/>
      <c r="AX119" s="18" t="n"/>
      <c r="AY119" s="18" t="n"/>
      <c r="AZ119" s="15" t="n"/>
    </row>
    <row r="120">
      <c r="A120" s="15" t="n"/>
      <c r="B120" s="15" t="n"/>
      <c r="C120" s="15" t="n"/>
      <c r="D120" s="15" t="n"/>
      <c r="E120" s="15" t="n"/>
      <c r="F120" s="15" t="n"/>
      <c r="G120" s="16">
        <f>IF(F120="","",IFERROR(INDEX(Stammdaten!$B$5:$B$24,MATCH(F120,Stammdaten!$A$5:$A$24,0)),"unbekannt"))</f>
        <v/>
      </c>
      <c r="H120" s="16">
        <f>IF($B120="","",IF(AY120&lt;&gt;"","abgeschlossen",IF(AND(ISNUMBER(AX120),AX120&gt;=TODAY()),"zurückgestellt",IF(OR(AND(ISNUMBER(AA120),AA120&lt;TODAY(),Z120="",AJ120=""),AND(ISNUMBER(Z120),Z120&lt;TODAY(),AJ120=""),AND(ISNUMBER(AB120),AB120&lt;TODAY(),AK120=""),AND(ISNUMBER(AC120),AC120&lt;TODAY(),AO120=""),AND(ISNUMBER(AD120),AD120&lt;TODAY(),AQ120="")),"überfällig","offen"))))</f>
        <v/>
      </c>
      <c r="I120" s="16">
        <f>IF($B120="","",IF(AY120&lt;&gt;"","—",IF(AND(ISNUMBER(AA120),AA120&lt;TODAY(),Z120="",AJ120=""),"Abnahmetermin vereinbaren – Sollfrist verstrichen",IF(AND(ISNUMBER(Z120),Z120&lt;TODAY(),AJ120=""),"Wohnungsabnahme nachtragen – Termin war fällig",IF(AND(ISNUMBER(AB120),AB120&lt;TODAY(),AK120=""),"Handwerker aufbieten – Frist verstrichen",IF(AND(ISNUMBER(AC120),AC120&lt;TODAY(),AO120=""),"Vertrag retour mahnen – Frist verstrichen",IF(AND(ISNUMBER(AD120),AD120&lt;TODAY(),AQ120=""),"Schlüsselübergabe nachtragen – Termin war fällig",IF(M120="","Haftungsdatum erfassen",IF(E120="","ex-Mieter erfassen",IF(AE120="","Kündigung bestätigen / G-Rem",IF(AF120="","Werke / EGT melden",IF(AG120="","Vorbesichtigung (oder n.e.)",IF(AH120="","VMZ aktualisieren",IF(AI120="","Inserat aufschalten",IF(AND(Z120="",AJ120=""),"Abnahmetermin vereinbaren",IF(AJ120="","Wohnungsabnahme durchführen",IF(AK120="","Handwerker aufbieten",IF(AL120="","Zustimmungserklärung einholen",IF(AM120="","Instandstellungen beauftragen",IF(R120="","Nachmieter erfassen",IF(AN120="","Vertrag versenden",IF(AO120="","Vertrag retour erfassen",IF(S120="","Vermietet per erfassen",IF(AP120="","Werke / EGT über Einzug informieren",IF(AND(AD120="",AQ120=""),"Schlüsselübergabe terminieren",IF(AQ120="","Schlüsselübergabe durchführen",IF(AR120="","Reinigung veranlassen",IF(AS120="","Namensschilder bestellen",IF(AT120="","Kaution prüfen / G-Rem mutieren",IF(AU120="","Instandstellungs-Rechnung erfassen",IF(AV120="","Schlussabrechnung erstellen",IF(AW120="","Zahlungseingang kontrollieren","Fall abschliessen"))))))))))))))))))))))))))))))))</f>
        <v/>
      </c>
      <c r="J120" s="17">
        <f>IF(M120="","",IF(S120&lt;&gt;"",MAX(0,S120-M120-1),MAX(0,TODAY()-M120)))</f>
        <v/>
      </c>
      <c r="K120" s="16">
        <f>IF($B120="","",TRIM(IF(AND(L120&lt;&gt;"",M120&lt;&gt;"",M120&lt;L120),"Haftungsdatum vor Kündigung. ","")&amp;IF(AND(S120&lt;&gt;"",M120&lt;&gt;"",S120&lt;M120),"Vermietung vor Leerstandsbeginn. ","")&amp;IF(AND(Z120&lt;&gt;"",L120&lt;&gt;"",Z120&lt;L120),"WA-Termin vor Kündigung. ","")&amp;IF(COUNTIFS($B$5:$B$404,$B120,$AY$5:$AY$404,"")&gt;1,"Zweiter offener Fall zum selben Objekt. ","")&amp;IF(AND($A120&lt;&gt;"",COUNTIFS($A$5:$A$404,$A120)&gt;1),"Fall-Nr. doppelt vergeben. ","")&amp;IF(E120="","ex-Mieter fehlt. ","")&amp;IF(M120="","Haftungsdatum fehlt. ","")&amp;IF(F120="","Bewirtschafter fehlt. ","")&amp;IF(AND(AY120&lt;&gt;"",AW120=""),"Abgeschlossen trotz offener Schlussabrechnung. ","")&amp;IF(AND(AY120="",S120="",ISNUMBER(J120),J120&gt;60),"Langläufer über 60 Tage. ","")))</f>
        <v/>
      </c>
      <c r="L120" s="18" t="n"/>
      <c r="M120" s="18" t="n"/>
      <c r="N120" s="19">
        <f>IF(M120="","",M120+1)</f>
        <v/>
      </c>
      <c r="O120" s="17">
        <f>IF(OR(L120="",M120=""),"",M120-L120)</f>
        <v/>
      </c>
      <c r="P120" s="16">
        <f>IF(M120="","",YEAR(M120+1)&amp;"-"&amp;TEXT(MONTH(M120+1),"00"))</f>
        <v/>
      </c>
      <c r="Q120" s="18" t="n"/>
      <c r="R120" s="15" t="n"/>
      <c r="S120" s="18" t="n"/>
      <c r="T120" s="16">
        <f>IF(U120="","",IF(LEFT(U120,1)="6","abgeschlossen",IF(OR(LEFT(U120,1)="1",LEFT(U120,1)="2"),"Kündigung &amp; Abnahme",IF(OR(LEFT(U120,1)="3",LEFT(U120,1)="4"),"Wiedervermietung","Schlussabrechnung"))))</f>
        <v/>
      </c>
      <c r="U120" s="16">
        <f>IF($B120="","",IF(AY120&lt;&gt;"","6 · abgeschlossen",IF(AW120&lt;&gt;"","5 · bereit zum Abschluss",IF(AT120&lt;&gt;"","5 · Schlussabrechnung",IF(AO120&lt;&gt;"","4 · Übergabe",IF(AM120&lt;&gt;"","3 · Neuvermietung",IF(M120&lt;&gt;"","2 · Abnahme &amp; Vermarktung","1 · Erfassung")))))))</f>
        <v/>
      </c>
      <c r="V120" s="15" t="n"/>
      <c r="W120" s="20" t="n"/>
      <c r="X120" s="15" t="n"/>
      <c r="Y120" s="15" t="n"/>
      <c r="Z120" s="18" t="n"/>
      <c r="AA120" s="19">
        <f>IF(M120="","",M120-30)</f>
        <v/>
      </c>
      <c r="AB120" s="19">
        <f>IF(ISNUMBER(AJ120),AJ120+3,"")</f>
        <v/>
      </c>
      <c r="AC120" s="18" t="n"/>
      <c r="AD120" s="18" t="n"/>
      <c r="AE120" s="18" t="n"/>
      <c r="AF120" s="18" t="n"/>
      <c r="AG120" s="18" t="n"/>
      <c r="AH120" s="18" t="n"/>
      <c r="AI120" s="18" t="n"/>
      <c r="AJ120" s="18" t="n"/>
      <c r="AK120" s="18" t="n"/>
      <c r="AL120" s="18" t="n"/>
      <c r="AM120" s="18" t="n"/>
      <c r="AN120" s="18" t="n"/>
      <c r="AO120" s="18" t="n"/>
      <c r="AP120" s="18" t="n"/>
      <c r="AQ120" s="18" t="n"/>
      <c r="AR120" s="18" t="n"/>
      <c r="AS120" s="18" t="n"/>
      <c r="AT120" s="18" t="n"/>
      <c r="AU120" s="18" t="n"/>
      <c r="AV120" s="18" t="n"/>
      <c r="AW120" s="18" t="n"/>
      <c r="AX120" s="18" t="n"/>
      <c r="AY120" s="18" t="n"/>
      <c r="AZ120" s="15" t="n"/>
    </row>
    <row r="121">
      <c r="A121" s="15" t="n"/>
      <c r="B121" s="15" t="n"/>
      <c r="C121" s="15" t="n"/>
      <c r="D121" s="15" t="n"/>
      <c r="E121" s="15" t="n"/>
      <c r="F121" s="15" t="n"/>
      <c r="G121" s="16">
        <f>IF(F121="","",IFERROR(INDEX(Stammdaten!$B$5:$B$24,MATCH(F121,Stammdaten!$A$5:$A$24,0)),"unbekannt"))</f>
        <v/>
      </c>
      <c r="H121" s="16">
        <f>IF($B121="","",IF(AY121&lt;&gt;"","abgeschlossen",IF(AND(ISNUMBER(AX121),AX121&gt;=TODAY()),"zurückgestellt",IF(OR(AND(ISNUMBER(AA121),AA121&lt;TODAY(),Z121="",AJ121=""),AND(ISNUMBER(Z121),Z121&lt;TODAY(),AJ121=""),AND(ISNUMBER(AB121),AB121&lt;TODAY(),AK121=""),AND(ISNUMBER(AC121),AC121&lt;TODAY(),AO121=""),AND(ISNUMBER(AD121),AD121&lt;TODAY(),AQ121="")),"überfällig","offen"))))</f>
        <v/>
      </c>
      <c r="I121" s="16">
        <f>IF($B121="","",IF(AY121&lt;&gt;"","—",IF(AND(ISNUMBER(AA121),AA121&lt;TODAY(),Z121="",AJ121=""),"Abnahmetermin vereinbaren – Sollfrist verstrichen",IF(AND(ISNUMBER(Z121),Z121&lt;TODAY(),AJ121=""),"Wohnungsabnahme nachtragen – Termin war fällig",IF(AND(ISNUMBER(AB121),AB121&lt;TODAY(),AK121=""),"Handwerker aufbieten – Frist verstrichen",IF(AND(ISNUMBER(AC121),AC121&lt;TODAY(),AO121=""),"Vertrag retour mahnen – Frist verstrichen",IF(AND(ISNUMBER(AD121),AD121&lt;TODAY(),AQ121=""),"Schlüsselübergabe nachtragen – Termin war fällig",IF(M121="","Haftungsdatum erfassen",IF(E121="","ex-Mieter erfassen",IF(AE121="","Kündigung bestätigen / G-Rem",IF(AF121="","Werke / EGT melden",IF(AG121="","Vorbesichtigung (oder n.e.)",IF(AH121="","VMZ aktualisieren",IF(AI121="","Inserat aufschalten",IF(AND(Z121="",AJ121=""),"Abnahmetermin vereinbaren",IF(AJ121="","Wohnungsabnahme durchführen",IF(AK121="","Handwerker aufbieten",IF(AL121="","Zustimmungserklärung einholen",IF(AM121="","Instandstellungen beauftragen",IF(R121="","Nachmieter erfassen",IF(AN121="","Vertrag versenden",IF(AO121="","Vertrag retour erfassen",IF(S121="","Vermietet per erfassen",IF(AP121="","Werke / EGT über Einzug informieren",IF(AND(AD121="",AQ121=""),"Schlüsselübergabe terminieren",IF(AQ121="","Schlüsselübergabe durchführen",IF(AR121="","Reinigung veranlassen",IF(AS121="","Namensschilder bestellen",IF(AT121="","Kaution prüfen / G-Rem mutieren",IF(AU121="","Instandstellungs-Rechnung erfassen",IF(AV121="","Schlussabrechnung erstellen",IF(AW121="","Zahlungseingang kontrollieren","Fall abschliessen"))))))))))))))))))))))))))))))))</f>
        <v/>
      </c>
      <c r="J121" s="17">
        <f>IF(M121="","",IF(S121&lt;&gt;"",MAX(0,S121-M121-1),MAX(0,TODAY()-M121)))</f>
        <v/>
      </c>
      <c r="K121" s="16">
        <f>IF($B121="","",TRIM(IF(AND(L121&lt;&gt;"",M121&lt;&gt;"",M121&lt;L121),"Haftungsdatum vor Kündigung. ","")&amp;IF(AND(S121&lt;&gt;"",M121&lt;&gt;"",S121&lt;M121),"Vermietung vor Leerstandsbeginn. ","")&amp;IF(AND(Z121&lt;&gt;"",L121&lt;&gt;"",Z121&lt;L121),"WA-Termin vor Kündigung. ","")&amp;IF(COUNTIFS($B$5:$B$404,$B121,$AY$5:$AY$404,"")&gt;1,"Zweiter offener Fall zum selben Objekt. ","")&amp;IF(AND($A121&lt;&gt;"",COUNTIFS($A$5:$A$404,$A121)&gt;1),"Fall-Nr. doppelt vergeben. ","")&amp;IF(E121="","ex-Mieter fehlt. ","")&amp;IF(M121="","Haftungsdatum fehlt. ","")&amp;IF(F121="","Bewirtschafter fehlt. ","")&amp;IF(AND(AY121&lt;&gt;"",AW121=""),"Abgeschlossen trotz offener Schlussabrechnung. ","")&amp;IF(AND(AY121="",S121="",ISNUMBER(J121),J121&gt;60),"Langläufer über 60 Tage. ","")))</f>
        <v/>
      </c>
      <c r="L121" s="18" t="n"/>
      <c r="M121" s="18" t="n"/>
      <c r="N121" s="19">
        <f>IF(M121="","",M121+1)</f>
        <v/>
      </c>
      <c r="O121" s="17">
        <f>IF(OR(L121="",M121=""),"",M121-L121)</f>
        <v/>
      </c>
      <c r="P121" s="16">
        <f>IF(M121="","",YEAR(M121+1)&amp;"-"&amp;TEXT(MONTH(M121+1),"00"))</f>
        <v/>
      </c>
      <c r="Q121" s="18" t="n"/>
      <c r="R121" s="15" t="n"/>
      <c r="S121" s="18" t="n"/>
      <c r="T121" s="16">
        <f>IF(U121="","",IF(LEFT(U121,1)="6","abgeschlossen",IF(OR(LEFT(U121,1)="1",LEFT(U121,1)="2"),"Kündigung &amp; Abnahme",IF(OR(LEFT(U121,1)="3",LEFT(U121,1)="4"),"Wiedervermietung","Schlussabrechnung"))))</f>
        <v/>
      </c>
      <c r="U121" s="16">
        <f>IF($B121="","",IF(AY121&lt;&gt;"","6 · abgeschlossen",IF(AW121&lt;&gt;"","5 · bereit zum Abschluss",IF(AT121&lt;&gt;"","5 · Schlussabrechnung",IF(AO121&lt;&gt;"","4 · Übergabe",IF(AM121&lt;&gt;"","3 · Neuvermietung",IF(M121&lt;&gt;"","2 · Abnahme &amp; Vermarktung","1 · Erfassung")))))))</f>
        <v/>
      </c>
      <c r="V121" s="15" t="n"/>
      <c r="W121" s="20" t="n"/>
      <c r="X121" s="15" t="n"/>
      <c r="Y121" s="15" t="n"/>
      <c r="Z121" s="18" t="n"/>
      <c r="AA121" s="19">
        <f>IF(M121="","",M121-30)</f>
        <v/>
      </c>
      <c r="AB121" s="19">
        <f>IF(ISNUMBER(AJ121),AJ121+3,"")</f>
        <v/>
      </c>
      <c r="AC121" s="18" t="n"/>
      <c r="AD121" s="18" t="n"/>
      <c r="AE121" s="18" t="n"/>
      <c r="AF121" s="18" t="n"/>
      <c r="AG121" s="18" t="n"/>
      <c r="AH121" s="18" t="n"/>
      <c r="AI121" s="18" t="n"/>
      <c r="AJ121" s="18" t="n"/>
      <c r="AK121" s="18" t="n"/>
      <c r="AL121" s="18" t="n"/>
      <c r="AM121" s="18" t="n"/>
      <c r="AN121" s="18" t="n"/>
      <c r="AO121" s="18" t="n"/>
      <c r="AP121" s="18" t="n"/>
      <c r="AQ121" s="18" t="n"/>
      <c r="AR121" s="18" t="n"/>
      <c r="AS121" s="18" t="n"/>
      <c r="AT121" s="18" t="n"/>
      <c r="AU121" s="18" t="n"/>
      <c r="AV121" s="18" t="n"/>
      <c r="AW121" s="18" t="n"/>
      <c r="AX121" s="18" t="n"/>
      <c r="AY121" s="18" t="n"/>
      <c r="AZ121" s="15" t="n"/>
    </row>
    <row r="122">
      <c r="A122" s="15" t="n"/>
      <c r="B122" s="15" t="n"/>
      <c r="C122" s="15" t="n"/>
      <c r="D122" s="15" t="n"/>
      <c r="E122" s="15" t="n"/>
      <c r="F122" s="15" t="n"/>
      <c r="G122" s="16">
        <f>IF(F122="","",IFERROR(INDEX(Stammdaten!$B$5:$B$24,MATCH(F122,Stammdaten!$A$5:$A$24,0)),"unbekannt"))</f>
        <v/>
      </c>
      <c r="H122" s="16">
        <f>IF($B122="","",IF(AY122&lt;&gt;"","abgeschlossen",IF(AND(ISNUMBER(AX122),AX122&gt;=TODAY()),"zurückgestellt",IF(OR(AND(ISNUMBER(AA122),AA122&lt;TODAY(),Z122="",AJ122=""),AND(ISNUMBER(Z122),Z122&lt;TODAY(),AJ122=""),AND(ISNUMBER(AB122),AB122&lt;TODAY(),AK122=""),AND(ISNUMBER(AC122),AC122&lt;TODAY(),AO122=""),AND(ISNUMBER(AD122),AD122&lt;TODAY(),AQ122="")),"überfällig","offen"))))</f>
        <v/>
      </c>
      <c r="I122" s="16">
        <f>IF($B122="","",IF(AY122&lt;&gt;"","—",IF(AND(ISNUMBER(AA122),AA122&lt;TODAY(),Z122="",AJ122=""),"Abnahmetermin vereinbaren – Sollfrist verstrichen",IF(AND(ISNUMBER(Z122),Z122&lt;TODAY(),AJ122=""),"Wohnungsabnahme nachtragen – Termin war fällig",IF(AND(ISNUMBER(AB122),AB122&lt;TODAY(),AK122=""),"Handwerker aufbieten – Frist verstrichen",IF(AND(ISNUMBER(AC122),AC122&lt;TODAY(),AO122=""),"Vertrag retour mahnen – Frist verstrichen",IF(AND(ISNUMBER(AD122),AD122&lt;TODAY(),AQ122=""),"Schlüsselübergabe nachtragen – Termin war fällig",IF(M122="","Haftungsdatum erfassen",IF(E122="","ex-Mieter erfassen",IF(AE122="","Kündigung bestätigen / G-Rem",IF(AF122="","Werke / EGT melden",IF(AG122="","Vorbesichtigung (oder n.e.)",IF(AH122="","VMZ aktualisieren",IF(AI122="","Inserat aufschalten",IF(AND(Z122="",AJ122=""),"Abnahmetermin vereinbaren",IF(AJ122="","Wohnungsabnahme durchführen",IF(AK122="","Handwerker aufbieten",IF(AL122="","Zustimmungserklärung einholen",IF(AM122="","Instandstellungen beauftragen",IF(R122="","Nachmieter erfassen",IF(AN122="","Vertrag versenden",IF(AO122="","Vertrag retour erfassen",IF(S122="","Vermietet per erfassen",IF(AP122="","Werke / EGT über Einzug informieren",IF(AND(AD122="",AQ122=""),"Schlüsselübergabe terminieren",IF(AQ122="","Schlüsselübergabe durchführen",IF(AR122="","Reinigung veranlassen",IF(AS122="","Namensschilder bestellen",IF(AT122="","Kaution prüfen / G-Rem mutieren",IF(AU122="","Instandstellungs-Rechnung erfassen",IF(AV122="","Schlussabrechnung erstellen",IF(AW122="","Zahlungseingang kontrollieren","Fall abschliessen"))))))))))))))))))))))))))))))))</f>
        <v/>
      </c>
      <c r="J122" s="17">
        <f>IF(M122="","",IF(S122&lt;&gt;"",MAX(0,S122-M122-1),MAX(0,TODAY()-M122)))</f>
        <v/>
      </c>
      <c r="K122" s="16">
        <f>IF($B122="","",TRIM(IF(AND(L122&lt;&gt;"",M122&lt;&gt;"",M122&lt;L122),"Haftungsdatum vor Kündigung. ","")&amp;IF(AND(S122&lt;&gt;"",M122&lt;&gt;"",S122&lt;M122),"Vermietung vor Leerstandsbeginn. ","")&amp;IF(AND(Z122&lt;&gt;"",L122&lt;&gt;"",Z122&lt;L122),"WA-Termin vor Kündigung. ","")&amp;IF(COUNTIFS($B$5:$B$404,$B122,$AY$5:$AY$404,"")&gt;1,"Zweiter offener Fall zum selben Objekt. ","")&amp;IF(AND($A122&lt;&gt;"",COUNTIFS($A$5:$A$404,$A122)&gt;1),"Fall-Nr. doppelt vergeben. ","")&amp;IF(E122="","ex-Mieter fehlt. ","")&amp;IF(M122="","Haftungsdatum fehlt. ","")&amp;IF(F122="","Bewirtschafter fehlt. ","")&amp;IF(AND(AY122&lt;&gt;"",AW122=""),"Abgeschlossen trotz offener Schlussabrechnung. ","")&amp;IF(AND(AY122="",S122="",ISNUMBER(J122),J122&gt;60),"Langläufer über 60 Tage. ","")))</f>
        <v/>
      </c>
      <c r="L122" s="18" t="n"/>
      <c r="M122" s="18" t="n"/>
      <c r="N122" s="19">
        <f>IF(M122="","",M122+1)</f>
        <v/>
      </c>
      <c r="O122" s="17">
        <f>IF(OR(L122="",M122=""),"",M122-L122)</f>
        <v/>
      </c>
      <c r="P122" s="16">
        <f>IF(M122="","",YEAR(M122+1)&amp;"-"&amp;TEXT(MONTH(M122+1),"00"))</f>
        <v/>
      </c>
      <c r="Q122" s="18" t="n"/>
      <c r="R122" s="15" t="n"/>
      <c r="S122" s="18" t="n"/>
      <c r="T122" s="16">
        <f>IF(U122="","",IF(LEFT(U122,1)="6","abgeschlossen",IF(OR(LEFT(U122,1)="1",LEFT(U122,1)="2"),"Kündigung &amp; Abnahme",IF(OR(LEFT(U122,1)="3",LEFT(U122,1)="4"),"Wiedervermietung","Schlussabrechnung"))))</f>
        <v/>
      </c>
      <c r="U122" s="16">
        <f>IF($B122="","",IF(AY122&lt;&gt;"","6 · abgeschlossen",IF(AW122&lt;&gt;"","5 · bereit zum Abschluss",IF(AT122&lt;&gt;"","5 · Schlussabrechnung",IF(AO122&lt;&gt;"","4 · Übergabe",IF(AM122&lt;&gt;"","3 · Neuvermietung",IF(M122&lt;&gt;"","2 · Abnahme &amp; Vermarktung","1 · Erfassung")))))))</f>
        <v/>
      </c>
      <c r="V122" s="15" t="n"/>
      <c r="W122" s="20" t="n"/>
      <c r="X122" s="15" t="n"/>
      <c r="Y122" s="15" t="n"/>
      <c r="Z122" s="18" t="n"/>
      <c r="AA122" s="19">
        <f>IF(M122="","",M122-30)</f>
        <v/>
      </c>
      <c r="AB122" s="19">
        <f>IF(ISNUMBER(AJ122),AJ122+3,"")</f>
        <v/>
      </c>
      <c r="AC122" s="18" t="n"/>
      <c r="AD122" s="18" t="n"/>
      <c r="AE122" s="18" t="n"/>
      <c r="AF122" s="18" t="n"/>
      <c r="AG122" s="18" t="n"/>
      <c r="AH122" s="18" t="n"/>
      <c r="AI122" s="18" t="n"/>
      <c r="AJ122" s="18" t="n"/>
      <c r="AK122" s="18" t="n"/>
      <c r="AL122" s="18" t="n"/>
      <c r="AM122" s="18" t="n"/>
      <c r="AN122" s="18" t="n"/>
      <c r="AO122" s="18" t="n"/>
      <c r="AP122" s="18" t="n"/>
      <c r="AQ122" s="18" t="n"/>
      <c r="AR122" s="18" t="n"/>
      <c r="AS122" s="18" t="n"/>
      <c r="AT122" s="18" t="n"/>
      <c r="AU122" s="18" t="n"/>
      <c r="AV122" s="18" t="n"/>
      <c r="AW122" s="18" t="n"/>
      <c r="AX122" s="18" t="n"/>
      <c r="AY122" s="18" t="n"/>
      <c r="AZ122" s="15" t="n"/>
    </row>
    <row r="123">
      <c r="A123" s="15" t="n"/>
      <c r="B123" s="15" t="n"/>
      <c r="C123" s="15" t="n"/>
      <c r="D123" s="15" t="n"/>
      <c r="E123" s="15" t="n"/>
      <c r="F123" s="15" t="n"/>
      <c r="G123" s="16">
        <f>IF(F123="","",IFERROR(INDEX(Stammdaten!$B$5:$B$24,MATCH(F123,Stammdaten!$A$5:$A$24,0)),"unbekannt"))</f>
        <v/>
      </c>
      <c r="H123" s="16">
        <f>IF($B123="","",IF(AY123&lt;&gt;"","abgeschlossen",IF(AND(ISNUMBER(AX123),AX123&gt;=TODAY()),"zurückgestellt",IF(OR(AND(ISNUMBER(AA123),AA123&lt;TODAY(),Z123="",AJ123=""),AND(ISNUMBER(Z123),Z123&lt;TODAY(),AJ123=""),AND(ISNUMBER(AB123),AB123&lt;TODAY(),AK123=""),AND(ISNUMBER(AC123),AC123&lt;TODAY(),AO123=""),AND(ISNUMBER(AD123),AD123&lt;TODAY(),AQ123="")),"überfällig","offen"))))</f>
        <v/>
      </c>
      <c r="I123" s="16">
        <f>IF($B123="","",IF(AY123&lt;&gt;"","—",IF(AND(ISNUMBER(AA123),AA123&lt;TODAY(),Z123="",AJ123=""),"Abnahmetermin vereinbaren – Sollfrist verstrichen",IF(AND(ISNUMBER(Z123),Z123&lt;TODAY(),AJ123=""),"Wohnungsabnahme nachtragen – Termin war fällig",IF(AND(ISNUMBER(AB123),AB123&lt;TODAY(),AK123=""),"Handwerker aufbieten – Frist verstrichen",IF(AND(ISNUMBER(AC123),AC123&lt;TODAY(),AO123=""),"Vertrag retour mahnen – Frist verstrichen",IF(AND(ISNUMBER(AD123),AD123&lt;TODAY(),AQ123=""),"Schlüsselübergabe nachtragen – Termin war fällig",IF(M123="","Haftungsdatum erfassen",IF(E123="","ex-Mieter erfassen",IF(AE123="","Kündigung bestätigen / G-Rem",IF(AF123="","Werke / EGT melden",IF(AG123="","Vorbesichtigung (oder n.e.)",IF(AH123="","VMZ aktualisieren",IF(AI123="","Inserat aufschalten",IF(AND(Z123="",AJ123=""),"Abnahmetermin vereinbaren",IF(AJ123="","Wohnungsabnahme durchführen",IF(AK123="","Handwerker aufbieten",IF(AL123="","Zustimmungserklärung einholen",IF(AM123="","Instandstellungen beauftragen",IF(R123="","Nachmieter erfassen",IF(AN123="","Vertrag versenden",IF(AO123="","Vertrag retour erfassen",IF(S123="","Vermietet per erfassen",IF(AP123="","Werke / EGT über Einzug informieren",IF(AND(AD123="",AQ123=""),"Schlüsselübergabe terminieren",IF(AQ123="","Schlüsselübergabe durchführen",IF(AR123="","Reinigung veranlassen",IF(AS123="","Namensschilder bestellen",IF(AT123="","Kaution prüfen / G-Rem mutieren",IF(AU123="","Instandstellungs-Rechnung erfassen",IF(AV123="","Schlussabrechnung erstellen",IF(AW123="","Zahlungseingang kontrollieren","Fall abschliessen"))))))))))))))))))))))))))))))))</f>
        <v/>
      </c>
      <c r="J123" s="17">
        <f>IF(M123="","",IF(S123&lt;&gt;"",MAX(0,S123-M123-1),MAX(0,TODAY()-M123)))</f>
        <v/>
      </c>
      <c r="K123" s="16">
        <f>IF($B123="","",TRIM(IF(AND(L123&lt;&gt;"",M123&lt;&gt;"",M123&lt;L123),"Haftungsdatum vor Kündigung. ","")&amp;IF(AND(S123&lt;&gt;"",M123&lt;&gt;"",S123&lt;M123),"Vermietung vor Leerstandsbeginn. ","")&amp;IF(AND(Z123&lt;&gt;"",L123&lt;&gt;"",Z123&lt;L123),"WA-Termin vor Kündigung. ","")&amp;IF(COUNTIFS($B$5:$B$404,$B123,$AY$5:$AY$404,"")&gt;1,"Zweiter offener Fall zum selben Objekt. ","")&amp;IF(AND($A123&lt;&gt;"",COUNTIFS($A$5:$A$404,$A123)&gt;1),"Fall-Nr. doppelt vergeben. ","")&amp;IF(E123="","ex-Mieter fehlt. ","")&amp;IF(M123="","Haftungsdatum fehlt. ","")&amp;IF(F123="","Bewirtschafter fehlt. ","")&amp;IF(AND(AY123&lt;&gt;"",AW123=""),"Abgeschlossen trotz offener Schlussabrechnung. ","")&amp;IF(AND(AY123="",S123="",ISNUMBER(J123),J123&gt;60),"Langläufer über 60 Tage. ","")))</f>
        <v/>
      </c>
      <c r="L123" s="18" t="n"/>
      <c r="M123" s="18" t="n"/>
      <c r="N123" s="19">
        <f>IF(M123="","",M123+1)</f>
        <v/>
      </c>
      <c r="O123" s="17">
        <f>IF(OR(L123="",M123=""),"",M123-L123)</f>
        <v/>
      </c>
      <c r="P123" s="16">
        <f>IF(M123="","",YEAR(M123+1)&amp;"-"&amp;TEXT(MONTH(M123+1),"00"))</f>
        <v/>
      </c>
      <c r="Q123" s="18" t="n"/>
      <c r="R123" s="15" t="n"/>
      <c r="S123" s="18" t="n"/>
      <c r="T123" s="16">
        <f>IF(U123="","",IF(LEFT(U123,1)="6","abgeschlossen",IF(OR(LEFT(U123,1)="1",LEFT(U123,1)="2"),"Kündigung &amp; Abnahme",IF(OR(LEFT(U123,1)="3",LEFT(U123,1)="4"),"Wiedervermietung","Schlussabrechnung"))))</f>
        <v/>
      </c>
      <c r="U123" s="16">
        <f>IF($B123="","",IF(AY123&lt;&gt;"","6 · abgeschlossen",IF(AW123&lt;&gt;"","5 · bereit zum Abschluss",IF(AT123&lt;&gt;"","5 · Schlussabrechnung",IF(AO123&lt;&gt;"","4 · Übergabe",IF(AM123&lt;&gt;"","3 · Neuvermietung",IF(M123&lt;&gt;"","2 · Abnahme &amp; Vermarktung","1 · Erfassung")))))))</f>
        <v/>
      </c>
      <c r="V123" s="15" t="n"/>
      <c r="W123" s="20" t="n"/>
      <c r="X123" s="15" t="n"/>
      <c r="Y123" s="15" t="n"/>
      <c r="Z123" s="18" t="n"/>
      <c r="AA123" s="19">
        <f>IF(M123="","",M123-30)</f>
        <v/>
      </c>
      <c r="AB123" s="19">
        <f>IF(ISNUMBER(AJ123),AJ123+3,"")</f>
        <v/>
      </c>
      <c r="AC123" s="18" t="n"/>
      <c r="AD123" s="18" t="n"/>
      <c r="AE123" s="18" t="n"/>
      <c r="AF123" s="18" t="n"/>
      <c r="AG123" s="18" t="n"/>
      <c r="AH123" s="18" t="n"/>
      <c r="AI123" s="18" t="n"/>
      <c r="AJ123" s="18" t="n"/>
      <c r="AK123" s="18" t="n"/>
      <c r="AL123" s="18" t="n"/>
      <c r="AM123" s="18" t="n"/>
      <c r="AN123" s="18" t="n"/>
      <c r="AO123" s="18" t="n"/>
      <c r="AP123" s="18" t="n"/>
      <c r="AQ123" s="18" t="n"/>
      <c r="AR123" s="18" t="n"/>
      <c r="AS123" s="18" t="n"/>
      <c r="AT123" s="18" t="n"/>
      <c r="AU123" s="18" t="n"/>
      <c r="AV123" s="18" t="n"/>
      <c r="AW123" s="18" t="n"/>
      <c r="AX123" s="18" t="n"/>
      <c r="AY123" s="18" t="n"/>
      <c r="AZ123" s="15" t="n"/>
    </row>
    <row r="124">
      <c r="A124" s="15" t="n"/>
      <c r="B124" s="15" t="n"/>
      <c r="C124" s="15" t="n"/>
      <c r="D124" s="15" t="n"/>
      <c r="E124" s="15" t="n"/>
      <c r="F124" s="15" t="n"/>
      <c r="G124" s="16">
        <f>IF(F124="","",IFERROR(INDEX(Stammdaten!$B$5:$B$24,MATCH(F124,Stammdaten!$A$5:$A$24,0)),"unbekannt"))</f>
        <v/>
      </c>
      <c r="H124" s="16">
        <f>IF($B124="","",IF(AY124&lt;&gt;"","abgeschlossen",IF(AND(ISNUMBER(AX124),AX124&gt;=TODAY()),"zurückgestellt",IF(OR(AND(ISNUMBER(AA124),AA124&lt;TODAY(),Z124="",AJ124=""),AND(ISNUMBER(Z124),Z124&lt;TODAY(),AJ124=""),AND(ISNUMBER(AB124),AB124&lt;TODAY(),AK124=""),AND(ISNUMBER(AC124),AC124&lt;TODAY(),AO124=""),AND(ISNUMBER(AD124),AD124&lt;TODAY(),AQ124="")),"überfällig","offen"))))</f>
        <v/>
      </c>
      <c r="I124" s="16">
        <f>IF($B124="","",IF(AY124&lt;&gt;"","—",IF(AND(ISNUMBER(AA124),AA124&lt;TODAY(),Z124="",AJ124=""),"Abnahmetermin vereinbaren – Sollfrist verstrichen",IF(AND(ISNUMBER(Z124),Z124&lt;TODAY(),AJ124=""),"Wohnungsabnahme nachtragen – Termin war fällig",IF(AND(ISNUMBER(AB124),AB124&lt;TODAY(),AK124=""),"Handwerker aufbieten – Frist verstrichen",IF(AND(ISNUMBER(AC124),AC124&lt;TODAY(),AO124=""),"Vertrag retour mahnen – Frist verstrichen",IF(AND(ISNUMBER(AD124),AD124&lt;TODAY(),AQ124=""),"Schlüsselübergabe nachtragen – Termin war fällig",IF(M124="","Haftungsdatum erfassen",IF(E124="","ex-Mieter erfassen",IF(AE124="","Kündigung bestätigen / G-Rem",IF(AF124="","Werke / EGT melden",IF(AG124="","Vorbesichtigung (oder n.e.)",IF(AH124="","VMZ aktualisieren",IF(AI124="","Inserat aufschalten",IF(AND(Z124="",AJ124=""),"Abnahmetermin vereinbaren",IF(AJ124="","Wohnungsabnahme durchführen",IF(AK124="","Handwerker aufbieten",IF(AL124="","Zustimmungserklärung einholen",IF(AM124="","Instandstellungen beauftragen",IF(R124="","Nachmieter erfassen",IF(AN124="","Vertrag versenden",IF(AO124="","Vertrag retour erfassen",IF(S124="","Vermietet per erfassen",IF(AP124="","Werke / EGT über Einzug informieren",IF(AND(AD124="",AQ124=""),"Schlüsselübergabe terminieren",IF(AQ124="","Schlüsselübergabe durchführen",IF(AR124="","Reinigung veranlassen",IF(AS124="","Namensschilder bestellen",IF(AT124="","Kaution prüfen / G-Rem mutieren",IF(AU124="","Instandstellungs-Rechnung erfassen",IF(AV124="","Schlussabrechnung erstellen",IF(AW124="","Zahlungseingang kontrollieren","Fall abschliessen"))))))))))))))))))))))))))))))))</f>
        <v/>
      </c>
      <c r="J124" s="17">
        <f>IF(M124="","",IF(S124&lt;&gt;"",MAX(0,S124-M124-1),MAX(0,TODAY()-M124)))</f>
        <v/>
      </c>
      <c r="K124" s="16">
        <f>IF($B124="","",TRIM(IF(AND(L124&lt;&gt;"",M124&lt;&gt;"",M124&lt;L124),"Haftungsdatum vor Kündigung. ","")&amp;IF(AND(S124&lt;&gt;"",M124&lt;&gt;"",S124&lt;M124),"Vermietung vor Leerstandsbeginn. ","")&amp;IF(AND(Z124&lt;&gt;"",L124&lt;&gt;"",Z124&lt;L124),"WA-Termin vor Kündigung. ","")&amp;IF(COUNTIFS($B$5:$B$404,$B124,$AY$5:$AY$404,"")&gt;1,"Zweiter offener Fall zum selben Objekt. ","")&amp;IF(AND($A124&lt;&gt;"",COUNTIFS($A$5:$A$404,$A124)&gt;1),"Fall-Nr. doppelt vergeben. ","")&amp;IF(E124="","ex-Mieter fehlt. ","")&amp;IF(M124="","Haftungsdatum fehlt. ","")&amp;IF(F124="","Bewirtschafter fehlt. ","")&amp;IF(AND(AY124&lt;&gt;"",AW124=""),"Abgeschlossen trotz offener Schlussabrechnung. ","")&amp;IF(AND(AY124="",S124="",ISNUMBER(J124),J124&gt;60),"Langläufer über 60 Tage. ","")))</f>
        <v/>
      </c>
      <c r="L124" s="18" t="n"/>
      <c r="M124" s="18" t="n"/>
      <c r="N124" s="19">
        <f>IF(M124="","",M124+1)</f>
        <v/>
      </c>
      <c r="O124" s="17">
        <f>IF(OR(L124="",M124=""),"",M124-L124)</f>
        <v/>
      </c>
      <c r="P124" s="16">
        <f>IF(M124="","",YEAR(M124+1)&amp;"-"&amp;TEXT(MONTH(M124+1),"00"))</f>
        <v/>
      </c>
      <c r="Q124" s="18" t="n"/>
      <c r="R124" s="15" t="n"/>
      <c r="S124" s="18" t="n"/>
      <c r="T124" s="16">
        <f>IF(U124="","",IF(LEFT(U124,1)="6","abgeschlossen",IF(OR(LEFT(U124,1)="1",LEFT(U124,1)="2"),"Kündigung &amp; Abnahme",IF(OR(LEFT(U124,1)="3",LEFT(U124,1)="4"),"Wiedervermietung","Schlussabrechnung"))))</f>
        <v/>
      </c>
      <c r="U124" s="16">
        <f>IF($B124="","",IF(AY124&lt;&gt;"","6 · abgeschlossen",IF(AW124&lt;&gt;"","5 · bereit zum Abschluss",IF(AT124&lt;&gt;"","5 · Schlussabrechnung",IF(AO124&lt;&gt;"","4 · Übergabe",IF(AM124&lt;&gt;"","3 · Neuvermietung",IF(M124&lt;&gt;"","2 · Abnahme &amp; Vermarktung","1 · Erfassung")))))))</f>
        <v/>
      </c>
      <c r="V124" s="15" t="n"/>
      <c r="W124" s="20" t="n"/>
      <c r="X124" s="15" t="n"/>
      <c r="Y124" s="15" t="n"/>
      <c r="Z124" s="18" t="n"/>
      <c r="AA124" s="19">
        <f>IF(M124="","",M124-30)</f>
        <v/>
      </c>
      <c r="AB124" s="19">
        <f>IF(ISNUMBER(AJ124),AJ124+3,"")</f>
        <v/>
      </c>
      <c r="AC124" s="18" t="n"/>
      <c r="AD124" s="18" t="n"/>
      <c r="AE124" s="18" t="n"/>
      <c r="AF124" s="18" t="n"/>
      <c r="AG124" s="18" t="n"/>
      <c r="AH124" s="18" t="n"/>
      <c r="AI124" s="18" t="n"/>
      <c r="AJ124" s="18" t="n"/>
      <c r="AK124" s="18" t="n"/>
      <c r="AL124" s="18" t="n"/>
      <c r="AM124" s="18" t="n"/>
      <c r="AN124" s="18" t="n"/>
      <c r="AO124" s="18" t="n"/>
      <c r="AP124" s="18" t="n"/>
      <c r="AQ124" s="18" t="n"/>
      <c r="AR124" s="18" t="n"/>
      <c r="AS124" s="18" t="n"/>
      <c r="AT124" s="18" t="n"/>
      <c r="AU124" s="18" t="n"/>
      <c r="AV124" s="18" t="n"/>
      <c r="AW124" s="18" t="n"/>
      <c r="AX124" s="18" t="n"/>
      <c r="AY124" s="18" t="n"/>
      <c r="AZ124" s="15" t="n"/>
    </row>
    <row r="125">
      <c r="A125" s="15" t="n"/>
      <c r="B125" s="15" t="n"/>
      <c r="C125" s="15" t="n"/>
      <c r="D125" s="15" t="n"/>
      <c r="E125" s="15" t="n"/>
      <c r="F125" s="15" t="n"/>
      <c r="G125" s="16">
        <f>IF(F125="","",IFERROR(INDEX(Stammdaten!$B$5:$B$24,MATCH(F125,Stammdaten!$A$5:$A$24,0)),"unbekannt"))</f>
        <v/>
      </c>
      <c r="H125" s="16">
        <f>IF($B125="","",IF(AY125&lt;&gt;"","abgeschlossen",IF(AND(ISNUMBER(AX125),AX125&gt;=TODAY()),"zurückgestellt",IF(OR(AND(ISNUMBER(AA125),AA125&lt;TODAY(),Z125="",AJ125=""),AND(ISNUMBER(Z125),Z125&lt;TODAY(),AJ125=""),AND(ISNUMBER(AB125),AB125&lt;TODAY(),AK125=""),AND(ISNUMBER(AC125),AC125&lt;TODAY(),AO125=""),AND(ISNUMBER(AD125),AD125&lt;TODAY(),AQ125="")),"überfällig","offen"))))</f>
        <v/>
      </c>
      <c r="I125" s="16">
        <f>IF($B125="","",IF(AY125&lt;&gt;"","—",IF(AND(ISNUMBER(AA125),AA125&lt;TODAY(),Z125="",AJ125=""),"Abnahmetermin vereinbaren – Sollfrist verstrichen",IF(AND(ISNUMBER(Z125),Z125&lt;TODAY(),AJ125=""),"Wohnungsabnahme nachtragen – Termin war fällig",IF(AND(ISNUMBER(AB125),AB125&lt;TODAY(),AK125=""),"Handwerker aufbieten – Frist verstrichen",IF(AND(ISNUMBER(AC125),AC125&lt;TODAY(),AO125=""),"Vertrag retour mahnen – Frist verstrichen",IF(AND(ISNUMBER(AD125),AD125&lt;TODAY(),AQ125=""),"Schlüsselübergabe nachtragen – Termin war fällig",IF(M125="","Haftungsdatum erfassen",IF(E125="","ex-Mieter erfassen",IF(AE125="","Kündigung bestätigen / G-Rem",IF(AF125="","Werke / EGT melden",IF(AG125="","Vorbesichtigung (oder n.e.)",IF(AH125="","VMZ aktualisieren",IF(AI125="","Inserat aufschalten",IF(AND(Z125="",AJ125=""),"Abnahmetermin vereinbaren",IF(AJ125="","Wohnungsabnahme durchführen",IF(AK125="","Handwerker aufbieten",IF(AL125="","Zustimmungserklärung einholen",IF(AM125="","Instandstellungen beauftragen",IF(R125="","Nachmieter erfassen",IF(AN125="","Vertrag versenden",IF(AO125="","Vertrag retour erfassen",IF(S125="","Vermietet per erfassen",IF(AP125="","Werke / EGT über Einzug informieren",IF(AND(AD125="",AQ125=""),"Schlüsselübergabe terminieren",IF(AQ125="","Schlüsselübergabe durchführen",IF(AR125="","Reinigung veranlassen",IF(AS125="","Namensschilder bestellen",IF(AT125="","Kaution prüfen / G-Rem mutieren",IF(AU125="","Instandstellungs-Rechnung erfassen",IF(AV125="","Schlussabrechnung erstellen",IF(AW125="","Zahlungseingang kontrollieren","Fall abschliessen"))))))))))))))))))))))))))))))))</f>
        <v/>
      </c>
      <c r="J125" s="17">
        <f>IF(M125="","",IF(S125&lt;&gt;"",MAX(0,S125-M125-1),MAX(0,TODAY()-M125)))</f>
        <v/>
      </c>
      <c r="K125" s="16">
        <f>IF($B125="","",TRIM(IF(AND(L125&lt;&gt;"",M125&lt;&gt;"",M125&lt;L125),"Haftungsdatum vor Kündigung. ","")&amp;IF(AND(S125&lt;&gt;"",M125&lt;&gt;"",S125&lt;M125),"Vermietung vor Leerstandsbeginn. ","")&amp;IF(AND(Z125&lt;&gt;"",L125&lt;&gt;"",Z125&lt;L125),"WA-Termin vor Kündigung. ","")&amp;IF(COUNTIFS($B$5:$B$404,$B125,$AY$5:$AY$404,"")&gt;1,"Zweiter offener Fall zum selben Objekt. ","")&amp;IF(AND($A125&lt;&gt;"",COUNTIFS($A$5:$A$404,$A125)&gt;1),"Fall-Nr. doppelt vergeben. ","")&amp;IF(E125="","ex-Mieter fehlt. ","")&amp;IF(M125="","Haftungsdatum fehlt. ","")&amp;IF(F125="","Bewirtschafter fehlt. ","")&amp;IF(AND(AY125&lt;&gt;"",AW125=""),"Abgeschlossen trotz offener Schlussabrechnung. ","")&amp;IF(AND(AY125="",S125="",ISNUMBER(J125),J125&gt;60),"Langläufer über 60 Tage. ","")))</f>
        <v/>
      </c>
      <c r="L125" s="18" t="n"/>
      <c r="M125" s="18" t="n"/>
      <c r="N125" s="19">
        <f>IF(M125="","",M125+1)</f>
        <v/>
      </c>
      <c r="O125" s="17">
        <f>IF(OR(L125="",M125=""),"",M125-L125)</f>
        <v/>
      </c>
      <c r="P125" s="16">
        <f>IF(M125="","",YEAR(M125+1)&amp;"-"&amp;TEXT(MONTH(M125+1),"00"))</f>
        <v/>
      </c>
      <c r="Q125" s="18" t="n"/>
      <c r="R125" s="15" t="n"/>
      <c r="S125" s="18" t="n"/>
      <c r="T125" s="16">
        <f>IF(U125="","",IF(LEFT(U125,1)="6","abgeschlossen",IF(OR(LEFT(U125,1)="1",LEFT(U125,1)="2"),"Kündigung &amp; Abnahme",IF(OR(LEFT(U125,1)="3",LEFT(U125,1)="4"),"Wiedervermietung","Schlussabrechnung"))))</f>
        <v/>
      </c>
      <c r="U125" s="16">
        <f>IF($B125="","",IF(AY125&lt;&gt;"","6 · abgeschlossen",IF(AW125&lt;&gt;"","5 · bereit zum Abschluss",IF(AT125&lt;&gt;"","5 · Schlussabrechnung",IF(AO125&lt;&gt;"","4 · Übergabe",IF(AM125&lt;&gt;"","3 · Neuvermietung",IF(M125&lt;&gt;"","2 · Abnahme &amp; Vermarktung","1 · Erfassung")))))))</f>
        <v/>
      </c>
      <c r="V125" s="15" t="n"/>
      <c r="W125" s="20" t="n"/>
      <c r="X125" s="15" t="n"/>
      <c r="Y125" s="15" t="n"/>
      <c r="Z125" s="18" t="n"/>
      <c r="AA125" s="19">
        <f>IF(M125="","",M125-30)</f>
        <v/>
      </c>
      <c r="AB125" s="19">
        <f>IF(ISNUMBER(AJ125),AJ125+3,"")</f>
        <v/>
      </c>
      <c r="AC125" s="18" t="n"/>
      <c r="AD125" s="18" t="n"/>
      <c r="AE125" s="18" t="n"/>
      <c r="AF125" s="18" t="n"/>
      <c r="AG125" s="18" t="n"/>
      <c r="AH125" s="18" t="n"/>
      <c r="AI125" s="18" t="n"/>
      <c r="AJ125" s="18" t="n"/>
      <c r="AK125" s="18" t="n"/>
      <c r="AL125" s="18" t="n"/>
      <c r="AM125" s="18" t="n"/>
      <c r="AN125" s="18" t="n"/>
      <c r="AO125" s="18" t="n"/>
      <c r="AP125" s="18" t="n"/>
      <c r="AQ125" s="18" t="n"/>
      <c r="AR125" s="18" t="n"/>
      <c r="AS125" s="18" t="n"/>
      <c r="AT125" s="18" t="n"/>
      <c r="AU125" s="18" t="n"/>
      <c r="AV125" s="18" t="n"/>
      <c r="AW125" s="18" t="n"/>
      <c r="AX125" s="18" t="n"/>
      <c r="AY125" s="18" t="n"/>
      <c r="AZ125" s="15" t="n"/>
    </row>
    <row r="126">
      <c r="A126" s="15" t="n"/>
      <c r="B126" s="15" t="n"/>
      <c r="C126" s="15" t="n"/>
      <c r="D126" s="15" t="n"/>
      <c r="E126" s="15" t="n"/>
      <c r="F126" s="15" t="n"/>
      <c r="G126" s="16">
        <f>IF(F126="","",IFERROR(INDEX(Stammdaten!$B$5:$B$24,MATCH(F126,Stammdaten!$A$5:$A$24,0)),"unbekannt"))</f>
        <v/>
      </c>
      <c r="H126" s="16">
        <f>IF($B126="","",IF(AY126&lt;&gt;"","abgeschlossen",IF(AND(ISNUMBER(AX126),AX126&gt;=TODAY()),"zurückgestellt",IF(OR(AND(ISNUMBER(AA126),AA126&lt;TODAY(),Z126="",AJ126=""),AND(ISNUMBER(Z126),Z126&lt;TODAY(),AJ126=""),AND(ISNUMBER(AB126),AB126&lt;TODAY(),AK126=""),AND(ISNUMBER(AC126),AC126&lt;TODAY(),AO126=""),AND(ISNUMBER(AD126),AD126&lt;TODAY(),AQ126="")),"überfällig","offen"))))</f>
        <v/>
      </c>
      <c r="I126" s="16">
        <f>IF($B126="","",IF(AY126&lt;&gt;"","—",IF(AND(ISNUMBER(AA126),AA126&lt;TODAY(),Z126="",AJ126=""),"Abnahmetermin vereinbaren – Sollfrist verstrichen",IF(AND(ISNUMBER(Z126),Z126&lt;TODAY(),AJ126=""),"Wohnungsabnahme nachtragen – Termin war fällig",IF(AND(ISNUMBER(AB126),AB126&lt;TODAY(),AK126=""),"Handwerker aufbieten – Frist verstrichen",IF(AND(ISNUMBER(AC126),AC126&lt;TODAY(),AO126=""),"Vertrag retour mahnen – Frist verstrichen",IF(AND(ISNUMBER(AD126),AD126&lt;TODAY(),AQ126=""),"Schlüsselübergabe nachtragen – Termin war fällig",IF(M126="","Haftungsdatum erfassen",IF(E126="","ex-Mieter erfassen",IF(AE126="","Kündigung bestätigen / G-Rem",IF(AF126="","Werke / EGT melden",IF(AG126="","Vorbesichtigung (oder n.e.)",IF(AH126="","VMZ aktualisieren",IF(AI126="","Inserat aufschalten",IF(AND(Z126="",AJ126=""),"Abnahmetermin vereinbaren",IF(AJ126="","Wohnungsabnahme durchführen",IF(AK126="","Handwerker aufbieten",IF(AL126="","Zustimmungserklärung einholen",IF(AM126="","Instandstellungen beauftragen",IF(R126="","Nachmieter erfassen",IF(AN126="","Vertrag versenden",IF(AO126="","Vertrag retour erfassen",IF(S126="","Vermietet per erfassen",IF(AP126="","Werke / EGT über Einzug informieren",IF(AND(AD126="",AQ126=""),"Schlüsselübergabe terminieren",IF(AQ126="","Schlüsselübergabe durchführen",IF(AR126="","Reinigung veranlassen",IF(AS126="","Namensschilder bestellen",IF(AT126="","Kaution prüfen / G-Rem mutieren",IF(AU126="","Instandstellungs-Rechnung erfassen",IF(AV126="","Schlussabrechnung erstellen",IF(AW126="","Zahlungseingang kontrollieren","Fall abschliessen"))))))))))))))))))))))))))))))))</f>
        <v/>
      </c>
      <c r="J126" s="17">
        <f>IF(M126="","",IF(S126&lt;&gt;"",MAX(0,S126-M126-1),MAX(0,TODAY()-M126)))</f>
        <v/>
      </c>
      <c r="K126" s="16">
        <f>IF($B126="","",TRIM(IF(AND(L126&lt;&gt;"",M126&lt;&gt;"",M126&lt;L126),"Haftungsdatum vor Kündigung. ","")&amp;IF(AND(S126&lt;&gt;"",M126&lt;&gt;"",S126&lt;M126),"Vermietung vor Leerstandsbeginn. ","")&amp;IF(AND(Z126&lt;&gt;"",L126&lt;&gt;"",Z126&lt;L126),"WA-Termin vor Kündigung. ","")&amp;IF(COUNTIFS($B$5:$B$404,$B126,$AY$5:$AY$404,"")&gt;1,"Zweiter offener Fall zum selben Objekt. ","")&amp;IF(AND($A126&lt;&gt;"",COUNTIFS($A$5:$A$404,$A126)&gt;1),"Fall-Nr. doppelt vergeben. ","")&amp;IF(E126="","ex-Mieter fehlt. ","")&amp;IF(M126="","Haftungsdatum fehlt. ","")&amp;IF(F126="","Bewirtschafter fehlt. ","")&amp;IF(AND(AY126&lt;&gt;"",AW126=""),"Abgeschlossen trotz offener Schlussabrechnung. ","")&amp;IF(AND(AY126="",S126="",ISNUMBER(J126),J126&gt;60),"Langläufer über 60 Tage. ","")))</f>
        <v/>
      </c>
      <c r="L126" s="18" t="n"/>
      <c r="M126" s="18" t="n"/>
      <c r="N126" s="19">
        <f>IF(M126="","",M126+1)</f>
        <v/>
      </c>
      <c r="O126" s="17">
        <f>IF(OR(L126="",M126=""),"",M126-L126)</f>
        <v/>
      </c>
      <c r="P126" s="16">
        <f>IF(M126="","",YEAR(M126+1)&amp;"-"&amp;TEXT(MONTH(M126+1),"00"))</f>
        <v/>
      </c>
      <c r="Q126" s="18" t="n"/>
      <c r="R126" s="15" t="n"/>
      <c r="S126" s="18" t="n"/>
      <c r="T126" s="16">
        <f>IF(U126="","",IF(LEFT(U126,1)="6","abgeschlossen",IF(OR(LEFT(U126,1)="1",LEFT(U126,1)="2"),"Kündigung &amp; Abnahme",IF(OR(LEFT(U126,1)="3",LEFT(U126,1)="4"),"Wiedervermietung","Schlussabrechnung"))))</f>
        <v/>
      </c>
      <c r="U126" s="16">
        <f>IF($B126="","",IF(AY126&lt;&gt;"","6 · abgeschlossen",IF(AW126&lt;&gt;"","5 · bereit zum Abschluss",IF(AT126&lt;&gt;"","5 · Schlussabrechnung",IF(AO126&lt;&gt;"","4 · Übergabe",IF(AM126&lt;&gt;"","3 · Neuvermietung",IF(M126&lt;&gt;"","2 · Abnahme &amp; Vermarktung","1 · Erfassung")))))))</f>
        <v/>
      </c>
      <c r="V126" s="15" t="n"/>
      <c r="W126" s="20" t="n"/>
      <c r="X126" s="15" t="n"/>
      <c r="Y126" s="15" t="n"/>
      <c r="Z126" s="18" t="n"/>
      <c r="AA126" s="19">
        <f>IF(M126="","",M126-30)</f>
        <v/>
      </c>
      <c r="AB126" s="19">
        <f>IF(ISNUMBER(AJ126),AJ126+3,"")</f>
        <v/>
      </c>
      <c r="AC126" s="18" t="n"/>
      <c r="AD126" s="18" t="n"/>
      <c r="AE126" s="18" t="n"/>
      <c r="AF126" s="18" t="n"/>
      <c r="AG126" s="18" t="n"/>
      <c r="AH126" s="18" t="n"/>
      <c r="AI126" s="18" t="n"/>
      <c r="AJ126" s="18" t="n"/>
      <c r="AK126" s="18" t="n"/>
      <c r="AL126" s="18" t="n"/>
      <c r="AM126" s="18" t="n"/>
      <c r="AN126" s="18" t="n"/>
      <c r="AO126" s="18" t="n"/>
      <c r="AP126" s="18" t="n"/>
      <c r="AQ126" s="18" t="n"/>
      <c r="AR126" s="18" t="n"/>
      <c r="AS126" s="18" t="n"/>
      <c r="AT126" s="18" t="n"/>
      <c r="AU126" s="18" t="n"/>
      <c r="AV126" s="18" t="n"/>
      <c r="AW126" s="18" t="n"/>
      <c r="AX126" s="18" t="n"/>
      <c r="AY126" s="18" t="n"/>
      <c r="AZ126" s="15" t="n"/>
    </row>
    <row r="127">
      <c r="A127" s="15" t="n"/>
      <c r="B127" s="15" t="n"/>
      <c r="C127" s="15" t="n"/>
      <c r="D127" s="15" t="n"/>
      <c r="E127" s="15" t="n"/>
      <c r="F127" s="15" t="n"/>
      <c r="G127" s="16">
        <f>IF(F127="","",IFERROR(INDEX(Stammdaten!$B$5:$B$24,MATCH(F127,Stammdaten!$A$5:$A$24,0)),"unbekannt"))</f>
        <v/>
      </c>
      <c r="H127" s="16">
        <f>IF($B127="","",IF(AY127&lt;&gt;"","abgeschlossen",IF(AND(ISNUMBER(AX127),AX127&gt;=TODAY()),"zurückgestellt",IF(OR(AND(ISNUMBER(AA127),AA127&lt;TODAY(),Z127="",AJ127=""),AND(ISNUMBER(Z127),Z127&lt;TODAY(),AJ127=""),AND(ISNUMBER(AB127),AB127&lt;TODAY(),AK127=""),AND(ISNUMBER(AC127),AC127&lt;TODAY(),AO127=""),AND(ISNUMBER(AD127),AD127&lt;TODAY(),AQ127="")),"überfällig","offen"))))</f>
        <v/>
      </c>
      <c r="I127" s="16">
        <f>IF($B127="","",IF(AY127&lt;&gt;"","—",IF(AND(ISNUMBER(AA127),AA127&lt;TODAY(),Z127="",AJ127=""),"Abnahmetermin vereinbaren – Sollfrist verstrichen",IF(AND(ISNUMBER(Z127),Z127&lt;TODAY(),AJ127=""),"Wohnungsabnahme nachtragen – Termin war fällig",IF(AND(ISNUMBER(AB127),AB127&lt;TODAY(),AK127=""),"Handwerker aufbieten – Frist verstrichen",IF(AND(ISNUMBER(AC127),AC127&lt;TODAY(),AO127=""),"Vertrag retour mahnen – Frist verstrichen",IF(AND(ISNUMBER(AD127),AD127&lt;TODAY(),AQ127=""),"Schlüsselübergabe nachtragen – Termin war fällig",IF(M127="","Haftungsdatum erfassen",IF(E127="","ex-Mieter erfassen",IF(AE127="","Kündigung bestätigen / G-Rem",IF(AF127="","Werke / EGT melden",IF(AG127="","Vorbesichtigung (oder n.e.)",IF(AH127="","VMZ aktualisieren",IF(AI127="","Inserat aufschalten",IF(AND(Z127="",AJ127=""),"Abnahmetermin vereinbaren",IF(AJ127="","Wohnungsabnahme durchführen",IF(AK127="","Handwerker aufbieten",IF(AL127="","Zustimmungserklärung einholen",IF(AM127="","Instandstellungen beauftragen",IF(R127="","Nachmieter erfassen",IF(AN127="","Vertrag versenden",IF(AO127="","Vertrag retour erfassen",IF(S127="","Vermietet per erfassen",IF(AP127="","Werke / EGT über Einzug informieren",IF(AND(AD127="",AQ127=""),"Schlüsselübergabe terminieren",IF(AQ127="","Schlüsselübergabe durchführen",IF(AR127="","Reinigung veranlassen",IF(AS127="","Namensschilder bestellen",IF(AT127="","Kaution prüfen / G-Rem mutieren",IF(AU127="","Instandstellungs-Rechnung erfassen",IF(AV127="","Schlussabrechnung erstellen",IF(AW127="","Zahlungseingang kontrollieren","Fall abschliessen"))))))))))))))))))))))))))))))))</f>
        <v/>
      </c>
      <c r="J127" s="17">
        <f>IF(M127="","",IF(S127&lt;&gt;"",MAX(0,S127-M127-1),MAX(0,TODAY()-M127)))</f>
        <v/>
      </c>
      <c r="K127" s="16">
        <f>IF($B127="","",TRIM(IF(AND(L127&lt;&gt;"",M127&lt;&gt;"",M127&lt;L127),"Haftungsdatum vor Kündigung. ","")&amp;IF(AND(S127&lt;&gt;"",M127&lt;&gt;"",S127&lt;M127),"Vermietung vor Leerstandsbeginn. ","")&amp;IF(AND(Z127&lt;&gt;"",L127&lt;&gt;"",Z127&lt;L127),"WA-Termin vor Kündigung. ","")&amp;IF(COUNTIFS($B$5:$B$404,$B127,$AY$5:$AY$404,"")&gt;1,"Zweiter offener Fall zum selben Objekt. ","")&amp;IF(AND($A127&lt;&gt;"",COUNTIFS($A$5:$A$404,$A127)&gt;1),"Fall-Nr. doppelt vergeben. ","")&amp;IF(E127="","ex-Mieter fehlt. ","")&amp;IF(M127="","Haftungsdatum fehlt. ","")&amp;IF(F127="","Bewirtschafter fehlt. ","")&amp;IF(AND(AY127&lt;&gt;"",AW127=""),"Abgeschlossen trotz offener Schlussabrechnung. ","")&amp;IF(AND(AY127="",S127="",ISNUMBER(J127),J127&gt;60),"Langläufer über 60 Tage. ","")))</f>
        <v/>
      </c>
      <c r="L127" s="18" t="n"/>
      <c r="M127" s="18" t="n"/>
      <c r="N127" s="19">
        <f>IF(M127="","",M127+1)</f>
        <v/>
      </c>
      <c r="O127" s="17">
        <f>IF(OR(L127="",M127=""),"",M127-L127)</f>
        <v/>
      </c>
      <c r="P127" s="16">
        <f>IF(M127="","",YEAR(M127+1)&amp;"-"&amp;TEXT(MONTH(M127+1),"00"))</f>
        <v/>
      </c>
      <c r="Q127" s="18" t="n"/>
      <c r="R127" s="15" t="n"/>
      <c r="S127" s="18" t="n"/>
      <c r="T127" s="16">
        <f>IF(U127="","",IF(LEFT(U127,1)="6","abgeschlossen",IF(OR(LEFT(U127,1)="1",LEFT(U127,1)="2"),"Kündigung &amp; Abnahme",IF(OR(LEFT(U127,1)="3",LEFT(U127,1)="4"),"Wiedervermietung","Schlussabrechnung"))))</f>
        <v/>
      </c>
      <c r="U127" s="16">
        <f>IF($B127="","",IF(AY127&lt;&gt;"","6 · abgeschlossen",IF(AW127&lt;&gt;"","5 · bereit zum Abschluss",IF(AT127&lt;&gt;"","5 · Schlussabrechnung",IF(AO127&lt;&gt;"","4 · Übergabe",IF(AM127&lt;&gt;"","3 · Neuvermietung",IF(M127&lt;&gt;"","2 · Abnahme &amp; Vermarktung","1 · Erfassung")))))))</f>
        <v/>
      </c>
      <c r="V127" s="15" t="n"/>
      <c r="W127" s="20" t="n"/>
      <c r="X127" s="15" t="n"/>
      <c r="Y127" s="15" t="n"/>
      <c r="Z127" s="18" t="n"/>
      <c r="AA127" s="19">
        <f>IF(M127="","",M127-30)</f>
        <v/>
      </c>
      <c r="AB127" s="19">
        <f>IF(ISNUMBER(AJ127),AJ127+3,"")</f>
        <v/>
      </c>
      <c r="AC127" s="18" t="n"/>
      <c r="AD127" s="18" t="n"/>
      <c r="AE127" s="18" t="n"/>
      <c r="AF127" s="18" t="n"/>
      <c r="AG127" s="18" t="n"/>
      <c r="AH127" s="18" t="n"/>
      <c r="AI127" s="18" t="n"/>
      <c r="AJ127" s="18" t="n"/>
      <c r="AK127" s="18" t="n"/>
      <c r="AL127" s="18" t="n"/>
      <c r="AM127" s="18" t="n"/>
      <c r="AN127" s="18" t="n"/>
      <c r="AO127" s="18" t="n"/>
      <c r="AP127" s="18" t="n"/>
      <c r="AQ127" s="18" t="n"/>
      <c r="AR127" s="18" t="n"/>
      <c r="AS127" s="18" t="n"/>
      <c r="AT127" s="18" t="n"/>
      <c r="AU127" s="18" t="n"/>
      <c r="AV127" s="18" t="n"/>
      <c r="AW127" s="18" t="n"/>
      <c r="AX127" s="18" t="n"/>
      <c r="AY127" s="18" t="n"/>
      <c r="AZ127" s="15" t="n"/>
    </row>
    <row r="128">
      <c r="A128" s="15" t="n"/>
      <c r="B128" s="15" t="n"/>
      <c r="C128" s="15" t="n"/>
      <c r="D128" s="15" t="n"/>
      <c r="E128" s="15" t="n"/>
      <c r="F128" s="15" t="n"/>
      <c r="G128" s="16">
        <f>IF(F128="","",IFERROR(INDEX(Stammdaten!$B$5:$B$24,MATCH(F128,Stammdaten!$A$5:$A$24,0)),"unbekannt"))</f>
        <v/>
      </c>
      <c r="H128" s="16">
        <f>IF($B128="","",IF(AY128&lt;&gt;"","abgeschlossen",IF(AND(ISNUMBER(AX128),AX128&gt;=TODAY()),"zurückgestellt",IF(OR(AND(ISNUMBER(AA128),AA128&lt;TODAY(),Z128="",AJ128=""),AND(ISNUMBER(Z128),Z128&lt;TODAY(),AJ128=""),AND(ISNUMBER(AB128),AB128&lt;TODAY(),AK128=""),AND(ISNUMBER(AC128),AC128&lt;TODAY(),AO128=""),AND(ISNUMBER(AD128),AD128&lt;TODAY(),AQ128="")),"überfällig","offen"))))</f>
        <v/>
      </c>
      <c r="I128" s="16">
        <f>IF($B128="","",IF(AY128&lt;&gt;"","—",IF(AND(ISNUMBER(AA128),AA128&lt;TODAY(),Z128="",AJ128=""),"Abnahmetermin vereinbaren – Sollfrist verstrichen",IF(AND(ISNUMBER(Z128),Z128&lt;TODAY(),AJ128=""),"Wohnungsabnahme nachtragen – Termin war fällig",IF(AND(ISNUMBER(AB128),AB128&lt;TODAY(),AK128=""),"Handwerker aufbieten – Frist verstrichen",IF(AND(ISNUMBER(AC128),AC128&lt;TODAY(),AO128=""),"Vertrag retour mahnen – Frist verstrichen",IF(AND(ISNUMBER(AD128),AD128&lt;TODAY(),AQ128=""),"Schlüsselübergabe nachtragen – Termin war fällig",IF(M128="","Haftungsdatum erfassen",IF(E128="","ex-Mieter erfassen",IF(AE128="","Kündigung bestätigen / G-Rem",IF(AF128="","Werke / EGT melden",IF(AG128="","Vorbesichtigung (oder n.e.)",IF(AH128="","VMZ aktualisieren",IF(AI128="","Inserat aufschalten",IF(AND(Z128="",AJ128=""),"Abnahmetermin vereinbaren",IF(AJ128="","Wohnungsabnahme durchführen",IF(AK128="","Handwerker aufbieten",IF(AL128="","Zustimmungserklärung einholen",IF(AM128="","Instandstellungen beauftragen",IF(R128="","Nachmieter erfassen",IF(AN128="","Vertrag versenden",IF(AO128="","Vertrag retour erfassen",IF(S128="","Vermietet per erfassen",IF(AP128="","Werke / EGT über Einzug informieren",IF(AND(AD128="",AQ128=""),"Schlüsselübergabe terminieren",IF(AQ128="","Schlüsselübergabe durchführen",IF(AR128="","Reinigung veranlassen",IF(AS128="","Namensschilder bestellen",IF(AT128="","Kaution prüfen / G-Rem mutieren",IF(AU128="","Instandstellungs-Rechnung erfassen",IF(AV128="","Schlussabrechnung erstellen",IF(AW128="","Zahlungseingang kontrollieren","Fall abschliessen"))))))))))))))))))))))))))))))))</f>
        <v/>
      </c>
      <c r="J128" s="17">
        <f>IF(M128="","",IF(S128&lt;&gt;"",MAX(0,S128-M128-1),MAX(0,TODAY()-M128)))</f>
        <v/>
      </c>
      <c r="K128" s="16">
        <f>IF($B128="","",TRIM(IF(AND(L128&lt;&gt;"",M128&lt;&gt;"",M128&lt;L128),"Haftungsdatum vor Kündigung. ","")&amp;IF(AND(S128&lt;&gt;"",M128&lt;&gt;"",S128&lt;M128),"Vermietung vor Leerstandsbeginn. ","")&amp;IF(AND(Z128&lt;&gt;"",L128&lt;&gt;"",Z128&lt;L128),"WA-Termin vor Kündigung. ","")&amp;IF(COUNTIFS($B$5:$B$404,$B128,$AY$5:$AY$404,"")&gt;1,"Zweiter offener Fall zum selben Objekt. ","")&amp;IF(AND($A128&lt;&gt;"",COUNTIFS($A$5:$A$404,$A128)&gt;1),"Fall-Nr. doppelt vergeben. ","")&amp;IF(E128="","ex-Mieter fehlt. ","")&amp;IF(M128="","Haftungsdatum fehlt. ","")&amp;IF(F128="","Bewirtschafter fehlt. ","")&amp;IF(AND(AY128&lt;&gt;"",AW128=""),"Abgeschlossen trotz offener Schlussabrechnung. ","")&amp;IF(AND(AY128="",S128="",ISNUMBER(J128),J128&gt;60),"Langläufer über 60 Tage. ","")))</f>
        <v/>
      </c>
      <c r="L128" s="18" t="n"/>
      <c r="M128" s="18" t="n"/>
      <c r="N128" s="19">
        <f>IF(M128="","",M128+1)</f>
        <v/>
      </c>
      <c r="O128" s="17">
        <f>IF(OR(L128="",M128=""),"",M128-L128)</f>
        <v/>
      </c>
      <c r="P128" s="16">
        <f>IF(M128="","",YEAR(M128+1)&amp;"-"&amp;TEXT(MONTH(M128+1),"00"))</f>
        <v/>
      </c>
      <c r="Q128" s="18" t="n"/>
      <c r="R128" s="15" t="n"/>
      <c r="S128" s="18" t="n"/>
      <c r="T128" s="16">
        <f>IF(U128="","",IF(LEFT(U128,1)="6","abgeschlossen",IF(OR(LEFT(U128,1)="1",LEFT(U128,1)="2"),"Kündigung &amp; Abnahme",IF(OR(LEFT(U128,1)="3",LEFT(U128,1)="4"),"Wiedervermietung","Schlussabrechnung"))))</f>
        <v/>
      </c>
      <c r="U128" s="16">
        <f>IF($B128="","",IF(AY128&lt;&gt;"","6 · abgeschlossen",IF(AW128&lt;&gt;"","5 · bereit zum Abschluss",IF(AT128&lt;&gt;"","5 · Schlussabrechnung",IF(AO128&lt;&gt;"","4 · Übergabe",IF(AM128&lt;&gt;"","3 · Neuvermietung",IF(M128&lt;&gt;"","2 · Abnahme &amp; Vermarktung","1 · Erfassung")))))))</f>
        <v/>
      </c>
      <c r="V128" s="15" t="n"/>
      <c r="W128" s="20" t="n"/>
      <c r="X128" s="15" t="n"/>
      <c r="Y128" s="15" t="n"/>
      <c r="Z128" s="18" t="n"/>
      <c r="AA128" s="19">
        <f>IF(M128="","",M128-30)</f>
        <v/>
      </c>
      <c r="AB128" s="19">
        <f>IF(ISNUMBER(AJ128),AJ128+3,"")</f>
        <v/>
      </c>
      <c r="AC128" s="18" t="n"/>
      <c r="AD128" s="18" t="n"/>
      <c r="AE128" s="18" t="n"/>
      <c r="AF128" s="18" t="n"/>
      <c r="AG128" s="18" t="n"/>
      <c r="AH128" s="18" t="n"/>
      <c r="AI128" s="18" t="n"/>
      <c r="AJ128" s="18" t="n"/>
      <c r="AK128" s="18" t="n"/>
      <c r="AL128" s="18" t="n"/>
      <c r="AM128" s="18" t="n"/>
      <c r="AN128" s="18" t="n"/>
      <c r="AO128" s="18" t="n"/>
      <c r="AP128" s="18" t="n"/>
      <c r="AQ128" s="18" t="n"/>
      <c r="AR128" s="18" t="n"/>
      <c r="AS128" s="18" t="n"/>
      <c r="AT128" s="18" t="n"/>
      <c r="AU128" s="18" t="n"/>
      <c r="AV128" s="18" t="n"/>
      <c r="AW128" s="18" t="n"/>
      <c r="AX128" s="18" t="n"/>
      <c r="AY128" s="18" t="n"/>
      <c r="AZ128" s="15" t="n"/>
    </row>
    <row r="129">
      <c r="A129" s="15" t="n"/>
      <c r="B129" s="15" t="n"/>
      <c r="C129" s="15" t="n"/>
      <c r="D129" s="15" t="n"/>
      <c r="E129" s="15" t="n"/>
      <c r="F129" s="15" t="n"/>
      <c r="G129" s="16">
        <f>IF(F129="","",IFERROR(INDEX(Stammdaten!$B$5:$B$24,MATCH(F129,Stammdaten!$A$5:$A$24,0)),"unbekannt"))</f>
        <v/>
      </c>
      <c r="H129" s="16">
        <f>IF($B129="","",IF(AY129&lt;&gt;"","abgeschlossen",IF(AND(ISNUMBER(AX129),AX129&gt;=TODAY()),"zurückgestellt",IF(OR(AND(ISNUMBER(AA129),AA129&lt;TODAY(),Z129="",AJ129=""),AND(ISNUMBER(Z129),Z129&lt;TODAY(),AJ129=""),AND(ISNUMBER(AB129),AB129&lt;TODAY(),AK129=""),AND(ISNUMBER(AC129),AC129&lt;TODAY(),AO129=""),AND(ISNUMBER(AD129),AD129&lt;TODAY(),AQ129="")),"überfällig","offen"))))</f>
        <v/>
      </c>
      <c r="I129" s="16">
        <f>IF($B129="","",IF(AY129&lt;&gt;"","—",IF(AND(ISNUMBER(AA129),AA129&lt;TODAY(),Z129="",AJ129=""),"Abnahmetermin vereinbaren – Sollfrist verstrichen",IF(AND(ISNUMBER(Z129),Z129&lt;TODAY(),AJ129=""),"Wohnungsabnahme nachtragen – Termin war fällig",IF(AND(ISNUMBER(AB129),AB129&lt;TODAY(),AK129=""),"Handwerker aufbieten – Frist verstrichen",IF(AND(ISNUMBER(AC129),AC129&lt;TODAY(),AO129=""),"Vertrag retour mahnen – Frist verstrichen",IF(AND(ISNUMBER(AD129),AD129&lt;TODAY(),AQ129=""),"Schlüsselübergabe nachtragen – Termin war fällig",IF(M129="","Haftungsdatum erfassen",IF(E129="","ex-Mieter erfassen",IF(AE129="","Kündigung bestätigen / G-Rem",IF(AF129="","Werke / EGT melden",IF(AG129="","Vorbesichtigung (oder n.e.)",IF(AH129="","VMZ aktualisieren",IF(AI129="","Inserat aufschalten",IF(AND(Z129="",AJ129=""),"Abnahmetermin vereinbaren",IF(AJ129="","Wohnungsabnahme durchführen",IF(AK129="","Handwerker aufbieten",IF(AL129="","Zustimmungserklärung einholen",IF(AM129="","Instandstellungen beauftragen",IF(R129="","Nachmieter erfassen",IF(AN129="","Vertrag versenden",IF(AO129="","Vertrag retour erfassen",IF(S129="","Vermietet per erfassen",IF(AP129="","Werke / EGT über Einzug informieren",IF(AND(AD129="",AQ129=""),"Schlüsselübergabe terminieren",IF(AQ129="","Schlüsselübergabe durchführen",IF(AR129="","Reinigung veranlassen",IF(AS129="","Namensschilder bestellen",IF(AT129="","Kaution prüfen / G-Rem mutieren",IF(AU129="","Instandstellungs-Rechnung erfassen",IF(AV129="","Schlussabrechnung erstellen",IF(AW129="","Zahlungseingang kontrollieren","Fall abschliessen"))))))))))))))))))))))))))))))))</f>
        <v/>
      </c>
      <c r="J129" s="17">
        <f>IF(M129="","",IF(S129&lt;&gt;"",MAX(0,S129-M129-1),MAX(0,TODAY()-M129)))</f>
        <v/>
      </c>
      <c r="K129" s="16">
        <f>IF($B129="","",TRIM(IF(AND(L129&lt;&gt;"",M129&lt;&gt;"",M129&lt;L129),"Haftungsdatum vor Kündigung. ","")&amp;IF(AND(S129&lt;&gt;"",M129&lt;&gt;"",S129&lt;M129),"Vermietung vor Leerstandsbeginn. ","")&amp;IF(AND(Z129&lt;&gt;"",L129&lt;&gt;"",Z129&lt;L129),"WA-Termin vor Kündigung. ","")&amp;IF(COUNTIFS($B$5:$B$404,$B129,$AY$5:$AY$404,"")&gt;1,"Zweiter offener Fall zum selben Objekt. ","")&amp;IF(AND($A129&lt;&gt;"",COUNTIFS($A$5:$A$404,$A129)&gt;1),"Fall-Nr. doppelt vergeben. ","")&amp;IF(E129="","ex-Mieter fehlt. ","")&amp;IF(M129="","Haftungsdatum fehlt. ","")&amp;IF(F129="","Bewirtschafter fehlt. ","")&amp;IF(AND(AY129&lt;&gt;"",AW129=""),"Abgeschlossen trotz offener Schlussabrechnung. ","")&amp;IF(AND(AY129="",S129="",ISNUMBER(J129),J129&gt;60),"Langläufer über 60 Tage. ","")))</f>
        <v/>
      </c>
      <c r="L129" s="18" t="n"/>
      <c r="M129" s="18" t="n"/>
      <c r="N129" s="19">
        <f>IF(M129="","",M129+1)</f>
        <v/>
      </c>
      <c r="O129" s="17">
        <f>IF(OR(L129="",M129=""),"",M129-L129)</f>
        <v/>
      </c>
      <c r="P129" s="16">
        <f>IF(M129="","",YEAR(M129+1)&amp;"-"&amp;TEXT(MONTH(M129+1),"00"))</f>
        <v/>
      </c>
      <c r="Q129" s="18" t="n"/>
      <c r="R129" s="15" t="n"/>
      <c r="S129" s="18" t="n"/>
      <c r="T129" s="16">
        <f>IF(U129="","",IF(LEFT(U129,1)="6","abgeschlossen",IF(OR(LEFT(U129,1)="1",LEFT(U129,1)="2"),"Kündigung &amp; Abnahme",IF(OR(LEFT(U129,1)="3",LEFT(U129,1)="4"),"Wiedervermietung","Schlussabrechnung"))))</f>
        <v/>
      </c>
      <c r="U129" s="16">
        <f>IF($B129="","",IF(AY129&lt;&gt;"","6 · abgeschlossen",IF(AW129&lt;&gt;"","5 · bereit zum Abschluss",IF(AT129&lt;&gt;"","5 · Schlussabrechnung",IF(AO129&lt;&gt;"","4 · Übergabe",IF(AM129&lt;&gt;"","3 · Neuvermietung",IF(M129&lt;&gt;"","2 · Abnahme &amp; Vermarktung","1 · Erfassung")))))))</f>
        <v/>
      </c>
      <c r="V129" s="15" t="n"/>
      <c r="W129" s="20" t="n"/>
      <c r="X129" s="15" t="n"/>
      <c r="Y129" s="15" t="n"/>
      <c r="Z129" s="18" t="n"/>
      <c r="AA129" s="19">
        <f>IF(M129="","",M129-30)</f>
        <v/>
      </c>
      <c r="AB129" s="19">
        <f>IF(ISNUMBER(AJ129),AJ129+3,"")</f>
        <v/>
      </c>
      <c r="AC129" s="18" t="n"/>
      <c r="AD129" s="18" t="n"/>
      <c r="AE129" s="18" t="n"/>
      <c r="AF129" s="18" t="n"/>
      <c r="AG129" s="18" t="n"/>
      <c r="AH129" s="18" t="n"/>
      <c r="AI129" s="18" t="n"/>
      <c r="AJ129" s="18" t="n"/>
      <c r="AK129" s="18" t="n"/>
      <c r="AL129" s="18" t="n"/>
      <c r="AM129" s="18" t="n"/>
      <c r="AN129" s="18" t="n"/>
      <c r="AO129" s="18" t="n"/>
      <c r="AP129" s="18" t="n"/>
      <c r="AQ129" s="18" t="n"/>
      <c r="AR129" s="18" t="n"/>
      <c r="AS129" s="18" t="n"/>
      <c r="AT129" s="18" t="n"/>
      <c r="AU129" s="18" t="n"/>
      <c r="AV129" s="18" t="n"/>
      <c r="AW129" s="18" t="n"/>
      <c r="AX129" s="18" t="n"/>
      <c r="AY129" s="18" t="n"/>
      <c r="AZ129" s="15" t="n"/>
    </row>
    <row r="130">
      <c r="A130" s="15" t="n"/>
      <c r="B130" s="15" t="n"/>
      <c r="C130" s="15" t="n"/>
      <c r="D130" s="15" t="n"/>
      <c r="E130" s="15" t="n"/>
      <c r="F130" s="15" t="n"/>
      <c r="G130" s="16">
        <f>IF(F130="","",IFERROR(INDEX(Stammdaten!$B$5:$B$24,MATCH(F130,Stammdaten!$A$5:$A$24,0)),"unbekannt"))</f>
        <v/>
      </c>
      <c r="H130" s="16">
        <f>IF($B130="","",IF(AY130&lt;&gt;"","abgeschlossen",IF(AND(ISNUMBER(AX130),AX130&gt;=TODAY()),"zurückgestellt",IF(OR(AND(ISNUMBER(AA130),AA130&lt;TODAY(),Z130="",AJ130=""),AND(ISNUMBER(Z130),Z130&lt;TODAY(),AJ130=""),AND(ISNUMBER(AB130),AB130&lt;TODAY(),AK130=""),AND(ISNUMBER(AC130),AC130&lt;TODAY(),AO130=""),AND(ISNUMBER(AD130),AD130&lt;TODAY(),AQ130="")),"überfällig","offen"))))</f>
        <v/>
      </c>
      <c r="I130" s="16">
        <f>IF($B130="","",IF(AY130&lt;&gt;"","—",IF(AND(ISNUMBER(AA130),AA130&lt;TODAY(),Z130="",AJ130=""),"Abnahmetermin vereinbaren – Sollfrist verstrichen",IF(AND(ISNUMBER(Z130),Z130&lt;TODAY(),AJ130=""),"Wohnungsabnahme nachtragen – Termin war fällig",IF(AND(ISNUMBER(AB130),AB130&lt;TODAY(),AK130=""),"Handwerker aufbieten – Frist verstrichen",IF(AND(ISNUMBER(AC130),AC130&lt;TODAY(),AO130=""),"Vertrag retour mahnen – Frist verstrichen",IF(AND(ISNUMBER(AD130),AD130&lt;TODAY(),AQ130=""),"Schlüsselübergabe nachtragen – Termin war fällig",IF(M130="","Haftungsdatum erfassen",IF(E130="","ex-Mieter erfassen",IF(AE130="","Kündigung bestätigen / G-Rem",IF(AF130="","Werke / EGT melden",IF(AG130="","Vorbesichtigung (oder n.e.)",IF(AH130="","VMZ aktualisieren",IF(AI130="","Inserat aufschalten",IF(AND(Z130="",AJ130=""),"Abnahmetermin vereinbaren",IF(AJ130="","Wohnungsabnahme durchführen",IF(AK130="","Handwerker aufbieten",IF(AL130="","Zustimmungserklärung einholen",IF(AM130="","Instandstellungen beauftragen",IF(R130="","Nachmieter erfassen",IF(AN130="","Vertrag versenden",IF(AO130="","Vertrag retour erfassen",IF(S130="","Vermietet per erfassen",IF(AP130="","Werke / EGT über Einzug informieren",IF(AND(AD130="",AQ130=""),"Schlüsselübergabe terminieren",IF(AQ130="","Schlüsselübergabe durchführen",IF(AR130="","Reinigung veranlassen",IF(AS130="","Namensschilder bestellen",IF(AT130="","Kaution prüfen / G-Rem mutieren",IF(AU130="","Instandstellungs-Rechnung erfassen",IF(AV130="","Schlussabrechnung erstellen",IF(AW130="","Zahlungseingang kontrollieren","Fall abschliessen"))))))))))))))))))))))))))))))))</f>
        <v/>
      </c>
      <c r="J130" s="17">
        <f>IF(M130="","",IF(S130&lt;&gt;"",MAX(0,S130-M130-1),MAX(0,TODAY()-M130)))</f>
        <v/>
      </c>
      <c r="K130" s="16">
        <f>IF($B130="","",TRIM(IF(AND(L130&lt;&gt;"",M130&lt;&gt;"",M130&lt;L130),"Haftungsdatum vor Kündigung. ","")&amp;IF(AND(S130&lt;&gt;"",M130&lt;&gt;"",S130&lt;M130),"Vermietung vor Leerstandsbeginn. ","")&amp;IF(AND(Z130&lt;&gt;"",L130&lt;&gt;"",Z130&lt;L130),"WA-Termin vor Kündigung. ","")&amp;IF(COUNTIFS($B$5:$B$404,$B130,$AY$5:$AY$404,"")&gt;1,"Zweiter offener Fall zum selben Objekt. ","")&amp;IF(AND($A130&lt;&gt;"",COUNTIFS($A$5:$A$404,$A130)&gt;1),"Fall-Nr. doppelt vergeben. ","")&amp;IF(E130="","ex-Mieter fehlt. ","")&amp;IF(M130="","Haftungsdatum fehlt. ","")&amp;IF(F130="","Bewirtschafter fehlt. ","")&amp;IF(AND(AY130&lt;&gt;"",AW130=""),"Abgeschlossen trotz offener Schlussabrechnung. ","")&amp;IF(AND(AY130="",S130="",ISNUMBER(J130),J130&gt;60),"Langläufer über 60 Tage. ","")))</f>
        <v/>
      </c>
      <c r="L130" s="18" t="n"/>
      <c r="M130" s="18" t="n"/>
      <c r="N130" s="19">
        <f>IF(M130="","",M130+1)</f>
        <v/>
      </c>
      <c r="O130" s="17">
        <f>IF(OR(L130="",M130=""),"",M130-L130)</f>
        <v/>
      </c>
      <c r="P130" s="16">
        <f>IF(M130="","",YEAR(M130+1)&amp;"-"&amp;TEXT(MONTH(M130+1),"00"))</f>
        <v/>
      </c>
      <c r="Q130" s="18" t="n"/>
      <c r="R130" s="15" t="n"/>
      <c r="S130" s="18" t="n"/>
      <c r="T130" s="16">
        <f>IF(U130="","",IF(LEFT(U130,1)="6","abgeschlossen",IF(OR(LEFT(U130,1)="1",LEFT(U130,1)="2"),"Kündigung &amp; Abnahme",IF(OR(LEFT(U130,1)="3",LEFT(U130,1)="4"),"Wiedervermietung","Schlussabrechnung"))))</f>
        <v/>
      </c>
      <c r="U130" s="16">
        <f>IF($B130="","",IF(AY130&lt;&gt;"","6 · abgeschlossen",IF(AW130&lt;&gt;"","5 · bereit zum Abschluss",IF(AT130&lt;&gt;"","5 · Schlussabrechnung",IF(AO130&lt;&gt;"","4 · Übergabe",IF(AM130&lt;&gt;"","3 · Neuvermietung",IF(M130&lt;&gt;"","2 · Abnahme &amp; Vermarktung","1 · Erfassung")))))))</f>
        <v/>
      </c>
      <c r="V130" s="15" t="n"/>
      <c r="W130" s="20" t="n"/>
      <c r="X130" s="15" t="n"/>
      <c r="Y130" s="15" t="n"/>
      <c r="Z130" s="18" t="n"/>
      <c r="AA130" s="19">
        <f>IF(M130="","",M130-30)</f>
        <v/>
      </c>
      <c r="AB130" s="19">
        <f>IF(ISNUMBER(AJ130),AJ130+3,"")</f>
        <v/>
      </c>
      <c r="AC130" s="18" t="n"/>
      <c r="AD130" s="18" t="n"/>
      <c r="AE130" s="18" t="n"/>
      <c r="AF130" s="18" t="n"/>
      <c r="AG130" s="18" t="n"/>
      <c r="AH130" s="18" t="n"/>
      <c r="AI130" s="18" t="n"/>
      <c r="AJ130" s="18" t="n"/>
      <c r="AK130" s="18" t="n"/>
      <c r="AL130" s="18" t="n"/>
      <c r="AM130" s="18" t="n"/>
      <c r="AN130" s="18" t="n"/>
      <c r="AO130" s="18" t="n"/>
      <c r="AP130" s="18" t="n"/>
      <c r="AQ130" s="18" t="n"/>
      <c r="AR130" s="18" t="n"/>
      <c r="AS130" s="18" t="n"/>
      <c r="AT130" s="18" t="n"/>
      <c r="AU130" s="18" t="n"/>
      <c r="AV130" s="18" t="n"/>
      <c r="AW130" s="18" t="n"/>
      <c r="AX130" s="18" t="n"/>
      <c r="AY130" s="18" t="n"/>
      <c r="AZ130" s="15" t="n"/>
    </row>
    <row r="131">
      <c r="A131" s="15" t="n"/>
      <c r="B131" s="15" t="n"/>
      <c r="C131" s="15" t="n"/>
      <c r="D131" s="15" t="n"/>
      <c r="E131" s="15" t="n"/>
      <c r="F131" s="15" t="n"/>
      <c r="G131" s="16">
        <f>IF(F131="","",IFERROR(INDEX(Stammdaten!$B$5:$B$24,MATCH(F131,Stammdaten!$A$5:$A$24,0)),"unbekannt"))</f>
        <v/>
      </c>
      <c r="H131" s="16">
        <f>IF($B131="","",IF(AY131&lt;&gt;"","abgeschlossen",IF(AND(ISNUMBER(AX131),AX131&gt;=TODAY()),"zurückgestellt",IF(OR(AND(ISNUMBER(AA131),AA131&lt;TODAY(),Z131="",AJ131=""),AND(ISNUMBER(Z131),Z131&lt;TODAY(),AJ131=""),AND(ISNUMBER(AB131),AB131&lt;TODAY(),AK131=""),AND(ISNUMBER(AC131),AC131&lt;TODAY(),AO131=""),AND(ISNUMBER(AD131),AD131&lt;TODAY(),AQ131="")),"überfällig","offen"))))</f>
        <v/>
      </c>
      <c r="I131" s="16">
        <f>IF($B131="","",IF(AY131&lt;&gt;"","—",IF(AND(ISNUMBER(AA131),AA131&lt;TODAY(),Z131="",AJ131=""),"Abnahmetermin vereinbaren – Sollfrist verstrichen",IF(AND(ISNUMBER(Z131),Z131&lt;TODAY(),AJ131=""),"Wohnungsabnahme nachtragen – Termin war fällig",IF(AND(ISNUMBER(AB131),AB131&lt;TODAY(),AK131=""),"Handwerker aufbieten – Frist verstrichen",IF(AND(ISNUMBER(AC131),AC131&lt;TODAY(),AO131=""),"Vertrag retour mahnen – Frist verstrichen",IF(AND(ISNUMBER(AD131),AD131&lt;TODAY(),AQ131=""),"Schlüsselübergabe nachtragen – Termin war fällig",IF(M131="","Haftungsdatum erfassen",IF(E131="","ex-Mieter erfassen",IF(AE131="","Kündigung bestätigen / G-Rem",IF(AF131="","Werke / EGT melden",IF(AG131="","Vorbesichtigung (oder n.e.)",IF(AH131="","VMZ aktualisieren",IF(AI131="","Inserat aufschalten",IF(AND(Z131="",AJ131=""),"Abnahmetermin vereinbaren",IF(AJ131="","Wohnungsabnahme durchführen",IF(AK131="","Handwerker aufbieten",IF(AL131="","Zustimmungserklärung einholen",IF(AM131="","Instandstellungen beauftragen",IF(R131="","Nachmieter erfassen",IF(AN131="","Vertrag versenden",IF(AO131="","Vertrag retour erfassen",IF(S131="","Vermietet per erfassen",IF(AP131="","Werke / EGT über Einzug informieren",IF(AND(AD131="",AQ131=""),"Schlüsselübergabe terminieren",IF(AQ131="","Schlüsselübergabe durchführen",IF(AR131="","Reinigung veranlassen",IF(AS131="","Namensschilder bestellen",IF(AT131="","Kaution prüfen / G-Rem mutieren",IF(AU131="","Instandstellungs-Rechnung erfassen",IF(AV131="","Schlussabrechnung erstellen",IF(AW131="","Zahlungseingang kontrollieren","Fall abschliessen"))))))))))))))))))))))))))))))))</f>
        <v/>
      </c>
      <c r="J131" s="17">
        <f>IF(M131="","",IF(S131&lt;&gt;"",MAX(0,S131-M131-1),MAX(0,TODAY()-M131)))</f>
        <v/>
      </c>
      <c r="K131" s="16">
        <f>IF($B131="","",TRIM(IF(AND(L131&lt;&gt;"",M131&lt;&gt;"",M131&lt;L131),"Haftungsdatum vor Kündigung. ","")&amp;IF(AND(S131&lt;&gt;"",M131&lt;&gt;"",S131&lt;M131),"Vermietung vor Leerstandsbeginn. ","")&amp;IF(AND(Z131&lt;&gt;"",L131&lt;&gt;"",Z131&lt;L131),"WA-Termin vor Kündigung. ","")&amp;IF(COUNTIFS($B$5:$B$404,$B131,$AY$5:$AY$404,"")&gt;1,"Zweiter offener Fall zum selben Objekt. ","")&amp;IF(AND($A131&lt;&gt;"",COUNTIFS($A$5:$A$404,$A131)&gt;1),"Fall-Nr. doppelt vergeben. ","")&amp;IF(E131="","ex-Mieter fehlt. ","")&amp;IF(M131="","Haftungsdatum fehlt. ","")&amp;IF(F131="","Bewirtschafter fehlt. ","")&amp;IF(AND(AY131&lt;&gt;"",AW131=""),"Abgeschlossen trotz offener Schlussabrechnung. ","")&amp;IF(AND(AY131="",S131="",ISNUMBER(J131),J131&gt;60),"Langläufer über 60 Tage. ","")))</f>
        <v/>
      </c>
      <c r="L131" s="18" t="n"/>
      <c r="M131" s="18" t="n"/>
      <c r="N131" s="19">
        <f>IF(M131="","",M131+1)</f>
        <v/>
      </c>
      <c r="O131" s="17">
        <f>IF(OR(L131="",M131=""),"",M131-L131)</f>
        <v/>
      </c>
      <c r="P131" s="16">
        <f>IF(M131="","",YEAR(M131+1)&amp;"-"&amp;TEXT(MONTH(M131+1),"00"))</f>
        <v/>
      </c>
      <c r="Q131" s="18" t="n"/>
      <c r="R131" s="15" t="n"/>
      <c r="S131" s="18" t="n"/>
      <c r="T131" s="16">
        <f>IF(U131="","",IF(LEFT(U131,1)="6","abgeschlossen",IF(OR(LEFT(U131,1)="1",LEFT(U131,1)="2"),"Kündigung &amp; Abnahme",IF(OR(LEFT(U131,1)="3",LEFT(U131,1)="4"),"Wiedervermietung","Schlussabrechnung"))))</f>
        <v/>
      </c>
      <c r="U131" s="16">
        <f>IF($B131="","",IF(AY131&lt;&gt;"","6 · abgeschlossen",IF(AW131&lt;&gt;"","5 · bereit zum Abschluss",IF(AT131&lt;&gt;"","5 · Schlussabrechnung",IF(AO131&lt;&gt;"","4 · Übergabe",IF(AM131&lt;&gt;"","3 · Neuvermietung",IF(M131&lt;&gt;"","2 · Abnahme &amp; Vermarktung","1 · Erfassung")))))))</f>
        <v/>
      </c>
      <c r="V131" s="15" t="n"/>
      <c r="W131" s="20" t="n"/>
      <c r="X131" s="15" t="n"/>
      <c r="Y131" s="15" t="n"/>
      <c r="Z131" s="18" t="n"/>
      <c r="AA131" s="19">
        <f>IF(M131="","",M131-30)</f>
        <v/>
      </c>
      <c r="AB131" s="19">
        <f>IF(ISNUMBER(AJ131),AJ131+3,"")</f>
        <v/>
      </c>
      <c r="AC131" s="18" t="n"/>
      <c r="AD131" s="18" t="n"/>
      <c r="AE131" s="18" t="n"/>
      <c r="AF131" s="18" t="n"/>
      <c r="AG131" s="18" t="n"/>
      <c r="AH131" s="18" t="n"/>
      <c r="AI131" s="18" t="n"/>
      <c r="AJ131" s="18" t="n"/>
      <c r="AK131" s="18" t="n"/>
      <c r="AL131" s="18" t="n"/>
      <c r="AM131" s="18" t="n"/>
      <c r="AN131" s="18" t="n"/>
      <c r="AO131" s="18" t="n"/>
      <c r="AP131" s="18" t="n"/>
      <c r="AQ131" s="18" t="n"/>
      <c r="AR131" s="18" t="n"/>
      <c r="AS131" s="18" t="n"/>
      <c r="AT131" s="18" t="n"/>
      <c r="AU131" s="18" t="n"/>
      <c r="AV131" s="18" t="n"/>
      <c r="AW131" s="18" t="n"/>
      <c r="AX131" s="18" t="n"/>
      <c r="AY131" s="18" t="n"/>
      <c r="AZ131" s="15" t="n"/>
    </row>
    <row r="132">
      <c r="A132" s="15" t="n"/>
      <c r="B132" s="15" t="n"/>
      <c r="C132" s="15" t="n"/>
      <c r="D132" s="15" t="n"/>
      <c r="E132" s="15" t="n"/>
      <c r="F132" s="15" t="n"/>
      <c r="G132" s="16">
        <f>IF(F132="","",IFERROR(INDEX(Stammdaten!$B$5:$B$24,MATCH(F132,Stammdaten!$A$5:$A$24,0)),"unbekannt"))</f>
        <v/>
      </c>
      <c r="H132" s="16">
        <f>IF($B132="","",IF(AY132&lt;&gt;"","abgeschlossen",IF(AND(ISNUMBER(AX132),AX132&gt;=TODAY()),"zurückgestellt",IF(OR(AND(ISNUMBER(AA132),AA132&lt;TODAY(),Z132="",AJ132=""),AND(ISNUMBER(Z132),Z132&lt;TODAY(),AJ132=""),AND(ISNUMBER(AB132),AB132&lt;TODAY(),AK132=""),AND(ISNUMBER(AC132),AC132&lt;TODAY(),AO132=""),AND(ISNUMBER(AD132),AD132&lt;TODAY(),AQ132="")),"überfällig","offen"))))</f>
        <v/>
      </c>
      <c r="I132" s="16">
        <f>IF($B132="","",IF(AY132&lt;&gt;"","—",IF(AND(ISNUMBER(AA132),AA132&lt;TODAY(),Z132="",AJ132=""),"Abnahmetermin vereinbaren – Sollfrist verstrichen",IF(AND(ISNUMBER(Z132),Z132&lt;TODAY(),AJ132=""),"Wohnungsabnahme nachtragen – Termin war fällig",IF(AND(ISNUMBER(AB132),AB132&lt;TODAY(),AK132=""),"Handwerker aufbieten – Frist verstrichen",IF(AND(ISNUMBER(AC132),AC132&lt;TODAY(),AO132=""),"Vertrag retour mahnen – Frist verstrichen",IF(AND(ISNUMBER(AD132),AD132&lt;TODAY(),AQ132=""),"Schlüsselübergabe nachtragen – Termin war fällig",IF(M132="","Haftungsdatum erfassen",IF(E132="","ex-Mieter erfassen",IF(AE132="","Kündigung bestätigen / G-Rem",IF(AF132="","Werke / EGT melden",IF(AG132="","Vorbesichtigung (oder n.e.)",IF(AH132="","VMZ aktualisieren",IF(AI132="","Inserat aufschalten",IF(AND(Z132="",AJ132=""),"Abnahmetermin vereinbaren",IF(AJ132="","Wohnungsabnahme durchführen",IF(AK132="","Handwerker aufbieten",IF(AL132="","Zustimmungserklärung einholen",IF(AM132="","Instandstellungen beauftragen",IF(R132="","Nachmieter erfassen",IF(AN132="","Vertrag versenden",IF(AO132="","Vertrag retour erfassen",IF(S132="","Vermietet per erfassen",IF(AP132="","Werke / EGT über Einzug informieren",IF(AND(AD132="",AQ132=""),"Schlüsselübergabe terminieren",IF(AQ132="","Schlüsselübergabe durchführen",IF(AR132="","Reinigung veranlassen",IF(AS132="","Namensschilder bestellen",IF(AT132="","Kaution prüfen / G-Rem mutieren",IF(AU132="","Instandstellungs-Rechnung erfassen",IF(AV132="","Schlussabrechnung erstellen",IF(AW132="","Zahlungseingang kontrollieren","Fall abschliessen"))))))))))))))))))))))))))))))))</f>
        <v/>
      </c>
      <c r="J132" s="17">
        <f>IF(M132="","",IF(S132&lt;&gt;"",MAX(0,S132-M132-1),MAX(0,TODAY()-M132)))</f>
        <v/>
      </c>
      <c r="K132" s="16">
        <f>IF($B132="","",TRIM(IF(AND(L132&lt;&gt;"",M132&lt;&gt;"",M132&lt;L132),"Haftungsdatum vor Kündigung. ","")&amp;IF(AND(S132&lt;&gt;"",M132&lt;&gt;"",S132&lt;M132),"Vermietung vor Leerstandsbeginn. ","")&amp;IF(AND(Z132&lt;&gt;"",L132&lt;&gt;"",Z132&lt;L132),"WA-Termin vor Kündigung. ","")&amp;IF(COUNTIFS($B$5:$B$404,$B132,$AY$5:$AY$404,"")&gt;1,"Zweiter offener Fall zum selben Objekt. ","")&amp;IF(AND($A132&lt;&gt;"",COUNTIFS($A$5:$A$404,$A132)&gt;1),"Fall-Nr. doppelt vergeben. ","")&amp;IF(E132="","ex-Mieter fehlt. ","")&amp;IF(M132="","Haftungsdatum fehlt. ","")&amp;IF(F132="","Bewirtschafter fehlt. ","")&amp;IF(AND(AY132&lt;&gt;"",AW132=""),"Abgeschlossen trotz offener Schlussabrechnung. ","")&amp;IF(AND(AY132="",S132="",ISNUMBER(J132),J132&gt;60),"Langläufer über 60 Tage. ","")))</f>
        <v/>
      </c>
      <c r="L132" s="18" t="n"/>
      <c r="M132" s="18" t="n"/>
      <c r="N132" s="19">
        <f>IF(M132="","",M132+1)</f>
        <v/>
      </c>
      <c r="O132" s="17">
        <f>IF(OR(L132="",M132=""),"",M132-L132)</f>
        <v/>
      </c>
      <c r="P132" s="16">
        <f>IF(M132="","",YEAR(M132+1)&amp;"-"&amp;TEXT(MONTH(M132+1),"00"))</f>
        <v/>
      </c>
      <c r="Q132" s="18" t="n"/>
      <c r="R132" s="15" t="n"/>
      <c r="S132" s="18" t="n"/>
      <c r="T132" s="16">
        <f>IF(U132="","",IF(LEFT(U132,1)="6","abgeschlossen",IF(OR(LEFT(U132,1)="1",LEFT(U132,1)="2"),"Kündigung &amp; Abnahme",IF(OR(LEFT(U132,1)="3",LEFT(U132,1)="4"),"Wiedervermietung","Schlussabrechnung"))))</f>
        <v/>
      </c>
      <c r="U132" s="16">
        <f>IF($B132="","",IF(AY132&lt;&gt;"","6 · abgeschlossen",IF(AW132&lt;&gt;"","5 · bereit zum Abschluss",IF(AT132&lt;&gt;"","5 · Schlussabrechnung",IF(AO132&lt;&gt;"","4 · Übergabe",IF(AM132&lt;&gt;"","3 · Neuvermietung",IF(M132&lt;&gt;"","2 · Abnahme &amp; Vermarktung","1 · Erfassung")))))))</f>
        <v/>
      </c>
      <c r="V132" s="15" t="n"/>
      <c r="W132" s="20" t="n"/>
      <c r="X132" s="15" t="n"/>
      <c r="Y132" s="15" t="n"/>
      <c r="Z132" s="18" t="n"/>
      <c r="AA132" s="19">
        <f>IF(M132="","",M132-30)</f>
        <v/>
      </c>
      <c r="AB132" s="19">
        <f>IF(ISNUMBER(AJ132),AJ132+3,"")</f>
        <v/>
      </c>
      <c r="AC132" s="18" t="n"/>
      <c r="AD132" s="18" t="n"/>
      <c r="AE132" s="18" t="n"/>
      <c r="AF132" s="18" t="n"/>
      <c r="AG132" s="18" t="n"/>
      <c r="AH132" s="18" t="n"/>
      <c r="AI132" s="18" t="n"/>
      <c r="AJ132" s="18" t="n"/>
      <c r="AK132" s="18" t="n"/>
      <c r="AL132" s="18" t="n"/>
      <c r="AM132" s="18" t="n"/>
      <c r="AN132" s="18" t="n"/>
      <c r="AO132" s="18" t="n"/>
      <c r="AP132" s="18" t="n"/>
      <c r="AQ132" s="18" t="n"/>
      <c r="AR132" s="18" t="n"/>
      <c r="AS132" s="18" t="n"/>
      <c r="AT132" s="18" t="n"/>
      <c r="AU132" s="18" t="n"/>
      <c r="AV132" s="18" t="n"/>
      <c r="AW132" s="18" t="n"/>
      <c r="AX132" s="18" t="n"/>
      <c r="AY132" s="18" t="n"/>
      <c r="AZ132" s="15" t="n"/>
    </row>
    <row r="133">
      <c r="A133" s="15" t="n"/>
      <c r="B133" s="15" t="n"/>
      <c r="C133" s="15" t="n"/>
      <c r="D133" s="15" t="n"/>
      <c r="E133" s="15" t="n"/>
      <c r="F133" s="15" t="n"/>
      <c r="G133" s="16">
        <f>IF(F133="","",IFERROR(INDEX(Stammdaten!$B$5:$B$24,MATCH(F133,Stammdaten!$A$5:$A$24,0)),"unbekannt"))</f>
        <v/>
      </c>
      <c r="H133" s="16">
        <f>IF($B133="","",IF(AY133&lt;&gt;"","abgeschlossen",IF(AND(ISNUMBER(AX133),AX133&gt;=TODAY()),"zurückgestellt",IF(OR(AND(ISNUMBER(AA133),AA133&lt;TODAY(),Z133="",AJ133=""),AND(ISNUMBER(Z133),Z133&lt;TODAY(),AJ133=""),AND(ISNUMBER(AB133),AB133&lt;TODAY(),AK133=""),AND(ISNUMBER(AC133),AC133&lt;TODAY(),AO133=""),AND(ISNUMBER(AD133),AD133&lt;TODAY(),AQ133="")),"überfällig","offen"))))</f>
        <v/>
      </c>
      <c r="I133" s="16">
        <f>IF($B133="","",IF(AY133&lt;&gt;"","—",IF(AND(ISNUMBER(AA133),AA133&lt;TODAY(),Z133="",AJ133=""),"Abnahmetermin vereinbaren – Sollfrist verstrichen",IF(AND(ISNUMBER(Z133),Z133&lt;TODAY(),AJ133=""),"Wohnungsabnahme nachtragen – Termin war fällig",IF(AND(ISNUMBER(AB133),AB133&lt;TODAY(),AK133=""),"Handwerker aufbieten – Frist verstrichen",IF(AND(ISNUMBER(AC133),AC133&lt;TODAY(),AO133=""),"Vertrag retour mahnen – Frist verstrichen",IF(AND(ISNUMBER(AD133),AD133&lt;TODAY(),AQ133=""),"Schlüsselübergabe nachtragen – Termin war fällig",IF(M133="","Haftungsdatum erfassen",IF(E133="","ex-Mieter erfassen",IF(AE133="","Kündigung bestätigen / G-Rem",IF(AF133="","Werke / EGT melden",IF(AG133="","Vorbesichtigung (oder n.e.)",IF(AH133="","VMZ aktualisieren",IF(AI133="","Inserat aufschalten",IF(AND(Z133="",AJ133=""),"Abnahmetermin vereinbaren",IF(AJ133="","Wohnungsabnahme durchführen",IF(AK133="","Handwerker aufbieten",IF(AL133="","Zustimmungserklärung einholen",IF(AM133="","Instandstellungen beauftragen",IF(R133="","Nachmieter erfassen",IF(AN133="","Vertrag versenden",IF(AO133="","Vertrag retour erfassen",IF(S133="","Vermietet per erfassen",IF(AP133="","Werke / EGT über Einzug informieren",IF(AND(AD133="",AQ133=""),"Schlüsselübergabe terminieren",IF(AQ133="","Schlüsselübergabe durchführen",IF(AR133="","Reinigung veranlassen",IF(AS133="","Namensschilder bestellen",IF(AT133="","Kaution prüfen / G-Rem mutieren",IF(AU133="","Instandstellungs-Rechnung erfassen",IF(AV133="","Schlussabrechnung erstellen",IF(AW133="","Zahlungseingang kontrollieren","Fall abschliessen"))))))))))))))))))))))))))))))))</f>
        <v/>
      </c>
      <c r="J133" s="17">
        <f>IF(M133="","",IF(S133&lt;&gt;"",MAX(0,S133-M133-1),MAX(0,TODAY()-M133)))</f>
        <v/>
      </c>
      <c r="K133" s="16">
        <f>IF($B133="","",TRIM(IF(AND(L133&lt;&gt;"",M133&lt;&gt;"",M133&lt;L133),"Haftungsdatum vor Kündigung. ","")&amp;IF(AND(S133&lt;&gt;"",M133&lt;&gt;"",S133&lt;M133),"Vermietung vor Leerstandsbeginn. ","")&amp;IF(AND(Z133&lt;&gt;"",L133&lt;&gt;"",Z133&lt;L133),"WA-Termin vor Kündigung. ","")&amp;IF(COUNTIFS($B$5:$B$404,$B133,$AY$5:$AY$404,"")&gt;1,"Zweiter offener Fall zum selben Objekt. ","")&amp;IF(AND($A133&lt;&gt;"",COUNTIFS($A$5:$A$404,$A133)&gt;1),"Fall-Nr. doppelt vergeben. ","")&amp;IF(E133="","ex-Mieter fehlt. ","")&amp;IF(M133="","Haftungsdatum fehlt. ","")&amp;IF(F133="","Bewirtschafter fehlt. ","")&amp;IF(AND(AY133&lt;&gt;"",AW133=""),"Abgeschlossen trotz offener Schlussabrechnung. ","")&amp;IF(AND(AY133="",S133="",ISNUMBER(J133),J133&gt;60),"Langläufer über 60 Tage. ","")))</f>
        <v/>
      </c>
      <c r="L133" s="18" t="n"/>
      <c r="M133" s="18" t="n"/>
      <c r="N133" s="19">
        <f>IF(M133="","",M133+1)</f>
        <v/>
      </c>
      <c r="O133" s="17">
        <f>IF(OR(L133="",M133=""),"",M133-L133)</f>
        <v/>
      </c>
      <c r="P133" s="16">
        <f>IF(M133="","",YEAR(M133+1)&amp;"-"&amp;TEXT(MONTH(M133+1),"00"))</f>
        <v/>
      </c>
      <c r="Q133" s="18" t="n"/>
      <c r="R133" s="15" t="n"/>
      <c r="S133" s="18" t="n"/>
      <c r="T133" s="16">
        <f>IF(U133="","",IF(LEFT(U133,1)="6","abgeschlossen",IF(OR(LEFT(U133,1)="1",LEFT(U133,1)="2"),"Kündigung &amp; Abnahme",IF(OR(LEFT(U133,1)="3",LEFT(U133,1)="4"),"Wiedervermietung","Schlussabrechnung"))))</f>
        <v/>
      </c>
      <c r="U133" s="16">
        <f>IF($B133="","",IF(AY133&lt;&gt;"","6 · abgeschlossen",IF(AW133&lt;&gt;"","5 · bereit zum Abschluss",IF(AT133&lt;&gt;"","5 · Schlussabrechnung",IF(AO133&lt;&gt;"","4 · Übergabe",IF(AM133&lt;&gt;"","3 · Neuvermietung",IF(M133&lt;&gt;"","2 · Abnahme &amp; Vermarktung","1 · Erfassung")))))))</f>
        <v/>
      </c>
      <c r="V133" s="15" t="n"/>
      <c r="W133" s="20" t="n"/>
      <c r="X133" s="15" t="n"/>
      <c r="Y133" s="15" t="n"/>
      <c r="Z133" s="18" t="n"/>
      <c r="AA133" s="19">
        <f>IF(M133="","",M133-30)</f>
        <v/>
      </c>
      <c r="AB133" s="19">
        <f>IF(ISNUMBER(AJ133),AJ133+3,"")</f>
        <v/>
      </c>
      <c r="AC133" s="18" t="n"/>
      <c r="AD133" s="18" t="n"/>
      <c r="AE133" s="18" t="n"/>
      <c r="AF133" s="18" t="n"/>
      <c r="AG133" s="18" t="n"/>
      <c r="AH133" s="18" t="n"/>
      <c r="AI133" s="18" t="n"/>
      <c r="AJ133" s="18" t="n"/>
      <c r="AK133" s="18" t="n"/>
      <c r="AL133" s="18" t="n"/>
      <c r="AM133" s="18" t="n"/>
      <c r="AN133" s="18" t="n"/>
      <c r="AO133" s="18" t="n"/>
      <c r="AP133" s="18" t="n"/>
      <c r="AQ133" s="18" t="n"/>
      <c r="AR133" s="18" t="n"/>
      <c r="AS133" s="18" t="n"/>
      <c r="AT133" s="18" t="n"/>
      <c r="AU133" s="18" t="n"/>
      <c r="AV133" s="18" t="n"/>
      <c r="AW133" s="18" t="n"/>
      <c r="AX133" s="18" t="n"/>
      <c r="AY133" s="18" t="n"/>
      <c r="AZ133" s="15" t="n"/>
    </row>
    <row r="134">
      <c r="A134" s="15" t="n"/>
      <c r="B134" s="15" t="n"/>
      <c r="C134" s="15" t="n"/>
      <c r="D134" s="15" t="n"/>
      <c r="E134" s="15" t="n"/>
      <c r="F134" s="15" t="n"/>
      <c r="G134" s="16">
        <f>IF(F134="","",IFERROR(INDEX(Stammdaten!$B$5:$B$24,MATCH(F134,Stammdaten!$A$5:$A$24,0)),"unbekannt"))</f>
        <v/>
      </c>
      <c r="H134" s="16">
        <f>IF($B134="","",IF(AY134&lt;&gt;"","abgeschlossen",IF(AND(ISNUMBER(AX134),AX134&gt;=TODAY()),"zurückgestellt",IF(OR(AND(ISNUMBER(AA134),AA134&lt;TODAY(),Z134="",AJ134=""),AND(ISNUMBER(Z134),Z134&lt;TODAY(),AJ134=""),AND(ISNUMBER(AB134),AB134&lt;TODAY(),AK134=""),AND(ISNUMBER(AC134),AC134&lt;TODAY(),AO134=""),AND(ISNUMBER(AD134),AD134&lt;TODAY(),AQ134="")),"überfällig","offen"))))</f>
        <v/>
      </c>
      <c r="I134" s="16">
        <f>IF($B134="","",IF(AY134&lt;&gt;"","—",IF(AND(ISNUMBER(AA134),AA134&lt;TODAY(),Z134="",AJ134=""),"Abnahmetermin vereinbaren – Sollfrist verstrichen",IF(AND(ISNUMBER(Z134),Z134&lt;TODAY(),AJ134=""),"Wohnungsabnahme nachtragen – Termin war fällig",IF(AND(ISNUMBER(AB134),AB134&lt;TODAY(),AK134=""),"Handwerker aufbieten – Frist verstrichen",IF(AND(ISNUMBER(AC134),AC134&lt;TODAY(),AO134=""),"Vertrag retour mahnen – Frist verstrichen",IF(AND(ISNUMBER(AD134),AD134&lt;TODAY(),AQ134=""),"Schlüsselübergabe nachtragen – Termin war fällig",IF(M134="","Haftungsdatum erfassen",IF(E134="","ex-Mieter erfassen",IF(AE134="","Kündigung bestätigen / G-Rem",IF(AF134="","Werke / EGT melden",IF(AG134="","Vorbesichtigung (oder n.e.)",IF(AH134="","VMZ aktualisieren",IF(AI134="","Inserat aufschalten",IF(AND(Z134="",AJ134=""),"Abnahmetermin vereinbaren",IF(AJ134="","Wohnungsabnahme durchführen",IF(AK134="","Handwerker aufbieten",IF(AL134="","Zustimmungserklärung einholen",IF(AM134="","Instandstellungen beauftragen",IF(R134="","Nachmieter erfassen",IF(AN134="","Vertrag versenden",IF(AO134="","Vertrag retour erfassen",IF(S134="","Vermietet per erfassen",IF(AP134="","Werke / EGT über Einzug informieren",IF(AND(AD134="",AQ134=""),"Schlüsselübergabe terminieren",IF(AQ134="","Schlüsselübergabe durchführen",IF(AR134="","Reinigung veranlassen",IF(AS134="","Namensschilder bestellen",IF(AT134="","Kaution prüfen / G-Rem mutieren",IF(AU134="","Instandstellungs-Rechnung erfassen",IF(AV134="","Schlussabrechnung erstellen",IF(AW134="","Zahlungseingang kontrollieren","Fall abschliessen"))))))))))))))))))))))))))))))))</f>
        <v/>
      </c>
      <c r="J134" s="17">
        <f>IF(M134="","",IF(S134&lt;&gt;"",MAX(0,S134-M134-1),MAX(0,TODAY()-M134)))</f>
        <v/>
      </c>
      <c r="K134" s="16">
        <f>IF($B134="","",TRIM(IF(AND(L134&lt;&gt;"",M134&lt;&gt;"",M134&lt;L134),"Haftungsdatum vor Kündigung. ","")&amp;IF(AND(S134&lt;&gt;"",M134&lt;&gt;"",S134&lt;M134),"Vermietung vor Leerstandsbeginn. ","")&amp;IF(AND(Z134&lt;&gt;"",L134&lt;&gt;"",Z134&lt;L134),"WA-Termin vor Kündigung. ","")&amp;IF(COUNTIFS($B$5:$B$404,$B134,$AY$5:$AY$404,"")&gt;1,"Zweiter offener Fall zum selben Objekt. ","")&amp;IF(AND($A134&lt;&gt;"",COUNTIFS($A$5:$A$404,$A134)&gt;1),"Fall-Nr. doppelt vergeben. ","")&amp;IF(E134="","ex-Mieter fehlt. ","")&amp;IF(M134="","Haftungsdatum fehlt. ","")&amp;IF(F134="","Bewirtschafter fehlt. ","")&amp;IF(AND(AY134&lt;&gt;"",AW134=""),"Abgeschlossen trotz offener Schlussabrechnung. ","")&amp;IF(AND(AY134="",S134="",ISNUMBER(J134),J134&gt;60),"Langläufer über 60 Tage. ","")))</f>
        <v/>
      </c>
      <c r="L134" s="18" t="n"/>
      <c r="M134" s="18" t="n"/>
      <c r="N134" s="19">
        <f>IF(M134="","",M134+1)</f>
        <v/>
      </c>
      <c r="O134" s="17">
        <f>IF(OR(L134="",M134=""),"",M134-L134)</f>
        <v/>
      </c>
      <c r="P134" s="16">
        <f>IF(M134="","",YEAR(M134+1)&amp;"-"&amp;TEXT(MONTH(M134+1),"00"))</f>
        <v/>
      </c>
      <c r="Q134" s="18" t="n"/>
      <c r="R134" s="15" t="n"/>
      <c r="S134" s="18" t="n"/>
      <c r="T134" s="16">
        <f>IF(U134="","",IF(LEFT(U134,1)="6","abgeschlossen",IF(OR(LEFT(U134,1)="1",LEFT(U134,1)="2"),"Kündigung &amp; Abnahme",IF(OR(LEFT(U134,1)="3",LEFT(U134,1)="4"),"Wiedervermietung","Schlussabrechnung"))))</f>
        <v/>
      </c>
      <c r="U134" s="16">
        <f>IF($B134="","",IF(AY134&lt;&gt;"","6 · abgeschlossen",IF(AW134&lt;&gt;"","5 · bereit zum Abschluss",IF(AT134&lt;&gt;"","5 · Schlussabrechnung",IF(AO134&lt;&gt;"","4 · Übergabe",IF(AM134&lt;&gt;"","3 · Neuvermietung",IF(M134&lt;&gt;"","2 · Abnahme &amp; Vermarktung","1 · Erfassung")))))))</f>
        <v/>
      </c>
      <c r="V134" s="15" t="n"/>
      <c r="W134" s="20" t="n"/>
      <c r="X134" s="15" t="n"/>
      <c r="Y134" s="15" t="n"/>
      <c r="Z134" s="18" t="n"/>
      <c r="AA134" s="19">
        <f>IF(M134="","",M134-30)</f>
        <v/>
      </c>
      <c r="AB134" s="19">
        <f>IF(ISNUMBER(AJ134),AJ134+3,"")</f>
        <v/>
      </c>
      <c r="AC134" s="18" t="n"/>
      <c r="AD134" s="18" t="n"/>
      <c r="AE134" s="18" t="n"/>
      <c r="AF134" s="18" t="n"/>
      <c r="AG134" s="18" t="n"/>
      <c r="AH134" s="18" t="n"/>
      <c r="AI134" s="18" t="n"/>
      <c r="AJ134" s="18" t="n"/>
      <c r="AK134" s="18" t="n"/>
      <c r="AL134" s="18" t="n"/>
      <c r="AM134" s="18" t="n"/>
      <c r="AN134" s="18" t="n"/>
      <c r="AO134" s="18" t="n"/>
      <c r="AP134" s="18" t="n"/>
      <c r="AQ134" s="18" t="n"/>
      <c r="AR134" s="18" t="n"/>
      <c r="AS134" s="18" t="n"/>
      <c r="AT134" s="18" t="n"/>
      <c r="AU134" s="18" t="n"/>
      <c r="AV134" s="18" t="n"/>
      <c r="AW134" s="18" t="n"/>
      <c r="AX134" s="18" t="n"/>
      <c r="AY134" s="18" t="n"/>
      <c r="AZ134" s="15" t="n"/>
    </row>
    <row r="135">
      <c r="A135" s="15" t="n"/>
      <c r="B135" s="15" t="n"/>
      <c r="C135" s="15" t="n"/>
      <c r="D135" s="15" t="n"/>
      <c r="E135" s="15" t="n"/>
      <c r="F135" s="15" t="n"/>
      <c r="G135" s="16">
        <f>IF(F135="","",IFERROR(INDEX(Stammdaten!$B$5:$B$24,MATCH(F135,Stammdaten!$A$5:$A$24,0)),"unbekannt"))</f>
        <v/>
      </c>
      <c r="H135" s="16">
        <f>IF($B135="","",IF(AY135&lt;&gt;"","abgeschlossen",IF(AND(ISNUMBER(AX135),AX135&gt;=TODAY()),"zurückgestellt",IF(OR(AND(ISNUMBER(AA135),AA135&lt;TODAY(),Z135="",AJ135=""),AND(ISNUMBER(Z135),Z135&lt;TODAY(),AJ135=""),AND(ISNUMBER(AB135),AB135&lt;TODAY(),AK135=""),AND(ISNUMBER(AC135),AC135&lt;TODAY(),AO135=""),AND(ISNUMBER(AD135),AD135&lt;TODAY(),AQ135="")),"überfällig","offen"))))</f>
        <v/>
      </c>
      <c r="I135" s="16">
        <f>IF($B135="","",IF(AY135&lt;&gt;"","—",IF(AND(ISNUMBER(AA135),AA135&lt;TODAY(),Z135="",AJ135=""),"Abnahmetermin vereinbaren – Sollfrist verstrichen",IF(AND(ISNUMBER(Z135),Z135&lt;TODAY(),AJ135=""),"Wohnungsabnahme nachtragen – Termin war fällig",IF(AND(ISNUMBER(AB135),AB135&lt;TODAY(),AK135=""),"Handwerker aufbieten – Frist verstrichen",IF(AND(ISNUMBER(AC135),AC135&lt;TODAY(),AO135=""),"Vertrag retour mahnen – Frist verstrichen",IF(AND(ISNUMBER(AD135),AD135&lt;TODAY(),AQ135=""),"Schlüsselübergabe nachtragen – Termin war fällig",IF(M135="","Haftungsdatum erfassen",IF(E135="","ex-Mieter erfassen",IF(AE135="","Kündigung bestätigen / G-Rem",IF(AF135="","Werke / EGT melden",IF(AG135="","Vorbesichtigung (oder n.e.)",IF(AH135="","VMZ aktualisieren",IF(AI135="","Inserat aufschalten",IF(AND(Z135="",AJ135=""),"Abnahmetermin vereinbaren",IF(AJ135="","Wohnungsabnahme durchführen",IF(AK135="","Handwerker aufbieten",IF(AL135="","Zustimmungserklärung einholen",IF(AM135="","Instandstellungen beauftragen",IF(R135="","Nachmieter erfassen",IF(AN135="","Vertrag versenden",IF(AO135="","Vertrag retour erfassen",IF(S135="","Vermietet per erfassen",IF(AP135="","Werke / EGT über Einzug informieren",IF(AND(AD135="",AQ135=""),"Schlüsselübergabe terminieren",IF(AQ135="","Schlüsselübergabe durchführen",IF(AR135="","Reinigung veranlassen",IF(AS135="","Namensschilder bestellen",IF(AT135="","Kaution prüfen / G-Rem mutieren",IF(AU135="","Instandstellungs-Rechnung erfassen",IF(AV135="","Schlussabrechnung erstellen",IF(AW135="","Zahlungseingang kontrollieren","Fall abschliessen"))))))))))))))))))))))))))))))))</f>
        <v/>
      </c>
      <c r="J135" s="17">
        <f>IF(M135="","",IF(S135&lt;&gt;"",MAX(0,S135-M135-1),MAX(0,TODAY()-M135)))</f>
        <v/>
      </c>
      <c r="K135" s="16">
        <f>IF($B135="","",TRIM(IF(AND(L135&lt;&gt;"",M135&lt;&gt;"",M135&lt;L135),"Haftungsdatum vor Kündigung. ","")&amp;IF(AND(S135&lt;&gt;"",M135&lt;&gt;"",S135&lt;M135),"Vermietung vor Leerstandsbeginn. ","")&amp;IF(AND(Z135&lt;&gt;"",L135&lt;&gt;"",Z135&lt;L135),"WA-Termin vor Kündigung. ","")&amp;IF(COUNTIFS($B$5:$B$404,$B135,$AY$5:$AY$404,"")&gt;1,"Zweiter offener Fall zum selben Objekt. ","")&amp;IF(AND($A135&lt;&gt;"",COUNTIFS($A$5:$A$404,$A135)&gt;1),"Fall-Nr. doppelt vergeben. ","")&amp;IF(E135="","ex-Mieter fehlt. ","")&amp;IF(M135="","Haftungsdatum fehlt. ","")&amp;IF(F135="","Bewirtschafter fehlt. ","")&amp;IF(AND(AY135&lt;&gt;"",AW135=""),"Abgeschlossen trotz offener Schlussabrechnung. ","")&amp;IF(AND(AY135="",S135="",ISNUMBER(J135),J135&gt;60),"Langläufer über 60 Tage. ","")))</f>
        <v/>
      </c>
      <c r="L135" s="18" t="n"/>
      <c r="M135" s="18" t="n"/>
      <c r="N135" s="19">
        <f>IF(M135="","",M135+1)</f>
        <v/>
      </c>
      <c r="O135" s="17">
        <f>IF(OR(L135="",M135=""),"",M135-L135)</f>
        <v/>
      </c>
      <c r="P135" s="16">
        <f>IF(M135="","",YEAR(M135+1)&amp;"-"&amp;TEXT(MONTH(M135+1),"00"))</f>
        <v/>
      </c>
      <c r="Q135" s="18" t="n"/>
      <c r="R135" s="15" t="n"/>
      <c r="S135" s="18" t="n"/>
      <c r="T135" s="16">
        <f>IF(U135="","",IF(LEFT(U135,1)="6","abgeschlossen",IF(OR(LEFT(U135,1)="1",LEFT(U135,1)="2"),"Kündigung &amp; Abnahme",IF(OR(LEFT(U135,1)="3",LEFT(U135,1)="4"),"Wiedervermietung","Schlussabrechnung"))))</f>
        <v/>
      </c>
      <c r="U135" s="16">
        <f>IF($B135="","",IF(AY135&lt;&gt;"","6 · abgeschlossen",IF(AW135&lt;&gt;"","5 · bereit zum Abschluss",IF(AT135&lt;&gt;"","5 · Schlussabrechnung",IF(AO135&lt;&gt;"","4 · Übergabe",IF(AM135&lt;&gt;"","3 · Neuvermietung",IF(M135&lt;&gt;"","2 · Abnahme &amp; Vermarktung","1 · Erfassung")))))))</f>
        <v/>
      </c>
      <c r="V135" s="15" t="n"/>
      <c r="W135" s="20" t="n"/>
      <c r="X135" s="15" t="n"/>
      <c r="Y135" s="15" t="n"/>
      <c r="Z135" s="18" t="n"/>
      <c r="AA135" s="19">
        <f>IF(M135="","",M135-30)</f>
        <v/>
      </c>
      <c r="AB135" s="19">
        <f>IF(ISNUMBER(AJ135),AJ135+3,"")</f>
        <v/>
      </c>
      <c r="AC135" s="18" t="n"/>
      <c r="AD135" s="18" t="n"/>
      <c r="AE135" s="18" t="n"/>
      <c r="AF135" s="18" t="n"/>
      <c r="AG135" s="18" t="n"/>
      <c r="AH135" s="18" t="n"/>
      <c r="AI135" s="18" t="n"/>
      <c r="AJ135" s="18" t="n"/>
      <c r="AK135" s="18" t="n"/>
      <c r="AL135" s="18" t="n"/>
      <c r="AM135" s="18" t="n"/>
      <c r="AN135" s="18" t="n"/>
      <c r="AO135" s="18" t="n"/>
      <c r="AP135" s="18" t="n"/>
      <c r="AQ135" s="18" t="n"/>
      <c r="AR135" s="18" t="n"/>
      <c r="AS135" s="18" t="n"/>
      <c r="AT135" s="18" t="n"/>
      <c r="AU135" s="18" t="n"/>
      <c r="AV135" s="18" t="n"/>
      <c r="AW135" s="18" t="n"/>
      <c r="AX135" s="18" t="n"/>
      <c r="AY135" s="18" t="n"/>
      <c r="AZ135" s="15" t="n"/>
    </row>
    <row r="136">
      <c r="A136" s="15" t="n"/>
      <c r="B136" s="15" t="n"/>
      <c r="C136" s="15" t="n"/>
      <c r="D136" s="15" t="n"/>
      <c r="E136" s="15" t="n"/>
      <c r="F136" s="15" t="n"/>
      <c r="G136" s="16">
        <f>IF(F136="","",IFERROR(INDEX(Stammdaten!$B$5:$B$24,MATCH(F136,Stammdaten!$A$5:$A$24,0)),"unbekannt"))</f>
        <v/>
      </c>
      <c r="H136" s="16">
        <f>IF($B136="","",IF(AY136&lt;&gt;"","abgeschlossen",IF(AND(ISNUMBER(AX136),AX136&gt;=TODAY()),"zurückgestellt",IF(OR(AND(ISNUMBER(AA136),AA136&lt;TODAY(),Z136="",AJ136=""),AND(ISNUMBER(Z136),Z136&lt;TODAY(),AJ136=""),AND(ISNUMBER(AB136),AB136&lt;TODAY(),AK136=""),AND(ISNUMBER(AC136),AC136&lt;TODAY(),AO136=""),AND(ISNUMBER(AD136),AD136&lt;TODAY(),AQ136="")),"überfällig","offen"))))</f>
        <v/>
      </c>
      <c r="I136" s="16">
        <f>IF($B136="","",IF(AY136&lt;&gt;"","—",IF(AND(ISNUMBER(AA136),AA136&lt;TODAY(),Z136="",AJ136=""),"Abnahmetermin vereinbaren – Sollfrist verstrichen",IF(AND(ISNUMBER(Z136),Z136&lt;TODAY(),AJ136=""),"Wohnungsabnahme nachtragen – Termin war fällig",IF(AND(ISNUMBER(AB136),AB136&lt;TODAY(),AK136=""),"Handwerker aufbieten – Frist verstrichen",IF(AND(ISNUMBER(AC136),AC136&lt;TODAY(),AO136=""),"Vertrag retour mahnen – Frist verstrichen",IF(AND(ISNUMBER(AD136),AD136&lt;TODAY(),AQ136=""),"Schlüsselübergabe nachtragen – Termin war fällig",IF(M136="","Haftungsdatum erfassen",IF(E136="","ex-Mieter erfassen",IF(AE136="","Kündigung bestätigen / G-Rem",IF(AF136="","Werke / EGT melden",IF(AG136="","Vorbesichtigung (oder n.e.)",IF(AH136="","VMZ aktualisieren",IF(AI136="","Inserat aufschalten",IF(AND(Z136="",AJ136=""),"Abnahmetermin vereinbaren",IF(AJ136="","Wohnungsabnahme durchführen",IF(AK136="","Handwerker aufbieten",IF(AL136="","Zustimmungserklärung einholen",IF(AM136="","Instandstellungen beauftragen",IF(R136="","Nachmieter erfassen",IF(AN136="","Vertrag versenden",IF(AO136="","Vertrag retour erfassen",IF(S136="","Vermietet per erfassen",IF(AP136="","Werke / EGT über Einzug informieren",IF(AND(AD136="",AQ136=""),"Schlüsselübergabe terminieren",IF(AQ136="","Schlüsselübergabe durchführen",IF(AR136="","Reinigung veranlassen",IF(AS136="","Namensschilder bestellen",IF(AT136="","Kaution prüfen / G-Rem mutieren",IF(AU136="","Instandstellungs-Rechnung erfassen",IF(AV136="","Schlussabrechnung erstellen",IF(AW136="","Zahlungseingang kontrollieren","Fall abschliessen"))))))))))))))))))))))))))))))))</f>
        <v/>
      </c>
      <c r="J136" s="17">
        <f>IF(M136="","",IF(S136&lt;&gt;"",MAX(0,S136-M136-1),MAX(0,TODAY()-M136)))</f>
        <v/>
      </c>
      <c r="K136" s="16">
        <f>IF($B136="","",TRIM(IF(AND(L136&lt;&gt;"",M136&lt;&gt;"",M136&lt;L136),"Haftungsdatum vor Kündigung. ","")&amp;IF(AND(S136&lt;&gt;"",M136&lt;&gt;"",S136&lt;M136),"Vermietung vor Leerstandsbeginn. ","")&amp;IF(AND(Z136&lt;&gt;"",L136&lt;&gt;"",Z136&lt;L136),"WA-Termin vor Kündigung. ","")&amp;IF(COUNTIFS($B$5:$B$404,$B136,$AY$5:$AY$404,"")&gt;1,"Zweiter offener Fall zum selben Objekt. ","")&amp;IF(AND($A136&lt;&gt;"",COUNTIFS($A$5:$A$404,$A136)&gt;1),"Fall-Nr. doppelt vergeben. ","")&amp;IF(E136="","ex-Mieter fehlt. ","")&amp;IF(M136="","Haftungsdatum fehlt. ","")&amp;IF(F136="","Bewirtschafter fehlt. ","")&amp;IF(AND(AY136&lt;&gt;"",AW136=""),"Abgeschlossen trotz offener Schlussabrechnung. ","")&amp;IF(AND(AY136="",S136="",ISNUMBER(J136),J136&gt;60),"Langläufer über 60 Tage. ","")))</f>
        <v/>
      </c>
      <c r="L136" s="18" t="n"/>
      <c r="M136" s="18" t="n"/>
      <c r="N136" s="19">
        <f>IF(M136="","",M136+1)</f>
        <v/>
      </c>
      <c r="O136" s="17">
        <f>IF(OR(L136="",M136=""),"",M136-L136)</f>
        <v/>
      </c>
      <c r="P136" s="16">
        <f>IF(M136="","",YEAR(M136+1)&amp;"-"&amp;TEXT(MONTH(M136+1),"00"))</f>
        <v/>
      </c>
      <c r="Q136" s="18" t="n"/>
      <c r="R136" s="15" t="n"/>
      <c r="S136" s="18" t="n"/>
      <c r="T136" s="16">
        <f>IF(U136="","",IF(LEFT(U136,1)="6","abgeschlossen",IF(OR(LEFT(U136,1)="1",LEFT(U136,1)="2"),"Kündigung &amp; Abnahme",IF(OR(LEFT(U136,1)="3",LEFT(U136,1)="4"),"Wiedervermietung","Schlussabrechnung"))))</f>
        <v/>
      </c>
      <c r="U136" s="16">
        <f>IF($B136="","",IF(AY136&lt;&gt;"","6 · abgeschlossen",IF(AW136&lt;&gt;"","5 · bereit zum Abschluss",IF(AT136&lt;&gt;"","5 · Schlussabrechnung",IF(AO136&lt;&gt;"","4 · Übergabe",IF(AM136&lt;&gt;"","3 · Neuvermietung",IF(M136&lt;&gt;"","2 · Abnahme &amp; Vermarktung","1 · Erfassung")))))))</f>
        <v/>
      </c>
      <c r="V136" s="15" t="n"/>
      <c r="W136" s="20" t="n"/>
      <c r="X136" s="15" t="n"/>
      <c r="Y136" s="15" t="n"/>
      <c r="Z136" s="18" t="n"/>
      <c r="AA136" s="19">
        <f>IF(M136="","",M136-30)</f>
        <v/>
      </c>
      <c r="AB136" s="19">
        <f>IF(ISNUMBER(AJ136),AJ136+3,"")</f>
        <v/>
      </c>
      <c r="AC136" s="18" t="n"/>
      <c r="AD136" s="18" t="n"/>
      <c r="AE136" s="18" t="n"/>
      <c r="AF136" s="18" t="n"/>
      <c r="AG136" s="18" t="n"/>
      <c r="AH136" s="18" t="n"/>
      <c r="AI136" s="18" t="n"/>
      <c r="AJ136" s="18" t="n"/>
      <c r="AK136" s="18" t="n"/>
      <c r="AL136" s="18" t="n"/>
      <c r="AM136" s="18" t="n"/>
      <c r="AN136" s="18" t="n"/>
      <c r="AO136" s="18" t="n"/>
      <c r="AP136" s="18" t="n"/>
      <c r="AQ136" s="18" t="n"/>
      <c r="AR136" s="18" t="n"/>
      <c r="AS136" s="18" t="n"/>
      <c r="AT136" s="18" t="n"/>
      <c r="AU136" s="18" t="n"/>
      <c r="AV136" s="18" t="n"/>
      <c r="AW136" s="18" t="n"/>
      <c r="AX136" s="18" t="n"/>
      <c r="AY136" s="18" t="n"/>
      <c r="AZ136" s="15" t="n"/>
    </row>
    <row r="137">
      <c r="A137" s="15" t="n"/>
      <c r="B137" s="15" t="n"/>
      <c r="C137" s="15" t="n"/>
      <c r="D137" s="15" t="n"/>
      <c r="E137" s="15" t="n"/>
      <c r="F137" s="15" t="n"/>
      <c r="G137" s="16">
        <f>IF(F137="","",IFERROR(INDEX(Stammdaten!$B$5:$B$24,MATCH(F137,Stammdaten!$A$5:$A$24,0)),"unbekannt"))</f>
        <v/>
      </c>
      <c r="H137" s="16">
        <f>IF($B137="","",IF(AY137&lt;&gt;"","abgeschlossen",IF(AND(ISNUMBER(AX137),AX137&gt;=TODAY()),"zurückgestellt",IF(OR(AND(ISNUMBER(AA137),AA137&lt;TODAY(),Z137="",AJ137=""),AND(ISNUMBER(Z137),Z137&lt;TODAY(),AJ137=""),AND(ISNUMBER(AB137),AB137&lt;TODAY(),AK137=""),AND(ISNUMBER(AC137),AC137&lt;TODAY(),AO137=""),AND(ISNUMBER(AD137),AD137&lt;TODAY(),AQ137="")),"überfällig","offen"))))</f>
        <v/>
      </c>
      <c r="I137" s="16">
        <f>IF($B137="","",IF(AY137&lt;&gt;"","—",IF(AND(ISNUMBER(AA137),AA137&lt;TODAY(),Z137="",AJ137=""),"Abnahmetermin vereinbaren – Sollfrist verstrichen",IF(AND(ISNUMBER(Z137),Z137&lt;TODAY(),AJ137=""),"Wohnungsabnahme nachtragen – Termin war fällig",IF(AND(ISNUMBER(AB137),AB137&lt;TODAY(),AK137=""),"Handwerker aufbieten – Frist verstrichen",IF(AND(ISNUMBER(AC137),AC137&lt;TODAY(),AO137=""),"Vertrag retour mahnen – Frist verstrichen",IF(AND(ISNUMBER(AD137),AD137&lt;TODAY(),AQ137=""),"Schlüsselübergabe nachtragen – Termin war fällig",IF(M137="","Haftungsdatum erfassen",IF(E137="","ex-Mieter erfassen",IF(AE137="","Kündigung bestätigen / G-Rem",IF(AF137="","Werke / EGT melden",IF(AG137="","Vorbesichtigung (oder n.e.)",IF(AH137="","VMZ aktualisieren",IF(AI137="","Inserat aufschalten",IF(AND(Z137="",AJ137=""),"Abnahmetermin vereinbaren",IF(AJ137="","Wohnungsabnahme durchführen",IF(AK137="","Handwerker aufbieten",IF(AL137="","Zustimmungserklärung einholen",IF(AM137="","Instandstellungen beauftragen",IF(R137="","Nachmieter erfassen",IF(AN137="","Vertrag versenden",IF(AO137="","Vertrag retour erfassen",IF(S137="","Vermietet per erfassen",IF(AP137="","Werke / EGT über Einzug informieren",IF(AND(AD137="",AQ137=""),"Schlüsselübergabe terminieren",IF(AQ137="","Schlüsselübergabe durchführen",IF(AR137="","Reinigung veranlassen",IF(AS137="","Namensschilder bestellen",IF(AT137="","Kaution prüfen / G-Rem mutieren",IF(AU137="","Instandstellungs-Rechnung erfassen",IF(AV137="","Schlussabrechnung erstellen",IF(AW137="","Zahlungseingang kontrollieren","Fall abschliessen"))))))))))))))))))))))))))))))))</f>
        <v/>
      </c>
      <c r="J137" s="17">
        <f>IF(M137="","",IF(S137&lt;&gt;"",MAX(0,S137-M137-1),MAX(0,TODAY()-M137)))</f>
        <v/>
      </c>
      <c r="K137" s="16">
        <f>IF($B137="","",TRIM(IF(AND(L137&lt;&gt;"",M137&lt;&gt;"",M137&lt;L137),"Haftungsdatum vor Kündigung. ","")&amp;IF(AND(S137&lt;&gt;"",M137&lt;&gt;"",S137&lt;M137),"Vermietung vor Leerstandsbeginn. ","")&amp;IF(AND(Z137&lt;&gt;"",L137&lt;&gt;"",Z137&lt;L137),"WA-Termin vor Kündigung. ","")&amp;IF(COUNTIFS($B$5:$B$404,$B137,$AY$5:$AY$404,"")&gt;1,"Zweiter offener Fall zum selben Objekt. ","")&amp;IF(AND($A137&lt;&gt;"",COUNTIFS($A$5:$A$404,$A137)&gt;1),"Fall-Nr. doppelt vergeben. ","")&amp;IF(E137="","ex-Mieter fehlt. ","")&amp;IF(M137="","Haftungsdatum fehlt. ","")&amp;IF(F137="","Bewirtschafter fehlt. ","")&amp;IF(AND(AY137&lt;&gt;"",AW137=""),"Abgeschlossen trotz offener Schlussabrechnung. ","")&amp;IF(AND(AY137="",S137="",ISNUMBER(J137),J137&gt;60),"Langläufer über 60 Tage. ","")))</f>
        <v/>
      </c>
      <c r="L137" s="18" t="n"/>
      <c r="M137" s="18" t="n"/>
      <c r="N137" s="19">
        <f>IF(M137="","",M137+1)</f>
        <v/>
      </c>
      <c r="O137" s="17">
        <f>IF(OR(L137="",M137=""),"",M137-L137)</f>
        <v/>
      </c>
      <c r="P137" s="16">
        <f>IF(M137="","",YEAR(M137+1)&amp;"-"&amp;TEXT(MONTH(M137+1),"00"))</f>
        <v/>
      </c>
      <c r="Q137" s="18" t="n"/>
      <c r="R137" s="15" t="n"/>
      <c r="S137" s="18" t="n"/>
      <c r="T137" s="16">
        <f>IF(U137="","",IF(LEFT(U137,1)="6","abgeschlossen",IF(OR(LEFT(U137,1)="1",LEFT(U137,1)="2"),"Kündigung &amp; Abnahme",IF(OR(LEFT(U137,1)="3",LEFT(U137,1)="4"),"Wiedervermietung","Schlussabrechnung"))))</f>
        <v/>
      </c>
      <c r="U137" s="16">
        <f>IF($B137="","",IF(AY137&lt;&gt;"","6 · abgeschlossen",IF(AW137&lt;&gt;"","5 · bereit zum Abschluss",IF(AT137&lt;&gt;"","5 · Schlussabrechnung",IF(AO137&lt;&gt;"","4 · Übergabe",IF(AM137&lt;&gt;"","3 · Neuvermietung",IF(M137&lt;&gt;"","2 · Abnahme &amp; Vermarktung","1 · Erfassung")))))))</f>
        <v/>
      </c>
      <c r="V137" s="15" t="n"/>
      <c r="W137" s="20" t="n"/>
      <c r="X137" s="15" t="n"/>
      <c r="Y137" s="15" t="n"/>
      <c r="Z137" s="18" t="n"/>
      <c r="AA137" s="19">
        <f>IF(M137="","",M137-30)</f>
        <v/>
      </c>
      <c r="AB137" s="19">
        <f>IF(ISNUMBER(AJ137),AJ137+3,"")</f>
        <v/>
      </c>
      <c r="AC137" s="18" t="n"/>
      <c r="AD137" s="18" t="n"/>
      <c r="AE137" s="18" t="n"/>
      <c r="AF137" s="18" t="n"/>
      <c r="AG137" s="18" t="n"/>
      <c r="AH137" s="18" t="n"/>
      <c r="AI137" s="18" t="n"/>
      <c r="AJ137" s="18" t="n"/>
      <c r="AK137" s="18" t="n"/>
      <c r="AL137" s="18" t="n"/>
      <c r="AM137" s="18" t="n"/>
      <c r="AN137" s="18" t="n"/>
      <c r="AO137" s="18" t="n"/>
      <c r="AP137" s="18" t="n"/>
      <c r="AQ137" s="18" t="n"/>
      <c r="AR137" s="18" t="n"/>
      <c r="AS137" s="18" t="n"/>
      <c r="AT137" s="18" t="n"/>
      <c r="AU137" s="18" t="n"/>
      <c r="AV137" s="18" t="n"/>
      <c r="AW137" s="18" t="n"/>
      <c r="AX137" s="18" t="n"/>
      <c r="AY137" s="18" t="n"/>
      <c r="AZ137" s="15" t="n"/>
    </row>
    <row r="138">
      <c r="A138" s="15" t="n"/>
      <c r="B138" s="15" t="n"/>
      <c r="C138" s="15" t="n"/>
      <c r="D138" s="15" t="n"/>
      <c r="E138" s="15" t="n"/>
      <c r="F138" s="15" t="n"/>
      <c r="G138" s="16">
        <f>IF(F138="","",IFERROR(INDEX(Stammdaten!$B$5:$B$24,MATCH(F138,Stammdaten!$A$5:$A$24,0)),"unbekannt"))</f>
        <v/>
      </c>
      <c r="H138" s="16">
        <f>IF($B138="","",IF(AY138&lt;&gt;"","abgeschlossen",IF(AND(ISNUMBER(AX138),AX138&gt;=TODAY()),"zurückgestellt",IF(OR(AND(ISNUMBER(AA138),AA138&lt;TODAY(),Z138="",AJ138=""),AND(ISNUMBER(Z138),Z138&lt;TODAY(),AJ138=""),AND(ISNUMBER(AB138),AB138&lt;TODAY(),AK138=""),AND(ISNUMBER(AC138),AC138&lt;TODAY(),AO138=""),AND(ISNUMBER(AD138),AD138&lt;TODAY(),AQ138="")),"überfällig","offen"))))</f>
        <v/>
      </c>
      <c r="I138" s="16">
        <f>IF($B138="","",IF(AY138&lt;&gt;"","—",IF(AND(ISNUMBER(AA138),AA138&lt;TODAY(),Z138="",AJ138=""),"Abnahmetermin vereinbaren – Sollfrist verstrichen",IF(AND(ISNUMBER(Z138),Z138&lt;TODAY(),AJ138=""),"Wohnungsabnahme nachtragen – Termin war fällig",IF(AND(ISNUMBER(AB138),AB138&lt;TODAY(),AK138=""),"Handwerker aufbieten – Frist verstrichen",IF(AND(ISNUMBER(AC138),AC138&lt;TODAY(),AO138=""),"Vertrag retour mahnen – Frist verstrichen",IF(AND(ISNUMBER(AD138),AD138&lt;TODAY(),AQ138=""),"Schlüsselübergabe nachtragen – Termin war fällig",IF(M138="","Haftungsdatum erfassen",IF(E138="","ex-Mieter erfassen",IF(AE138="","Kündigung bestätigen / G-Rem",IF(AF138="","Werke / EGT melden",IF(AG138="","Vorbesichtigung (oder n.e.)",IF(AH138="","VMZ aktualisieren",IF(AI138="","Inserat aufschalten",IF(AND(Z138="",AJ138=""),"Abnahmetermin vereinbaren",IF(AJ138="","Wohnungsabnahme durchführen",IF(AK138="","Handwerker aufbieten",IF(AL138="","Zustimmungserklärung einholen",IF(AM138="","Instandstellungen beauftragen",IF(R138="","Nachmieter erfassen",IF(AN138="","Vertrag versenden",IF(AO138="","Vertrag retour erfassen",IF(S138="","Vermietet per erfassen",IF(AP138="","Werke / EGT über Einzug informieren",IF(AND(AD138="",AQ138=""),"Schlüsselübergabe terminieren",IF(AQ138="","Schlüsselübergabe durchführen",IF(AR138="","Reinigung veranlassen",IF(AS138="","Namensschilder bestellen",IF(AT138="","Kaution prüfen / G-Rem mutieren",IF(AU138="","Instandstellungs-Rechnung erfassen",IF(AV138="","Schlussabrechnung erstellen",IF(AW138="","Zahlungseingang kontrollieren","Fall abschliessen"))))))))))))))))))))))))))))))))</f>
        <v/>
      </c>
      <c r="J138" s="17">
        <f>IF(M138="","",IF(S138&lt;&gt;"",MAX(0,S138-M138-1),MAX(0,TODAY()-M138)))</f>
        <v/>
      </c>
      <c r="K138" s="16">
        <f>IF($B138="","",TRIM(IF(AND(L138&lt;&gt;"",M138&lt;&gt;"",M138&lt;L138),"Haftungsdatum vor Kündigung. ","")&amp;IF(AND(S138&lt;&gt;"",M138&lt;&gt;"",S138&lt;M138),"Vermietung vor Leerstandsbeginn. ","")&amp;IF(AND(Z138&lt;&gt;"",L138&lt;&gt;"",Z138&lt;L138),"WA-Termin vor Kündigung. ","")&amp;IF(COUNTIFS($B$5:$B$404,$B138,$AY$5:$AY$404,"")&gt;1,"Zweiter offener Fall zum selben Objekt. ","")&amp;IF(AND($A138&lt;&gt;"",COUNTIFS($A$5:$A$404,$A138)&gt;1),"Fall-Nr. doppelt vergeben. ","")&amp;IF(E138="","ex-Mieter fehlt. ","")&amp;IF(M138="","Haftungsdatum fehlt. ","")&amp;IF(F138="","Bewirtschafter fehlt. ","")&amp;IF(AND(AY138&lt;&gt;"",AW138=""),"Abgeschlossen trotz offener Schlussabrechnung. ","")&amp;IF(AND(AY138="",S138="",ISNUMBER(J138),J138&gt;60),"Langläufer über 60 Tage. ","")))</f>
        <v/>
      </c>
      <c r="L138" s="18" t="n"/>
      <c r="M138" s="18" t="n"/>
      <c r="N138" s="19">
        <f>IF(M138="","",M138+1)</f>
        <v/>
      </c>
      <c r="O138" s="17">
        <f>IF(OR(L138="",M138=""),"",M138-L138)</f>
        <v/>
      </c>
      <c r="P138" s="16">
        <f>IF(M138="","",YEAR(M138+1)&amp;"-"&amp;TEXT(MONTH(M138+1),"00"))</f>
        <v/>
      </c>
      <c r="Q138" s="18" t="n"/>
      <c r="R138" s="15" t="n"/>
      <c r="S138" s="18" t="n"/>
      <c r="T138" s="16">
        <f>IF(U138="","",IF(LEFT(U138,1)="6","abgeschlossen",IF(OR(LEFT(U138,1)="1",LEFT(U138,1)="2"),"Kündigung &amp; Abnahme",IF(OR(LEFT(U138,1)="3",LEFT(U138,1)="4"),"Wiedervermietung","Schlussabrechnung"))))</f>
        <v/>
      </c>
      <c r="U138" s="16">
        <f>IF($B138="","",IF(AY138&lt;&gt;"","6 · abgeschlossen",IF(AW138&lt;&gt;"","5 · bereit zum Abschluss",IF(AT138&lt;&gt;"","5 · Schlussabrechnung",IF(AO138&lt;&gt;"","4 · Übergabe",IF(AM138&lt;&gt;"","3 · Neuvermietung",IF(M138&lt;&gt;"","2 · Abnahme &amp; Vermarktung","1 · Erfassung")))))))</f>
        <v/>
      </c>
      <c r="V138" s="15" t="n"/>
      <c r="W138" s="20" t="n"/>
      <c r="X138" s="15" t="n"/>
      <c r="Y138" s="15" t="n"/>
      <c r="Z138" s="18" t="n"/>
      <c r="AA138" s="19">
        <f>IF(M138="","",M138-30)</f>
        <v/>
      </c>
      <c r="AB138" s="19">
        <f>IF(ISNUMBER(AJ138),AJ138+3,"")</f>
        <v/>
      </c>
      <c r="AC138" s="18" t="n"/>
      <c r="AD138" s="18" t="n"/>
      <c r="AE138" s="18" t="n"/>
      <c r="AF138" s="18" t="n"/>
      <c r="AG138" s="18" t="n"/>
      <c r="AH138" s="18" t="n"/>
      <c r="AI138" s="18" t="n"/>
      <c r="AJ138" s="18" t="n"/>
      <c r="AK138" s="18" t="n"/>
      <c r="AL138" s="18" t="n"/>
      <c r="AM138" s="18" t="n"/>
      <c r="AN138" s="18" t="n"/>
      <c r="AO138" s="18" t="n"/>
      <c r="AP138" s="18" t="n"/>
      <c r="AQ138" s="18" t="n"/>
      <c r="AR138" s="18" t="n"/>
      <c r="AS138" s="18" t="n"/>
      <c r="AT138" s="18" t="n"/>
      <c r="AU138" s="18" t="n"/>
      <c r="AV138" s="18" t="n"/>
      <c r="AW138" s="18" t="n"/>
      <c r="AX138" s="18" t="n"/>
      <c r="AY138" s="18" t="n"/>
      <c r="AZ138" s="15" t="n"/>
    </row>
    <row r="139">
      <c r="A139" s="15" t="n"/>
      <c r="B139" s="15" t="n"/>
      <c r="C139" s="15" t="n"/>
      <c r="D139" s="15" t="n"/>
      <c r="E139" s="15" t="n"/>
      <c r="F139" s="15" t="n"/>
      <c r="G139" s="16">
        <f>IF(F139="","",IFERROR(INDEX(Stammdaten!$B$5:$B$24,MATCH(F139,Stammdaten!$A$5:$A$24,0)),"unbekannt"))</f>
        <v/>
      </c>
      <c r="H139" s="16">
        <f>IF($B139="","",IF(AY139&lt;&gt;"","abgeschlossen",IF(AND(ISNUMBER(AX139),AX139&gt;=TODAY()),"zurückgestellt",IF(OR(AND(ISNUMBER(AA139),AA139&lt;TODAY(),Z139="",AJ139=""),AND(ISNUMBER(Z139),Z139&lt;TODAY(),AJ139=""),AND(ISNUMBER(AB139),AB139&lt;TODAY(),AK139=""),AND(ISNUMBER(AC139),AC139&lt;TODAY(),AO139=""),AND(ISNUMBER(AD139),AD139&lt;TODAY(),AQ139="")),"überfällig","offen"))))</f>
        <v/>
      </c>
      <c r="I139" s="16">
        <f>IF($B139="","",IF(AY139&lt;&gt;"","—",IF(AND(ISNUMBER(AA139),AA139&lt;TODAY(),Z139="",AJ139=""),"Abnahmetermin vereinbaren – Sollfrist verstrichen",IF(AND(ISNUMBER(Z139),Z139&lt;TODAY(),AJ139=""),"Wohnungsabnahme nachtragen – Termin war fällig",IF(AND(ISNUMBER(AB139),AB139&lt;TODAY(),AK139=""),"Handwerker aufbieten – Frist verstrichen",IF(AND(ISNUMBER(AC139),AC139&lt;TODAY(),AO139=""),"Vertrag retour mahnen – Frist verstrichen",IF(AND(ISNUMBER(AD139),AD139&lt;TODAY(),AQ139=""),"Schlüsselübergabe nachtragen – Termin war fällig",IF(M139="","Haftungsdatum erfassen",IF(E139="","ex-Mieter erfassen",IF(AE139="","Kündigung bestätigen / G-Rem",IF(AF139="","Werke / EGT melden",IF(AG139="","Vorbesichtigung (oder n.e.)",IF(AH139="","VMZ aktualisieren",IF(AI139="","Inserat aufschalten",IF(AND(Z139="",AJ139=""),"Abnahmetermin vereinbaren",IF(AJ139="","Wohnungsabnahme durchführen",IF(AK139="","Handwerker aufbieten",IF(AL139="","Zustimmungserklärung einholen",IF(AM139="","Instandstellungen beauftragen",IF(R139="","Nachmieter erfassen",IF(AN139="","Vertrag versenden",IF(AO139="","Vertrag retour erfassen",IF(S139="","Vermietet per erfassen",IF(AP139="","Werke / EGT über Einzug informieren",IF(AND(AD139="",AQ139=""),"Schlüsselübergabe terminieren",IF(AQ139="","Schlüsselübergabe durchführen",IF(AR139="","Reinigung veranlassen",IF(AS139="","Namensschilder bestellen",IF(AT139="","Kaution prüfen / G-Rem mutieren",IF(AU139="","Instandstellungs-Rechnung erfassen",IF(AV139="","Schlussabrechnung erstellen",IF(AW139="","Zahlungseingang kontrollieren","Fall abschliessen"))))))))))))))))))))))))))))))))</f>
        <v/>
      </c>
      <c r="J139" s="17">
        <f>IF(M139="","",IF(S139&lt;&gt;"",MAX(0,S139-M139-1),MAX(0,TODAY()-M139)))</f>
        <v/>
      </c>
      <c r="K139" s="16">
        <f>IF($B139="","",TRIM(IF(AND(L139&lt;&gt;"",M139&lt;&gt;"",M139&lt;L139),"Haftungsdatum vor Kündigung. ","")&amp;IF(AND(S139&lt;&gt;"",M139&lt;&gt;"",S139&lt;M139),"Vermietung vor Leerstandsbeginn. ","")&amp;IF(AND(Z139&lt;&gt;"",L139&lt;&gt;"",Z139&lt;L139),"WA-Termin vor Kündigung. ","")&amp;IF(COUNTIFS($B$5:$B$404,$B139,$AY$5:$AY$404,"")&gt;1,"Zweiter offener Fall zum selben Objekt. ","")&amp;IF(AND($A139&lt;&gt;"",COUNTIFS($A$5:$A$404,$A139)&gt;1),"Fall-Nr. doppelt vergeben. ","")&amp;IF(E139="","ex-Mieter fehlt. ","")&amp;IF(M139="","Haftungsdatum fehlt. ","")&amp;IF(F139="","Bewirtschafter fehlt. ","")&amp;IF(AND(AY139&lt;&gt;"",AW139=""),"Abgeschlossen trotz offener Schlussabrechnung. ","")&amp;IF(AND(AY139="",S139="",ISNUMBER(J139),J139&gt;60),"Langläufer über 60 Tage. ","")))</f>
        <v/>
      </c>
      <c r="L139" s="18" t="n"/>
      <c r="M139" s="18" t="n"/>
      <c r="N139" s="19">
        <f>IF(M139="","",M139+1)</f>
        <v/>
      </c>
      <c r="O139" s="17">
        <f>IF(OR(L139="",M139=""),"",M139-L139)</f>
        <v/>
      </c>
      <c r="P139" s="16">
        <f>IF(M139="","",YEAR(M139+1)&amp;"-"&amp;TEXT(MONTH(M139+1),"00"))</f>
        <v/>
      </c>
      <c r="Q139" s="18" t="n"/>
      <c r="R139" s="15" t="n"/>
      <c r="S139" s="18" t="n"/>
      <c r="T139" s="16">
        <f>IF(U139="","",IF(LEFT(U139,1)="6","abgeschlossen",IF(OR(LEFT(U139,1)="1",LEFT(U139,1)="2"),"Kündigung &amp; Abnahme",IF(OR(LEFT(U139,1)="3",LEFT(U139,1)="4"),"Wiedervermietung","Schlussabrechnung"))))</f>
        <v/>
      </c>
      <c r="U139" s="16">
        <f>IF($B139="","",IF(AY139&lt;&gt;"","6 · abgeschlossen",IF(AW139&lt;&gt;"","5 · bereit zum Abschluss",IF(AT139&lt;&gt;"","5 · Schlussabrechnung",IF(AO139&lt;&gt;"","4 · Übergabe",IF(AM139&lt;&gt;"","3 · Neuvermietung",IF(M139&lt;&gt;"","2 · Abnahme &amp; Vermarktung","1 · Erfassung")))))))</f>
        <v/>
      </c>
      <c r="V139" s="15" t="n"/>
      <c r="W139" s="20" t="n"/>
      <c r="X139" s="15" t="n"/>
      <c r="Y139" s="15" t="n"/>
      <c r="Z139" s="18" t="n"/>
      <c r="AA139" s="19">
        <f>IF(M139="","",M139-30)</f>
        <v/>
      </c>
      <c r="AB139" s="19">
        <f>IF(ISNUMBER(AJ139),AJ139+3,"")</f>
        <v/>
      </c>
      <c r="AC139" s="18" t="n"/>
      <c r="AD139" s="18" t="n"/>
      <c r="AE139" s="18" t="n"/>
      <c r="AF139" s="18" t="n"/>
      <c r="AG139" s="18" t="n"/>
      <c r="AH139" s="18" t="n"/>
      <c r="AI139" s="18" t="n"/>
      <c r="AJ139" s="18" t="n"/>
      <c r="AK139" s="18" t="n"/>
      <c r="AL139" s="18" t="n"/>
      <c r="AM139" s="18" t="n"/>
      <c r="AN139" s="18" t="n"/>
      <c r="AO139" s="18" t="n"/>
      <c r="AP139" s="18" t="n"/>
      <c r="AQ139" s="18" t="n"/>
      <c r="AR139" s="18" t="n"/>
      <c r="AS139" s="18" t="n"/>
      <c r="AT139" s="18" t="n"/>
      <c r="AU139" s="18" t="n"/>
      <c r="AV139" s="18" t="n"/>
      <c r="AW139" s="18" t="n"/>
      <c r="AX139" s="18" t="n"/>
      <c r="AY139" s="18" t="n"/>
      <c r="AZ139" s="15" t="n"/>
    </row>
    <row r="140">
      <c r="A140" s="15" t="n"/>
      <c r="B140" s="15" t="n"/>
      <c r="C140" s="15" t="n"/>
      <c r="D140" s="15" t="n"/>
      <c r="E140" s="15" t="n"/>
      <c r="F140" s="15" t="n"/>
      <c r="G140" s="16">
        <f>IF(F140="","",IFERROR(INDEX(Stammdaten!$B$5:$B$24,MATCH(F140,Stammdaten!$A$5:$A$24,0)),"unbekannt"))</f>
        <v/>
      </c>
      <c r="H140" s="16">
        <f>IF($B140="","",IF(AY140&lt;&gt;"","abgeschlossen",IF(AND(ISNUMBER(AX140),AX140&gt;=TODAY()),"zurückgestellt",IF(OR(AND(ISNUMBER(AA140),AA140&lt;TODAY(),Z140="",AJ140=""),AND(ISNUMBER(Z140),Z140&lt;TODAY(),AJ140=""),AND(ISNUMBER(AB140),AB140&lt;TODAY(),AK140=""),AND(ISNUMBER(AC140),AC140&lt;TODAY(),AO140=""),AND(ISNUMBER(AD140),AD140&lt;TODAY(),AQ140="")),"überfällig","offen"))))</f>
        <v/>
      </c>
      <c r="I140" s="16">
        <f>IF($B140="","",IF(AY140&lt;&gt;"","—",IF(AND(ISNUMBER(AA140),AA140&lt;TODAY(),Z140="",AJ140=""),"Abnahmetermin vereinbaren – Sollfrist verstrichen",IF(AND(ISNUMBER(Z140),Z140&lt;TODAY(),AJ140=""),"Wohnungsabnahme nachtragen – Termin war fällig",IF(AND(ISNUMBER(AB140),AB140&lt;TODAY(),AK140=""),"Handwerker aufbieten – Frist verstrichen",IF(AND(ISNUMBER(AC140),AC140&lt;TODAY(),AO140=""),"Vertrag retour mahnen – Frist verstrichen",IF(AND(ISNUMBER(AD140),AD140&lt;TODAY(),AQ140=""),"Schlüsselübergabe nachtragen – Termin war fällig",IF(M140="","Haftungsdatum erfassen",IF(E140="","ex-Mieter erfassen",IF(AE140="","Kündigung bestätigen / G-Rem",IF(AF140="","Werke / EGT melden",IF(AG140="","Vorbesichtigung (oder n.e.)",IF(AH140="","VMZ aktualisieren",IF(AI140="","Inserat aufschalten",IF(AND(Z140="",AJ140=""),"Abnahmetermin vereinbaren",IF(AJ140="","Wohnungsabnahme durchführen",IF(AK140="","Handwerker aufbieten",IF(AL140="","Zustimmungserklärung einholen",IF(AM140="","Instandstellungen beauftragen",IF(R140="","Nachmieter erfassen",IF(AN140="","Vertrag versenden",IF(AO140="","Vertrag retour erfassen",IF(S140="","Vermietet per erfassen",IF(AP140="","Werke / EGT über Einzug informieren",IF(AND(AD140="",AQ140=""),"Schlüsselübergabe terminieren",IF(AQ140="","Schlüsselübergabe durchführen",IF(AR140="","Reinigung veranlassen",IF(AS140="","Namensschilder bestellen",IF(AT140="","Kaution prüfen / G-Rem mutieren",IF(AU140="","Instandstellungs-Rechnung erfassen",IF(AV140="","Schlussabrechnung erstellen",IF(AW140="","Zahlungseingang kontrollieren","Fall abschliessen"))))))))))))))))))))))))))))))))</f>
        <v/>
      </c>
      <c r="J140" s="17">
        <f>IF(M140="","",IF(S140&lt;&gt;"",MAX(0,S140-M140-1),MAX(0,TODAY()-M140)))</f>
        <v/>
      </c>
      <c r="K140" s="16">
        <f>IF($B140="","",TRIM(IF(AND(L140&lt;&gt;"",M140&lt;&gt;"",M140&lt;L140),"Haftungsdatum vor Kündigung. ","")&amp;IF(AND(S140&lt;&gt;"",M140&lt;&gt;"",S140&lt;M140),"Vermietung vor Leerstandsbeginn. ","")&amp;IF(AND(Z140&lt;&gt;"",L140&lt;&gt;"",Z140&lt;L140),"WA-Termin vor Kündigung. ","")&amp;IF(COUNTIFS($B$5:$B$404,$B140,$AY$5:$AY$404,"")&gt;1,"Zweiter offener Fall zum selben Objekt. ","")&amp;IF(AND($A140&lt;&gt;"",COUNTIFS($A$5:$A$404,$A140)&gt;1),"Fall-Nr. doppelt vergeben. ","")&amp;IF(E140="","ex-Mieter fehlt. ","")&amp;IF(M140="","Haftungsdatum fehlt. ","")&amp;IF(F140="","Bewirtschafter fehlt. ","")&amp;IF(AND(AY140&lt;&gt;"",AW140=""),"Abgeschlossen trotz offener Schlussabrechnung. ","")&amp;IF(AND(AY140="",S140="",ISNUMBER(J140),J140&gt;60),"Langläufer über 60 Tage. ","")))</f>
        <v/>
      </c>
      <c r="L140" s="18" t="n"/>
      <c r="M140" s="18" t="n"/>
      <c r="N140" s="19">
        <f>IF(M140="","",M140+1)</f>
        <v/>
      </c>
      <c r="O140" s="17">
        <f>IF(OR(L140="",M140=""),"",M140-L140)</f>
        <v/>
      </c>
      <c r="P140" s="16">
        <f>IF(M140="","",YEAR(M140+1)&amp;"-"&amp;TEXT(MONTH(M140+1),"00"))</f>
        <v/>
      </c>
      <c r="Q140" s="18" t="n"/>
      <c r="R140" s="15" t="n"/>
      <c r="S140" s="18" t="n"/>
      <c r="T140" s="16">
        <f>IF(U140="","",IF(LEFT(U140,1)="6","abgeschlossen",IF(OR(LEFT(U140,1)="1",LEFT(U140,1)="2"),"Kündigung &amp; Abnahme",IF(OR(LEFT(U140,1)="3",LEFT(U140,1)="4"),"Wiedervermietung","Schlussabrechnung"))))</f>
        <v/>
      </c>
      <c r="U140" s="16">
        <f>IF($B140="","",IF(AY140&lt;&gt;"","6 · abgeschlossen",IF(AW140&lt;&gt;"","5 · bereit zum Abschluss",IF(AT140&lt;&gt;"","5 · Schlussabrechnung",IF(AO140&lt;&gt;"","4 · Übergabe",IF(AM140&lt;&gt;"","3 · Neuvermietung",IF(M140&lt;&gt;"","2 · Abnahme &amp; Vermarktung","1 · Erfassung")))))))</f>
        <v/>
      </c>
      <c r="V140" s="15" t="n"/>
      <c r="W140" s="20" t="n"/>
      <c r="X140" s="15" t="n"/>
      <c r="Y140" s="15" t="n"/>
      <c r="Z140" s="18" t="n"/>
      <c r="AA140" s="19">
        <f>IF(M140="","",M140-30)</f>
        <v/>
      </c>
      <c r="AB140" s="19">
        <f>IF(ISNUMBER(AJ140),AJ140+3,"")</f>
        <v/>
      </c>
      <c r="AC140" s="18" t="n"/>
      <c r="AD140" s="18" t="n"/>
      <c r="AE140" s="18" t="n"/>
      <c r="AF140" s="18" t="n"/>
      <c r="AG140" s="18" t="n"/>
      <c r="AH140" s="18" t="n"/>
      <c r="AI140" s="18" t="n"/>
      <c r="AJ140" s="18" t="n"/>
      <c r="AK140" s="18" t="n"/>
      <c r="AL140" s="18" t="n"/>
      <c r="AM140" s="18" t="n"/>
      <c r="AN140" s="18" t="n"/>
      <c r="AO140" s="18" t="n"/>
      <c r="AP140" s="18" t="n"/>
      <c r="AQ140" s="18" t="n"/>
      <c r="AR140" s="18" t="n"/>
      <c r="AS140" s="18" t="n"/>
      <c r="AT140" s="18" t="n"/>
      <c r="AU140" s="18" t="n"/>
      <c r="AV140" s="18" t="n"/>
      <c r="AW140" s="18" t="n"/>
      <c r="AX140" s="18" t="n"/>
      <c r="AY140" s="18" t="n"/>
      <c r="AZ140" s="15" t="n"/>
    </row>
    <row r="141">
      <c r="A141" s="15" t="n"/>
      <c r="B141" s="15" t="n"/>
      <c r="C141" s="15" t="n"/>
      <c r="D141" s="15" t="n"/>
      <c r="E141" s="15" t="n"/>
      <c r="F141" s="15" t="n"/>
      <c r="G141" s="16">
        <f>IF(F141="","",IFERROR(INDEX(Stammdaten!$B$5:$B$24,MATCH(F141,Stammdaten!$A$5:$A$24,0)),"unbekannt"))</f>
        <v/>
      </c>
      <c r="H141" s="16">
        <f>IF($B141="","",IF(AY141&lt;&gt;"","abgeschlossen",IF(AND(ISNUMBER(AX141),AX141&gt;=TODAY()),"zurückgestellt",IF(OR(AND(ISNUMBER(AA141),AA141&lt;TODAY(),Z141="",AJ141=""),AND(ISNUMBER(Z141),Z141&lt;TODAY(),AJ141=""),AND(ISNUMBER(AB141),AB141&lt;TODAY(),AK141=""),AND(ISNUMBER(AC141),AC141&lt;TODAY(),AO141=""),AND(ISNUMBER(AD141),AD141&lt;TODAY(),AQ141="")),"überfällig","offen"))))</f>
        <v/>
      </c>
      <c r="I141" s="16">
        <f>IF($B141="","",IF(AY141&lt;&gt;"","—",IF(AND(ISNUMBER(AA141),AA141&lt;TODAY(),Z141="",AJ141=""),"Abnahmetermin vereinbaren – Sollfrist verstrichen",IF(AND(ISNUMBER(Z141),Z141&lt;TODAY(),AJ141=""),"Wohnungsabnahme nachtragen – Termin war fällig",IF(AND(ISNUMBER(AB141),AB141&lt;TODAY(),AK141=""),"Handwerker aufbieten – Frist verstrichen",IF(AND(ISNUMBER(AC141),AC141&lt;TODAY(),AO141=""),"Vertrag retour mahnen – Frist verstrichen",IF(AND(ISNUMBER(AD141),AD141&lt;TODAY(),AQ141=""),"Schlüsselübergabe nachtragen – Termin war fällig",IF(M141="","Haftungsdatum erfassen",IF(E141="","ex-Mieter erfassen",IF(AE141="","Kündigung bestätigen / G-Rem",IF(AF141="","Werke / EGT melden",IF(AG141="","Vorbesichtigung (oder n.e.)",IF(AH141="","VMZ aktualisieren",IF(AI141="","Inserat aufschalten",IF(AND(Z141="",AJ141=""),"Abnahmetermin vereinbaren",IF(AJ141="","Wohnungsabnahme durchführen",IF(AK141="","Handwerker aufbieten",IF(AL141="","Zustimmungserklärung einholen",IF(AM141="","Instandstellungen beauftragen",IF(R141="","Nachmieter erfassen",IF(AN141="","Vertrag versenden",IF(AO141="","Vertrag retour erfassen",IF(S141="","Vermietet per erfassen",IF(AP141="","Werke / EGT über Einzug informieren",IF(AND(AD141="",AQ141=""),"Schlüsselübergabe terminieren",IF(AQ141="","Schlüsselübergabe durchführen",IF(AR141="","Reinigung veranlassen",IF(AS141="","Namensschilder bestellen",IF(AT141="","Kaution prüfen / G-Rem mutieren",IF(AU141="","Instandstellungs-Rechnung erfassen",IF(AV141="","Schlussabrechnung erstellen",IF(AW141="","Zahlungseingang kontrollieren","Fall abschliessen"))))))))))))))))))))))))))))))))</f>
        <v/>
      </c>
      <c r="J141" s="17">
        <f>IF(M141="","",IF(S141&lt;&gt;"",MAX(0,S141-M141-1),MAX(0,TODAY()-M141)))</f>
        <v/>
      </c>
      <c r="K141" s="16">
        <f>IF($B141="","",TRIM(IF(AND(L141&lt;&gt;"",M141&lt;&gt;"",M141&lt;L141),"Haftungsdatum vor Kündigung. ","")&amp;IF(AND(S141&lt;&gt;"",M141&lt;&gt;"",S141&lt;M141),"Vermietung vor Leerstandsbeginn. ","")&amp;IF(AND(Z141&lt;&gt;"",L141&lt;&gt;"",Z141&lt;L141),"WA-Termin vor Kündigung. ","")&amp;IF(COUNTIFS($B$5:$B$404,$B141,$AY$5:$AY$404,"")&gt;1,"Zweiter offener Fall zum selben Objekt. ","")&amp;IF(AND($A141&lt;&gt;"",COUNTIFS($A$5:$A$404,$A141)&gt;1),"Fall-Nr. doppelt vergeben. ","")&amp;IF(E141="","ex-Mieter fehlt. ","")&amp;IF(M141="","Haftungsdatum fehlt. ","")&amp;IF(F141="","Bewirtschafter fehlt. ","")&amp;IF(AND(AY141&lt;&gt;"",AW141=""),"Abgeschlossen trotz offener Schlussabrechnung. ","")&amp;IF(AND(AY141="",S141="",ISNUMBER(J141),J141&gt;60),"Langläufer über 60 Tage. ","")))</f>
        <v/>
      </c>
      <c r="L141" s="18" t="n"/>
      <c r="M141" s="18" t="n"/>
      <c r="N141" s="19">
        <f>IF(M141="","",M141+1)</f>
        <v/>
      </c>
      <c r="O141" s="17">
        <f>IF(OR(L141="",M141=""),"",M141-L141)</f>
        <v/>
      </c>
      <c r="P141" s="16">
        <f>IF(M141="","",YEAR(M141+1)&amp;"-"&amp;TEXT(MONTH(M141+1),"00"))</f>
        <v/>
      </c>
      <c r="Q141" s="18" t="n"/>
      <c r="R141" s="15" t="n"/>
      <c r="S141" s="18" t="n"/>
      <c r="T141" s="16">
        <f>IF(U141="","",IF(LEFT(U141,1)="6","abgeschlossen",IF(OR(LEFT(U141,1)="1",LEFT(U141,1)="2"),"Kündigung &amp; Abnahme",IF(OR(LEFT(U141,1)="3",LEFT(U141,1)="4"),"Wiedervermietung","Schlussabrechnung"))))</f>
        <v/>
      </c>
      <c r="U141" s="16">
        <f>IF($B141="","",IF(AY141&lt;&gt;"","6 · abgeschlossen",IF(AW141&lt;&gt;"","5 · bereit zum Abschluss",IF(AT141&lt;&gt;"","5 · Schlussabrechnung",IF(AO141&lt;&gt;"","4 · Übergabe",IF(AM141&lt;&gt;"","3 · Neuvermietung",IF(M141&lt;&gt;"","2 · Abnahme &amp; Vermarktung","1 · Erfassung")))))))</f>
        <v/>
      </c>
      <c r="V141" s="15" t="n"/>
      <c r="W141" s="20" t="n"/>
      <c r="X141" s="15" t="n"/>
      <c r="Y141" s="15" t="n"/>
      <c r="Z141" s="18" t="n"/>
      <c r="AA141" s="19">
        <f>IF(M141="","",M141-30)</f>
        <v/>
      </c>
      <c r="AB141" s="19">
        <f>IF(ISNUMBER(AJ141),AJ141+3,"")</f>
        <v/>
      </c>
      <c r="AC141" s="18" t="n"/>
      <c r="AD141" s="18" t="n"/>
      <c r="AE141" s="18" t="n"/>
      <c r="AF141" s="18" t="n"/>
      <c r="AG141" s="18" t="n"/>
      <c r="AH141" s="18" t="n"/>
      <c r="AI141" s="18" t="n"/>
      <c r="AJ141" s="18" t="n"/>
      <c r="AK141" s="18" t="n"/>
      <c r="AL141" s="18" t="n"/>
      <c r="AM141" s="18" t="n"/>
      <c r="AN141" s="18" t="n"/>
      <c r="AO141" s="18" t="n"/>
      <c r="AP141" s="18" t="n"/>
      <c r="AQ141" s="18" t="n"/>
      <c r="AR141" s="18" t="n"/>
      <c r="AS141" s="18" t="n"/>
      <c r="AT141" s="18" t="n"/>
      <c r="AU141" s="18" t="n"/>
      <c r="AV141" s="18" t="n"/>
      <c r="AW141" s="18" t="n"/>
      <c r="AX141" s="18" t="n"/>
      <c r="AY141" s="18" t="n"/>
      <c r="AZ141" s="15" t="n"/>
    </row>
    <row r="142">
      <c r="A142" s="15" t="n"/>
      <c r="B142" s="15" t="n"/>
      <c r="C142" s="15" t="n"/>
      <c r="D142" s="15" t="n"/>
      <c r="E142" s="15" t="n"/>
      <c r="F142" s="15" t="n"/>
      <c r="G142" s="16">
        <f>IF(F142="","",IFERROR(INDEX(Stammdaten!$B$5:$B$24,MATCH(F142,Stammdaten!$A$5:$A$24,0)),"unbekannt"))</f>
        <v/>
      </c>
      <c r="H142" s="16">
        <f>IF($B142="","",IF(AY142&lt;&gt;"","abgeschlossen",IF(AND(ISNUMBER(AX142),AX142&gt;=TODAY()),"zurückgestellt",IF(OR(AND(ISNUMBER(AA142),AA142&lt;TODAY(),Z142="",AJ142=""),AND(ISNUMBER(Z142),Z142&lt;TODAY(),AJ142=""),AND(ISNUMBER(AB142),AB142&lt;TODAY(),AK142=""),AND(ISNUMBER(AC142),AC142&lt;TODAY(),AO142=""),AND(ISNUMBER(AD142),AD142&lt;TODAY(),AQ142="")),"überfällig","offen"))))</f>
        <v/>
      </c>
      <c r="I142" s="16">
        <f>IF($B142="","",IF(AY142&lt;&gt;"","—",IF(AND(ISNUMBER(AA142),AA142&lt;TODAY(),Z142="",AJ142=""),"Abnahmetermin vereinbaren – Sollfrist verstrichen",IF(AND(ISNUMBER(Z142),Z142&lt;TODAY(),AJ142=""),"Wohnungsabnahme nachtragen – Termin war fällig",IF(AND(ISNUMBER(AB142),AB142&lt;TODAY(),AK142=""),"Handwerker aufbieten – Frist verstrichen",IF(AND(ISNUMBER(AC142),AC142&lt;TODAY(),AO142=""),"Vertrag retour mahnen – Frist verstrichen",IF(AND(ISNUMBER(AD142),AD142&lt;TODAY(),AQ142=""),"Schlüsselübergabe nachtragen – Termin war fällig",IF(M142="","Haftungsdatum erfassen",IF(E142="","ex-Mieter erfassen",IF(AE142="","Kündigung bestätigen / G-Rem",IF(AF142="","Werke / EGT melden",IF(AG142="","Vorbesichtigung (oder n.e.)",IF(AH142="","VMZ aktualisieren",IF(AI142="","Inserat aufschalten",IF(AND(Z142="",AJ142=""),"Abnahmetermin vereinbaren",IF(AJ142="","Wohnungsabnahme durchführen",IF(AK142="","Handwerker aufbieten",IF(AL142="","Zustimmungserklärung einholen",IF(AM142="","Instandstellungen beauftragen",IF(R142="","Nachmieter erfassen",IF(AN142="","Vertrag versenden",IF(AO142="","Vertrag retour erfassen",IF(S142="","Vermietet per erfassen",IF(AP142="","Werke / EGT über Einzug informieren",IF(AND(AD142="",AQ142=""),"Schlüsselübergabe terminieren",IF(AQ142="","Schlüsselübergabe durchführen",IF(AR142="","Reinigung veranlassen",IF(AS142="","Namensschilder bestellen",IF(AT142="","Kaution prüfen / G-Rem mutieren",IF(AU142="","Instandstellungs-Rechnung erfassen",IF(AV142="","Schlussabrechnung erstellen",IF(AW142="","Zahlungseingang kontrollieren","Fall abschliessen"))))))))))))))))))))))))))))))))</f>
        <v/>
      </c>
      <c r="J142" s="17">
        <f>IF(M142="","",IF(S142&lt;&gt;"",MAX(0,S142-M142-1),MAX(0,TODAY()-M142)))</f>
        <v/>
      </c>
      <c r="K142" s="16">
        <f>IF($B142="","",TRIM(IF(AND(L142&lt;&gt;"",M142&lt;&gt;"",M142&lt;L142),"Haftungsdatum vor Kündigung. ","")&amp;IF(AND(S142&lt;&gt;"",M142&lt;&gt;"",S142&lt;M142),"Vermietung vor Leerstandsbeginn. ","")&amp;IF(AND(Z142&lt;&gt;"",L142&lt;&gt;"",Z142&lt;L142),"WA-Termin vor Kündigung. ","")&amp;IF(COUNTIFS($B$5:$B$404,$B142,$AY$5:$AY$404,"")&gt;1,"Zweiter offener Fall zum selben Objekt. ","")&amp;IF(AND($A142&lt;&gt;"",COUNTIFS($A$5:$A$404,$A142)&gt;1),"Fall-Nr. doppelt vergeben. ","")&amp;IF(E142="","ex-Mieter fehlt. ","")&amp;IF(M142="","Haftungsdatum fehlt. ","")&amp;IF(F142="","Bewirtschafter fehlt. ","")&amp;IF(AND(AY142&lt;&gt;"",AW142=""),"Abgeschlossen trotz offener Schlussabrechnung. ","")&amp;IF(AND(AY142="",S142="",ISNUMBER(J142),J142&gt;60),"Langläufer über 60 Tage. ","")))</f>
        <v/>
      </c>
      <c r="L142" s="18" t="n"/>
      <c r="M142" s="18" t="n"/>
      <c r="N142" s="19">
        <f>IF(M142="","",M142+1)</f>
        <v/>
      </c>
      <c r="O142" s="17">
        <f>IF(OR(L142="",M142=""),"",M142-L142)</f>
        <v/>
      </c>
      <c r="P142" s="16">
        <f>IF(M142="","",YEAR(M142+1)&amp;"-"&amp;TEXT(MONTH(M142+1),"00"))</f>
        <v/>
      </c>
      <c r="Q142" s="18" t="n"/>
      <c r="R142" s="15" t="n"/>
      <c r="S142" s="18" t="n"/>
      <c r="T142" s="16">
        <f>IF(U142="","",IF(LEFT(U142,1)="6","abgeschlossen",IF(OR(LEFT(U142,1)="1",LEFT(U142,1)="2"),"Kündigung &amp; Abnahme",IF(OR(LEFT(U142,1)="3",LEFT(U142,1)="4"),"Wiedervermietung","Schlussabrechnung"))))</f>
        <v/>
      </c>
      <c r="U142" s="16">
        <f>IF($B142="","",IF(AY142&lt;&gt;"","6 · abgeschlossen",IF(AW142&lt;&gt;"","5 · bereit zum Abschluss",IF(AT142&lt;&gt;"","5 · Schlussabrechnung",IF(AO142&lt;&gt;"","4 · Übergabe",IF(AM142&lt;&gt;"","3 · Neuvermietung",IF(M142&lt;&gt;"","2 · Abnahme &amp; Vermarktung","1 · Erfassung")))))))</f>
        <v/>
      </c>
      <c r="V142" s="15" t="n"/>
      <c r="W142" s="20" t="n"/>
      <c r="X142" s="15" t="n"/>
      <c r="Y142" s="15" t="n"/>
      <c r="Z142" s="18" t="n"/>
      <c r="AA142" s="19">
        <f>IF(M142="","",M142-30)</f>
        <v/>
      </c>
      <c r="AB142" s="19">
        <f>IF(ISNUMBER(AJ142),AJ142+3,"")</f>
        <v/>
      </c>
      <c r="AC142" s="18" t="n"/>
      <c r="AD142" s="18" t="n"/>
      <c r="AE142" s="18" t="n"/>
      <c r="AF142" s="18" t="n"/>
      <c r="AG142" s="18" t="n"/>
      <c r="AH142" s="18" t="n"/>
      <c r="AI142" s="18" t="n"/>
      <c r="AJ142" s="18" t="n"/>
      <c r="AK142" s="18" t="n"/>
      <c r="AL142" s="18" t="n"/>
      <c r="AM142" s="18" t="n"/>
      <c r="AN142" s="18" t="n"/>
      <c r="AO142" s="18" t="n"/>
      <c r="AP142" s="18" t="n"/>
      <c r="AQ142" s="18" t="n"/>
      <c r="AR142" s="18" t="n"/>
      <c r="AS142" s="18" t="n"/>
      <c r="AT142" s="18" t="n"/>
      <c r="AU142" s="18" t="n"/>
      <c r="AV142" s="18" t="n"/>
      <c r="AW142" s="18" t="n"/>
      <c r="AX142" s="18" t="n"/>
      <c r="AY142" s="18" t="n"/>
      <c r="AZ142" s="15" t="n"/>
    </row>
    <row r="143">
      <c r="A143" s="15" t="n"/>
      <c r="B143" s="15" t="n"/>
      <c r="C143" s="15" t="n"/>
      <c r="D143" s="15" t="n"/>
      <c r="E143" s="15" t="n"/>
      <c r="F143" s="15" t="n"/>
      <c r="G143" s="16">
        <f>IF(F143="","",IFERROR(INDEX(Stammdaten!$B$5:$B$24,MATCH(F143,Stammdaten!$A$5:$A$24,0)),"unbekannt"))</f>
        <v/>
      </c>
      <c r="H143" s="16">
        <f>IF($B143="","",IF(AY143&lt;&gt;"","abgeschlossen",IF(AND(ISNUMBER(AX143),AX143&gt;=TODAY()),"zurückgestellt",IF(OR(AND(ISNUMBER(AA143),AA143&lt;TODAY(),Z143="",AJ143=""),AND(ISNUMBER(Z143),Z143&lt;TODAY(),AJ143=""),AND(ISNUMBER(AB143),AB143&lt;TODAY(),AK143=""),AND(ISNUMBER(AC143),AC143&lt;TODAY(),AO143=""),AND(ISNUMBER(AD143),AD143&lt;TODAY(),AQ143="")),"überfällig","offen"))))</f>
        <v/>
      </c>
      <c r="I143" s="16">
        <f>IF($B143="","",IF(AY143&lt;&gt;"","—",IF(AND(ISNUMBER(AA143),AA143&lt;TODAY(),Z143="",AJ143=""),"Abnahmetermin vereinbaren – Sollfrist verstrichen",IF(AND(ISNUMBER(Z143),Z143&lt;TODAY(),AJ143=""),"Wohnungsabnahme nachtragen – Termin war fällig",IF(AND(ISNUMBER(AB143),AB143&lt;TODAY(),AK143=""),"Handwerker aufbieten – Frist verstrichen",IF(AND(ISNUMBER(AC143),AC143&lt;TODAY(),AO143=""),"Vertrag retour mahnen – Frist verstrichen",IF(AND(ISNUMBER(AD143),AD143&lt;TODAY(),AQ143=""),"Schlüsselübergabe nachtragen – Termin war fällig",IF(M143="","Haftungsdatum erfassen",IF(E143="","ex-Mieter erfassen",IF(AE143="","Kündigung bestätigen / G-Rem",IF(AF143="","Werke / EGT melden",IF(AG143="","Vorbesichtigung (oder n.e.)",IF(AH143="","VMZ aktualisieren",IF(AI143="","Inserat aufschalten",IF(AND(Z143="",AJ143=""),"Abnahmetermin vereinbaren",IF(AJ143="","Wohnungsabnahme durchführen",IF(AK143="","Handwerker aufbieten",IF(AL143="","Zustimmungserklärung einholen",IF(AM143="","Instandstellungen beauftragen",IF(R143="","Nachmieter erfassen",IF(AN143="","Vertrag versenden",IF(AO143="","Vertrag retour erfassen",IF(S143="","Vermietet per erfassen",IF(AP143="","Werke / EGT über Einzug informieren",IF(AND(AD143="",AQ143=""),"Schlüsselübergabe terminieren",IF(AQ143="","Schlüsselübergabe durchführen",IF(AR143="","Reinigung veranlassen",IF(AS143="","Namensschilder bestellen",IF(AT143="","Kaution prüfen / G-Rem mutieren",IF(AU143="","Instandstellungs-Rechnung erfassen",IF(AV143="","Schlussabrechnung erstellen",IF(AW143="","Zahlungseingang kontrollieren","Fall abschliessen"))))))))))))))))))))))))))))))))</f>
        <v/>
      </c>
      <c r="J143" s="17">
        <f>IF(M143="","",IF(S143&lt;&gt;"",MAX(0,S143-M143-1),MAX(0,TODAY()-M143)))</f>
        <v/>
      </c>
      <c r="K143" s="16">
        <f>IF($B143="","",TRIM(IF(AND(L143&lt;&gt;"",M143&lt;&gt;"",M143&lt;L143),"Haftungsdatum vor Kündigung. ","")&amp;IF(AND(S143&lt;&gt;"",M143&lt;&gt;"",S143&lt;M143),"Vermietung vor Leerstandsbeginn. ","")&amp;IF(AND(Z143&lt;&gt;"",L143&lt;&gt;"",Z143&lt;L143),"WA-Termin vor Kündigung. ","")&amp;IF(COUNTIFS($B$5:$B$404,$B143,$AY$5:$AY$404,"")&gt;1,"Zweiter offener Fall zum selben Objekt. ","")&amp;IF(AND($A143&lt;&gt;"",COUNTIFS($A$5:$A$404,$A143)&gt;1),"Fall-Nr. doppelt vergeben. ","")&amp;IF(E143="","ex-Mieter fehlt. ","")&amp;IF(M143="","Haftungsdatum fehlt. ","")&amp;IF(F143="","Bewirtschafter fehlt. ","")&amp;IF(AND(AY143&lt;&gt;"",AW143=""),"Abgeschlossen trotz offener Schlussabrechnung. ","")&amp;IF(AND(AY143="",S143="",ISNUMBER(J143),J143&gt;60),"Langläufer über 60 Tage. ","")))</f>
        <v/>
      </c>
      <c r="L143" s="18" t="n"/>
      <c r="M143" s="18" t="n"/>
      <c r="N143" s="19">
        <f>IF(M143="","",M143+1)</f>
        <v/>
      </c>
      <c r="O143" s="17">
        <f>IF(OR(L143="",M143=""),"",M143-L143)</f>
        <v/>
      </c>
      <c r="P143" s="16">
        <f>IF(M143="","",YEAR(M143+1)&amp;"-"&amp;TEXT(MONTH(M143+1),"00"))</f>
        <v/>
      </c>
      <c r="Q143" s="18" t="n"/>
      <c r="R143" s="15" t="n"/>
      <c r="S143" s="18" t="n"/>
      <c r="T143" s="16">
        <f>IF(U143="","",IF(LEFT(U143,1)="6","abgeschlossen",IF(OR(LEFT(U143,1)="1",LEFT(U143,1)="2"),"Kündigung &amp; Abnahme",IF(OR(LEFT(U143,1)="3",LEFT(U143,1)="4"),"Wiedervermietung","Schlussabrechnung"))))</f>
        <v/>
      </c>
      <c r="U143" s="16">
        <f>IF($B143="","",IF(AY143&lt;&gt;"","6 · abgeschlossen",IF(AW143&lt;&gt;"","5 · bereit zum Abschluss",IF(AT143&lt;&gt;"","5 · Schlussabrechnung",IF(AO143&lt;&gt;"","4 · Übergabe",IF(AM143&lt;&gt;"","3 · Neuvermietung",IF(M143&lt;&gt;"","2 · Abnahme &amp; Vermarktung","1 · Erfassung")))))))</f>
        <v/>
      </c>
      <c r="V143" s="15" t="n"/>
      <c r="W143" s="20" t="n"/>
      <c r="X143" s="15" t="n"/>
      <c r="Y143" s="15" t="n"/>
      <c r="Z143" s="18" t="n"/>
      <c r="AA143" s="19">
        <f>IF(M143="","",M143-30)</f>
        <v/>
      </c>
      <c r="AB143" s="19">
        <f>IF(ISNUMBER(AJ143),AJ143+3,"")</f>
        <v/>
      </c>
      <c r="AC143" s="18" t="n"/>
      <c r="AD143" s="18" t="n"/>
      <c r="AE143" s="18" t="n"/>
      <c r="AF143" s="18" t="n"/>
      <c r="AG143" s="18" t="n"/>
      <c r="AH143" s="18" t="n"/>
      <c r="AI143" s="18" t="n"/>
      <c r="AJ143" s="18" t="n"/>
      <c r="AK143" s="18" t="n"/>
      <c r="AL143" s="18" t="n"/>
      <c r="AM143" s="18" t="n"/>
      <c r="AN143" s="18" t="n"/>
      <c r="AO143" s="18" t="n"/>
      <c r="AP143" s="18" t="n"/>
      <c r="AQ143" s="18" t="n"/>
      <c r="AR143" s="18" t="n"/>
      <c r="AS143" s="18" t="n"/>
      <c r="AT143" s="18" t="n"/>
      <c r="AU143" s="18" t="n"/>
      <c r="AV143" s="18" t="n"/>
      <c r="AW143" s="18" t="n"/>
      <c r="AX143" s="18" t="n"/>
      <c r="AY143" s="18" t="n"/>
      <c r="AZ143" s="15" t="n"/>
    </row>
    <row r="144">
      <c r="A144" s="15" t="n"/>
      <c r="B144" s="15" t="n"/>
      <c r="C144" s="15" t="n"/>
      <c r="D144" s="15" t="n"/>
      <c r="E144" s="15" t="n"/>
      <c r="F144" s="15" t="n"/>
      <c r="G144" s="16">
        <f>IF(F144="","",IFERROR(INDEX(Stammdaten!$B$5:$B$24,MATCH(F144,Stammdaten!$A$5:$A$24,0)),"unbekannt"))</f>
        <v/>
      </c>
      <c r="H144" s="16">
        <f>IF($B144="","",IF(AY144&lt;&gt;"","abgeschlossen",IF(AND(ISNUMBER(AX144),AX144&gt;=TODAY()),"zurückgestellt",IF(OR(AND(ISNUMBER(AA144),AA144&lt;TODAY(),Z144="",AJ144=""),AND(ISNUMBER(Z144),Z144&lt;TODAY(),AJ144=""),AND(ISNUMBER(AB144),AB144&lt;TODAY(),AK144=""),AND(ISNUMBER(AC144),AC144&lt;TODAY(),AO144=""),AND(ISNUMBER(AD144),AD144&lt;TODAY(),AQ144="")),"überfällig","offen"))))</f>
        <v/>
      </c>
      <c r="I144" s="16">
        <f>IF($B144="","",IF(AY144&lt;&gt;"","—",IF(AND(ISNUMBER(AA144),AA144&lt;TODAY(),Z144="",AJ144=""),"Abnahmetermin vereinbaren – Sollfrist verstrichen",IF(AND(ISNUMBER(Z144),Z144&lt;TODAY(),AJ144=""),"Wohnungsabnahme nachtragen – Termin war fällig",IF(AND(ISNUMBER(AB144),AB144&lt;TODAY(),AK144=""),"Handwerker aufbieten – Frist verstrichen",IF(AND(ISNUMBER(AC144),AC144&lt;TODAY(),AO144=""),"Vertrag retour mahnen – Frist verstrichen",IF(AND(ISNUMBER(AD144),AD144&lt;TODAY(),AQ144=""),"Schlüsselübergabe nachtragen – Termin war fällig",IF(M144="","Haftungsdatum erfassen",IF(E144="","ex-Mieter erfassen",IF(AE144="","Kündigung bestätigen / G-Rem",IF(AF144="","Werke / EGT melden",IF(AG144="","Vorbesichtigung (oder n.e.)",IF(AH144="","VMZ aktualisieren",IF(AI144="","Inserat aufschalten",IF(AND(Z144="",AJ144=""),"Abnahmetermin vereinbaren",IF(AJ144="","Wohnungsabnahme durchführen",IF(AK144="","Handwerker aufbieten",IF(AL144="","Zustimmungserklärung einholen",IF(AM144="","Instandstellungen beauftragen",IF(R144="","Nachmieter erfassen",IF(AN144="","Vertrag versenden",IF(AO144="","Vertrag retour erfassen",IF(S144="","Vermietet per erfassen",IF(AP144="","Werke / EGT über Einzug informieren",IF(AND(AD144="",AQ144=""),"Schlüsselübergabe terminieren",IF(AQ144="","Schlüsselübergabe durchführen",IF(AR144="","Reinigung veranlassen",IF(AS144="","Namensschilder bestellen",IF(AT144="","Kaution prüfen / G-Rem mutieren",IF(AU144="","Instandstellungs-Rechnung erfassen",IF(AV144="","Schlussabrechnung erstellen",IF(AW144="","Zahlungseingang kontrollieren","Fall abschliessen"))))))))))))))))))))))))))))))))</f>
        <v/>
      </c>
      <c r="J144" s="17">
        <f>IF(M144="","",IF(S144&lt;&gt;"",MAX(0,S144-M144-1),MAX(0,TODAY()-M144)))</f>
        <v/>
      </c>
      <c r="K144" s="16">
        <f>IF($B144="","",TRIM(IF(AND(L144&lt;&gt;"",M144&lt;&gt;"",M144&lt;L144),"Haftungsdatum vor Kündigung. ","")&amp;IF(AND(S144&lt;&gt;"",M144&lt;&gt;"",S144&lt;M144),"Vermietung vor Leerstandsbeginn. ","")&amp;IF(AND(Z144&lt;&gt;"",L144&lt;&gt;"",Z144&lt;L144),"WA-Termin vor Kündigung. ","")&amp;IF(COUNTIFS($B$5:$B$404,$B144,$AY$5:$AY$404,"")&gt;1,"Zweiter offener Fall zum selben Objekt. ","")&amp;IF(AND($A144&lt;&gt;"",COUNTIFS($A$5:$A$404,$A144)&gt;1),"Fall-Nr. doppelt vergeben. ","")&amp;IF(E144="","ex-Mieter fehlt. ","")&amp;IF(M144="","Haftungsdatum fehlt. ","")&amp;IF(F144="","Bewirtschafter fehlt. ","")&amp;IF(AND(AY144&lt;&gt;"",AW144=""),"Abgeschlossen trotz offener Schlussabrechnung. ","")&amp;IF(AND(AY144="",S144="",ISNUMBER(J144),J144&gt;60),"Langläufer über 60 Tage. ","")))</f>
        <v/>
      </c>
      <c r="L144" s="18" t="n"/>
      <c r="M144" s="18" t="n"/>
      <c r="N144" s="19">
        <f>IF(M144="","",M144+1)</f>
        <v/>
      </c>
      <c r="O144" s="17">
        <f>IF(OR(L144="",M144=""),"",M144-L144)</f>
        <v/>
      </c>
      <c r="P144" s="16">
        <f>IF(M144="","",YEAR(M144+1)&amp;"-"&amp;TEXT(MONTH(M144+1),"00"))</f>
        <v/>
      </c>
      <c r="Q144" s="18" t="n"/>
      <c r="R144" s="15" t="n"/>
      <c r="S144" s="18" t="n"/>
      <c r="T144" s="16">
        <f>IF(U144="","",IF(LEFT(U144,1)="6","abgeschlossen",IF(OR(LEFT(U144,1)="1",LEFT(U144,1)="2"),"Kündigung &amp; Abnahme",IF(OR(LEFT(U144,1)="3",LEFT(U144,1)="4"),"Wiedervermietung","Schlussabrechnung"))))</f>
        <v/>
      </c>
      <c r="U144" s="16">
        <f>IF($B144="","",IF(AY144&lt;&gt;"","6 · abgeschlossen",IF(AW144&lt;&gt;"","5 · bereit zum Abschluss",IF(AT144&lt;&gt;"","5 · Schlussabrechnung",IF(AO144&lt;&gt;"","4 · Übergabe",IF(AM144&lt;&gt;"","3 · Neuvermietung",IF(M144&lt;&gt;"","2 · Abnahme &amp; Vermarktung","1 · Erfassung")))))))</f>
        <v/>
      </c>
      <c r="V144" s="15" t="n"/>
      <c r="W144" s="20" t="n"/>
      <c r="X144" s="15" t="n"/>
      <c r="Y144" s="15" t="n"/>
      <c r="Z144" s="18" t="n"/>
      <c r="AA144" s="19">
        <f>IF(M144="","",M144-30)</f>
        <v/>
      </c>
      <c r="AB144" s="19">
        <f>IF(ISNUMBER(AJ144),AJ144+3,"")</f>
        <v/>
      </c>
      <c r="AC144" s="18" t="n"/>
      <c r="AD144" s="18" t="n"/>
      <c r="AE144" s="18" t="n"/>
      <c r="AF144" s="18" t="n"/>
      <c r="AG144" s="18" t="n"/>
      <c r="AH144" s="18" t="n"/>
      <c r="AI144" s="18" t="n"/>
      <c r="AJ144" s="18" t="n"/>
      <c r="AK144" s="18" t="n"/>
      <c r="AL144" s="18" t="n"/>
      <c r="AM144" s="18" t="n"/>
      <c r="AN144" s="18" t="n"/>
      <c r="AO144" s="18" t="n"/>
      <c r="AP144" s="18" t="n"/>
      <c r="AQ144" s="18" t="n"/>
      <c r="AR144" s="18" t="n"/>
      <c r="AS144" s="18" t="n"/>
      <c r="AT144" s="18" t="n"/>
      <c r="AU144" s="18" t="n"/>
      <c r="AV144" s="18" t="n"/>
      <c r="AW144" s="18" t="n"/>
      <c r="AX144" s="18" t="n"/>
      <c r="AY144" s="18" t="n"/>
      <c r="AZ144" s="15" t="n"/>
    </row>
    <row r="145">
      <c r="A145" s="15" t="n"/>
      <c r="B145" s="15" t="n"/>
      <c r="C145" s="15" t="n"/>
      <c r="D145" s="15" t="n"/>
      <c r="E145" s="15" t="n"/>
      <c r="F145" s="15" t="n"/>
      <c r="G145" s="16">
        <f>IF(F145="","",IFERROR(INDEX(Stammdaten!$B$5:$B$24,MATCH(F145,Stammdaten!$A$5:$A$24,0)),"unbekannt"))</f>
        <v/>
      </c>
      <c r="H145" s="16">
        <f>IF($B145="","",IF(AY145&lt;&gt;"","abgeschlossen",IF(AND(ISNUMBER(AX145),AX145&gt;=TODAY()),"zurückgestellt",IF(OR(AND(ISNUMBER(AA145),AA145&lt;TODAY(),Z145="",AJ145=""),AND(ISNUMBER(Z145),Z145&lt;TODAY(),AJ145=""),AND(ISNUMBER(AB145),AB145&lt;TODAY(),AK145=""),AND(ISNUMBER(AC145),AC145&lt;TODAY(),AO145=""),AND(ISNUMBER(AD145),AD145&lt;TODAY(),AQ145="")),"überfällig","offen"))))</f>
        <v/>
      </c>
      <c r="I145" s="16">
        <f>IF($B145="","",IF(AY145&lt;&gt;"","—",IF(AND(ISNUMBER(AA145),AA145&lt;TODAY(),Z145="",AJ145=""),"Abnahmetermin vereinbaren – Sollfrist verstrichen",IF(AND(ISNUMBER(Z145),Z145&lt;TODAY(),AJ145=""),"Wohnungsabnahme nachtragen – Termin war fällig",IF(AND(ISNUMBER(AB145),AB145&lt;TODAY(),AK145=""),"Handwerker aufbieten – Frist verstrichen",IF(AND(ISNUMBER(AC145),AC145&lt;TODAY(),AO145=""),"Vertrag retour mahnen – Frist verstrichen",IF(AND(ISNUMBER(AD145),AD145&lt;TODAY(),AQ145=""),"Schlüsselübergabe nachtragen – Termin war fällig",IF(M145="","Haftungsdatum erfassen",IF(E145="","ex-Mieter erfassen",IF(AE145="","Kündigung bestätigen / G-Rem",IF(AF145="","Werke / EGT melden",IF(AG145="","Vorbesichtigung (oder n.e.)",IF(AH145="","VMZ aktualisieren",IF(AI145="","Inserat aufschalten",IF(AND(Z145="",AJ145=""),"Abnahmetermin vereinbaren",IF(AJ145="","Wohnungsabnahme durchführen",IF(AK145="","Handwerker aufbieten",IF(AL145="","Zustimmungserklärung einholen",IF(AM145="","Instandstellungen beauftragen",IF(R145="","Nachmieter erfassen",IF(AN145="","Vertrag versenden",IF(AO145="","Vertrag retour erfassen",IF(S145="","Vermietet per erfassen",IF(AP145="","Werke / EGT über Einzug informieren",IF(AND(AD145="",AQ145=""),"Schlüsselübergabe terminieren",IF(AQ145="","Schlüsselübergabe durchführen",IF(AR145="","Reinigung veranlassen",IF(AS145="","Namensschilder bestellen",IF(AT145="","Kaution prüfen / G-Rem mutieren",IF(AU145="","Instandstellungs-Rechnung erfassen",IF(AV145="","Schlussabrechnung erstellen",IF(AW145="","Zahlungseingang kontrollieren","Fall abschliessen"))))))))))))))))))))))))))))))))</f>
        <v/>
      </c>
      <c r="J145" s="17">
        <f>IF(M145="","",IF(S145&lt;&gt;"",MAX(0,S145-M145-1),MAX(0,TODAY()-M145)))</f>
        <v/>
      </c>
      <c r="K145" s="16">
        <f>IF($B145="","",TRIM(IF(AND(L145&lt;&gt;"",M145&lt;&gt;"",M145&lt;L145),"Haftungsdatum vor Kündigung. ","")&amp;IF(AND(S145&lt;&gt;"",M145&lt;&gt;"",S145&lt;M145),"Vermietung vor Leerstandsbeginn. ","")&amp;IF(AND(Z145&lt;&gt;"",L145&lt;&gt;"",Z145&lt;L145),"WA-Termin vor Kündigung. ","")&amp;IF(COUNTIFS($B$5:$B$404,$B145,$AY$5:$AY$404,"")&gt;1,"Zweiter offener Fall zum selben Objekt. ","")&amp;IF(AND($A145&lt;&gt;"",COUNTIFS($A$5:$A$404,$A145)&gt;1),"Fall-Nr. doppelt vergeben. ","")&amp;IF(E145="","ex-Mieter fehlt. ","")&amp;IF(M145="","Haftungsdatum fehlt. ","")&amp;IF(F145="","Bewirtschafter fehlt. ","")&amp;IF(AND(AY145&lt;&gt;"",AW145=""),"Abgeschlossen trotz offener Schlussabrechnung. ","")&amp;IF(AND(AY145="",S145="",ISNUMBER(J145),J145&gt;60),"Langläufer über 60 Tage. ","")))</f>
        <v/>
      </c>
      <c r="L145" s="18" t="n"/>
      <c r="M145" s="18" t="n"/>
      <c r="N145" s="19">
        <f>IF(M145="","",M145+1)</f>
        <v/>
      </c>
      <c r="O145" s="17">
        <f>IF(OR(L145="",M145=""),"",M145-L145)</f>
        <v/>
      </c>
      <c r="P145" s="16">
        <f>IF(M145="","",YEAR(M145+1)&amp;"-"&amp;TEXT(MONTH(M145+1),"00"))</f>
        <v/>
      </c>
      <c r="Q145" s="18" t="n"/>
      <c r="R145" s="15" t="n"/>
      <c r="S145" s="18" t="n"/>
      <c r="T145" s="16">
        <f>IF(U145="","",IF(LEFT(U145,1)="6","abgeschlossen",IF(OR(LEFT(U145,1)="1",LEFT(U145,1)="2"),"Kündigung &amp; Abnahme",IF(OR(LEFT(U145,1)="3",LEFT(U145,1)="4"),"Wiedervermietung","Schlussabrechnung"))))</f>
        <v/>
      </c>
      <c r="U145" s="16">
        <f>IF($B145="","",IF(AY145&lt;&gt;"","6 · abgeschlossen",IF(AW145&lt;&gt;"","5 · bereit zum Abschluss",IF(AT145&lt;&gt;"","5 · Schlussabrechnung",IF(AO145&lt;&gt;"","4 · Übergabe",IF(AM145&lt;&gt;"","3 · Neuvermietung",IF(M145&lt;&gt;"","2 · Abnahme &amp; Vermarktung","1 · Erfassung")))))))</f>
        <v/>
      </c>
      <c r="V145" s="15" t="n"/>
      <c r="W145" s="20" t="n"/>
      <c r="X145" s="15" t="n"/>
      <c r="Y145" s="15" t="n"/>
      <c r="Z145" s="18" t="n"/>
      <c r="AA145" s="19">
        <f>IF(M145="","",M145-30)</f>
        <v/>
      </c>
      <c r="AB145" s="19">
        <f>IF(ISNUMBER(AJ145),AJ145+3,"")</f>
        <v/>
      </c>
      <c r="AC145" s="18" t="n"/>
      <c r="AD145" s="18" t="n"/>
      <c r="AE145" s="18" t="n"/>
      <c r="AF145" s="18" t="n"/>
      <c r="AG145" s="18" t="n"/>
      <c r="AH145" s="18" t="n"/>
      <c r="AI145" s="18" t="n"/>
      <c r="AJ145" s="18" t="n"/>
      <c r="AK145" s="18" t="n"/>
      <c r="AL145" s="18" t="n"/>
      <c r="AM145" s="18" t="n"/>
      <c r="AN145" s="18" t="n"/>
      <c r="AO145" s="18" t="n"/>
      <c r="AP145" s="18" t="n"/>
      <c r="AQ145" s="18" t="n"/>
      <c r="AR145" s="18" t="n"/>
      <c r="AS145" s="18" t="n"/>
      <c r="AT145" s="18" t="n"/>
      <c r="AU145" s="18" t="n"/>
      <c r="AV145" s="18" t="n"/>
      <c r="AW145" s="18" t="n"/>
      <c r="AX145" s="18" t="n"/>
      <c r="AY145" s="18" t="n"/>
      <c r="AZ145" s="15" t="n"/>
    </row>
    <row r="146">
      <c r="A146" s="15" t="n"/>
      <c r="B146" s="15" t="n"/>
      <c r="C146" s="15" t="n"/>
      <c r="D146" s="15" t="n"/>
      <c r="E146" s="15" t="n"/>
      <c r="F146" s="15" t="n"/>
      <c r="G146" s="16">
        <f>IF(F146="","",IFERROR(INDEX(Stammdaten!$B$5:$B$24,MATCH(F146,Stammdaten!$A$5:$A$24,0)),"unbekannt"))</f>
        <v/>
      </c>
      <c r="H146" s="16">
        <f>IF($B146="","",IF(AY146&lt;&gt;"","abgeschlossen",IF(AND(ISNUMBER(AX146),AX146&gt;=TODAY()),"zurückgestellt",IF(OR(AND(ISNUMBER(AA146),AA146&lt;TODAY(),Z146="",AJ146=""),AND(ISNUMBER(Z146),Z146&lt;TODAY(),AJ146=""),AND(ISNUMBER(AB146),AB146&lt;TODAY(),AK146=""),AND(ISNUMBER(AC146),AC146&lt;TODAY(),AO146=""),AND(ISNUMBER(AD146),AD146&lt;TODAY(),AQ146="")),"überfällig","offen"))))</f>
        <v/>
      </c>
      <c r="I146" s="16">
        <f>IF($B146="","",IF(AY146&lt;&gt;"","—",IF(AND(ISNUMBER(AA146),AA146&lt;TODAY(),Z146="",AJ146=""),"Abnahmetermin vereinbaren – Sollfrist verstrichen",IF(AND(ISNUMBER(Z146),Z146&lt;TODAY(),AJ146=""),"Wohnungsabnahme nachtragen – Termin war fällig",IF(AND(ISNUMBER(AB146),AB146&lt;TODAY(),AK146=""),"Handwerker aufbieten – Frist verstrichen",IF(AND(ISNUMBER(AC146),AC146&lt;TODAY(),AO146=""),"Vertrag retour mahnen – Frist verstrichen",IF(AND(ISNUMBER(AD146),AD146&lt;TODAY(),AQ146=""),"Schlüsselübergabe nachtragen – Termin war fällig",IF(M146="","Haftungsdatum erfassen",IF(E146="","ex-Mieter erfassen",IF(AE146="","Kündigung bestätigen / G-Rem",IF(AF146="","Werke / EGT melden",IF(AG146="","Vorbesichtigung (oder n.e.)",IF(AH146="","VMZ aktualisieren",IF(AI146="","Inserat aufschalten",IF(AND(Z146="",AJ146=""),"Abnahmetermin vereinbaren",IF(AJ146="","Wohnungsabnahme durchführen",IF(AK146="","Handwerker aufbieten",IF(AL146="","Zustimmungserklärung einholen",IF(AM146="","Instandstellungen beauftragen",IF(R146="","Nachmieter erfassen",IF(AN146="","Vertrag versenden",IF(AO146="","Vertrag retour erfassen",IF(S146="","Vermietet per erfassen",IF(AP146="","Werke / EGT über Einzug informieren",IF(AND(AD146="",AQ146=""),"Schlüsselübergabe terminieren",IF(AQ146="","Schlüsselübergabe durchführen",IF(AR146="","Reinigung veranlassen",IF(AS146="","Namensschilder bestellen",IF(AT146="","Kaution prüfen / G-Rem mutieren",IF(AU146="","Instandstellungs-Rechnung erfassen",IF(AV146="","Schlussabrechnung erstellen",IF(AW146="","Zahlungseingang kontrollieren","Fall abschliessen"))))))))))))))))))))))))))))))))</f>
        <v/>
      </c>
      <c r="J146" s="17">
        <f>IF(M146="","",IF(S146&lt;&gt;"",MAX(0,S146-M146-1),MAX(0,TODAY()-M146)))</f>
        <v/>
      </c>
      <c r="K146" s="16">
        <f>IF($B146="","",TRIM(IF(AND(L146&lt;&gt;"",M146&lt;&gt;"",M146&lt;L146),"Haftungsdatum vor Kündigung. ","")&amp;IF(AND(S146&lt;&gt;"",M146&lt;&gt;"",S146&lt;M146),"Vermietung vor Leerstandsbeginn. ","")&amp;IF(AND(Z146&lt;&gt;"",L146&lt;&gt;"",Z146&lt;L146),"WA-Termin vor Kündigung. ","")&amp;IF(COUNTIFS($B$5:$B$404,$B146,$AY$5:$AY$404,"")&gt;1,"Zweiter offener Fall zum selben Objekt. ","")&amp;IF(AND($A146&lt;&gt;"",COUNTIFS($A$5:$A$404,$A146)&gt;1),"Fall-Nr. doppelt vergeben. ","")&amp;IF(E146="","ex-Mieter fehlt. ","")&amp;IF(M146="","Haftungsdatum fehlt. ","")&amp;IF(F146="","Bewirtschafter fehlt. ","")&amp;IF(AND(AY146&lt;&gt;"",AW146=""),"Abgeschlossen trotz offener Schlussabrechnung. ","")&amp;IF(AND(AY146="",S146="",ISNUMBER(J146),J146&gt;60),"Langläufer über 60 Tage. ","")))</f>
        <v/>
      </c>
      <c r="L146" s="18" t="n"/>
      <c r="M146" s="18" t="n"/>
      <c r="N146" s="19">
        <f>IF(M146="","",M146+1)</f>
        <v/>
      </c>
      <c r="O146" s="17">
        <f>IF(OR(L146="",M146=""),"",M146-L146)</f>
        <v/>
      </c>
      <c r="P146" s="16">
        <f>IF(M146="","",YEAR(M146+1)&amp;"-"&amp;TEXT(MONTH(M146+1),"00"))</f>
        <v/>
      </c>
      <c r="Q146" s="18" t="n"/>
      <c r="R146" s="15" t="n"/>
      <c r="S146" s="18" t="n"/>
      <c r="T146" s="16">
        <f>IF(U146="","",IF(LEFT(U146,1)="6","abgeschlossen",IF(OR(LEFT(U146,1)="1",LEFT(U146,1)="2"),"Kündigung &amp; Abnahme",IF(OR(LEFT(U146,1)="3",LEFT(U146,1)="4"),"Wiedervermietung","Schlussabrechnung"))))</f>
        <v/>
      </c>
      <c r="U146" s="16">
        <f>IF($B146="","",IF(AY146&lt;&gt;"","6 · abgeschlossen",IF(AW146&lt;&gt;"","5 · bereit zum Abschluss",IF(AT146&lt;&gt;"","5 · Schlussabrechnung",IF(AO146&lt;&gt;"","4 · Übergabe",IF(AM146&lt;&gt;"","3 · Neuvermietung",IF(M146&lt;&gt;"","2 · Abnahme &amp; Vermarktung","1 · Erfassung")))))))</f>
        <v/>
      </c>
      <c r="V146" s="15" t="n"/>
      <c r="W146" s="20" t="n"/>
      <c r="X146" s="15" t="n"/>
      <c r="Y146" s="15" t="n"/>
      <c r="Z146" s="18" t="n"/>
      <c r="AA146" s="19">
        <f>IF(M146="","",M146-30)</f>
        <v/>
      </c>
      <c r="AB146" s="19">
        <f>IF(ISNUMBER(AJ146),AJ146+3,"")</f>
        <v/>
      </c>
      <c r="AC146" s="18" t="n"/>
      <c r="AD146" s="18" t="n"/>
      <c r="AE146" s="18" t="n"/>
      <c r="AF146" s="18" t="n"/>
      <c r="AG146" s="18" t="n"/>
      <c r="AH146" s="18" t="n"/>
      <c r="AI146" s="18" t="n"/>
      <c r="AJ146" s="18" t="n"/>
      <c r="AK146" s="18" t="n"/>
      <c r="AL146" s="18" t="n"/>
      <c r="AM146" s="18" t="n"/>
      <c r="AN146" s="18" t="n"/>
      <c r="AO146" s="18" t="n"/>
      <c r="AP146" s="18" t="n"/>
      <c r="AQ146" s="18" t="n"/>
      <c r="AR146" s="18" t="n"/>
      <c r="AS146" s="18" t="n"/>
      <c r="AT146" s="18" t="n"/>
      <c r="AU146" s="18" t="n"/>
      <c r="AV146" s="18" t="n"/>
      <c r="AW146" s="18" t="n"/>
      <c r="AX146" s="18" t="n"/>
      <c r="AY146" s="18" t="n"/>
      <c r="AZ146" s="15" t="n"/>
    </row>
    <row r="147">
      <c r="A147" s="15" t="n"/>
      <c r="B147" s="15" t="n"/>
      <c r="C147" s="15" t="n"/>
      <c r="D147" s="15" t="n"/>
      <c r="E147" s="15" t="n"/>
      <c r="F147" s="15" t="n"/>
      <c r="G147" s="16">
        <f>IF(F147="","",IFERROR(INDEX(Stammdaten!$B$5:$B$24,MATCH(F147,Stammdaten!$A$5:$A$24,0)),"unbekannt"))</f>
        <v/>
      </c>
      <c r="H147" s="16">
        <f>IF($B147="","",IF(AY147&lt;&gt;"","abgeschlossen",IF(AND(ISNUMBER(AX147),AX147&gt;=TODAY()),"zurückgestellt",IF(OR(AND(ISNUMBER(AA147),AA147&lt;TODAY(),Z147="",AJ147=""),AND(ISNUMBER(Z147),Z147&lt;TODAY(),AJ147=""),AND(ISNUMBER(AB147),AB147&lt;TODAY(),AK147=""),AND(ISNUMBER(AC147),AC147&lt;TODAY(),AO147=""),AND(ISNUMBER(AD147),AD147&lt;TODAY(),AQ147="")),"überfällig","offen"))))</f>
        <v/>
      </c>
      <c r="I147" s="16">
        <f>IF($B147="","",IF(AY147&lt;&gt;"","—",IF(AND(ISNUMBER(AA147),AA147&lt;TODAY(),Z147="",AJ147=""),"Abnahmetermin vereinbaren – Sollfrist verstrichen",IF(AND(ISNUMBER(Z147),Z147&lt;TODAY(),AJ147=""),"Wohnungsabnahme nachtragen – Termin war fällig",IF(AND(ISNUMBER(AB147),AB147&lt;TODAY(),AK147=""),"Handwerker aufbieten – Frist verstrichen",IF(AND(ISNUMBER(AC147),AC147&lt;TODAY(),AO147=""),"Vertrag retour mahnen – Frist verstrichen",IF(AND(ISNUMBER(AD147),AD147&lt;TODAY(),AQ147=""),"Schlüsselübergabe nachtragen – Termin war fällig",IF(M147="","Haftungsdatum erfassen",IF(E147="","ex-Mieter erfassen",IF(AE147="","Kündigung bestätigen / G-Rem",IF(AF147="","Werke / EGT melden",IF(AG147="","Vorbesichtigung (oder n.e.)",IF(AH147="","VMZ aktualisieren",IF(AI147="","Inserat aufschalten",IF(AND(Z147="",AJ147=""),"Abnahmetermin vereinbaren",IF(AJ147="","Wohnungsabnahme durchführen",IF(AK147="","Handwerker aufbieten",IF(AL147="","Zustimmungserklärung einholen",IF(AM147="","Instandstellungen beauftragen",IF(R147="","Nachmieter erfassen",IF(AN147="","Vertrag versenden",IF(AO147="","Vertrag retour erfassen",IF(S147="","Vermietet per erfassen",IF(AP147="","Werke / EGT über Einzug informieren",IF(AND(AD147="",AQ147=""),"Schlüsselübergabe terminieren",IF(AQ147="","Schlüsselübergabe durchführen",IF(AR147="","Reinigung veranlassen",IF(AS147="","Namensschilder bestellen",IF(AT147="","Kaution prüfen / G-Rem mutieren",IF(AU147="","Instandstellungs-Rechnung erfassen",IF(AV147="","Schlussabrechnung erstellen",IF(AW147="","Zahlungseingang kontrollieren","Fall abschliessen"))))))))))))))))))))))))))))))))</f>
        <v/>
      </c>
      <c r="J147" s="17">
        <f>IF(M147="","",IF(S147&lt;&gt;"",MAX(0,S147-M147-1),MAX(0,TODAY()-M147)))</f>
        <v/>
      </c>
      <c r="K147" s="16">
        <f>IF($B147="","",TRIM(IF(AND(L147&lt;&gt;"",M147&lt;&gt;"",M147&lt;L147),"Haftungsdatum vor Kündigung. ","")&amp;IF(AND(S147&lt;&gt;"",M147&lt;&gt;"",S147&lt;M147),"Vermietung vor Leerstandsbeginn. ","")&amp;IF(AND(Z147&lt;&gt;"",L147&lt;&gt;"",Z147&lt;L147),"WA-Termin vor Kündigung. ","")&amp;IF(COUNTIFS($B$5:$B$404,$B147,$AY$5:$AY$404,"")&gt;1,"Zweiter offener Fall zum selben Objekt. ","")&amp;IF(AND($A147&lt;&gt;"",COUNTIFS($A$5:$A$404,$A147)&gt;1),"Fall-Nr. doppelt vergeben. ","")&amp;IF(E147="","ex-Mieter fehlt. ","")&amp;IF(M147="","Haftungsdatum fehlt. ","")&amp;IF(F147="","Bewirtschafter fehlt. ","")&amp;IF(AND(AY147&lt;&gt;"",AW147=""),"Abgeschlossen trotz offener Schlussabrechnung. ","")&amp;IF(AND(AY147="",S147="",ISNUMBER(J147),J147&gt;60),"Langläufer über 60 Tage. ","")))</f>
        <v/>
      </c>
      <c r="L147" s="18" t="n"/>
      <c r="M147" s="18" t="n"/>
      <c r="N147" s="19">
        <f>IF(M147="","",M147+1)</f>
        <v/>
      </c>
      <c r="O147" s="17">
        <f>IF(OR(L147="",M147=""),"",M147-L147)</f>
        <v/>
      </c>
      <c r="P147" s="16">
        <f>IF(M147="","",YEAR(M147+1)&amp;"-"&amp;TEXT(MONTH(M147+1),"00"))</f>
        <v/>
      </c>
      <c r="Q147" s="18" t="n"/>
      <c r="R147" s="15" t="n"/>
      <c r="S147" s="18" t="n"/>
      <c r="T147" s="16">
        <f>IF(U147="","",IF(LEFT(U147,1)="6","abgeschlossen",IF(OR(LEFT(U147,1)="1",LEFT(U147,1)="2"),"Kündigung &amp; Abnahme",IF(OR(LEFT(U147,1)="3",LEFT(U147,1)="4"),"Wiedervermietung","Schlussabrechnung"))))</f>
        <v/>
      </c>
      <c r="U147" s="16">
        <f>IF($B147="","",IF(AY147&lt;&gt;"","6 · abgeschlossen",IF(AW147&lt;&gt;"","5 · bereit zum Abschluss",IF(AT147&lt;&gt;"","5 · Schlussabrechnung",IF(AO147&lt;&gt;"","4 · Übergabe",IF(AM147&lt;&gt;"","3 · Neuvermietung",IF(M147&lt;&gt;"","2 · Abnahme &amp; Vermarktung","1 · Erfassung")))))))</f>
        <v/>
      </c>
      <c r="V147" s="15" t="n"/>
      <c r="W147" s="20" t="n"/>
      <c r="X147" s="15" t="n"/>
      <c r="Y147" s="15" t="n"/>
      <c r="Z147" s="18" t="n"/>
      <c r="AA147" s="19">
        <f>IF(M147="","",M147-30)</f>
        <v/>
      </c>
      <c r="AB147" s="19">
        <f>IF(ISNUMBER(AJ147),AJ147+3,"")</f>
        <v/>
      </c>
      <c r="AC147" s="18" t="n"/>
      <c r="AD147" s="18" t="n"/>
      <c r="AE147" s="18" t="n"/>
      <c r="AF147" s="18" t="n"/>
      <c r="AG147" s="18" t="n"/>
      <c r="AH147" s="18" t="n"/>
      <c r="AI147" s="18" t="n"/>
      <c r="AJ147" s="18" t="n"/>
      <c r="AK147" s="18" t="n"/>
      <c r="AL147" s="18" t="n"/>
      <c r="AM147" s="18" t="n"/>
      <c r="AN147" s="18" t="n"/>
      <c r="AO147" s="18" t="n"/>
      <c r="AP147" s="18" t="n"/>
      <c r="AQ147" s="18" t="n"/>
      <c r="AR147" s="18" t="n"/>
      <c r="AS147" s="18" t="n"/>
      <c r="AT147" s="18" t="n"/>
      <c r="AU147" s="18" t="n"/>
      <c r="AV147" s="18" t="n"/>
      <c r="AW147" s="18" t="n"/>
      <c r="AX147" s="18" t="n"/>
      <c r="AY147" s="18" t="n"/>
      <c r="AZ147" s="15" t="n"/>
    </row>
    <row r="148">
      <c r="A148" s="15" t="n"/>
      <c r="B148" s="15" t="n"/>
      <c r="C148" s="15" t="n"/>
      <c r="D148" s="15" t="n"/>
      <c r="E148" s="15" t="n"/>
      <c r="F148" s="15" t="n"/>
      <c r="G148" s="16">
        <f>IF(F148="","",IFERROR(INDEX(Stammdaten!$B$5:$B$24,MATCH(F148,Stammdaten!$A$5:$A$24,0)),"unbekannt"))</f>
        <v/>
      </c>
      <c r="H148" s="16">
        <f>IF($B148="","",IF(AY148&lt;&gt;"","abgeschlossen",IF(AND(ISNUMBER(AX148),AX148&gt;=TODAY()),"zurückgestellt",IF(OR(AND(ISNUMBER(AA148),AA148&lt;TODAY(),Z148="",AJ148=""),AND(ISNUMBER(Z148),Z148&lt;TODAY(),AJ148=""),AND(ISNUMBER(AB148),AB148&lt;TODAY(),AK148=""),AND(ISNUMBER(AC148),AC148&lt;TODAY(),AO148=""),AND(ISNUMBER(AD148),AD148&lt;TODAY(),AQ148="")),"überfällig","offen"))))</f>
        <v/>
      </c>
      <c r="I148" s="16">
        <f>IF($B148="","",IF(AY148&lt;&gt;"","—",IF(AND(ISNUMBER(AA148),AA148&lt;TODAY(),Z148="",AJ148=""),"Abnahmetermin vereinbaren – Sollfrist verstrichen",IF(AND(ISNUMBER(Z148),Z148&lt;TODAY(),AJ148=""),"Wohnungsabnahme nachtragen – Termin war fällig",IF(AND(ISNUMBER(AB148),AB148&lt;TODAY(),AK148=""),"Handwerker aufbieten – Frist verstrichen",IF(AND(ISNUMBER(AC148),AC148&lt;TODAY(),AO148=""),"Vertrag retour mahnen – Frist verstrichen",IF(AND(ISNUMBER(AD148),AD148&lt;TODAY(),AQ148=""),"Schlüsselübergabe nachtragen – Termin war fällig",IF(M148="","Haftungsdatum erfassen",IF(E148="","ex-Mieter erfassen",IF(AE148="","Kündigung bestätigen / G-Rem",IF(AF148="","Werke / EGT melden",IF(AG148="","Vorbesichtigung (oder n.e.)",IF(AH148="","VMZ aktualisieren",IF(AI148="","Inserat aufschalten",IF(AND(Z148="",AJ148=""),"Abnahmetermin vereinbaren",IF(AJ148="","Wohnungsabnahme durchführen",IF(AK148="","Handwerker aufbieten",IF(AL148="","Zustimmungserklärung einholen",IF(AM148="","Instandstellungen beauftragen",IF(R148="","Nachmieter erfassen",IF(AN148="","Vertrag versenden",IF(AO148="","Vertrag retour erfassen",IF(S148="","Vermietet per erfassen",IF(AP148="","Werke / EGT über Einzug informieren",IF(AND(AD148="",AQ148=""),"Schlüsselübergabe terminieren",IF(AQ148="","Schlüsselübergabe durchführen",IF(AR148="","Reinigung veranlassen",IF(AS148="","Namensschilder bestellen",IF(AT148="","Kaution prüfen / G-Rem mutieren",IF(AU148="","Instandstellungs-Rechnung erfassen",IF(AV148="","Schlussabrechnung erstellen",IF(AW148="","Zahlungseingang kontrollieren","Fall abschliessen"))))))))))))))))))))))))))))))))</f>
        <v/>
      </c>
      <c r="J148" s="17">
        <f>IF(M148="","",IF(S148&lt;&gt;"",MAX(0,S148-M148-1),MAX(0,TODAY()-M148)))</f>
        <v/>
      </c>
      <c r="K148" s="16">
        <f>IF($B148="","",TRIM(IF(AND(L148&lt;&gt;"",M148&lt;&gt;"",M148&lt;L148),"Haftungsdatum vor Kündigung. ","")&amp;IF(AND(S148&lt;&gt;"",M148&lt;&gt;"",S148&lt;M148),"Vermietung vor Leerstandsbeginn. ","")&amp;IF(AND(Z148&lt;&gt;"",L148&lt;&gt;"",Z148&lt;L148),"WA-Termin vor Kündigung. ","")&amp;IF(COUNTIFS($B$5:$B$404,$B148,$AY$5:$AY$404,"")&gt;1,"Zweiter offener Fall zum selben Objekt. ","")&amp;IF(AND($A148&lt;&gt;"",COUNTIFS($A$5:$A$404,$A148)&gt;1),"Fall-Nr. doppelt vergeben. ","")&amp;IF(E148="","ex-Mieter fehlt. ","")&amp;IF(M148="","Haftungsdatum fehlt. ","")&amp;IF(F148="","Bewirtschafter fehlt. ","")&amp;IF(AND(AY148&lt;&gt;"",AW148=""),"Abgeschlossen trotz offener Schlussabrechnung. ","")&amp;IF(AND(AY148="",S148="",ISNUMBER(J148),J148&gt;60),"Langläufer über 60 Tage. ","")))</f>
        <v/>
      </c>
      <c r="L148" s="18" t="n"/>
      <c r="M148" s="18" t="n"/>
      <c r="N148" s="19">
        <f>IF(M148="","",M148+1)</f>
        <v/>
      </c>
      <c r="O148" s="17">
        <f>IF(OR(L148="",M148=""),"",M148-L148)</f>
        <v/>
      </c>
      <c r="P148" s="16">
        <f>IF(M148="","",YEAR(M148+1)&amp;"-"&amp;TEXT(MONTH(M148+1),"00"))</f>
        <v/>
      </c>
      <c r="Q148" s="18" t="n"/>
      <c r="R148" s="15" t="n"/>
      <c r="S148" s="18" t="n"/>
      <c r="T148" s="16">
        <f>IF(U148="","",IF(LEFT(U148,1)="6","abgeschlossen",IF(OR(LEFT(U148,1)="1",LEFT(U148,1)="2"),"Kündigung &amp; Abnahme",IF(OR(LEFT(U148,1)="3",LEFT(U148,1)="4"),"Wiedervermietung","Schlussabrechnung"))))</f>
        <v/>
      </c>
      <c r="U148" s="16">
        <f>IF($B148="","",IF(AY148&lt;&gt;"","6 · abgeschlossen",IF(AW148&lt;&gt;"","5 · bereit zum Abschluss",IF(AT148&lt;&gt;"","5 · Schlussabrechnung",IF(AO148&lt;&gt;"","4 · Übergabe",IF(AM148&lt;&gt;"","3 · Neuvermietung",IF(M148&lt;&gt;"","2 · Abnahme &amp; Vermarktung","1 · Erfassung")))))))</f>
        <v/>
      </c>
      <c r="V148" s="15" t="n"/>
      <c r="W148" s="20" t="n"/>
      <c r="X148" s="15" t="n"/>
      <c r="Y148" s="15" t="n"/>
      <c r="Z148" s="18" t="n"/>
      <c r="AA148" s="19">
        <f>IF(M148="","",M148-30)</f>
        <v/>
      </c>
      <c r="AB148" s="19">
        <f>IF(ISNUMBER(AJ148),AJ148+3,"")</f>
        <v/>
      </c>
      <c r="AC148" s="18" t="n"/>
      <c r="AD148" s="18" t="n"/>
      <c r="AE148" s="18" t="n"/>
      <c r="AF148" s="18" t="n"/>
      <c r="AG148" s="18" t="n"/>
      <c r="AH148" s="18" t="n"/>
      <c r="AI148" s="18" t="n"/>
      <c r="AJ148" s="18" t="n"/>
      <c r="AK148" s="18" t="n"/>
      <c r="AL148" s="18" t="n"/>
      <c r="AM148" s="18" t="n"/>
      <c r="AN148" s="18" t="n"/>
      <c r="AO148" s="18" t="n"/>
      <c r="AP148" s="18" t="n"/>
      <c r="AQ148" s="18" t="n"/>
      <c r="AR148" s="18" t="n"/>
      <c r="AS148" s="18" t="n"/>
      <c r="AT148" s="18" t="n"/>
      <c r="AU148" s="18" t="n"/>
      <c r="AV148" s="18" t="n"/>
      <c r="AW148" s="18" t="n"/>
      <c r="AX148" s="18" t="n"/>
      <c r="AY148" s="18" t="n"/>
      <c r="AZ148" s="15" t="n"/>
    </row>
    <row r="149">
      <c r="A149" s="15" t="n"/>
      <c r="B149" s="15" t="n"/>
      <c r="C149" s="15" t="n"/>
      <c r="D149" s="15" t="n"/>
      <c r="E149" s="15" t="n"/>
      <c r="F149" s="15" t="n"/>
      <c r="G149" s="16">
        <f>IF(F149="","",IFERROR(INDEX(Stammdaten!$B$5:$B$24,MATCH(F149,Stammdaten!$A$5:$A$24,0)),"unbekannt"))</f>
        <v/>
      </c>
      <c r="H149" s="16">
        <f>IF($B149="","",IF(AY149&lt;&gt;"","abgeschlossen",IF(AND(ISNUMBER(AX149),AX149&gt;=TODAY()),"zurückgestellt",IF(OR(AND(ISNUMBER(AA149),AA149&lt;TODAY(),Z149="",AJ149=""),AND(ISNUMBER(Z149),Z149&lt;TODAY(),AJ149=""),AND(ISNUMBER(AB149),AB149&lt;TODAY(),AK149=""),AND(ISNUMBER(AC149),AC149&lt;TODAY(),AO149=""),AND(ISNUMBER(AD149),AD149&lt;TODAY(),AQ149="")),"überfällig","offen"))))</f>
        <v/>
      </c>
      <c r="I149" s="16">
        <f>IF($B149="","",IF(AY149&lt;&gt;"","—",IF(AND(ISNUMBER(AA149),AA149&lt;TODAY(),Z149="",AJ149=""),"Abnahmetermin vereinbaren – Sollfrist verstrichen",IF(AND(ISNUMBER(Z149),Z149&lt;TODAY(),AJ149=""),"Wohnungsabnahme nachtragen – Termin war fällig",IF(AND(ISNUMBER(AB149),AB149&lt;TODAY(),AK149=""),"Handwerker aufbieten – Frist verstrichen",IF(AND(ISNUMBER(AC149),AC149&lt;TODAY(),AO149=""),"Vertrag retour mahnen – Frist verstrichen",IF(AND(ISNUMBER(AD149),AD149&lt;TODAY(),AQ149=""),"Schlüsselübergabe nachtragen – Termin war fällig",IF(M149="","Haftungsdatum erfassen",IF(E149="","ex-Mieter erfassen",IF(AE149="","Kündigung bestätigen / G-Rem",IF(AF149="","Werke / EGT melden",IF(AG149="","Vorbesichtigung (oder n.e.)",IF(AH149="","VMZ aktualisieren",IF(AI149="","Inserat aufschalten",IF(AND(Z149="",AJ149=""),"Abnahmetermin vereinbaren",IF(AJ149="","Wohnungsabnahme durchführen",IF(AK149="","Handwerker aufbieten",IF(AL149="","Zustimmungserklärung einholen",IF(AM149="","Instandstellungen beauftragen",IF(R149="","Nachmieter erfassen",IF(AN149="","Vertrag versenden",IF(AO149="","Vertrag retour erfassen",IF(S149="","Vermietet per erfassen",IF(AP149="","Werke / EGT über Einzug informieren",IF(AND(AD149="",AQ149=""),"Schlüsselübergabe terminieren",IF(AQ149="","Schlüsselübergabe durchführen",IF(AR149="","Reinigung veranlassen",IF(AS149="","Namensschilder bestellen",IF(AT149="","Kaution prüfen / G-Rem mutieren",IF(AU149="","Instandstellungs-Rechnung erfassen",IF(AV149="","Schlussabrechnung erstellen",IF(AW149="","Zahlungseingang kontrollieren","Fall abschliessen"))))))))))))))))))))))))))))))))</f>
        <v/>
      </c>
      <c r="J149" s="17">
        <f>IF(M149="","",IF(S149&lt;&gt;"",MAX(0,S149-M149-1),MAX(0,TODAY()-M149)))</f>
        <v/>
      </c>
      <c r="K149" s="16">
        <f>IF($B149="","",TRIM(IF(AND(L149&lt;&gt;"",M149&lt;&gt;"",M149&lt;L149),"Haftungsdatum vor Kündigung. ","")&amp;IF(AND(S149&lt;&gt;"",M149&lt;&gt;"",S149&lt;M149),"Vermietung vor Leerstandsbeginn. ","")&amp;IF(AND(Z149&lt;&gt;"",L149&lt;&gt;"",Z149&lt;L149),"WA-Termin vor Kündigung. ","")&amp;IF(COUNTIFS($B$5:$B$404,$B149,$AY$5:$AY$404,"")&gt;1,"Zweiter offener Fall zum selben Objekt. ","")&amp;IF(AND($A149&lt;&gt;"",COUNTIFS($A$5:$A$404,$A149)&gt;1),"Fall-Nr. doppelt vergeben. ","")&amp;IF(E149="","ex-Mieter fehlt. ","")&amp;IF(M149="","Haftungsdatum fehlt. ","")&amp;IF(F149="","Bewirtschafter fehlt. ","")&amp;IF(AND(AY149&lt;&gt;"",AW149=""),"Abgeschlossen trotz offener Schlussabrechnung. ","")&amp;IF(AND(AY149="",S149="",ISNUMBER(J149),J149&gt;60),"Langläufer über 60 Tage. ","")))</f>
        <v/>
      </c>
      <c r="L149" s="18" t="n"/>
      <c r="M149" s="18" t="n"/>
      <c r="N149" s="19">
        <f>IF(M149="","",M149+1)</f>
        <v/>
      </c>
      <c r="O149" s="17">
        <f>IF(OR(L149="",M149=""),"",M149-L149)</f>
        <v/>
      </c>
      <c r="P149" s="16">
        <f>IF(M149="","",YEAR(M149+1)&amp;"-"&amp;TEXT(MONTH(M149+1),"00"))</f>
        <v/>
      </c>
      <c r="Q149" s="18" t="n"/>
      <c r="R149" s="15" t="n"/>
      <c r="S149" s="18" t="n"/>
      <c r="T149" s="16">
        <f>IF(U149="","",IF(LEFT(U149,1)="6","abgeschlossen",IF(OR(LEFT(U149,1)="1",LEFT(U149,1)="2"),"Kündigung &amp; Abnahme",IF(OR(LEFT(U149,1)="3",LEFT(U149,1)="4"),"Wiedervermietung","Schlussabrechnung"))))</f>
        <v/>
      </c>
      <c r="U149" s="16">
        <f>IF($B149="","",IF(AY149&lt;&gt;"","6 · abgeschlossen",IF(AW149&lt;&gt;"","5 · bereit zum Abschluss",IF(AT149&lt;&gt;"","5 · Schlussabrechnung",IF(AO149&lt;&gt;"","4 · Übergabe",IF(AM149&lt;&gt;"","3 · Neuvermietung",IF(M149&lt;&gt;"","2 · Abnahme &amp; Vermarktung","1 · Erfassung")))))))</f>
        <v/>
      </c>
      <c r="V149" s="15" t="n"/>
      <c r="W149" s="20" t="n"/>
      <c r="X149" s="15" t="n"/>
      <c r="Y149" s="15" t="n"/>
      <c r="Z149" s="18" t="n"/>
      <c r="AA149" s="19">
        <f>IF(M149="","",M149-30)</f>
        <v/>
      </c>
      <c r="AB149" s="19">
        <f>IF(ISNUMBER(AJ149),AJ149+3,"")</f>
        <v/>
      </c>
      <c r="AC149" s="18" t="n"/>
      <c r="AD149" s="18" t="n"/>
      <c r="AE149" s="18" t="n"/>
      <c r="AF149" s="18" t="n"/>
      <c r="AG149" s="18" t="n"/>
      <c r="AH149" s="18" t="n"/>
      <c r="AI149" s="18" t="n"/>
      <c r="AJ149" s="18" t="n"/>
      <c r="AK149" s="18" t="n"/>
      <c r="AL149" s="18" t="n"/>
      <c r="AM149" s="18" t="n"/>
      <c r="AN149" s="18" t="n"/>
      <c r="AO149" s="18" t="n"/>
      <c r="AP149" s="18" t="n"/>
      <c r="AQ149" s="18" t="n"/>
      <c r="AR149" s="18" t="n"/>
      <c r="AS149" s="18" t="n"/>
      <c r="AT149" s="18" t="n"/>
      <c r="AU149" s="18" t="n"/>
      <c r="AV149" s="18" t="n"/>
      <c r="AW149" s="18" t="n"/>
      <c r="AX149" s="18" t="n"/>
      <c r="AY149" s="18" t="n"/>
      <c r="AZ149" s="15" t="n"/>
    </row>
    <row r="150">
      <c r="A150" s="15" t="n"/>
      <c r="B150" s="15" t="n"/>
      <c r="C150" s="15" t="n"/>
      <c r="D150" s="15" t="n"/>
      <c r="E150" s="15" t="n"/>
      <c r="F150" s="15" t="n"/>
      <c r="G150" s="16">
        <f>IF(F150="","",IFERROR(INDEX(Stammdaten!$B$5:$B$24,MATCH(F150,Stammdaten!$A$5:$A$24,0)),"unbekannt"))</f>
        <v/>
      </c>
      <c r="H150" s="16">
        <f>IF($B150="","",IF(AY150&lt;&gt;"","abgeschlossen",IF(AND(ISNUMBER(AX150),AX150&gt;=TODAY()),"zurückgestellt",IF(OR(AND(ISNUMBER(AA150),AA150&lt;TODAY(),Z150="",AJ150=""),AND(ISNUMBER(Z150),Z150&lt;TODAY(),AJ150=""),AND(ISNUMBER(AB150),AB150&lt;TODAY(),AK150=""),AND(ISNUMBER(AC150),AC150&lt;TODAY(),AO150=""),AND(ISNUMBER(AD150),AD150&lt;TODAY(),AQ150="")),"überfällig","offen"))))</f>
        <v/>
      </c>
      <c r="I150" s="16">
        <f>IF($B150="","",IF(AY150&lt;&gt;"","—",IF(AND(ISNUMBER(AA150),AA150&lt;TODAY(),Z150="",AJ150=""),"Abnahmetermin vereinbaren – Sollfrist verstrichen",IF(AND(ISNUMBER(Z150),Z150&lt;TODAY(),AJ150=""),"Wohnungsabnahme nachtragen – Termin war fällig",IF(AND(ISNUMBER(AB150),AB150&lt;TODAY(),AK150=""),"Handwerker aufbieten – Frist verstrichen",IF(AND(ISNUMBER(AC150),AC150&lt;TODAY(),AO150=""),"Vertrag retour mahnen – Frist verstrichen",IF(AND(ISNUMBER(AD150),AD150&lt;TODAY(),AQ150=""),"Schlüsselübergabe nachtragen – Termin war fällig",IF(M150="","Haftungsdatum erfassen",IF(E150="","ex-Mieter erfassen",IF(AE150="","Kündigung bestätigen / G-Rem",IF(AF150="","Werke / EGT melden",IF(AG150="","Vorbesichtigung (oder n.e.)",IF(AH150="","VMZ aktualisieren",IF(AI150="","Inserat aufschalten",IF(AND(Z150="",AJ150=""),"Abnahmetermin vereinbaren",IF(AJ150="","Wohnungsabnahme durchführen",IF(AK150="","Handwerker aufbieten",IF(AL150="","Zustimmungserklärung einholen",IF(AM150="","Instandstellungen beauftragen",IF(R150="","Nachmieter erfassen",IF(AN150="","Vertrag versenden",IF(AO150="","Vertrag retour erfassen",IF(S150="","Vermietet per erfassen",IF(AP150="","Werke / EGT über Einzug informieren",IF(AND(AD150="",AQ150=""),"Schlüsselübergabe terminieren",IF(AQ150="","Schlüsselübergabe durchführen",IF(AR150="","Reinigung veranlassen",IF(AS150="","Namensschilder bestellen",IF(AT150="","Kaution prüfen / G-Rem mutieren",IF(AU150="","Instandstellungs-Rechnung erfassen",IF(AV150="","Schlussabrechnung erstellen",IF(AW150="","Zahlungseingang kontrollieren","Fall abschliessen"))))))))))))))))))))))))))))))))</f>
        <v/>
      </c>
      <c r="J150" s="17">
        <f>IF(M150="","",IF(S150&lt;&gt;"",MAX(0,S150-M150-1),MAX(0,TODAY()-M150)))</f>
        <v/>
      </c>
      <c r="K150" s="16">
        <f>IF($B150="","",TRIM(IF(AND(L150&lt;&gt;"",M150&lt;&gt;"",M150&lt;L150),"Haftungsdatum vor Kündigung. ","")&amp;IF(AND(S150&lt;&gt;"",M150&lt;&gt;"",S150&lt;M150),"Vermietung vor Leerstandsbeginn. ","")&amp;IF(AND(Z150&lt;&gt;"",L150&lt;&gt;"",Z150&lt;L150),"WA-Termin vor Kündigung. ","")&amp;IF(COUNTIFS($B$5:$B$404,$B150,$AY$5:$AY$404,"")&gt;1,"Zweiter offener Fall zum selben Objekt. ","")&amp;IF(AND($A150&lt;&gt;"",COUNTIFS($A$5:$A$404,$A150)&gt;1),"Fall-Nr. doppelt vergeben. ","")&amp;IF(E150="","ex-Mieter fehlt. ","")&amp;IF(M150="","Haftungsdatum fehlt. ","")&amp;IF(F150="","Bewirtschafter fehlt. ","")&amp;IF(AND(AY150&lt;&gt;"",AW150=""),"Abgeschlossen trotz offener Schlussabrechnung. ","")&amp;IF(AND(AY150="",S150="",ISNUMBER(J150),J150&gt;60),"Langläufer über 60 Tage. ","")))</f>
        <v/>
      </c>
      <c r="L150" s="18" t="n"/>
      <c r="M150" s="18" t="n"/>
      <c r="N150" s="19">
        <f>IF(M150="","",M150+1)</f>
        <v/>
      </c>
      <c r="O150" s="17">
        <f>IF(OR(L150="",M150=""),"",M150-L150)</f>
        <v/>
      </c>
      <c r="P150" s="16">
        <f>IF(M150="","",YEAR(M150+1)&amp;"-"&amp;TEXT(MONTH(M150+1),"00"))</f>
        <v/>
      </c>
      <c r="Q150" s="18" t="n"/>
      <c r="R150" s="15" t="n"/>
      <c r="S150" s="18" t="n"/>
      <c r="T150" s="16">
        <f>IF(U150="","",IF(LEFT(U150,1)="6","abgeschlossen",IF(OR(LEFT(U150,1)="1",LEFT(U150,1)="2"),"Kündigung &amp; Abnahme",IF(OR(LEFT(U150,1)="3",LEFT(U150,1)="4"),"Wiedervermietung","Schlussabrechnung"))))</f>
        <v/>
      </c>
      <c r="U150" s="16">
        <f>IF($B150="","",IF(AY150&lt;&gt;"","6 · abgeschlossen",IF(AW150&lt;&gt;"","5 · bereit zum Abschluss",IF(AT150&lt;&gt;"","5 · Schlussabrechnung",IF(AO150&lt;&gt;"","4 · Übergabe",IF(AM150&lt;&gt;"","3 · Neuvermietung",IF(M150&lt;&gt;"","2 · Abnahme &amp; Vermarktung","1 · Erfassung")))))))</f>
        <v/>
      </c>
      <c r="V150" s="15" t="n"/>
      <c r="W150" s="20" t="n"/>
      <c r="X150" s="15" t="n"/>
      <c r="Y150" s="15" t="n"/>
      <c r="Z150" s="18" t="n"/>
      <c r="AA150" s="19">
        <f>IF(M150="","",M150-30)</f>
        <v/>
      </c>
      <c r="AB150" s="19">
        <f>IF(ISNUMBER(AJ150),AJ150+3,"")</f>
        <v/>
      </c>
      <c r="AC150" s="18" t="n"/>
      <c r="AD150" s="18" t="n"/>
      <c r="AE150" s="18" t="n"/>
      <c r="AF150" s="18" t="n"/>
      <c r="AG150" s="18" t="n"/>
      <c r="AH150" s="18" t="n"/>
      <c r="AI150" s="18" t="n"/>
      <c r="AJ150" s="18" t="n"/>
      <c r="AK150" s="18" t="n"/>
      <c r="AL150" s="18" t="n"/>
      <c r="AM150" s="18" t="n"/>
      <c r="AN150" s="18" t="n"/>
      <c r="AO150" s="18" t="n"/>
      <c r="AP150" s="18" t="n"/>
      <c r="AQ150" s="18" t="n"/>
      <c r="AR150" s="18" t="n"/>
      <c r="AS150" s="18" t="n"/>
      <c r="AT150" s="18" t="n"/>
      <c r="AU150" s="18" t="n"/>
      <c r="AV150" s="18" t="n"/>
      <c r="AW150" s="18" t="n"/>
      <c r="AX150" s="18" t="n"/>
      <c r="AY150" s="18" t="n"/>
      <c r="AZ150" s="15" t="n"/>
    </row>
    <row r="151">
      <c r="A151" s="15" t="n"/>
      <c r="B151" s="15" t="n"/>
      <c r="C151" s="15" t="n"/>
      <c r="D151" s="15" t="n"/>
      <c r="E151" s="15" t="n"/>
      <c r="F151" s="15" t="n"/>
      <c r="G151" s="16">
        <f>IF(F151="","",IFERROR(INDEX(Stammdaten!$B$5:$B$24,MATCH(F151,Stammdaten!$A$5:$A$24,0)),"unbekannt"))</f>
        <v/>
      </c>
      <c r="H151" s="16">
        <f>IF($B151="","",IF(AY151&lt;&gt;"","abgeschlossen",IF(AND(ISNUMBER(AX151),AX151&gt;=TODAY()),"zurückgestellt",IF(OR(AND(ISNUMBER(AA151),AA151&lt;TODAY(),Z151="",AJ151=""),AND(ISNUMBER(Z151),Z151&lt;TODAY(),AJ151=""),AND(ISNUMBER(AB151),AB151&lt;TODAY(),AK151=""),AND(ISNUMBER(AC151),AC151&lt;TODAY(),AO151=""),AND(ISNUMBER(AD151),AD151&lt;TODAY(),AQ151="")),"überfällig","offen"))))</f>
        <v/>
      </c>
      <c r="I151" s="16">
        <f>IF($B151="","",IF(AY151&lt;&gt;"","—",IF(AND(ISNUMBER(AA151),AA151&lt;TODAY(),Z151="",AJ151=""),"Abnahmetermin vereinbaren – Sollfrist verstrichen",IF(AND(ISNUMBER(Z151),Z151&lt;TODAY(),AJ151=""),"Wohnungsabnahme nachtragen – Termin war fällig",IF(AND(ISNUMBER(AB151),AB151&lt;TODAY(),AK151=""),"Handwerker aufbieten – Frist verstrichen",IF(AND(ISNUMBER(AC151),AC151&lt;TODAY(),AO151=""),"Vertrag retour mahnen – Frist verstrichen",IF(AND(ISNUMBER(AD151),AD151&lt;TODAY(),AQ151=""),"Schlüsselübergabe nachtragen – Termin war fällig",IF(M151="","Haftungsdatum erfassen",IF(E151="","ex-Mieter erfassen",IF(AE151="","Kündigung bestätigen / G-Rem",IF(AF151="","Werke / EGT melden",IF(AG151="","Vorbesichtigung (oder n.e.)",IF(AH151="","VMZ aktualisieren",IF(AI151="","Inserat aufschalten",IF(AND(Z151="",AJ151=""),"Abnahmetermin vereinbaren",IF(AJ151="","Wohnungsabnahme durchführen",IF(AK151="","Handwerker aufbieten",IF(AL151="","Zustimmungserklärung einholen",IF(AM151="","Instandstellungen beauftragen",IF(R151="","Nachmieter erfassen",IF(AN151="","Vertrag versenden",IF(AO151="","Vertrag retour erfassen",IF(S151="","Vermietet per erfassen",IF(AP151="","Werke / EGT über Einzug informieren",IF(AND(AD151="",AQ151=""),"Schlüsselübergabe terminieren",IF(AQ151="","Schlüsselübergabe durchführen",IF(AR151="","Reinigung veranlassen",IF(AS151="","Namensschilder bestellen",IF(AT151="","Kaution prüfen / G-Rem mutieren",IF(AU151="","Instandstellungs-Rechnung erfassen",IF(AV151="","Schlussabrechnung erstellen",IF(AW151="","Zahlungseingang kontrollieren","Fall abschliessen"))))))))))))))))))))))))))))))))</f>
        <v/>
      </c>
      <c r="J151" s="17">
        <f>IF(M151="","",IF(S151&lt;&gt;"",MAX(0,S151-M151-1),MAX(0,TODAY()-M151)))</f>
        <v/>
      </c>
      <c r="K151" s="16">
        <f>IF($B151="","",TRIM(IF(AND(L151&lt;&gt;"",M151&lt;&gt;"",M151&lt;L151),"Haftungsdatum vor Kündigung. ","")&amp;IF(AND(S151&lt;&gt;"",M151&lt;&gt;"",S151&lt;M151),"Vermietung vor Leerstandsbeginn. ","")&amp;IF(AND(Z151&lt;&gt;"",L151&lt;&gt;"",Z151&lt;L151),"WA-Termin vor Kündigung. ","")&amp;IF(COUNTIFS($B$5:$B$404,$B151,$AY$5:$AY$404,"")&gt;1,"Zweiter offener Fall zum selben Objekt. ","")&amp;IF(AND($A151&lt;&gt;"",COUNTIFS($A$5:$A$404,$A151)&gt;1),"Fall-Nr. doppelt vergeben. ","")&amp;IF(E151="","ex-Mieter fehlt. ","")&amp;IF(M151="","Haftungsdatum fehlt. ","")&amp;IF(F151="","Bewirtschafter fehlt. ","")&amp;IF(AND(AY151&lt;&gt;"",AW151=""),"Abgeschlossen trotz offener Schlussabrechnung. ","")&amp;IF(AND(AY151="",S151="",ISNUMBER(J151),J151&gt;60),"Langläufer über 60 Tage. ","")))</f>
        <v/>
      </c>
      <c r="L151" s="18" t="n"/>
      <c r="M151" s="18" t="n"/>
      <c r="N151" s="19">
        <f>IF(M151="","",M151+1)</f>
        <v/>
      </c>
      <c r="O151" s="17">
        <f>IF(OR(L151="",M151=""),"",M151-L151)</f>
        <v/>
      </c>
      <c r="P151" s="16">
        <f>IF(M151="","",YEAR(M151+1)&amp;"-"&amp;TEXT(MONTH(M151+1),"00"))</f>
        <v/>
      </c>
      <c r="Q151" s="18" t="n"/>
      <c r="R151" s="15" t="n"/>
      <c r="S151" s="18" t="n"/>
      <c r="T151" s="16">
        <f>IF(U151="","",IF(LEFT(U151,1)="6","abgeschlossen",IF(OR(LEFT(U151,1)="1",LEFT(U151,1)="2"),"Kündigung &amp; Abnahme",IF(OR(LEFT(U151,1)="3",LEFT(U151,1)="4"),"Wiedervermietung","Schlussabrechnung"))))</f>
        <v/>
      </c>
      <c r="U151" s="16">
        <f>IF($B151="","",IF(AY151&lt;&gt;"","6 · abgeschlossen",IF(AW151&lt;&gt;"","5 · bereit zum Abschluss",IF(AT151&lt;&gt;"","5 · Schlussabrechnung",IF(AO151&lt;&gt;"","4 · Übergabe",IF(AM151&lt;&gt;"","3 · Neuvermietung",IF(M151&lt;&gt;"","2 · Abnahme &amp; Vermarktung","1 · Erfassung")))))))</f>
        <v/>
      </c>
      <c r="V151" s="15" t="n"/>
      <c r="W151" s="20" t="n"/>
      <c r="X151" s="15" t="n"/>
      <c r="Y151" s="15" t="n"/>
      <c r="Z151" s="18" t="n"/>
      <c r="AA151" s="19">
        <f>IF(M151="","",M151-30)</f>
        <v/>
      </c>
      <c r="AB151" s="19">
        <f>IF(ISNUMBER(AJ151),AJ151+3,"")</f>
        <v/>
      </c>
      <c r="AC151" s="18" t="n"/>
      <c r="AD151" s="18" t="n"/>
      <c r="AE151" s="18" t="n"/>
      <c r="AF151" s="18" t="n"/>
      <c r="AG151" s="18" t="n"/>
      <c r="AH151" s="18" t="n"/>
      <c r="AI151" s="18" t="n"/>
      <c r="AJ151" s="18" t="n"/>
      <c r="AK151" s="18" t="n"/>
      <c r="AL151" s="18" t="n"/>
      <c r="AM151" s="18" t="n"/>
      <c r="AN151" s="18" t="n"/>
      <c r="AO151" s="18" t="n"/>
      <c r="AP151" s="18" t="n"/>
      <c r="AQ151" s="18" t="n"/>
      <c r="AR151" s="18" t="n"/>
      <c r="AS151" s="18" t="n"/>
      <c r="AT151" s="18" t="n"/>
      <c r="AU151" s="18" t="n"/>
      <c r="AV151" s="18" t="n"/>
      <c r="AW151" s="18" t="n"/>
      <c r="AX151" s="18" t="n"/>
      <c r="AY151" s="18" t="n"/>
      <c r="AZ151" s="15" t="n"/>
    </row>
    <row r="152">
      <c r="A152" s="15" t="n"/>
      <c r="B152" s="15" t="n"/>
      <c r="C152" s="15" t="n"/>
      <c r="D152" s="15" t="n"/>
      <c r="E152" s="15" t="n"/>
      <c r="F152" s="15" t="n"/>
      <c r="G152" s="16">
        <f>IF(F152="","",IFERROR(INDEX(Stammdaten!$B$5:$B$24,MATCH(F152,Stammdaten!$A$5:$A$24,0)),"unbekannt"))</f>
        <v/>
      </c>
      <c r="H152" s="16">
        <f>IF($B152="","",IF(AY152&lt;&gt;"","abgeschlossen",IF(AND(ISNUMBER(AX152),AX152&gt;=TODAY()),"zurückgestellt",IF(OR(AND(ISNUMBER(AA152),AA152&lt;TODAY(),Z152="",AJ152=""),AND(ISNUMBER(Z152),Z152&lt;TODAY(),AJ152=""),AND(ISNUMBER(AB152),AB152&lt;TODAY(),AK152=""),AND(ISNUMBER(AC152),AC152&lt;TODAY(),AO152=""),AND(ISNUMBER(AD152),AD152&lt;TODAY(),AQ152="")),"überfällig","offen"))))</f>
        <v/>
      </c>
      <c r="I152" s="16">
        <f>IF($B152="","",IF(AY152&lt;&gt;"","—",IF(AND(ISNUMBER(AA152),AA152&lt;TODAY(),Z152="",AJ152=""),"Abnahmetermin vereinbaren – Sollfrist verstrichen",IF(AND(ISNUMBER(Z152),Z152&lt;TODAY(),AJ152=""),"Wohnungsabnahme nachtragen – Termin war fällig",IF(AND(ISNUMBER(AB152),AB152&lt;TODAY(),AK152=""),"Handwerker aufbieten – Frist verstrichen",IF(AND(ISNUMBER(AC152),AC152&lt;TODAY(),AO152=""),"Vertrag retour mahnen – Frist verstrichen",IF(AND(ISNUMBER(AD152),AD152&lt;TODAY(),AQ152=""),"Schlüsselübergabe nachtragen – Termin war fällig",IF(M152="","Haftungsdatum erfassen",IF(E152="","ex-Mieter erfassen",IF(AE152="","Kündigung bestätigen / G-Rem",IF(AF152="","Werke / EGT melden",IF(AG152="","Vorbesichtigung (oder n.e.)",IF(AH152="","VMZ aktualisieren",IF(AI152="","Inserat aufschalten",IF(AND(Z152="",AJ152=""),"Abnahmetermin vereinbaren",IF(AJ152="","Wohnungsabnahme durchführen",IF(AK152="","Handwerker aufbieten",IF(AL152="","Zustimmungserklärung einholen",IF(AM152="","Instandstellungen beauftragen",IF(R152="","Nachmieter erfassen",IF(AN152="","Vertrag versenden",IF(AO152="","Vertrag retour erfassen",IF(S152="","Vermietet per erfassen",IF(AP152="","Werke / EGT über Einzug informieren",IF(AND(AD152="",AQ152=""),"Schlüsselübergabe terminieren",IF(AQ152="","Schlüsselübergabe durchführen",IF(AR152="","Reinigung veranlassen",IF(AS152="","Namensschilder bestellen",IF(AT152="","Kaution prüfen / G-Rem mutieren",IF(AU152="","Instandstellungs-Rechnung erfassen",IF(AV152="","Schlussabrechnung erstellen",IF(AW152="","Zahlungseingang kontrollieren","Fall abschliessen"))))))))))))))))))))))))))))))))</f>
        <v/>
      </c>
      <c r="J152" s="17">
        <f>IF(M152="","",IF(S152&lt;&gt;"",MAX(0,S152-M152-1),MAX(0,TODAY()-M152)))</f>
        <v/>
      </c>
      <c r="K152" s="16">
        <f>IF($B152="","",TRIM(IF(AND(L152&lt;&gt;"",M152&lt;&gt;"",M152&lt;L152),"Haftungsdatum vor Kündigung. ","")&amp;IF(AND(S152&lt;&gt;"",M152&lt;&gt;"",S152&lt;M152),"Vermietung vor Leerstandsbeginn. ","")&amp;IF(AND(Z152&lt;&gt;"",L152&lt;&gt;"",Z152&lt;L152),"WA-Termin vor Kündigung. ","")&amp;IF(COUNTIFS($B$5:$B$404,$B152,$AY$5:$AY$404,"")&gt;1,"Zweiter offener Fall zum selben Objekt. ","")&amp;IF(AND($A152&lt;&gt;"",COUNTIFS($A$5:$A$404,$A152)&gt;1),"Fall-Nr. doppelt vergeben. ","")&amp;IF(E152="","ex-Mieter fehlt. ","")&amp;IF(M152="","Haftungsdatum fehlt. ","")&amp;IF(F152="","Bewirtschafter fehlt. ","")&amp;IF(AND(AY152&lt;&gt;"",AW152=""),"Abgeschlossen trotz offener Schlussabrechnung. ","")&amp;IF(AND(AY152="",S152="",ISNUMBER(J152),J152&gt;60),"Langläufer über 60 Tage. ","")))</f>
        <v/>
      </c>
      <c r="L152" s="18" t="n"/>
      <c r="M152" s="18" t="n"/>
      <c r="N152" s="19">
        <f>IF(M152="","",M152+1)</f>
        <v/>
      </c>
      <c r="O152" s="17">
        <f>IF(OR(L152="",M152=""),"",M152-L152)</f>
        <v/>
      </c>
      <c r="P152" s="16">
        <f>IF(M152="","",YEAR(M152+1)&amp;"-"&amp;TEXT(MONTH(M152+1),"00"))</f>
        <v/>
      </c>
      <c r="Q152" s="18" t="n"/>
      <c r="R152" s="15" t="n"/>
      <c r="S152" s="18" t="n"/>
      <c r="T152" s="16">
        <f>IF(U152="","",IF(LEFT(U152,1)="6","abgeschlossen",IF(OR(LEFT(U152,1)="1",LEFT(U152,1)="2"),"Kündigung &amp; Abnahme",IF(OR(LEFT(U152,1)="3",LEFT(U152,1)="4"),"Wiedervermietung","Schlussabrechnung"))))</f>
        <v/>
      </c>
      <c r="U152" s="16">
        <f>IF($B152="","",IF(AY152&lt;&gt;"","6 · abgeschlossen",IF(AW152&lt;&gt;"","5 · bereit zum Abschluss",IF(AT152&lt;&gt;"","5 · Schlussabrechnung",IF(AO152&lt;&gt;"","4 · Übergabe",IF(AM152&lt;&gt;"","3 · Neuvermietung",IF(M152&lt;&gt;"","2 · Abnahme &amp; Vermarktung","1 · Erfassung")))))))</f>
        <v/>
      </c>
      <c r="V152" s="15" t="n"/>
      <c r="W152" s="20" t="n"/>
      <c r="X152" s="15" t="n"/>
      <c r="Y152" s="15" t="n"/>
      <c r="Z152" s="18" t="n"/>
      <c r="AA152" s="19">
        <f>IF(M152="","",M152-30)</f>
        <v/>
      </c>
      <c r="AB152" s="19">
        <f>IF(ISNUMBER(AJ152),AJ152+3,"")</f>
        <v/>
      </c>
      <c r="AC152" s="18" t="n"/>
      <c r="AD152" s="18" t="n"/>
      <c r="AE152" s="18" t="n"/>
      <c r="AF152" s="18" t="n"/>
      <c r="AG152" s="18" t="n"/>
      <c r="AH152" s="18" t="n"/>
      <c r="AI152" s="18" t="n"/>
      <c r="AJ152" s="18" t="n"/>
      <c r="AK152" s="18" t="n"/>
      <c r="AL152" s="18" t="n"/>
      <c r="AM152" s="18" t="n"/>
      <c r="AN152" s="18" t="n"/>
      <c r="AO152" s="18" t="n"/>
      <c r="AP152" s="18" t="n"/>
      <c r="AQ152" s="18" t="n"/>
      <c r="AR152" s="18" t="n"/>
      <c r="AS152" s="18" t="n"/>
      <c r="AT152" s="18" t="n"/>
      <c r="AU152" s="18" t="n"/>
      <c r="AV152" s="18" t="n"/>
      <c r="AW152" s="18" t="n"/>
      <c r="AX152" s="18" t="n"/>
      <c r="AY152" s="18" t="n"/>
      <c r="AZ152" s="15" t="n"/>
    </row>
    <row r="153">
      <c r="A153" s="15" t="n"/>
      <c r="B153" s="15" t="n"/>
      <c r="C153" s="15" t="n"/>
      <c r="D153" s="15" t="n"/>
      <c r="E153" s="15" t="n"/>
      <c r="F153" s="15" t="n"/>
      <c r="G153" s="16">
        <f>IF(F153="","",IFERROR(INDEX(Stammdaten!$B$5:$B$24,MATCH(F153,Stammdaten!$A$5:$A$24,0)),"unbekannt"))</f>
        <v/>
      </c>
      <c r="H153" s="16">
        <f>IF($B153="","",IF(AY153&lt;&gt;"","abgeschlossen",IF(AND(ISNUMBER(AX153),AX153&gt;=TODAY()),"zurückgestellt",IF(OR(AND(ISNUMBER(AA153),AA153&lt;TODAY(),Z153="",AJ153=""),AND(ISNUMBER(Z153),Z153&lt;TODAY(),AJ153=""),AND(ISNUMBER(AB153),AB153&lt;TODAY(),AK153=""),AND(ISNUMBER(AC153),AC153&lt;TODAY(),AO153=""),AND(ISNUMBER(AD153),AD153&lt;TODAY(),AQ153="")),"überfällig","offen"))))</f>
        <v/>
      </c>
      <c r="I153" s="16">
        <f>IF($B153="","",IF(AY153&lt;&gt;"","—",IF(AND(ISNUMBER(AA153),AA153&lt;TODAY(),Z153="",AJ153=""),"Abnahmetermin vereinbaren – Sollfrist verstrichen",IF(AND(ISNUMBER(Z153),Z153&lt;TODAY(),AJ153=""),"Wohnungsabnahme nachtragen – Termin war fällig",IF(AND(ISNUMBER(AB153),AB153&lt;TODAY(),AK153=""),"Handwerker aufbieten – Frist verstrichen",IF(AND(ISNUMBER(AC153),AC153&lt;TODAY(),AO153=""),"Vertrag retour mahnen – Frist verstrichen",IF(AND(ISNUMBER(AD153),AD153&lt;TODAY(),AQ153=""),"Schlüsselübergabe nachtragen – Termin war fällig",IF(M153="","Haftungsdatum erfassen",IF(E153="","ex-Mieter erfassen",IF(AE153="","Kündigung bestätigen / G-Rem",IF(AF153="","Werke / EGT melden",IF(AG153="","Vorbesichtigung (oder n.e.)",IF(AH153="","VMZ aktualisieren",IF(AI153="","Inserat aufschalten",IF(AND(Z153="",AJ153=""),"Abnahmetermin vereinbaren",IF(AJ153="","Wohnungsabnahme durchführen",IF(AK153="","Handwerker aufbieten",IF(AL153="","Zustimmungserklärung einholen",IF(AM153="","Instandstellungen beauftragen",IF(R153="","Nachmieter erfassen",IF(AN153="","Vertrag versenden",IF(AO153="","Vertrag retour erfassen",IF(S153="","Vermietet per erfassen",IF(AP153="","Werke / EGT über Einzug informieren",IF(AND(AD153="",AQ153=""),"Schlüsselübergabe terminieren",IF(AQ153="","Schlüsselübergabe durchführen",IF(AR153="","Reinigung veranlassen",IF(AS153="","Namensschilder bestellen",IF(AT153="","Kaution prüfen / G-Rem mutieren",IF(AU153="","Instandstellungs-Rechnung erfassen",IF(AV153="","Schlussabrechnung erstellen",IF(AW153="","Zahlungseingang kontrollieren","Fall abschliessen"))))))))))))))))))))))))))))))))</f>
        <v/>
      </c>
      <c r="J153" s="17">
        <f>IF(M153="","",IF(S153&lt;&gt;"",MAX(0,S153-M153-1),MAX(0,TODAY()-M153)))</f>
        <v/>
      </c>
      <c r="K153" s="16">
        <f>IF($B153="","",TRIM(IF(AND(L153&lt;&gt;"",M153&lt;&gt;"",M153&lt;L153),"Haftungsdatum vor Kündigung. ","")&amp;IF(AND(S153&lt;&gt;"",M153&lt;&gt;"",S153&lt;M153),"Vermietung vor Leerstandsbeginn. ","")&amp;IF(AND(Z153&lt;&gt;"",L153&lt;&gt;"",Z153&lt;L153),"WA-Termin vor Kündigung. ","")&amp;IF(COUNTIFS($B$5:$B$404,$B153,$AY$5:$AY$404,"")&gt;1,"Zweiter offener Fall zum selben Objekt. ","")&amp;IF(AND($A153&lt;&gt;"",COUNTIFS($A$5:$A$404,$A153)&gt;1),"Fall-Nr. doppelt vergeben. ","")&amp;IF(E153="","ex-Mieter fehlt. ","")&amp;IF(M153="","Haftungsdatum fehlt. ","")&amp;IF(F153="","Bewirtschafter fehlt. ","")&amp;IF(AND(AY153&lt;&gt;"",AW153=""),"Abgeschlossen trotz offener Schlussabrechnung. ","")&amp;IF(AND(AY153="",S153="",ISNUMBER(J153),J153&gt;60),"Langläufer über 60 Tage. ","")))</f>
        <v/>
      </c>
      <c r="L153" s="18" t="n"/>
      <c r="M153" s="18" t="n"/>
      <c r="N153" s="19">
        <f>IF(M153="","",M153+1)</f>
        <v/>
      </c>
      <c r="O153" s="17">
        <f>IF(OR(L153="",M153=""),"",M153-L153)</f>
        <v/>
      </c>
      <c r="P153" s="16">
        <f>IF(M153="","",YEAR(M153+1)&amp;"-"&amp;TEXT(MONTH(M153+1),"00"))</f>
        <v/>
      </c>
      <c r="Q153" s="18" t="n"/>
      <c r="R153" s="15" t="n"/>
      <c r="S153" s="18" t="n"/>
      <c r="T153" s="16">
        <f>IF(U153="","",IF(LEFT(U153,1)="6","abgeschlossen",IF(OR(LEFT(U153,1)="1",LEFT(U153,1)="2"),"Kündigung &amp; Abnahme",IF(OR(LEFT(U153,1)="3",LEFT(U153,1)="4"),"Wiedervermietung","Schlussabrechnung"))))</f>
        <v/>
      </c>
      <c r="U153" s="16">
        <f>IF($B153="","",IF(AY153&lt;&gt;"","6 · abgeschlossen",IF(AW153&lt;&gt;"","5 · bereit zum Abschluss",IF(AT153&lt;&gt;"","5 · Schlussabrechnung",IF(AO153&lt;&gt;"","4 · Übergabe",IF(AM153&lt;&gt;"","3 · Neuvermietung",IF(M153&lt;&gt;"","2 · Abnahme &amp; Vermarktung","1 · Erfassung")))))))</f>
        <v/>
      </c>
      <c r="V153" s="15" t="n"/>
      <c r="W153" s="20" t="n"/>
      <c r="X153" s="15" t="n"/>
      <c r="Y153" s="15" t="n"/>
      <c r="Z153" s="18" t="n"/>
      <c r="AA153" s="19">
        <f>IF(M153="","",M153-30)</f>
        <v/>
      </c>
      <c r="AB153" s="19">
        <f>IF(ISNUMBER(AJ153),AJ153+3,"")</f>
        <v/>
      </c>
      <c r="AC153" s="18" t="n"/>
      <c r="AD153" s="18" t="n"/>
      <c r="AE153" s="18" t="n"/>
      <c r="AF153" s="18" t="n"/>
      <c r="AG153" s="18" t="n"/>
      <c r="AH153" s="18" t="n"/>
      <c r="AI153" s="18" t="n"/>
      <c r="AJ153" s="18" t="n"/>
      <c r="AK153" s="18" t="n"/>
      <c r="AL153" s="18" t="n"/>
      <c r="AM153" s="18" t="n"/>
      <c r="AN153" s="18" t="n"/>
      <c r="AO153" s="18" t="n"/>
      <c r="AP153" s="18" t="n"/>
      <c r="AQ153" s="18" t="n"/>
      <c r="AR153" s="18" t="n"/>
      <c r="AS153" s="18" t="n"/>
      <c r="AT153" s="18" t="n"/>
      <c r="AU153" s="18" t="n"/>
      <c r="AV153" s="18" t="n"/>
      <c r="AW153" s="18" t="n"/>
      <c r="AX153" s="18" t="n"/>
      <c r="AY153" s="18" t="n"/>
      <c r="AZ153" s="15" t="n"/>
    </row>
    <row r="154">
      <c r="A154" s="15" t="n"/>
      <c r="B154" s="15" t="n"/>
      <c r="C154" s="15" t="n"/>
      <c r="D154" s="15" t="n"/>
      <c r="E154" s="15" t="n"/>
      <c r="F154" s="15" t="n"/>
      <c r="G154" s="16">
        <f>IF(F154="","",IFERROR(INDEX(Stammdaten!$B$5:$B$24,MATCH(F154,Stammdaten!$A$5:$A$24,0)),"unbekannt"))</f>
        <v/>
      </c>
      <c r="H154" s="16">
        <f>IF($B154="","",IF(AY154&lt;&gt;"","abgeschlossen",IF(AND(ISNUMBER(AX154),AX154&gt;=TODAY()),"zurückgestellt",IF(OR(AND(ISNUMBER(AA154),AA154&lt;TODAY(),Z154="",AJ154=""),AND(ISNUMBER(Z154),Z154&lt;TODAY(),AJ154=""),AND(ISNUMBER(AB154),AB154&lt;TODAY(),AK154=""),AND(ISNUMBER(AC154),AC154&lt;TODAY(),AO154=""),AND(ISNUMBER(AD154),AD154&lt;TODAY(),AQ154="")),"überfällig","offen"))))</f>
        <v/>
      </c>
      <c r="I154" s="16">
        <f>IF($B154="","",IF(AY154&lt;&gt;"","—",IF(AND(ISNUMBER(AA154),AA154&lt;TODAY(),Z154="",AJ154=""),"Abnahmetermin vereinbaren – Sollfrist verstrichen",IF(AND(ISNUMBER(Z154),Z154&lt;TODAY(),AJ154=""),"Wohnungsabnahme nachtragen – Termin war fällig",IF(AND(ISNUMBER(AB154),AB154&lt;TODAY(),AK154=""),"Handwerker aufbieten – Frist verstrichen",IF(AND(ISNUMBER(AC154),AC154&lt;TODAY(),AO154=""),"Vertrag retour mahnen – Frist verstrichen",IF(AND(ISNUMBER(AD154),AD154&lt;TODAY(),AQ154=""),"Schlüsselübergabe nachtragen – Termin war fällig",IF(M154="","Haftungsdatum erfassen",IF(E154="","ex-Mieter erfassen",IF(AE154="","Kündigung bestätigen / G-Rem",IF(AF154="","Werke / EGT melden",IF(AG154="","Vorbesichtigung (oder n.e.)",IF(AH154="","VMZ aktualisieren",IF(AI154="","Inserat aufschalten",IF(AND(Z154="",AJ154=""),"Abnahmetermin vereinbaren",IF(AJ154="","Wohnungsabnahme durchführen",IF(AK154="","Handwerker aufbieten",IF(AL154="","Zustimmungserklärung einholen",IF(AM154="","Instandstellungen beauftragen",IF(R154="","Nachmieter erfassen",IF(AN154="","Vertrag versenden",IF(AO154="","Vertrag retour erfassen",IF(S154="","Vermietet per erfassen",IF(AP154="","Werke / EGT über Einzug informieren",IF(AND(AD154="",AQ154=""),"Schlüsselübergabe terminieren",IF(AQ154="","Schlüsselübergabe durchführen",IF(AR154="","Reinigung veranlassen",IF(AS154="","Namensschilder bestellen",IF(AT154="","Kaution prüfen / G-Rem mutieren",IF(AU154="","Instandstellungs-Rechnung erfassen",IF(AV154="","Schlussabrechnung erstellen",IF(AW154="","Zahlungseingang kontrollieren","Fall abschliessen"))))))))))))))))))))))))))))))))</f>
        <v/>
      </c>
      <c r="J154" s="17">
        <f>IF(M154="","",IF(S154&lt;&gt;"",MAX(0,S154-M154-1),MAX(0,TODAY()-M154)))</f>
        <v/>
      </c>
      <c r="K154" s="16">
        <f>IF($B154="","",TRIM(IF(AND(L154&lt;&gt;"",M154&lt;&gt;"",M154&lt;L154),"Haftungsdatum vor Kündigung. ","")&amp;IF(AND(S154&lt;&gt;"",M154&lt;&gt;"",S154&lt;M154),"Vermietung vor Leerstandsbeginn. ","")&amp;IF(AND(Z154&lt;&gt;"",L154&lt;&gt;"",Z154&lt;L154),"WA-Termin vor Kündigung. ","")&amp;IF(COUNTIFS($B$5:$B$404,$B154,$AY$5:$AY$404,"")&gt;1,"Zweiter offener Fall zum selben Objekt. ","")&amp;IF(AND($A154&lt;&gt;"",COUNTIFS($A$5:$A$404,$A154)&gt;1),"Fall-Nr. doppelt vergeben. ","")&amp;IF(E154="","ex-Mieter fehlt. ","")&amp;IF(M154="","Haftungsdatum fehlt. ","")&amp;IF(F154="","Bewirtschafter fehlt. ","")&amp;IF(AND(AY154&lt;&gt;"",AW154=""),"Abgeschlossen trotz offener Schlussabrechnung. ","")&amp;IF(AND(AY154="",S154="",ISNUMBER(J154),J154&gt;60),"Langläufer über 60 Tage. ","")))</f>
        <v/>
      </c>
      <c r="L154" s="18" t="n"/>
      <c r="M154" s="18" t="n"/>
      <c r="N154" s="19">
        <f>IF(M154="","",M154+1)</f>
        <v/>
      </c>
      <c r="O154" s="17">
        <f>IF(OR(L154="",M154=""),"",M154-L154)</f>
        <v/>
      </c>
      <c r="P154" s="16">
        <f>IF(M154="","",YEAR(M154+1)&amp;"-"&amp;TEXT(MONTH(M154+1),"00"))</f>
        <v/>
      </c>
      <c r="Q154" s="18" t="n"/>
      <c r="R154" s="15" t="n"/>
      <c r="S154" s="18" t="n"/>
      <c r="T154" s="16">
        <f>IF(U154="","",IF(LEFT(U154,1)="6","abgeschlossen",IF(OR(LEFT(U154,1)="1",LEFT(U154,1)="2"),"Kündigung &amp; Abnahme",IF(OR(LEFT(U154,1)="3",LEFT(U154,1)="4"),"Wiedervermietung","Schlussabrechnung"))))</f>
        <v/>
      </c>
      <c r="U154" s="16">
        <f>IF($B154="","",IF(AY154&lt;&gt;"","6 · abgeschlossen",IF(AW154&lt;&gt;"","5 · bereit zum Abschluss",IF(AT154&lt;&gt;"","5 · Schlussabrechnung",IF(AO154&lt;&gt;"","4 · Übergabe",IF(AM154&lt;&gt;"","3 · Neuvermietung",IF(M154&lt;&gt;"","2 · Abnahme &amp; Vermarktung","1 · Erfassung")))))))</f>
        <v/>
      </c>
      <c r="V154" s="15" t="n"/>
      <c r="W154" s="20" t="n"/>
      <c r="X154" s="15" t="n"/>
      <c r="Y154" s="15" t="n"/>
      <c r="Z154" s="18" t="n"/>
      <c r="AA154" s="19">
        <f>IF(M154="","",M154-30)</f>
        <v/>
      </c>
      <c r="AB154" s="19">
        <f>IF(ISNUMBER(AJ154),AJ154+3,"")</f>
        <v/>
      </c>
      <c r="AC154" s="18" t="n"/>
      <c r="AD154" s="18" t="n"/>
      <c r="AE154" s="18" t="n"/>
      <c r="AF154" s="18" t="n"/>
      <c r="AG154" s="18" t="n"/>
      <c r="AH154" s="18" t="n"/>
      <c r="AI154" s="18" t="n"/>
      <c r="AJ154" s="18" t="n"/>
      <c r="AK154" s="18" t="n"/>
      <c r="AL154" s="18" t="n"/>
      <c r="AM154" s="18" t="n"/>
      <c r="AN154" s="18" t="n"/>
      <c r="AO154" s="18" t="n"/>
      <c r="AP154" s="18" t="n"/>
      <c r="AQ154" s="18" t="n"/>
      <c r="AR154" s="18" t="n"/>
      <c r="AS154" s="18" t="n"/>
      <c r="AT154" s="18" t="n"/>
      <c r="AU154" s="18" t="n"/>
      <c r="AV154" s="18" t="n"/>
      <c r="AW154" s="18" t="n"/>
      <c r="AX154" s="18" t="n"/>
      <c r="AY154" s="18" t="n"/>
      <c r="AZ154" s="15" t="n"/>
    </row>
    <row r="155">
      <c r="A155" s="15" t="n"/>
      <c r="B155" s="15" t="n"/>
      <c r="C155" s="15" t="n"/>
      <c r="D155" s="15" t="n"/>
      <c r="E155" s="15" t="n"/>
      <c r="F155" s="15" t="n"/>
      <c r="G155" s="16">
        <f>IF(F155="","",IFERROR(INDEX(Stammdaten!$B$5:$B$24,MATCH(F155,Stammdaten!$A$5:$A$24,0)),"unbekannt"))</f>
        <v/>
      </c>
      <c r="H155" s="16">
        <f>IF($B155="","",IF(AY155&lt;&gt;"","abgeschlossen",IF(AND(ISNUMBER(AX155),AX155&gt;=TODAY()),"zurückgestellt",IF(OR(AND(ISNUMBER(AA155),AA155&lt;TODAY(),Z155="",AJ155=""),AND(ISNUMBER(Z155),Z155&lt;TODAY(),AJ155=""),AND(ISNUMBER(AB155),AB155&lt;TODAY(),AK155=""),AND(ISNUMBER(AC155),AC155&lt;TODAY(),AO155=""),AND(ISNUMBER(AD155),AD155&lt;TODAY(),AQ155="")),"überfällig","offen"))))</f>
        <v/>
      </c>
      <c r="I155" s="16">
        <f>IF($B155="","",IF(AY155&lt;&gt;"","—",IF(AND(ISNUMBER(AA155),AA155&lt;TODAY(),Z155="",AJ155=""),"Abnahmetermin vereinbaren – Sollfrist verstrichen",IF(AND(ISNUMBER(Z155),Z155&lt;TODAY(),AJ155=""),"Wohnungsabnahme nachtragen – Termin war fällig",IF(AND(ISNUMBER(AB155),AB155&lt;TODAY(),AK155=""),"Handwerker aufbieten – Frist verstrichen",IF(AND(ISNUMBER(AC155),AC155&lt;TODAY(),AO155=""),"Vertrag retour mahnen – Frist verstrichen",IF(AND(ISNUMBER(AD155),AD155&lt;TODAY(),AQ155=""),"Schlüsselübergabe nachtragen – Termin war fällig",IF(M155="","Haftungsdatum erfassen",IF(E155="","ex-Mieter erfassen",IF(AE155="","Kündigung bestätigen / G-Rem",IF(AF155="","Werke / EGT melden",IF(AG155="","Vorbesichtigung (oder n.e.)",IF(AH155="","VMZ aktualisieren",IF(AI155="","Inserat aufschalten",IF(AND(Z155="",AJ155=""),"Abnahmetermin vereinbaren",IF(AJ155="","Wohnungsabnahme durchführen",IF(AK155="","Handwerker aufbieten",IF(AL155="","Zustimmungserklärung einholen",IF(AM155="","Instandstellungen beauftragen",IF(R155="","Nachmieter erfassen",IF(AN155="","Vertrag versenden",IF(AO155="","Vertrag retour erfassen",IF(S155="","Vermietet per erfassen",IF(AP155="","Werke / EGT über Einzug informieren",IF(AND(AD155="",AQ155=""),"Schlüsselübergabe terminieren",IF(AQ155="","Schlüsselübergabe durchführen",IF(AR155="","Reinigung veranlassen",IF(AS155="","Namensschilder bestellen",IF(AT155="","Kaution prüfen / G-Rem mutieren",IF(AU155="","Instandstellungs-Rechnung erfassen",IF(AV155="","Schlussabrechnung erstellen",IF(AW155="","Zahlungseingang kontrollieren","Fall abschliessen"))))))))))))))))))))))))))))))))</f>
        <v/>
      </c>
      <c r="J155" s="17">
        <f>IF(M155="","",IF(S155&lt;&gt;"",MAX(0,S155-M155-1),MAX(0,TODAY()-M155)))</f>
        <v/>
      </c>
      <c r="K155" s="16">
        <f>IF($B155="","",TRIM(IF(AND(L155&lt;&gt;"",M155&lt;&gt;"",M155&lt;L155),"Haftungsdatum vor Kündigung. ","")&amp;IF(AND(S155&lt;&gt;"",M155&lt;&gt;"",S155&lt;M155),"Vermietung vor Leerstandsbeginn. ","")&amp;IF(AND(Z155&lt;&gt;"",L155&lt;&gt;"",Z155&lt;L155),"WA-Termin vor Kündigung. ","")&amp;IF(COUNTIFS($B$5:$B$404,$B155,$AY$5:$AY$404,"")&gt;1,"Zweiter offener Fall zum selben Objekt. ","")&amp;IF(AND($A155&lt;&gt;"",COUNTIFS($A$5:$A$404,$A155)&gt;1),"Fall-Nr. doppelt vergeben. ","")&amp;IF(E155="","ex-Mieter fehlt. ","")&amp;IF(M155="","Haftungsdatum fehlt. ","")&amp;IF(F155="","Bewirtschafter fehlt. ","")&amp;IF(AND(AY155&lt;&gt;"",AW155=""),"Abgeschlossen trotz offener Schlussabrechnung. ","")&amp;IF(AND(AY155="",S155="",ISNUMBER(J155),J155&gt;60),"Langläufer über 60 Tage. ","")))</f>
        <v/>
      </c>
      <c r="L155" s="18" t="n"/>
      <c r="M155" s="18" t="n"/>
      <c r="N155" s="19">
        <f>IF(M155="","",M155+1)</f>
        <v/>
      </c>
      <c r="O155" s="17">
        <f>IF(OR(L155="",M155=""),"",M155-L155)</f>
        <v/>
      </c>
      <c r="P155" s="16">
        <f>IF(M155="","",YEAR(M155+1)&amp;"-"&amp;TEXT(MONTH(M155+1),"00"))</f>
        <v/>
      </c>
      <c r="Q155" s="18" t="n"/>
      <c r="R155" s="15" t="n"/>
      <c r="S155" s="18" t="n"/>
      <c r="T155" s="16">
        <f>IF(U155="","",IF(LEFT(U155,1)="6","abgeschlossen",IF(OR(LEFT(U155,1)="1",LEFT(U155,1)="2"),"Kündigung &amp; Abnahme",IF(OR(LEFT(U155,1)="3",LEFT(U155,1)="4"),"Wiedervermietung","Schlussabrechnung"))))</f>
        <v/>
      </c>
      <c r="U155" s="16">
        <f>IF($B155="","",IF(AY155&lt;&gt;"","6 · abgeschlossen",IF(AW155&lt;&gt;"","5 · bereit zum Abschluss",IF(AT155&lt;&gt;"","5 · Schlussabrechnung",IF(AO155&lt;&gt;"","4 · Übergabe",IF(AM155&lt;&gt;"","3 · Neuvermietung",IF(M155&lt;&gt;"","2 · Abnahme &amp; Vermarktung","1 · Erfassung")))))))</f>
        <v/>
      </c>
      <c r="V155" s="15" t="n"/>
      <c r="W155" s="20" t="n"/>
      <c r="X155" s="15" t="n"/>
      <c r="Y155" s="15" t="n"/>
      <c r="Z155" s="18" t="n"/>
      <c r="AA155" s="19">
        <f>IF(M155="","",M155-30)</f>
        <v/>
      </c>
      <c r="AB155" s="19">
        <f>IF(ISNUMBER(AJ155),AJ155+3,"")</f>
        <v/>
      </c>
      <c r="AC155" s="18" t="n"/>
      <c r="AD155" s="18" t="n"/>
      <c r="AE155" s="18" t="n"/>
      <c r="AF155" s="18" t="n"/>
      <c r="AG155" s="18" t="n"/>
      <c r="AH155" s="18" t="n"/>
      <c r="AI155" s="18" t="n"/>
      <c r="AJ155" s="18" t="n"/>
      <c r="AK155" s="18" t="n"/>
      <c r="AL155" s="18" t="n"/>
      <c r="AM155" s="18" t="n"/>
      <c r="AN155" s="18" t="n"/>
      <c r="AO155" s="18" t="n"/>
      <c r="AP155" s="18" t="n"/>
      <c r="AQ155" s="18" t="n"/>
      <c r="AR155" s="18" t="n"/>
      <c r="AS155" s="18" t="n"/>
      <c r="AT155" s="18" t="n"/>
      <c r="AU155" s="18" t="n"/>
      <c r="AV155" s="18" t="n"/>
      <c r="AW155" s="18" t="n"/>
      <c r="AX155" s="18" t="n"/>
      <c r="AY155" s="18" t="n"/>
      <c r="AZ155" s="15" t="n"/>
    </row>
    <row r="156">
      <c r="A156" s="15" t="n"/>
      <c r="B156" s="15" t="n"/>
      <c r="C156" s="15" t="n"/>
      <c r="D156" s="15" t="n"/>
      <c r="E156" s="15" t="n"/>
      <c r="F156" s="15" t="n"/>
      <c r="G156" s="16">
        <f>IF(F156="","",IFERROR(INDEX(Stammdaten!$B$5:$B$24,MATCH(F156,Stammdaten!$A$5:$A$24,0)),"unbekannt"))</f>
        <v/>
      </c>
      <c r="H156" s="16">
        <f>IF($B156="","",IF(AY156&lt;&gt;"","abgeschlossen",IF(AND(ISNUMBER(AX156),AX156&gt;=TODAY()),"zurückgestellt",IF(OR(AND(ISNUMBER(AA156),AA156&lt;TODAY(),Z156="",AJ156=""),AND(ISNUMBER(Z156),Z156&lt;TODAY(),AJ156=""),AND(ISNUMBER(AB156),AB156&lt;TODAY(),AK156=""),AND(ISNUMBER(AC156),AC156&lt;TODAY(),AO156=""),AND(ISNUMBER(AD156),AD156&lt;TODAY(),AQ156="")),"überfällig","offen"))))</f>
        <v/>
      </c>
      <c r="I156" s="16">
        <f>IF($B156="","",IF(AY156&lt;&gt;"","—",IF(AND(ISNUMBER(AA156),AA156&lt;TODAY(),Z156="",AJ156=""),"Abnahmetermin vereinbaren – Sollfrist verstrichen",IF(AND(ISNUMBER(Z156),Z156&lt;TODAY(),AJ156=""),"Wohnungsabnahme nachtragen – Termin war fällig",IF(AND(ISNUMBER(AB156),AB156&lt;TODAY(),AK156=""),"Handwerker aufbieten – Frist verstrichen",IF(AND(ISNUMBER(AC156),AC156&lt;TODAY(),AO156=""),"Vertrag retour mahnen – Frist verstrichen",IF(AND(ISNUMBER(AD156),AD156&lt;TODAY(),AQ156=""),"Schlüsselübergabe nachtragen – Termin war fällig",IF(M156="","Haftungsdatum erfassen",IF(E156="","ex-Mieter erfassen",IF(AE156="","Kündigung bestätigen / G-Rem",IF(AF156="","Werke / EGT melden",IF(AG156="","Vorbesichtigung (oder n.e.)",IF(AH156="","VMZ aktualisieren",IF(AI156="","Inserat aufschalten",IF(AND(Z156="",AJ156=""),"Abnahmetermin vereinbaren",IF(AJ156="","Wohnungsabnahme durchführen",IF(AK156="","Handwerker aufbieten",IF(AL156="","Zustimmungserklärung einholen",IF(AM156="","Instandstellungen beauftragen",IF(R156="","Nachmieter erfassen",IF(AN156="","Vertrag versenden",IF(AO156="","Vertrag retour erfassen",IF(S156="","Vermietet per erfassen",IF(AP156="","Werke / EGT über Einzug informieren",IF(AND(AD156="",AQ156=""),"Schlüsselübergabe terminieren",IF(AQ156="","Schlüsselübergabe durchführen",IF(AR156="","Reinigung veranlassen",IF(AS156="","Namensschilder bestellen",IF(AT156="","Kaution prüfen / G-Rem mutieren",IF(AU156="","Instandstellungs-Rechnung erfassen",IF(AV156="","Schlussabrechnung erstellen",IF(AW156="","Zahlungseingang kontrollieren","Fall abschliessen"))))))))))))))))))))))))))))))))</f>
        <v/>
      </c>
      <c r="J156" s="17">
        <f>IF(M156="","",IF(S156&lt;&gt;"",MAX(0,S156-M156-1),MAX(0,TODAY()-M156)))</f>
        <v/>
      </c>
      <c r="K156" s="16">
        <f>IF($B156="","",TRIM(IF(AND(L156&lt;&gt;"",M156&lt;&gt;"",M156&lt;L156),"Haftungsdatum vor Kündigung. ","")&amp;IF(AND(S156&lt;&gt;"",M156&lt;&gt;"",S156&lt;M156),"Vermietung vor Leerstandsbeginn. ","")&amp;IF(AND(Z156&lt;&gt;"",L156&lt;&gt;"",Z156&lt;L156),"WA-Termin vor Kündigung. ","")&amp;IF(COUNTIFS($B$5:$B$404,$B156,$AY$5:$AY$404,"")&gt;1,"Zweiter offener Fall zum selben Objekt. ","")&amp;IF(AND($A156&lt;&gt;"",COUNTIFS($A$5:$A$404,$A156)&gt;1),"Fall-Nr. doppelt vergeben. ","")&amp;IF(E156="","ex-Mieter fehlt. ","")&amp;IF(M156="","Haftungsdatum fehlt. ","")&amp;IF(F156="","Bewirtschafter fehlt. ","")&amp;IF(AND(AY156&lt;&gt;"",AW156=""),"Abgeschlossen trotz offener Schlussabrechnung. ","")&amp;IF(AND(AY156="",S156="",ISNUMBER(J156),J156&gt;60),"Langläufer über 60 Tage. ","")))</f>
        <v/>
      </c>
      <c r="L156" s="18" t="n"/>
      <c r="M156" s="18" t="n"/>
      <c r="N156" s="19">
        <f>IF(M156="","",M156+1)</f>
        <v/>
      </c>
      <c r="O156" s="17">
        <f>IF(OR(L156="",M156=""),"",M156-L156)</f>
        <v/>
      </c>
      <c r="P156" s="16">
        <f>IF(M156="","",YEAR(M156+1)&amp;"-"&amp;TEXT(MONTH(M156+1),"00"))</f>
        <v/>
      </c>
      <c r="Q156" s="18" t="n"/>
      <c r="R156" s="15" t="n"/>
      <c r="S156" s="18" t="n"/>
      <c r="T156" s="16">
        <f>IF(U156="","",IF(LEFT(U156,1)="6","abgeschlossen",IF(OR(LEFT(U156,1)="1",LEFT(U156,1)="2"),"Kündigung &amp; Abnahme",IF(OR(LEFT(U156,1)="3",LEFT(U156,1)="4"),"Wiedervermietung","Schlussabrechnung"))))</f>
        <v/>
      </c>
      <c r="U156" s="16">
        <f>IF($B156="","",IF(AY156&lt;&gt;"","6 · abgeschlossen",IF(AW156&lt;&gt;"","5 · bereit zum Abschluss",IF(AT156&lt;&gt;"","5 · Schlussabrechnung",IF(AO156&lt;&gt;"","4 · Übergabe",IF(AM156&lt;&gt;"","3 · Neuvermietung",IF(M156&lt;&gt;"","2 · Abnahme &amp; Vermarktung","1 · Erfassung")))))))</f>
        <v/>
      </c>
      <c r="V156" s="15" t="n"/>
      <c r="W156" s="20" t="n"/>
      <c r="X156" s="15" t="n"/>
      <c r="Y156" s="15" t="n"/>
      <c r="Z156" s="18" t="n"/>
      <c r="AA156" s="19">
        <f>IF(M156="","",M156-30)</f>
        <v/>
      </c>
      <c r="AB156" s="19">
        <f>IF(ISNUMBER(AJ156),AJ156+3,"")</f>
        <v/>
      </c>
      <c r="AC156" s="18" t="n"/>
      <c r="AD156" s="18" t="n"/>
      <c r="AE156" s="18" t="n"/>
      <c r="AF156" s="18" t="n"/>
      <c r="AG156" s="18" t="n"/>
      <c r="AH156" s="18" t="n"/>
      <c r="AI156" s="18" t="n"/>
      <c r="AJ156" s="18" t="n"/>
      <c r="AK156" s="18" t="n"/>
      <c r="AL156" s="18" t="n"/>
      <c r="AM156" s="18" t="n"/>
      <c r="AN156" s="18" t="n"/>
      <c r="AO156" s="18" t="n"/>
      <c r="AP156" s="18" t="n"/>
      <c r="AQ156" s="18" t="n"/>
      <c r="AR156" s="18" t="n"/>
      <c r="AS156" s="18" t="n"/>
      <c r="AT156" s="18" t="n"/>
      <c r="AU156" s="18" t="n"/>
      <c r="AV156" s="18" t="n"/>
      <c r="AW156" s="18" t="n"/>
      <c r="AX156" s="18" t="n"/>
      <c r="AY156" s="18" t="n"/>
      <c r="AZ156" s="15" t="n"/>
    </row>
    <row r="157">
      <c r="A157" s="15" t="n"/>
      <c r="B157" s="15" t="n"/>
      <c r="C157" s="15" t="n"/>
      <c r="D157" s="15" t="n"/>
      <c r="E157" s="15" t="n"/>
      <c r="F157" s="15" t="n"/>
      <c r="G157" s="16">
        <f>IF(F157="","",IFERROR(INDEX(Stammdaten!$B$5:$B$24,MATCH(F157,Stammdaten!$A$5:$A$24,0)),"unbekannt"))</f>
        <v/>
      </c>
      <c r="H157" s="16">
        <f>IF($B157="","",IF(AY157&lt;&gt;"","abgeschlossen",IF(AND(ISNUMBER(AX157),AX157&gt;=TODAY()),"zurückgestellt",IF(OR(AND(ISNUMBER(AA157),AA157&lt;TODAY(),Z157="",AJ157=""),AND(ISNUMBER(Z157),Z157&lt;TODAY(),AJ157=""),AND(ISNUMBER(AB157),AB157&lt;TODAY(),AK157=""),AND(ISNUMBER(AC157),AC157&lt;TODAY(),AO157=""),AND(ISNUMBER(AD157),AD157&lt;TODAY(),AQ157="")),"überfällig","offen"))))</f>
        <v/>
      </c>
      <c r="I157" s="16">
        <f>IF($B157="","",IF(AY157&lt;&gt;"","—",IF(AND(ISNUMBER(AA157),AA157&lt;TODAY(),Z157="",AJ157=""),"Abnahmetermin vereinbaren – Sollfrist verstrichen",IF(AND(ISNUMBER(Z157),Z157&lt;TODAY(),AJ157=""),"Wohnungsabnahme nachtragen – Termin war fällig",IF(AND(ISNUMBER(AB157),AB157&lt;TODAY(),AK157=""),"Handwerker aufbieten – Frist verstrichen",IF(AND(ISNUMBER(AC157),AC157&lt;TODAY(),AO157=""),"Vertrag retour mahnen – Frist verstrichen",IF(AND(ISNUMBER(AD157),AD157&lt;TODAY(),AQ157=""),"Schlüsselübergabe nachtragen – Termin war fällig",IF(M157="","Haftungsdatum erfassen",IF(E157="","ex-Mieter erfassen",IF(AE157="","Kündigung bestätigen / G-Rem",IF(AF157="","Werke / EGT melden",IF(AG157="","Vorbesichtigung (oder n.e.)",IF(AH157="","VMZ aktualisieren",IF(AI157="","Inserat aufschalten",IF(AND(Z157="",AJ157=""),"Abnahmetermin vereinbaren",IF(AJ157="","Wohnungsabnahme durchführen",IF(AK157="","Handwerker aufbieten",IF(AL157="","Zustimmungserklärung einholen",IF(AM157="","Instandstellungen beauftragen",IF(R157="","Nachmieter erfassen",IF(AN157="","Vertrag versenden",IF(AO157="","Vertrag retour erfassen",IF(S157="","Vermietet per erfassen",IF(AP157="","Werke / EGT über Einzug informieren",IF(AND(AD157="",AQ157=""),"Schlüsselübergabe terminieren",IF(AQ157="","Schlüsselübergabe durchführen",IF(AR157="","Reinigung veranlassen",IF(AS157="","Namensschilder bestellen",IF(AT157="","Kaution prüfen / G-Rem mutieren",IF(AU157="","Instandstellungs-Rechnung erfassen",IF(AV157="","Schlussabrechnung erstellen",IF(AW157="","Zahlungseingang kontrollieren","Fall abschliessen"))))))))))))))))))))))))))))))))</f>
        <v/>
      </c>
      <c r="J157" s="17">
        <f>IF(M157="","",IF(S157&lt;&gt;"",MAX(0,S157-M157-1),MAX(0,TODAY()-M157)))</f>
        <v/>
      </c>
      <c r="K157" s="16">
        <f>IF($B157="","",TRIM(IF(AND(L157&lt;&gt;"",M157&lt;&gt;"",M157&lt;L157),"Haftungsdatum vor Kündigung. ","")&amp;IF(AND(S157&lt;&gt;"",M157&lt;&gt;"",S157&lt;M157),"Vermietung vor Leerstandsbeginn. ","")&amp;IF(AND(Z157&lt;&gt;"",L157&lt;&gt;"",Z157&lt;L157),"WA-Termin vor Kündigung. ","")&amp;IF(COUNTIFS($B$5:$B$404,$B157,$AY$5:$AY$404,"")&gt;1,"Zweiter offener Fall zum selben Objekt. ","")&amp;IF(AND($A157&lt;&gt;"",COUNTIFS($A$5:$A$404,$A157)&gt;1),"Fall-Nr. doppelt vergeben. ","")&amp;IF(E157="","ex-Mieter fehlt. ","")&amp;IF(M157="","Haftungsdatum fehlt. ","")&amp;IF(F157="","Bewirtschafter fehlt. ","")&amp;IF(AND(AY157&lt;&gt;"",AW157=""),"Abgeschlossen trotz offener Schlussabrechnung. ","")&amp;IF(AND(AY157="",S157="",ISNUMBER(J157),J157&gt;60),"Langläufer über 60 Tage. ","")))</f>
        <v/>
      </c>
      <c r="L157" s="18" t="n"/>
      <c r="M157" s="18" t="n"/>
      <c r="N157" s="19">
        <f>IF(M157="","",M157+1)</f>
        <v/>
      </c>
      <c r="O157" s="17">
        <f>IF(OR(L157="",M157=""),"",M157-L157)</f>
        <v/>
      </c>
      <c r="P157" s="16">
        <f>IF(M157="","",YEAR(M157+1)&amp;"-"&amp;TEXT(MONTH(M157+1),"00"))</f>
        <v/>
      </c>
      <c r="Q157" s="18" t="n"/>
      <c r="R157" s="15" t="n"/>
      <c r="S157" s="18" t="n"/>
      <c r="T157" s="16">
        <f>IF(U157="","",IF(LEFT(U157,1)="6","abgeschlossen",IF(OR(LEFT(U157,1)="1",LEFT(U157,1)="2"),"Kündigung &amp; Abnahme",IF(OR(LEFT(U157,1)="3",LEFT(U157,1)="4"),"Wiedervermietung","Schlussabrechnung"))))</f>
        <v/>
      </c>
      <c r="U157" s="16">
        <f>IF($B157="","",IF(AY157&lt;&gt;"","6 · abgeschlossen",IF(AW157&lt;&gt;"","5 · bereit zum Abschluss",IF(AT157&lt;&gt;"","5 · Schlussabrechnung",IF(AO157&lt;&gt;"","4 · Übergabe",IF(AM157&lt;&gt;"","3 · Neuvermietung",IF(M157&lt;&gt;"","2 · Abnahme &amp; Vermarktung","1 · Erfassung")))))))</f>
        <v/>
      </c>
      <c r="V157" s="15" t="n"/>
      <c r="W157" s="20" t="n"/>
      <c r="X157" s="15" t="n"/>
      <c r="Y157" s="15" t="n"/>
      <c r="Z157" s="18" t="n"/>
      <c r="AA157" s="19">
        <f>IF(M157="","",M157-30)</f>
        <v/>
      </c>
      <c r="AB157" s="19">
        <f>IF(ISNUMBER(AJ157),AJ157+3,"")</f>
        <v/>
      </c>
      <c r="AC157" s="18" t="n"/>
      <c r="AD157" s="18" t="n"/>
      <c r="AE157" s="18" t="n"/>
      <c r="AF157" s="18" t="n"/>
      <c r="AG157" s="18" t="n"/>
      <c r="AH157" s="18" t="n"/>
      <c r="AI157" s="18" t="n"/>
      <c r="AJ157" s="18" t="n"/>
      <c r="AK157" s="18" t="n"/>
      <c r="AL157" s="18" t="n"/>
      <c r="AM157" s="18" t="n"/>
      <c r="AN157" s="18" t="n"/>
      <c r="AO157" s="18" t="n"/>
      <c r="AP157" s="18" t="n"/>
      <c r="AQ157" s="18" t="n"/>
      <c r="AR157" s="18" t="n"/>
      <c r="AS157" s="18" t="n"/>
      <c r="AT157" s="18" t="n"/>
      <c r="AU157" s="18" t="n"/>
      <c r="AV157" s="18" t="n"/>
      <c r="AW157" s="18" t="n"/>
      <c r="AX157" s="18" t="n"/>
      <c r="AY157" s="18" t="n"/>
      <c r="AZ157" s="15" t="n"/>
    </row>
    <row r="158">
      <c r="A158" s="15" t="n"/>
      <c r="B158" s="15" t="n"/>
      <c r="C158" s="15" t="n"/>
      <c r="D158" s="15" t="n"/>
      <c r="E158" s="15" t="n"/>
      <c r="F158" s="15" t="n"/>
      <c r="G158" s="16">
        <f>IF(F158="","",IFERROR(INDEX(Stammdaten!$B$5:$B$24,MATCH(F158,Stammdaten!$A$5:$A$24,0)),"unbekannt"))</f>
        <v/>
      </c>
      <c r="H158" s="16">
        <f>IF($B158="","",IF(AY158&lt;&gt;"","abgeschlossen",IF(AND(ISNUMBER(AX158),AX158&gt;=TODAY()),"zurückgestellt",IF(OR(AND(ISNUMBER(AA158),AA158&lt;TODAY(),Z158="",AJ158=""),AND(ISNUMBER(Z158),Z158&lt;TODAY(),AJ158=""),AND(ISNUMBER(AB158),AB158&lt;TODAY(),AK158=""),AND(ISNUMBER(AC158),AC158&lt;TODAY(),AO158=""),AND(ISNUMBER(AD158),AD158&lt;TODAY(),AQ158="")),"überfällig","offen"))))</f>
        <v/>
      </c>
      <c r="I158" s="16">
        <f>IF($B158="","",IF(AY158&lt;&gt;"","—",IF(AND(ISNUMBER(AA158),AA158&lt;TODAY(),Z158="",AJ158=""),"Abnahmetermin vereinbaren – Sollfrist verstrichen",IF(AND(ISNUMBER(Z158),Z158&lt;TODAY(),AJ158=""),"Wohnungsabnahme nachtragen – Termin war fällig",IF(AND(ISNUMBER(AB158),AB158&lt;TODAY(),AK158=""),"Handwerker aufbieten – Frist verstrichen",IF(AND(ISNUMBER(AC158),AC158&lt;TODAY(),AO158=""),"Vertrag retour mahnen – Frist verstrichen",IF(AND(ISNUMBER(AD158),AD158&lt;TODAY(),AQ158=""),"Schlüsselübergabe nachtragen – Termin war fällig",IF(M158="","Haftungsdatum erfassen",IF(E158="","ex-Mieter erfassen",IF(AE158="","Kündigung bestätigen / G-Rem",IF(AF158="","Werke / EGT melden",IF(AG158="","Vorbesichtigung (oder n.e.)",IF(AH158="","VMZ aktualisieren",IF(AI158="","Inserat aufschalten",IF(AND(Z158="",AJ158=""),"Abnahmetermin vereinbaren",IF(AJ158="","Wohnungsabnahme durchführen",IF(AK158="","Handwerker aufbieten",IF(AL158="","Zustimmungserklärung einholen",IF(AM158="","Instandstellungen beauftragen",IF(R158="","Nachmieter erfassen",IF(AN158="","Vertrag versenden",IF(AO158="","Vertrag retour erfassen",IF(S158="","Vermietet per erfassen",IF(AP158="","Werke / EGT über Einzug informieren",IF(AND(AD158="",AQ158=""),"Schlüsselübergabe terminieren",IF(AQ158="","Schlüsselübergabe durchführen",IF(AR158="","Reinigung veranlassen",IF(AS158="","Namensschilder bestellen",IF(AT158="","Kaution prüfen / G-Rem mutieren",IF(AU158="","Instandstellungs-Rechnung erfassen",IF(AV158="","Schlussabrechnung erstellen",IF(AW158="","Zahlungseingang kontrollieren","Fall abschliessen"))))))))))))))))))))))))))))))))</f>
        <v/>
      </c>
      <c r="J158" s="17">
        <f>IF(M158="","",IF(S158&lt;&gt;"",MAX(0,S158-M158-1),MAX(0,TODAY()-M158)))</f>
        <v/>
      </c>
      <c r="K158" s="16">
        <f>IF($B158="","",TRIM(IF(AND(L158&lt;&gt;"",M158&lt;&gt;"",M158&lt;L158),"Haftungsdatum vor Kündigung. ","")&amp;IF(AND(S158&lt;&gt;"",M158&lt;&gt;"",S158&lt;M158),"Vermietung vor Leerstandsbeginn. ","")&amp;IF(AND(Z158&lt;&gt;"",L158&lt;&gt;"",Z158&lt;L158),"WA-Termin vor Kündigung. ","")&amp;IF(COUNTIFS($B$5:$B$404,$B158,$AY$5:$AY$404,"")&gt;1,"Zweiter offener Fall zum selben Objekt. ","")&amp;IF(AND($A158&lt;&gt;"",COUNTIFS($A$5:$A$404,$A158)&gt;1),"Fall-Nr. doppelt vergeben. ","")&amp;IF(E158="","ex-Mieter fehlt. ","")&amp;IF(M158="","Haftungsdatum fehlt. ","")&amp;IF(F158="","Bewirtschafter fehlt. ","")&amp;IF(AND(AY158&lt;&gt;"",AW158=""),"Abgeschlossen trotz offener Schlussabrechnung. ","")&amp;IF(AND(AY158="",S158="",ISNUMBER(J158),J158&gt;60),"Langläufer über 60 Tage. ","")))</f>
        <v/>
      </c>
      <c r="L158" s="18" t="n"/>
      <c r="M158" s="18" t="n"/>
      <c r="N158" s="19">
        <f>IF(M158="","",M158+1)</f>
        <v/>
      </c>
      <c r="O158" s="17">
        <f>IF(OR(L158="",M158=""),"",M158-L158)</f>
        <v/>
      </c>
      <c r="P158" s="16">
        <f>IF(M158="","",YEAR(M158+1)&amp;"-"&amp;TEXT(MONTH(M158+1),"00"))</f>
        <v/>
      </c>
      <c r="Q158" s="18" t="n"/>
      <c r="R158" s="15" t="n"/>
      <c r="S158" s="18" t="n"/>
      <c r="T158" s="16">
        <f>IF(U158="","",IF(LEFT(U158,1)="6","abgeschlossen",IF(OR(LEFT(U158,1)="1",LEFT(U158,1)="2"),"Kündigung &amp; Abnahme",IF(OR(LEFT(U158,1)="3",LEFT(U158,1)="4"),"Wiedervermietung","Schlussabrechnung"))))</f>
        <v/>
      </c>
      <c r="U158" s="16">
        <f>IF($B158="","",IF(AY158&lt;&gt;"","6 · abgeschlossen",IF(AW158&lt;&gt;"","5 · bereit zum Abschluss",IF(AT158&lt;&gt;"","5 · Schlussabrechnung",IF(AO158&lt;&gt;"","4 · Übergabe",IF(AM158&lt;&gt;"","3 · Neuvermietung",IF(M158&lt;&gt;"","2 · Abnahme &amp; Vermarktung","1 · Erfassung")))))))</f>
        <v/>
      </c>
      <c r="V158" s="15" t="n"/>
      <c r="W158" s="20" t="n"/>
      <c r="X158" s="15" t="n"/>
      <c r="Y158" s="15" t="n"/>
      <c r="Z158" s="18" t="n"/>
      <c r="AA158" s="19">
        <f>IF(M158="","",M158-30)</f>
        <v/>
      </c>
      <c r="AB158" s="19">
        <f>IF(ISNUMBER(AJ158),AJ158+3,"")</f>
        <v/>
      </c>
      <c r="AC158" s="18" t="n"/>
      <c r="AD158" s="18" t="n"/>
      <c r="AE158" s="18" t="n"/>
      <c r="AF158" s="18" t="n"/>
      <c r="AG158" s="18" t="n"/>
      <c r="AH158" s="18" t="n"/>
      <c r="AI158" s="18" t="n"/>
      <c r="AJ158" s="18" t="n"/>
      <c r="AK158" s="18" t="n"/>
      <c r="AL158" s="18" t="n"/>
      <c r="AM158" s="18" t="n"/>
      <c r="AN158" s="18" t="n"/>
      <c r="AO158" s="18" t="n"/>
      <c r="AP158" s="18" t="n"/>
      <c r="AQ158" s="18" t="n"/>
      <c r="AR158" s="18" t="n"/>
      <c r="AS158" s="18" t="n"/>
      <c r="AT158" s="18" t="n"/>
      <c r="AU158" s="18" t="n"/>
      <c r="AV158" s="18" t="n"/>
      <c r="AW158" s="18" t="n"/>
      <c r="AX158" s="18" t="n"/>
      <c r="AY158" s="18" t="n"/>
      <c r="AZ158" s="15" t="n"/>
    </row>
    <row r="159">
      <c r="A159" s="15" t="n"/>
      <c r="B159" s="15" t="n"/>
      <c r="C159" s="15" t="n"/>
      <c r="D159" s="15" t="n"/>
      <c r="E159" s="15" t="n"/>
      <c r="F159" s="15" t="n"/>
      <c r="G159" s="16">
        <f>IF(F159="","",IFERROR(INDEX(Stammdaten!$B$5:$B$24,MATCH(F159,Stammdaten!$A$5:$A$24,0)),"unbekannt"))</f>
        <v/>
      </c>
      <c r="H159" s="16">
        <f>IF($B159="","",IF(AY159&lt;&gt;"","abgeschlossen",IF(AND(ISNUMBER(AX159),AX159&gt;=TODAY()),"zurückgestellt",IF(OR(AND(ISNUMBER(AA159),AA159&lt;TODAY(),Z159="",AJ159=""),AND(ISNUMBER(Z159),Z159&lt;TODAY(),AJ159=""),AND(ISNUMBER(AB159),AB159&lt;TODAY(),AK159=""),AND(ISNUMBER(AC159),AC159&lt;TODAY(),AO159=""),AND(ISNUMBER(AD159),AD159&lt;TODAY(),AQ159="")),"überfällig","offen"))))</f>
        <v/>
      </c>
      <c r="I159" s="16">
        <f>IF($B159="","",IF(AY159&lt;&gt;"","—",IF(AND(ISNUMBER(AA159),AA159&lt;TODAY(),Z159="",AJ159=""),"Abnahmetermin vereinbaren – Sollfrist verstrichen",IF(AND(ISNUMBER(Z159),Z159&lt;TODAY(),AJ159=""),"Wohnungsabnahme nachtragen – Termin war fällig",IF(AND(ISNUMBER(AB159),AB159&lt;TODAY(),AK159=""),"Handwerker aufbieten – Frist verstrichen",IF(AND(ISNUMBER(AC159),AC159&lt;TODAY(),AO159=""),"Vertrag retour mahnen – Frist verstrichen",IF(AND(ISNUMBER(AD159),AD159&lt;TODAY(),AQ159=""),"Schlüsselübergabe nachtragen – Termin war fällig",IF(M159="","Haftungsdatum erfassen",IF(E159="","ex-Mieter erfassen",IF(AE159="","Kündigung bestätigen / G-Rem",IF(AF159="","Werke / EGT melden",IF(AG159="","Vorbesichtigung (oder n.e.)",IF(AH159="","VMZ aktualisieren",IF(AI159="","Inserat aufschalten",IF(AND(Z159="",AJ159=""),"Abnahmetermin vereinbaren",IF(AJ159="","Wohnungsabnahme durchführen",IF(AK159="","Handwerker aufbieten",IF(AL159="","Zustimmungserklärung einholen",IF(AM159="","Instandstellungen beauftragen",IF(R159="","Nachmieter erfassen",IF(AN159="","Vertrag versenden",IF(AO159="","Vertrag retour erfassen",IF(S159="","Vermietet per erfassen",IF(AP159="","Werke / EGT über Einzug informieren",IF(AND(AD159="",AQ159=""),"Schlüsselübergabe terminieren",IF(AQ159="","Schlüsselübergabe durchführen",IF(AR159="","Reinigung veranlassen",IF(AS159="","Namensschilder bestellen",IF(AT159="","Kaution prüfen / G-Rem mutieren",IF(AU159="","Instandstellungs-Rechnung erfassen",IF(AV159="","Schlussabrechnung erstellen",IF(AW159="","Zahlungseingang kontrollieren","Fall abschliessen"))))))))))))))))))))))))))))))))</f>
        <v/>
      </c>
      <c r="J159" s="17">
        <f>IF(M159="","",IF(S159&lt;&gt;"",MAX(0,S159-M159-1),MAX(0,TODAY()-M159)))</f>
        <v/>
      </c>
      <c r="K159" s="16">
        <f>IF($B159="","",TRIM(IF(AND(L159&lt;&gt;"",M159&lt;&gt;"",M159&lt;L159),"Haftungsdatum vor Kündigung. ","")&amp;IF(AND(S159&lt;&gt;"",M159&lt;&gt;"",S159&lt;M159),"Vermietung vor Leerstandsbeginn. ","")&amp;IF(AND(Z159&lt;&gt;"",L159&lt;&gt;"",Z159&lt;L159),"WA-Termin vor Kündigung. ","")&amp;IF(COUNTIFS($B$5:$B$404,$B159,$AY$5:$AY$404,"")&gt;1,"Zweiter offener Fall zum selben Objekt. ","")&amp;IF(AND($A159&lt;&gt;"",COUNTIFS($A$5:$A$404,$A159)&gt;1),"Fall-Nr. doppelt vergeben. ","")&amp;IF(E159="","ex-Mieter fehlt. ","")&amp;IF(M159="","Haftungsdatum fehlt. ","")&amp;IF(F159="","Bewirtschafter fehlt. ","")&amp;IF(AND(AY159&lt;&gt;"",AW159=""),"Abgeschlossen trotz offener Schlussabrechnung. ","")&amp;IF(AND(AY159="",S159="",ISNUMBER(J159),J159&gt;60),"Langläufer über 60 Tage. ","")))</f>
        <v/>
      </c>
      <c r="L159" s="18" t="n"/>
      <c r="M159" s="18" t="n"/>
      <c r="N159" s="19">
        <f>IF(M159="","",M159+1)</f>
        <v/>
      </c>
      <c r="O159" s="17">
        <f>IF(OR(L159="",M159=""),"",M159-L159)</f>
        <v/>
      </c>
      <c r="P159" s="16">
        <f>IF(M159="","",YEAR(M159+1)&amp;"-"&amp;TEXT(MONTH(M159+1),"00"))</f>
        <v/>
      </c>
      <c r="Q159" s="18" t="n"/>
      <c r="R159" s="15" t="n"/>
      <c r="S159" s="18" t="n"/>
      <c r="T159" s="16">
        <f>IF(U159="","",IF(LEFT(U159,1)="6","abgeschlossen",IF(OR(LEFT(U159,1)="1",LEFT(U159,1)="2"),"Kündigung &amp; Abnahme",IF(OR(LEFT(U159,1)="3",LEFT(U159,1)="4"),"Wiedervermietung","Schlussabrechnung"))))</f>
        <v/>
      </c>
      <c r="U159" s="16">
        <f>IF($B159="","",IF(AY159&lt;&gt;"","6 · abgeschlossen",IF(AW159&lt;&gt;"","5 · bereit zum Abschluss",IF(AT159&lt;&gt;"","5 · Schlussabrechnung",IF(AO159&lt;&gt;"","4 · Übergabe",IF(AM159&lt;&gt;"","3 · Neuvermietung",IF(M159&lt;&gt;"","2 · Abnahme &amp; Vermarktung","1 · Erfassung")))))))</f>
        <v/>
      </c>
      <c r="V159" s="15" t="n"/>
      <c r="W159" s="20" t="n"/>
      <c r="X159" s="15" t="n"/>
      <c r="Y159" s="15" t="n"/>
      <c r="Z159" s="18" t="n"/>
      <c r="AA159" s="19">
        <f>IF(M159="","",M159-30)</f>
        <v/>
      </c>
      <c r="AB159" s="19">
        <f>IF(ISNUMBER(AJ159),AJ159+3,"")</f>
        <v/>
      </c>
      <c r="AC159" s="18" t="n"/>
      <c r="AD159" s="18" t="n"/>
      <c r="AE159" s="18" t="n"/>
      <c r="AF159" s="18" t="n"/>
      <c r="AG159" s="18" t="n"/>
      <c r="AH159" s="18" t="n"/>
      <c r="AI159" s="18" t="n"/>
      <c r="AJ159" s="18" t="n"/>
      <c r="AK159" s="18" t="n"/>
      <c r="AL159" s="18" t="n"/>
      <c r="AM159" s="18" t="n"/>
      <c r="AN159" s="18" t="n"/>
      <c r="AO159" s="18" t="n"/>
      <c r="AP159" s="18" t="n"/>
      <c r="AQ159" s="18" t="n"/>
      <c r="AR159" s="18" t="n"/>
      <c r="AS159" s="18" t="n"/>
      <c r="AT159" s="18" t="n"/>
      <c r="AU159" s="18" t="n"/>
      <c r="AV159" s="18" t="n"/>
      <c r="AW159" s="18" t="n"/>
      <c r="AX159" s="18" t="n"/>
      <c r="AY159" s="18" t="n"/>
      <c r="AZ159" s="15" t="n"/>
    </row>
    <row r="160">
      <c r="A160" s="15" t="n"/>
      <c r="B160" s="15" t="n"/>
      <c r="C160" s="15" t="n"/>
      <c r="D160" s="15" t="n"/>
      <c r="E160" s="15" t="n"/>
      <c r="F160" s="15" t="n"/>
      <c r="G160" s="16">
        <f>IF(F160="","",IFERROR(INDEX(Stammdaten!$B$5:$B$24,MATCH(F160,Stammdaten!$A$5:$A$24,0)),"unbekannt"))</f>
        <v/>
      </c>
      <c r="H160" s="16">
        <f>IF($B160="","",IF(AY160&lt;&gt;"","abgeschlossen",IF(AND(ISNUMBER(AX160),AX160&gt;=TODAY()),"zurückgestellt",IF(OR(AND(ISNUMBER(AA160),AA160&lt;TODAY(),Z160="",AJ160=""),AND(ISNUMBER(Z160),Z160&lt;TODAY(),AJ160=""),AND(ISNUMBER(AB160),AB160&lt;TODAY(),AK160=""),AND(ISNUMBER(AC160),AC160&lt;TODAY(),AO160=""),AND(ISNUMBER(AD160),AD160&lt;TODAY(),AQ160="")),"überfällig","offen"))))</f>
        <v/>
      </c>
      <c r="I160" s="16">
        <f>IF($B160="","",IF(AY160&lt;&gt;"","—",IF(AND(ISNUMBER(AA160),AA160&lt;TODAY(),Z160="",AJ160=""),"Abnahmetermin vereinbaren – Sollfrist verstrichen",IF(AND(ISNUMBER(Z160),Z160&lt;TODAY(),AJ160=""),"Wohnungsabnahme nachtragen – Termin war fällig",IF(AND(ISNUMBER(AB160),AB160&lt;TODAY(),AK160=""),"Handwerker aufbieten – Frist verstrichen",IF(AND(ISNUMBER(AC160),AC160&lt;TODAY(),AO160=""),"Vertrag retour mahnen – Frist verstrichen",IF(AND(ISNUMBER(AD160),AD160&lt;TODAY(),AQ160=""),"Schlüsselübergabe nachtragen – Termin war fällig",IF(M160="","Haftungsdatum erfassen",IF(E160="","ex-Mieter erfassen",IF(AE160="","Kündigung bestätigen / G-Rem",IF(AF160="","Werke / EGT melden",IF(AG160="","Vorbesichtigung (oder n.e.)",IF(AH160="","VMZ aktualisieren",IF(AI160="","Inserat aufschalten",IF(AND(Z160="",AJ160=""),"Abnahmetermin vereinbaren",IF(AJ160="","Wohnungsabnahme durchführen",IF(AK160="","Handwerker aufbieten",IF(AL160="","Zustimmungserklärung einholen",IF(AM160="","Instandstellungen beauftragen",IF(R160="","Nachmieter erfassen",IF(AN160="","Vertrag versenden",IF(AO160="","Vertrag retour erfassen",IF(S160="","Vermietet per erfassen",IF(AP160="","Werke / EGT über Einzug informieren",IF(AND(AD160="",AQ160=""),"Schlüsselübergabe terminieren",IF(AQ160="","Schlüsselübergabe durchführen",IF(AR160="","Reinigung veranlassen",IF(AS160="","Namensschilder bestellen",IF(AT160="","Kaution prüfen / G-Rem mutieren",IF(AU160="","Instandstellungs-Rechnung erfassen",IF(AV160="","Schlussabrechnung erstellen",IF(AW160="","Zahlungseingang kontrollieren","Fall abschliessen"))))))))))))))))))))))))))))))))</f>
        <v/>
      </c>
      <c r="J160" s="17">
        <f>IF(M160="","",IF(S160&lt;&gt;"",MAX(0,S160-M160-1),MAX(0,TODAY()-M160)))</f>
        <v/>
      </c>
      <c r="K160" s="16">
        <f>IF($B160="","",TRIM(IF(AND(L160&lt;&gt;"",M160&lt;&gt;"",M160&lt;L160),"Haftungsdatum vor Kündigung. ","")&amp;IF(AND(S160&lt;&gt;"",M160&lt;&gt;"",S160&lt;M160),"Vermietung vor Leerstandsbeginn. ","")&amp;IF(AND(Z160&lt;&gt;"",L160&lt;&gt;"",Z160&lt;L160),"WA-Termin vor Kündigung. ","")&amp;IF(COUNTIFS($B$5:$B$404,$B160,$AY$5:$AY$404,"")&gt;1,"Zweiter offener Fall zum selben Objekt. ","")&amp;IF(AND($A160&lt;&gt;"",COUNTIFS($A$5:$A$404,$A160)&gt;1),"Fall-Nr. doppelt vergeben. ","")&amp;IF(E160="","ex-Mieter fehlt. ","")&amp;IF(M160="","Haftungsdatum fehlt. ","")&amp;IF(F160="","Bewirtschafter fehlt. ","")&amp;IF(AND(AY160&lt;&gt;"",AW160=""),"Abgeschlossen trotz offener Schlussabrechnung. ","")&amp;IF(AND(AY160="",S160="",ISNUMBER(J160),J160&gt;60),"Langläufer über 60 Tage. ","")))</f>
        <v/>
      </c>
      <c r="L160" s="18" t="n"/>
      <c r="M160" s="18" t="n"/>
      <c r="N160" s="19">
        <f>IF(M160="","",M160+1)</f>
        <v/>
      </c>
      <c r="O160" s="17">
        <f>IF(OR(L160="",M160=""),"",M160-L160)</f>
        <v/>
      </c>
      <c r="P160" s="16">
        <f>IF(M160="","",YEAR(M160+1)&amp;"-"&amp;TEXT(MONTH(M160+1),"00"))</f>
        <v/>
      </c>
      <c r="Q160" s="18" t="n"/>
      <c r="R160" s="15" t="n"/>
      <c r="S160" s="18" t="n"/>
      <c r="T160" s="16">
        <f>IF(U160="","",IF(LEFT(U160,1)="6","abgeschlossen",IF(OR(LEFT(U160,1)="1",LEFT(U160,1)="2"),"Kündigung &amp; Abnahme",IF(OR(LEFT(U160,1)="3",LEFT(U160,1)="4"),"Wiedervermietung","Schlussabrechnung"))))</f>
        <v/>
      </c>
      <c r="U160" s="16">
        <f>IF($B160="","",IF(AY160&lt;&gt;"","6 · abgeschlossen",IF(AW160&lt;&gt;"","5 · bereit zum Abschluss",IF(AT160&lt;&gt;"","5 · Schlussabrechnung",IF(AO160&lt;&gt;"","4 · Übergabe",IF(AM160&lt;&gt;"","3 · Neuvermietung",IF(M160&lt;&gt;"","2 · Abnahme &amp; Vermarktung","1 · Erfassung")))))))</f>
        <v/>
      </c>
      <c r="V160" s="15" t="n"/>
      <c r="W160" s="20" t="n"/>
      <c r="X160" s="15" t="n"/>
      <c r="Y160" s="15" t="n"/>
      <c r="Z160" s="18" t="n"/>
      <c r="AA160" s="19">
        <f>IF(M160="","",M160-30)</f>
        <v/>
      </c>
      <c r="AB160" s="19">
        <f>IF(ISNUMBER(AJ160),AJ160+3,"")</f>
        <v/>
      </c>
      <c r="AC160" s="18" t="n"/>
      <c r="AD160" s="18" t="n"/>
      <c r="AE160" s="18" t="n"/>
      <c r="AF160" s="18" t="n"/>
      <c r="AG160" s="18" t="n"/>
      <c r="AH160" s="18" t="n"/>
      <c r="AI160" s="18" t="n"/>
      <c r="AJ160" s="18" t="n"/>
      <c r="AK160" s="18" t="n"/>
      <c r="AL160" s="18" t="n"/>
      <c r="AM160" s="18" t="n"/>
      <c r="AN160" s="18" t="n"/>
      <c r="AO160" s="18" t="n"/>
      <c r="AP160" s="18" t="n"/>
      <c r="AQ160" s="18" t="n"/>
      <c r="AR160" s="18" t="n"/>
      <c r="AS160" s="18" t="n"/>
      <c r="AT160" s="18" t="n"/>
      <c r="AU160" s="18" t="n"/>
      <c r="AV160" s="18" t="n"/>
      <c r="AW160" s="18" t="n"/>
      <c r="AX160" s="18" t="n"/>
      <c r="AY160" s="18" t="n"/>
      <c r="AZ160" s="15" t="n"/>
    </row>
    <row r="161">
      <c r="A161" s="15" t="n"/>
      <c r="B161" s="15" t="n"/>
      <c r="C161" s="15" t="n"/>
      <c r="D161" s="15" t="n"/>
      <c r="E161" s="15" t="n"/>
      <c r="F161" s="15" t="n"/>
      <c r="G161" s="16">
        <f>IF(F161="","",IFERROR(INDEX(Stammdaten!$B$5:$B$24,MATCH(F161,Stammdaten!$A$5:$A$24,0)),"unbekannt"))</f>
        <v/>
      </c>
      <c r="H161" s="16">
        <f>IF($B161="","",IF(AY161&lt;&gt;"","abgeschlossen",IF(AND(ISNUMBER(AX161),AX161&gt;=TODAY()),"zurückgestellt",IF(OR(AND(ISNUMBER(AA161),AA161&lt;TODAY(),Z161="",AJ161=""),AND(ISNUMBER(Z161),Z161&lt;TODAY(),AJ161=""),AND(ISNUMBER(AB161),AB161&lt;TODAY(),AK161=""),AND(ISNUMBER(AC161),AC161&lt;TODAY(),AO161=""),AND(ISNUMBER(AD161),AD161&lt;TODAY(),AQ161="")),"überfällig","offen"))))</f>
        <v/>
      </c>
      <c r="I161" s="16">
        <f>IF($B161="","",IF(AY161&lt;&gt;"","—",IF(AND(ISNUMBER(AA161),AA161&lt;TODAY(),Z161="",AJ161=""),"Abnahmetermin vereinbaren – Sollfrist verstrichen",IF(AND(ISNUMBER(Z161),Z161&lt;TODAY(),AJ161=""),"Wohnungsabnahme nachtragen – Termin war fällig",IF(AND(ISNUMBER(AB161),AB161&lt;TODAY(),AK161=""),"Handwerker aufbieten – Frist verstrichen",IF(AND(ISNUMBER(AC161),AC161&lt;TODAY(),AO161=""),"Vertrag retour mahnen – Frist verstrichen",IF(AND(ISNUMBER(AD161),AD161&lt;TODAY(),AQ161=""),"Schlüsselübergabe nachtragen – Termin war fällig",IF(M161="","Haftungsdatum erfassen",IF(E161="","ex-Mieter erfassen",IF(AE161="","Kündigung bestätigen / G-Rem",IF(AF161="","Werke / EGT melden",IF(AG161="","Vorbesichtigung (oder n.e.)",IF(AH161="","VMZ aktualisieren",IF(AI161="","Inserat aufschalten",IF(AND(Z161="",AJ161=""),"Abnahmetermin vereinbaren",IF(AJ161="","Wohnungsabnahme durchführen",IF(AK161="","Handwerker aufbieten",IF(AL161="","Zustimmungserklärung einholen",IF(AM161="","Instandstellungen beauftragen",IF(R161="","Nachmieter erfassen",IF(AN161="","Vertrag versenden",IF(AO161="","Vertrag retour erfassen",IF(S161="","Vermietet per erfassen",IF(AP161="","Werke / EGT über Einzug informieren",IF(AND(AD161="",AQ161=""),"Schlüsselübergabe terminieren",IF(AQ161="","Schlüsselübergabe durchführen",IF(AR161="","Reinigung veranlassen",IF(AS161="","Namensschilder bestellen",IF(AT161="","Kaution prüfen / G-Rem mutieren",IF(AU161="","Instandstellungs-Rechnung erfassen",IF(AV161="","Schlussabrechnung erstellen",IF(AW161="","Zahlungseingang kontrollieren","Fall abschliessen"))))))))))))))))))))))))))))))))</f>
        <v/>
      </c>
      <c r="J161" s="17">
        <f>IF(M161="","",IF(S161&lt;&gt;"",MAX(0,S161-M161-1),MAX(0,TODAY()-M161)))</f>
        <v/>
      </c>
      <c r="K161" s="16">
        <f>IF($B161="","",TRIM(IF(AND(L161&lt;&gt;"",M161&lt;&gt;"",M161&lt;L161),"Haftungsdatum vor Kündigung. ","")&amp;IF(AND(S161&lt;&gt;"",M161&lt;&gt;"",S161&lt;M161),"Vermietung vor Leerstandsbeginn. ","")&amp;IF(AND(Z161&lt;&gt;"",L161&lt;&gt;"",Z161&lt;L161),"WA-Termin vor Kündigung. ","")&amp;IF(COUNTIFS($B$5:$B$404,$B161,$AY$5:$AY$404,"")&gt;1,"Zweiter offener Fall zum selben Objekt. ","")&amp;IF(AND($A161&lt;&gt;"",COUNTIFS($A$5:$A$404,$A161)&gt;1),"Fall-Nr. doppelt vergeben. ","")&amp;IF(E161="","ex-Mieter fehlt. ","")&amp;IF(M161="","Haftungsdatum fehlt. ","")&amp;IF(F161="","Bewirtschafter fehlt. ","")&amp;IF(AND(AY161&lt;&gt;"",AW161=""),"Abgeschlossen trotz offener Schlussabrechnung. ","")&amp;IF(AND(AY161="",S161="",ISNUMBER(J161),J161&gt;60),"Langläufer über 60 Tage. ","")))</f>
        <v/>
      </c>
      <c r="L161" s="18" t="n"/>
      <c r="M161" s="18" t="n"/>
      <c r="N161" s="19">
        <f>IF(M161="","",M161+1)</f>
        <v/>
      </c>
      <c r="O161" s="17">
        <f>IF(OR(L161="",M161=""),"",M161-L161)</f>
        <v/>
      </c>
      <c r="P161" s="16">
        <f>IF(M161="","",YEAR(M161+1)&amp;"-"&amp;TEXT(MONTH(M161+1),"00"))</f>
        <v/>
      </c>
      <c r="Q161" s="18" t="n"/>
      <c r="R161" s="15" t="n"/>
      <c r="S161" s="18" t="n"/>
      <c r="T161" s="16">
        <f>IF(U161="","",IF(LEFT(U161,1)="6","abgeschlossen",IF(OR(LEFT(U161,1)="1",LEFT(U161,1)="2"),"Kündigung &amp; Abnahme",IF(OR(LEFT(U161,1)="3",LEFT(U161,1)="4"),"Wiedervermietung","Schlussabrechnung"))))</f>
        <v/>
      </c>
      <c r="U161" s="16">
        <f>IF($B161="","",IF(AY161&lt;&gt;"","6 · abgeschlossen",IF(AW161&lt;&gt;"","5 · bereit zum Abschluss",IF(AT161&lt;&gt;"","5 · Schlussabrechnung",IF(AO161&lt;&gt;"","4 · Übergabe",IF(AM161&lt;&gt;"","3 · Neuvermietung",IF(M161&lt;&gt;"","2 · Abnahme &amp; Vermarktung","1 · Erfassung")))))))</f>
        <v/>
      </c>
      <c r="V161" s="15" t="n"/>
      <c r="W161" s="20" t="n"/>
      <c r="X161" s="15" t="n"/>
      <c r="Y161" s="15" t="n"/>
      <c r="Z161" s="18" t="n"/>
      <c r="AA161" s="19">
        <f>IF(M161="","",M161-30)</f>
        <v/>
      </c>
      <c r="AB161" s="19">
        <f>IF(ISNUMBER(AJ161),AJ161+3,"")</f>
        <v/>
      </c>
      <c r="AC161" s="18" t="n"/>
      <c r="AD161" s="18" t="n"/>
      <c r="AE161" s="18" t="n"/>
      <c r="AF161" s="18" t="n"/>
      <c r="AG161" s="18" t="n"/>
      <c r="AH161" s="18" t="n"/>
      <c r="AI161" s="18" t="n"/>
      <c r="AJ161" s="18" t="n"/>
      <c r="AK161" s="18" t="n"/>
      <c r="AL161" s="18" t="n"/>
      <c r="AM161" s="18" t="n"/>
      <c r="AN161" s="18" t="n"/>
      <c r="AO161" s="18" t="n"/>
      <c r="AP161" s="18" t="n"/>
      <c r="AQ161" s="18" t="n"/>
      <c r="AR161" s="18" t="n"/>
      <c r="AS161" s="18" t="n"/>
      <c r="AT161" s="18" t="n"/>
      <c r="AU161" s="18" t="n"/>
      <c r="AV161" s="18" t="n"/>
      <c r="AW161" s="18" t="n"/>
      <c r="AX161" s="18" t="n"/>
      <c r="AY161" s="18" t="n"/>
      <c r="AZ161" s="15" t="n"/>
    </row>
    <row r="162">
      <c r="A162" s="15" t="n"/>
      <c r="B162" s="15" t="n"/>
      <c r="C162" s="15" t="n"/>
      <c r="D162" s="15" t="n"/>
      <c r="E162" s="15" t="n"/>
      <c r="F162" s="15" t="n"/>
      <c r="G162" s="16">
        <f>IF(F162="","",IFERROR(INDEX(Stammdaten!$B$5:$B$24,MATCH(F162,Stammdaten!$A$5:$A$24,0)),"unbekannt"))</f>
        <v/>
      </c>
      <c r="H162" s="16">
        <f>IF($B162="","",IF(AY162&lt;&gt;"","abgeschlossen",IF(AND(ISNUMBER(AX162),AX162&gt;=TODAY()),"zurückgestellt",IF(OR(AND(ISNUMBER(AA162),AA162&lt;TODAY(),Z162="",AJ162=""),AND(ISNUMBER(Z162),Z162&lt;TODAY(),AJ162=""),AND(ISNUMBER(AB162),AB162&lt;TODAY(),AK162=""),AND(ISNUMBER(AC162),AC162&lt;TODAY(),AO162=""),AND(ISNUMBER(AD162),AD162&lt;TODAY(),AQ162="")),"überfällig","offen"))))</f>
        <v/>
      </c>
      <c r="I162" s="16">
        <f>IF($B162="","",IF(AY162&lt;&gt;"","—",IF(AND(ISNUMBER(AA162),AA162&lt;TODAY(),Z162="",AJ162=""),"Abnahmetermin vereinbaren – Sollfrist verstrichen",IF(AND(ISNUMBER(Z162),Z162&lt;TODAY(),AJ162=""),"Wohnungsabnahme nachtragen – Termin war fällig",IF(AND(ISNUMBER(AB162),AB162&lt;TODAY(),AK162=""),"Handwerker aufbieten – Frist verstrichen",IF(AND(ISNUMBER(AC162),AC162&lt;TODAY(),AO162=""),"Vertrag retour mahnen – Frist verstrichen",IF(AND(ISNUMBER(AD162),AD162&lt;TODAY(),AQ162=""),"Schlüsselübergabe nachtragen – Termin war fällig",IF(M162="","Haftungsdatum erfassen",IF(E162="","ex-Mieter erfassen",IF(AE162="","Kündigung bestätigen / G-Rem",IF(AF162="","Werke / EGT melden",IF(AG162="","Vorbesichtigung (oder n.e.)",IF(AH162="","VMZ aktualisieren",IF(AI162="","Inserat aufschalten",IF(AND(Z162="",AJ162=""),"Abnahmetermin vereinbaren",IF(AJ162="","Wohnungsabnahme durchführen",IF(AK162="","Handwerker aufbieten",IF(AL162="","Zustimmungserklärung einholen",IF(AM162="","Instandstellungen beauftragen",IF(R162="","Nachmieter erfassen",IF(AN162="","Vertrag versenden",IF(AO162="","Vertrag retour erfassen",IF(S162="","Vermietet per erfassen",IF(AP162="","Werke / EGT über Einzug informieren",IF(AND(AD162="",AQ162=""),"Schlüsselübergabe terminieren",IF(AQ162="","Schlüsselübergabe durchführen",IF(AR162="","Reinigung veranlassen",IF(AS162="","Namensschilder bestellen",IF(AT162="","Kaution prüfen / G-Rem mutieren",IF(AU162="","Instandstellungs-Rechnung erfassen",IF(AV162="","Schlussabrechnung erstellen",IF(AW162="","Zahlungseingang kontrollieren","Fall abschliessen"))))))))))))))))))))))))))))))))</f>
        <v/>
      </c>
      <c r="J162" s="17">
        <f>IF(M162="","",IF(S162&lt;&gt;"",MAX(0,S162-M162-1),MAX(0,TODAY()-M162)))</f>
        <v/>
      </c>
      <c r="K162" s="16">
        <f>IF($B162="","",TRIM(IF(AND(L162&lt;&gt;"",M162&lt;&gt;"",M162&lt;L162),"Haftungsdatum vor Kündigung. ","")&amp;IF(AND(S162&lt;&gt;"",M162&lt;&gt;"",S162&lt;M162),"Vermietung vor Leerstandsbeginn. ","")&amp;IF(AND(Z162&lt;&gt;"",L162&lt;&gt;"",Z162&lt;L162),"WA-Termin vor Kündigung. ","")&amp;IF(COUNTIFS($B$5:$B$404,$B162,$AY$5:$AY$404,"")&gt;1,"Zweiter offener Fall zum selben Objekt. ","")&amp;IF(AND($A162&lt;&gt;"",COUNTIFS($A$5:$A$404,$A162)&gt;1),"Fall-Nr. doppelt vergeben. ","")&amp;IF(E162="","ex-Mieter fehlt. ","")&amp;IF(M162="","Haftungsdatum fehlt. ","")&amp;IF(F162="","Bewirtschafter fehlt. ","")&amp;IF(AND(AY162&lt;&gt;"",AW162=""),"Abgeschlossen trotz offener Schlussabrechnung. ","")&amp;IF(AND(AY162="",S162="",ISNUMBER(J162),J162&gt;60),"Langläufer über 60 Tage. ","")))</f>
        <v/>
      </c>
      <c r="L162" s="18" t="n"/>
      <c r="M162" s="18" t="n"/>
      <c r="N162" s="19">
        <f>IF(M162="","",M162+1)</f>
        <v/>
      </c>
      <c r="O162" s="17">
        <f>IF(OR(L162="",M162=""),"",M162-L162)</f>
        <v/>
      </c>
      <c r="P162" s="16">
        <f>IF(M162="","",YEAR(M162+1)&amp;"-"&amp;TEXT(MONTH(M162+1),"00"))</f>
        <v/>
      </c>
      <c r="Q162" s="18" t="n"/>
      <c r="R162" s="15" t="n"/>
      <c r="S162" s="18" t="n"/>
      <c r="T162" s="16">
        <f>IF(U162="","",IF(LEFT(U162,1)="6","abgeschlossen",IF(OR(LEFT(U162,1)="1",LEFT(U162,1)="2"),"Kündigung &amp; Abnahme",IF(OR(LEFT(U162,1)="3",LEFT(U162,1)="4"),"Wiedervermietung","Schlussabrechnung"))))</f>
        <v/>
      </c>
      <c r="U162" s="16">
        <f>IF($B162="","",IF(AY162&lt;&gt;"","6 · abgeschlossen",IF(AW162&lt;&gt;"","5 · bereit zum Abschluss",IF(AT162&lt;&gt;"","5 · Schlussabrechnung",IF(AO162&lt;&gt;"","4 · Übergabe",IF(AM162&lt;&gt;"","3 · Neuvermietung",IF(M162&lt;&gt;"","2 · Abnahme &amp; Vermarktung","1 · Erfassung")))))))</f>
        <v/>
      </c>
      <c r="V162" s="15" t="n"/>
      <c r="W162" s="20" t="n"/>
      <c r="X162" s="15" t="n"/>
      <c r="Y162" s="15" t="n"/>
      <c r="Z162" s="18" t="n"/>
      <c r="AA162" s="19">
        <f>IF(M162="","",M162-30)</f>
        <v/>
      </c>
      <c r="AB162" s="19">
        <f>IF(ISNUMBER(AJ162),AJ162+3,"")</f>
        <v/>
      </c>
      <c r="AC162" s="18" t="n"/>
      <c r="AD162" s="18" t="n"/>
      <c r="AE162" s="18" t="n"/>
      <c r="AF162" s="18" t="n"/>
      <c r="AG162" s="18" t="n"/>
      <c r="AH162" s="18" t="n"/>
      <c r="AI162" s="18" t="n"/>
      <c r="AJ162" s="18" t="n"/>
      <c r="AK162" s="18" t="n"/>
      <c r="AL162" s="18" t="n"/>
      <c r="AM162" s="18" t="n"/>
      <c r="AN162" s="18" t="n"/>
      <c r="AO162" s="18" t="n"/>
      <c r="AP162" s="18" t="n"/>
      <c r="AQ162" s="18" t="n"/>
      <c r="AR162" s="18" t="n"/>
      <c r="AS162" s="18" t="n"/>
      <c r="AT162" s="18" t="n"/>
      <c r="AU162" s="18" t="n"/>
      <c r="AV162" s="18" t="n"/>
      <c r="AW162" s="18" t="n"/>
      <c r="AX162" s="18" t="n"/>
      <c r="AY162" s="18" t="n"/>
      <c r="AZ162" s="15" t="n"/>
    </row>
    <row r="163">
      <c r="A163" s="15" t="n"/>
      <c r="B163" s="15" t="n"/>
      <c r="C163" s="15" t="n"/>
      <c r="D163" s="15" t="n"/>
      <c r="E163" s="15" t="n"/>
      <c r="F163" s="15" t="n"/>
      <c r="G163" s="16">
        <f>IF(F163="","",IFERROR(INDEX(Stammdaten!$B$5:$B$24,MATCH(F163,Stammdaten!$A$5:$A$24,0)),"unbekannt"))</f>
        <v/>
      </c>
      <c r="H163" s="16">
        <f>IF($B163="","",IF(AY163&lt;&gt;"","abgeschlossen",IF(AND(ISNUMBER(AX163),AX163&gt;=TODAY()),"zurückgestellt",IF(OR(AND(ISNUMBER(AA163),AA163&lt;TODAY(),Z163="",AJ163=""),AND(ISNUMBER(Z163),Z163&lt;TODAY(),AJ163=""),AND(ISNUMBER(AB163),AB163&lt;TODAY(),AK163=""),AND(ISNUMBER(AC163),AC163&lt;TODAY(),AO163=""),AND(ISNUMBER(AD163),AD163&lt;TODAY(),AQ163="")),"überfällig","offen"))))</f>
        <v/>
      </c>
      <c r="I163" s="16">
        <f>IF($B163="","",IF(AY163&lt;&gt;"","—",IF(AND(ISNUMBER(AA163),AA163&lt;TODAY(),Z163="",AJ163=""),"Abnahmetermin vereinbaren – Sollfrist verstrichen",IF(AND(ISNUMBER(Z163),Z163&lt;TODAY(),AJ163=""),"Wohnungsabnahme nachtragen – Termin war fällig",IF(AND(ISNUMBER(AB163),AB163&lt;TODAY(),AK163=""),"Handwerker aufbieten – Frist verstrichen",IF(AND(ISNUMBER(AC163),AC163&lt;TODAY(),AO163=""),"Vertrag retour mahnen – Frist verstrichen",IF(AND(ISNUMBER(AD163),AD163&lt;TODAY(),AQ163=""),"Schlüsselübergabe nachtragen – Termin war fällig",IF(M163="","Haftungsdatum erfassen",IF(E163="","ex-Mieter erfassen",IF(AE163="","Kündigung bestätigen / G-Rem",IF(AF163="","Werke / EGT melden",IF(AG163="","Vorbesichtigung (oder n.e.)",IF(AH163="","VMZ aktualisieren",IF(AI163="","Inserat aufschalten",IF(AND(Z163="",AJ163=""),"Abnahmetermin vereinbaren",IF(AJ163="","Wohnungsabnahme durchführen",IF(AK163="","Handwerker aufbieten",IF(AL163="","Zustimmungserklärung einholen",IF(AM163="","Instandstellungen beauftragen",IF(R163="","Nachmieter erfassen",IF(AN163="","Vertrag versenden",IF(AO163="","Vertrag retour erfassen",IF(S163="","Vermietet per erfassen",IF(AP163="","Werke / EGT über Einzug informieren",IF(AND(AD163="",AQ163=""),"Schlüsselübergabe terminieren",IF(AQ163="","Schlüsselübergabe durchführen",IF(AR163="","Reinigung veranlassen",IF(AS163="","Namensschilder bestellen",IF(AT163="","Kaution prüfen / G-Rem mutieren",IF(AU163="","Instandstellungs-Rechnung erfassen",IF(AV163="","Schlussabrechnung erstellen",IF(AW163="","Zahlungseingang kontrollieren","Fall abschliessen"))))))))))))))))))))))))))))))))</f>
        <v/>
      </c>
      <c r="J163" s="17">
        <f>IF(M163="","",IF(S163&lt;&gt;"",MAX(0,S163-M163-1),MAX(0,TODAY()-M163)))</f>
        <v/>
      </c>
      <c r="K163" s="16">
        <f>IF($B163="","",TRIM(IF(AND(L163&lt;&gt;"",M163&lt;&gt;"",M163&lt;L163),"Haftungsdatum vor Kündigung. ","")&amp;IF(AND(S163&lt;&gt;"",M163&lt;&gt;"",S163&lt;M163),"Vermietung vor Leerstandsbeginn. ","")&amp;IF(AND(Z163&lt;&gt;"",L163&lt;&gt;"",Z163&lt;L163),"WA-Termin vor Kündigung. ","")&amp;IF(COUNTIFS($B$5:$B$404,$B163,$AY$5:$AY$404,"")&gt;1,"Zweiter offener Fall zum selben Objekt. ","")&amp;IF(AND($A163&lt;&gt;"",COUNTIFS($A$5:$A$404,$A163)&gt;1),"Fall-Nr. doppelt vergeben. ","")&amp;IF(E163="","ex-Mieter fehlt. ","")&amp;IF(M163="","Haftungsdatum fehlt. ","")&amp;IF(F163="","Bewirtschafter fehlt. ","")&amp;IF(AND(AY163&lt;&gt;"",AW163=""),"Abgeschlossen trotz offener Schlussabrechnung. ","")&amp;IF(AND(AY163="",S163="",ISNUMBER(J163),J163&gt;60),"Langläufer über 60 Tage. ","")))</f>
        <v/>
      </c>
      <c r="L163" s="18" t="n"/>
      <c r="M163" s="18" t="n"/>
      <c r="N163" s="19">
        <f>IF(M163="","",M163+1)</f>
        <v/>
      </c>
      <c r="O163" s="17">
        <f>IF(OR(L163="",M163=""),"",M163-L163)</f>
        <v/>
      </c>
      <c r="P163" s="16">
        <f>IF(M163="","",YEAR(M163+1)&amp;"-"&amp;TEXT(MONTH(M163+1),"00"))</f>
        <v/>
      </c>
      <c r="Q163" s="18" t="n"/>
      <c r="R163" s="15" t="n"/>
      <c r="S163" s="18" t="n"/>
      <c r="T163" s="16">
        <f>IF(U163="","",IF(LEFT(U163,1)="6","abgeschlossen",IF(OR(LEFT(U163,1)="1",LEFT(U163,1)="2"),"Kündigung &amp; Abnahme",IF(OR(LEFT(U163,1)="3",LEFT(U163,1)="4"),"Wiedervermietung","Schlussabrechnung"))))</f>
        <v/>
      </c>
      <c r="U163" s="16">
        <f>IF($B163="","",IF(AY163&lt;&gt;"","6 · abgeschlossen",IF(AW163&lt;&gt;"","5 · bereit zum Abschluss",IF(AT163&lt;&gt;"","5 · Schlussabrechnung",IF(AO163&lt;&gt;"","4 · Übergabe",IF(AM163&lt;&gt;"","3 · Neuvermietung",IF(M163&lt;&gt;"","2 · Abnahme &amp; Vermarktung","1 · Erfassung")))))))</f>
        <v/>
      </c>
      <c r="V163" s="15" t="n"/>
      <c r="W163" s="20" t="n"/>
      <c r="X163" s="15" t="n"/>
      <c r="Y163" s="15" t="n"/>
      <c r="Z163" s="18" t="n"/>
      <c r="AA163" s="19">
        <f>IF(M163="","",M163-30)</f>
        <v/>
      </c>
      <c r="AB163" s="19">
        <f>IF(ISNUMBER(AJ163),AJ163+3,"")</f>
        <v/>
      </c>
      <c r="AC163" s="18" t="n"/>
      <c r="AD163" s="18" t="n"/>
      <c r="AE163" s="18" t="n"/>
      <c r="AF163" s="18" t="n"/>
      <c r="AG163" s="18" t="n"/>
      <c r="AH163" s="18" t="n"/>
      <c r="AI163" s="18" t="n"/>
      <c r="AJ163" s="18" t="n"/>
      <c r="AK163" s="18" t="n"/>
      <c r="AL163" s="18" t="n"/>
      <c r="AM163" s="18" t="n"/>
      <c r="AN163" s="18" t="n"/>
      <c r="AO163" s="18" t="n"/>
      <c r="AP163" s="18" t="n"/>
      <c r="AQ163" s="18" t="n"/>
      <c r="AR163" s="18" t="n"/>
      <c r="AS163" s="18" t="n"/>
      <c r="AT163" s="18" t="n"/>
      <c r="AU163" s="18" t="n"/>
      <c r="AV163" s="18" t="n"/>
      <c r="AW163" s="18" t="n"/>
      <c r="AX163" s="18" t="n"/>
      <c r="AY163" s="18" t="n"/>
      <c r="AZ163" s="15" t="n"/>
    </row>
    <row r="164">
      <c r="A164" s="15" t="n"/>
      <c r="B164" s="15" t="n"/>
      <c r="C164" s="15" t="n"/>
      <c r="D164" s="15" t="n"/>
      <c r="E164" s="15" t="n"/>
      <c r="F164" s="15" t="n"/>
      <c r="G164" s="16">
        <f>IF(F164="","",IFERROR(INDEX(Stammdaten!$B$5:$B$24,MATCH(F164,Stammdaten!$A$5:$A$24,0)),"unbekannt"))</f>
        <v/>
      </c>
      <c r="H164" s="16">
        <f>IF($B164="","",IF(AY164&lt;&gt;"","abgeschlossen",IF(AND(ISNUMBER(AX164),AX164&gt;=TODAY()),"zurückgestellt",IF(OR(AND(ISNUMBER(AA164),AA164&lt;TODAY(),Z164="",AJ164=""),AND(ISNUMBER(Z164),Z164&lt;TODAY(),AJ164=""),AND(ISNUMBER(AB164),AB164&lt;TODAY(),AK164=""),AND(ISNUMBER(AC164),AC164&lt;TODAY(),AO164=""),AND(ISNUMBER(AD164),AD164&lt;TODAY(),AQ164="")),"überfällig","offen"))))</f>
        <v/>
      </c>
      <c r="I164" s="16">
        <f>IF($B164="","",IF(AY164&lt;&gt;"","—",IF(AND(ISNUMBER(AA164),AA164&lt;TODAY(),Z164="",AJ164=""),"Abnahmetermin vereinbaren – Sollfrist verstrichen",IF(AND(ISNUMBER(Z164),Z164&lt;TODAY(),AJ164=""),"Wohnungsabnahme nachtragen – Termin war fällig",IF(AND(ISNUMBER(AB164),AB164&lt;TODAY(),AK164=""),"Handwerker aufbieten – Frist verstrichen",IF(AND(ISNUMBER(AC164),AC164&lt;TODAY(),AO164=""),"Vertrag retour mahnen – Frist verstrichen",IF(AND(ISNUMBER(AD164),AD164&lt;TODAY(),AQ164=""),"Schlüsselübergabe nachtragen – Termin war fällig",IF(M164="","Haftungsdatum erfassen",IF(E164="","ex-Mieter erfassen",IF(AE164="","Kündigung bestätigen / G-Rem",IF(AF164="","Werke / EGT melden",IF(AG164="","Vorbesichtigung (oder n.e.)",IF(AH164="","VMZ aktualisieren",IF(AI164="","Inserat aufschalten",IF(AND(Z164="",AJ164=""),"Abnahmetermin vereinbaren",IF(AJ164="","Wohnungsabnahme durchführen",IF(AK164="","Handwerker aufbieten",IF(AL164="","Zustimmungserklärung einholen",IF(AM164="","Instandstellungen beauftragen",IF(R164="","Nachmieter erfassen",IF(AN164="","Vertrag versenden",IF(AO164="","Vertrag retour erfassen",IF(S164="","Vermietet per erfassen",IF(AP164="","Werke / EGT über Einzug informieren",IF(AND(AD164="",AQ164=""),"Schlüsselübergabe terminieren",IF(AQ164="","Schlüsselübergabe durchführen",IF(AR164="","Reinigung veranlassen",IF(AS164="","Namensschilder bestellen",IF(AT164="","Kaution prüfen / G-Rem mutieren",IF(AU164="","Instandstellungs-Rechnung erfassen",IF(AV164="","Schlussabrechnung erstellen",IF(AW164="","Zahlungseingang kontrollieren","Fall abschliessen"))))))))))))))))))))))))))))))))</f>
        <v/>
      </c>
      <c r="J164" s="17">
        <f>IF(M164="","",IF(S164&lt;&gt;"",MAX(0,S164-M164-1),MAX(0,TODAY()-M164)))</f>
        <v/>
      </c>
      <c r="K164" s="16">
        <f>IF($B164="","",TRIM(IF(AND(L164&lt;&gt;"",M164&lt;&gt;"",M164&lt;L164),"Haftungsdatum vor Kündigung. ","")&amp;IF(AND(S164&lt;&gt;"",M164&lt;&gt;"",S164&lt;M164),"Vermietung vor Leerstandsbeginn. ","")&amp;IF(AND(Z164&lt;&gt;"",L164&lt;&gt;"",Z164&lt;L164),"WA-Termin vor Kündigung. ","")&amp;IF(COUNTIFS($B$5:$B$404,$B164,$AY$5:$AY$404,"")&gt;1,"Zweiter offener Fall zum selben Objekt. ","")&amp;IF(AND($A164&lt;&gt;"",COUNTIFS($A$5:$A$404,$A164)&gt;1),"Fall-Nr. doppelt vergeben. ","")&amp;IF(E164="","ex-Mieter fehlt. ","")&amp;IF(M164="","Haftungsdatum fehlt. ","")&amp;IF(F164="","Bewirtschafter fehlt. ","")&amp;IF(AND(AY164&lt;&gt;"",AW164=""),"Abgeschlossen trotz offener Schlussabrechnung. ","")&amp;IF(AND(AY164="",S164="",ISNUMBER(J164),J164&gt;60),"Langläufer über 60 Tage. ","")))</f>
        <v/>
      </c>
      <c r="L164" s="18" t="n"/>
      <c r="M164" s="18" t="n"/>
      <c r="N164" s="19">
        <f>IF(M164="","",M164+1)</f>
        <v/>
      </c>
      <c r="O164" s="17">
        <f>IF(OR(L164="",M164=""),"",M164-L164)</f>
        <v/>
      </c>
      <c r="P164" s="16">
        <f>IF(M164="","",YEAR(M164+1)&amp;"-"&amp;TEXT(MONTH(M164+1),"00"))</f>
        <v/>
      </c>
      <c r="Q164" s="18" t="n"/>
      <c r="R164" s="15" t="n"/>
      <c r="S164" s="18" t="n"/>
      <c r="T164" s="16">
        <f>IF(U164="","",IF(LEFT(U164,1)="6","abgeschlossen",IF(OR(LEFT(U164,1)="1",LEFT(U164,1)="2"),"Kündigung &amp; Abnahme",IF(OR(LEFT(U164,1)="3",LEFT(U164,1)="4"),"Wiedervermietung","Schlussabrechnung"))))</f>
        <v/>
      </c>
      <c r="U164" s="16">
        <f>IF($B164="","",IF(AY164&lt;&gt;"","6 · abgeschlossen",IF(AW164&lt;&gt;"","5 · bereit zum Abschluss",IF(AT164&lt;&gt;"","5 · Schlussabrechnung",IF(AO164&lt;&gt;"","4 · Übergabe",IF(AM164&lt;&gt;"","3 · Neuvermietung",IF(M164&lt;&gt;"","2 · Abnahme &amp; Vermarktung","1 · Erfassung")))))))</f>
        <v/>
      </c>
      <c r="V164" s="15" t="n"/>
      <c r="W164" s="20" t="n"/>
      <c r="X164" s="15" t="n"/>
      <c r="Y164" s="15" t="n"/>
      <c r="Z164" s="18" t="n"/>
      <c r="AA164" s="19">
        <f>IF(M164="","",M164-30)</f>
        <v/>
      </c>
      <c r="AB164" s="19">
        <f>IF(ISNUMBER(AJ164),AJ164+3,"")</f>
        <v/>
      </c>
      <c r="AC164" s="18" t="n"/>
      <c r="AD164" s="18" t="n"/>
      <c r="AE164" s="18" t="n"/>
      <c r="AF164" s="18" t="n"/>
      <c r="AG164" s="18" t="n"/>
      <c r="AH164" s="18" t="n"/>
      <c r="AI164" s="18" t="n"/>
      <c r="AJ164" s="18" t="n"/>
      <c r="AK164" s="18" t="n"/>
      <c r="AL164" s="18" t="n"/>
      <c r="AM164" s="18" t="n"/>
      <c r="AN164" s="18" t="n"/>
      <c r="AO164" s="18" t="n"/>
      <c r="AP164" s="18" t="n"/>
      <c r="AQ164" s="18" t="n"/>
      <c r="AR164" s="18" t="n"/>
      <c r="AS164" s="18" t="n"/>
      <c r="AT164" s="18" t="n"/>
      <c r="AU164" s="18" t="n"/>
      <c r="AV164" s="18" t="n"/>
      <c r="AW164" s="18" t="n"/>
      <c r="AX164" s="18" t="n"/>
      <c r="AY164" s="18" t="n"/>
      <c r="AZ164" s="15" t="n"/>
    </row>
    <row r="165">
      <c r="A165" s="15" t="n"/>
      <c r="B165" s="15" t="n"/>
      <c r="C165" s="15" t="n"/>
      <c r="D165" s="15" t="n"/>
      <c r="E165" s="15" t="n"/>
      <c r="F165" s="15" t="n"/>
      <c r="G165" s="16">
        <f>IF(F165="","",IFERROR(INDEX(Stammdaten!$B$5:$B$24,MATCH(F165,Stammdaten!$A$5:$A$24,0)),"unbekannt"))</f>
        <v/>
      </c>
      <c r="H165" s="16">
        <f>IF($B165="","",IF(AY165&lt;&gt;"","abgeschlossen",IF(AND(ISNUMBER(AX165),AX165&gt;=TODAY()),"zurückgestellt",IF(OR(AND(ISNUMBER(AA165),AA165&lt;TODAY(),Z165="",AJ165=""),AND(ISNUMBER(Z165),Z165&lt;TODAY(),AJ165=""),AND(ISNUMBER(AB165),AB165&lt;TODAY(),AK165=""),AND(ISNUMBER(AC165),AC165&lt;TODAY(),AO165=""),AND(ISNUMBER(AD165),AD165&lt;TODAY(),AQ165="")),"überfällig","offen"))))</f>
        <v/>
      </c>
      <c r="I165" s="16">
        <f>IF($B165="","",IF(AY165&lt;&gt;"","—",IF(AND(ISNUMBER(AA165),AA165&lt;TODAY(),Z165="",AJ165=""),"Abnahmetermin vereinbaren – Sollfrist verstrichen",IF(AND(ISNUMBER(Z165),Z165&lt;TODAY(),AJ165=""),"Wohnungsabnahme nachtragen – Termin war fällig",IF(AND(ISNUMBER(AB165),AB165&lt;TODAY(),AK165=""),"Handwerker aufbieten – Frist verstrichen",IF(AND(ISNUMBER(AC165),AC165&lt;TODAY(),AO165=""),"Vertrag retour mahnen – Frist verstrichen",IF(AND(ISNUMBER(AD165),AD165&lt;TODAY(),AQ165=""),"Schlüsselübergabe nachtragen – Termin war fällig",IF(M165="","Haftungsdatum erfassen",IF(E165="","ex-Mieter erfassen",IF(AE165="","Kündigung bestätigen / G-Rem",IF(AF165="","Werke / EGT melden",IF(AG165="","Vorbesichtigung (oder n.e.)",IF(AH165="","VMZ aktualisieren",IF(AI165="","Inserat aufschalten",IF(AND(Z165="",AJ165=""),"Abnahmetermin vereinbaren",IF(AJ165="","Wohnungsabnahme durchführen",IF(AK165="","Handwerker aufbieten",IF(AL165="","Zustimmungserklärung einholen",IF(AM165="","Instandstellungen beauftragen",IF(R165="","Nachmieter erfassen",IF(AN165="","Vertrag versenden",IF(AO165="","Vertrag retour erfassen",IF(S165="","Vermietet per erfassen",IF(AP165="","Werke / EGT über Einzug informieren",IF(AND(AD165="",AQ165=""),"Schlüsselübergabe terminieren",IF(AQ165="","Schlüsselübergabe durchführen",IF(AR165="","Reinigung veranlassen",IF(AS165="","Namensschilder bestellen",IF(AT165="","Kaution prüfen / G-Rem mutieren",IF(AU165="","Instandstellungs-Rechnung erfassen",IF(AV165="","Schlussabrechnung erstellen",IF(AW165="","Zahlungseingang kontrollieren","Fall abschliessen"))))))))))))))))))))))))))))))))</f>
        <v/>
      </c>
      <c r="J165" s="17">
        <f>IF(M165="","",IF(S165&lt;&gt;"",MAX(0,S165-M165-1),MAX(0,TODAY()-M165)))</f>
        <v/>
      </c>
      <c r="K165" s="16">
        <f>IF($B165="","",TRIM(IF(AND(L165&lt;&gt;"",M165&lt;&gt;"",M165&lt;L165),"Haftungsdatum vor Kündigung. ","")&amp;IF(AND(S165&lt;&gt;"",M165&lt;&gt;"",S165&lt;M165),"Vermietung vor Leerstandsbeginn. ","")&amp;IF(AND(Z165&lt;&gt;"",L165&lt;&gt;"",Z165&lt;L165),"WA-Termin vor Kündigung. ","")&amp;IF(COUNTIFS($B$5:$B$404,$B165,$AY$5:$AY$404,"")&gt;1,"Zweiter offener Fall zum selben Objekt. ","")&amp;IF(AND($A165&lt;&gt;"",COUNTIFS($A$5:$A$404,$A165)&gt;1),"Fall-Nr. doppelt vergeben. ","")&amp;IF(E165="","ex-Mieter fehlt. ","")&amp;IF(M165="","Haftungsdatum fehlt. ","")&amp;IF(F165="","Bewirtschafter fehlt. ","")&amp;IF(AND(AY165&lt;&gt;"",AW165=""),"Abgeschlossen trotz offener Schlussabrechnung. ","")&amp;IF(AND(AY165="",S165="",ISNUMBER(J165),J165&gt;60),"Langläufer über 60 Tage. ","")))</f>
        <v/>
      </c>
      <c r="L165" s="18" t="n"/>
      <c r="M165" s="18" t="n"/>
      <c r="N165" s="19">
        <f>IF(M165="","",M165+1)</f>
        <v/>
      </c>
      <c r="O165" s="17">
        <f>IF(OR(L165="",M165=""),"",M165-L165)</f>
        <v/>
      </c>
      <c r="P165" s="16">
        <f>IF(M165="","",YEAR(M165+1)&amp;"-"&amp;TEXT(MONTH(M165+1),"00"))</f>
        <v/>
      </c>
      <c r="Q165" s="18" t="n"/>
      <c r="R165" s="15" t="n"/>
      <c r="S165" s="18" t="n"/>
      <c r="T165" s="16">
        <f>IF(U165="","",IF(LEFT(U165,1)="6","abgeschlossen",IF(OR(LEFT(U165,1)="1",LEFT(U165,1)="2"),"Kündigung &amp; Abnahme",IF(OR(LEFT(U165,1)="3",LEFT(U165,1)="4"),"Wiedervermietung","Schlussabrechnung"))))</f>
        <v/>
      </c>
      <c r="U165" s="16">
        <f>IF($B165="","",IF(AY165&lt;&gt;"","6 · abgeschlossen",IF(AW165&lt;&gt;"","5 · bereit zum Abschluss",IF(AT165&lt;&gt;"","5 · Schlussabrechnung",IF(AO165&lt;&gt;"","4 · Übergabe",IF(AM165&lt;&gt;"","3 · Neuvermietung",IF(M165&lt;&gt;"","2 · Abnahme &amp; Vermarktung","1 · Erfassung")))))))</f>
        <v/>
      </c>
      <c r="V165" s="15" t="n"/>
      <c r="W165" s="20" t="n"/>
      <c r="X165" s="15" t="n"/>
      <c r="Y165" s="15" t="n"/>
      <c r="Z165" s="18" t="n"/>
      <c r="AA165" s="19">
        <f>IF(M165="","",M165-30)</f>
        <v/>
      </c>
      <c r="AB165" s="19">
        <f>IF(ISNUMBER(AJ165),AJ165+3,"")</f>
        <v/>
      </c>
      <c r="AC165" s="18" t="n"/>
      <c r="AD165" s="18" t="n"/>
      <c r="AE165" s="18" t="n"/>
      <c r="AF165" s="18" t="n"/>
      <c r="AG165" s="18" t="n"/>
      <c r="AH165" s="18" t="n"/>
      <c r="AI165" s="18" t="n"/>
      <c r="AJ165" s="18" t="n"/>
      <c r="AK165" s="18" t="n"/>
      <c r="AL165" s="18" t="n"/>
      <c r="AM165" s="18" t="n"/>
      <c r="AN165" s="18" t="n"/>
      <c r="AO165" s="18" t="n"/>
      <c r="AP165" s="18" t="n"/>
      <c r="AQ165" s="18" t="n"/>
      <c r="AR165" s="18" t="n"/>
      <c r="AS165" s="18" t="n"/>
      <c r="AT165" s="18" t="n"/>
      <c r="AU165" s="18" t="n"/>
      <c r="AV165" s="18" t="n"/>
      <c r="AW165" s="18" t="n"/>
      <c r="AX165" s="18" t="n"/>
      <c r="AY165" s="18" t="n"/>
      <c r="AZ165" s="15" t="n"/>
    </row>
    <row r="166">
      <c r="A166" s="15" t="n"/>
      <c r="B166" s="15" t="n"/>
      <c r="C166" s="15" t="n"/>
      <c r="D166" s="15" t="n"/>
      <c r="E166" s="15" t="n"/>
      <c r="F166" s="15" t="n"/>
      <c r="G166" s="16">
        <f>IF(F166="","",IFERROR(INDEX(Stammdaten!$B$5:$B$24,MATCH(F166,Stammdaten!$A$5:$A$24,0)),"unbekannt"))</f>
        <v/>
      </c>
      <c r="H166" s="16">
        <f>IF($B166="","",IF(AY166&lt;&gt;"","abgeschlossen",IF(AND(ISNUMBER(AX166),AX166&gt;=TODAY()),"zurückgestellt",IF(OR(AND(ISNUMBER(AA166),AA166&lt;TODAY(),Z166="",AJ166=""),AND(ISNUMBER(Z166),Z166&lt;TODAY(),AJ166=""),AND(ISNUMBER(AB166),AB166&lt;TODAY(),AK166=""),AND(ISNUMBER(AC166),AC166&lt;TODAY(),AO166=""),AND(ISNUMBER(AD166),AD166&lt;TODAY(),AQ166="")),"überfällig","offen"))))</f>
        <v/>
      </c>
      <c r="I166" s="16">
        <f>IF($B166="","",IF(AY166&lt;&gt;"","—",IF(AND(ISNUMBER(AA166),AA166&lt;TODAY(),Z166="",AJ166=""),"Abnahmetermin vereinbaren – Sollfrist verstrichen",IF(AND(ISNUMBER(Z166),Z166&lt;TODAY(),AJ166=""),"Wohnungsabnahme nachtragen – Termin war fällig",IF(AND(ISNUMBER(AB166),AB166&lt;TODAY(),AK166=""),"Handwerker aufbieten – Frist verstrichen",IF(AND(ISNUMBER(AC166),AC166&lt;TODAY(),AO166=""),"Vertrag retour mahnen – Frist verstrichen",IF(AND(ISNUMBER(AD166),AD166&lt;TODAY(),AQ166=""),"Schlüsselübergabe nachtragen – Termin war fällig",IF(M166="","Haftungsdatum erfassen",IF(E166="","ex-Mieter erfassen",IF(AE166="","Kündigung bestätigen / G-Rem",IF(AF166="","Werke / EGT melden",IF(AG166="","Vorbesichtigung (oder n.e.)",IF(AH166="","VMZ aktualisieren",IF(AI166="","Inserat aufschalten",IF(AND(Z166="",AJ166=""),"Abnahmetermin vereinbaren",IF(AJ166="","Wohnungsabnahme durchführen",IF(AK166="","Handwerker aufbieten",IF(AL166="","Zustimmungserklärung einholen",IF(AM166="","Instandstellungen beauftragen",IF(R166="","Nachmieter erfassen",IF(AN166="","Vertrag versenden",IF(AO166="","Vertrag retour erfassen",IF(S166="","Vermietet per erfassen",IF(AP166="","Werke / EGT über Einzug informieren",IF(AND(AD166="",AQ166=""),"Schlüsselübergabe terminieren",IF(AQ166="","Schlüsselübergabe durchführen",IF(AR166="","Reinigung veranlassen",IF(AS166="","Namensschilder bestellen",IF(AT166="","Kaution prüfen / G-Rem mutieren",IF(AU166="","Instandstellungs-Rechnung erfassen",IF(AV166="","Schlussabrechnung erstellen",IF(AW166="","Zahlungseingang kontrollieren","Fall abschliessen"))))))))))))))))))))))))))))))))</f>
        <v/>
      </c>
      <c r="J166" s="17">
        <f>IF(M166="","",IF(S166&lt;&gt;"",MAX(0,S166-M166-1),MAX(0,TODAY()-M166)))</f>
        <v/>
      </c>
      <c r="K166" s="16">
        <f>IF($B166="","",TRIM(IF(AND(L166&lt;&gt;"",M166&lt;&gt;"",M166&lt;L166),"Haftungsdatum vor Kündigung. ","")&amp;IF(AND(S166&lt;&gt;"",M166&lt;&gt;"",S166&lt;M166),"Vermietung vor Leerstandsbeginn. ","")&amp;IF(AND(Z166&lt;&gt;"",L166&lt;&gt;"",Z166&lt;L166),"WA-Termin vor Kündigung. ","")&amp;IF(COUNTIFS($B$5:$B$404,$B166,$AY$5:$AY$404,"")&gt;1,"Zweiter offener Fall zum selben Objekt. ","")&amp;IF(AND($A166&lt;&gt;"",COUNTIFS($A$5:$A$404,$A166)&gt;1),"Fall-Nr. doppelt vergeben. ","")&amp;IF(E166="","ex-Mieter fehlt. ","")&amp;IF(M166="","Haftungsdatum fehlt. ","")&amp;IF(F166="","Bewirtschafter fehlt. ","")&amp;IF(AND(AY166&lt;&gt;"",AW166=""),"Abgeschlossen trotz offener Schlussabrechnung. ","")&amp;IF(AND(AY166="",S166="",ISNUMBER(J166),J166&gt;60),"Langläufer über 60 Tage. ","")))</f>
        <v/>
      </c>
      <c r="L166" s="18" t="n"/>
      <c r="M166" s="18" t="n"/>
      <c r="N166" s="19">
        <f>IF(M166="","",M166+1)</f>
        <v/>
      </c>
      <c r="O166" s="17">
        <f>IF(OR(L166="",M166=""),"",M166-L166)</f>
        <v/>
      </c>
      <c r="P166" s="16">
        <f>IF(M166="","",YEAR(M166+1)&amp;"-"&amp;TEXT(MONTH(M166+1),"00"))</f>
        <v/>
      </c>
      <c r="Q166" s="18" t="n"/>
      <c r="R166" s="15" t="n"/>
      <c r="S166" s="18" t="n"/>
      <c r="T166" s="16">
        <f>IF(U166="","",IF(LEFT(U166,1)="6","abgeschlossen",IF(OR(LEFT(U166,1)="1",LEFT(U166,1)="2"),"Kündigung &amp; Abnahme",IF(OR(LEFT(U166,1)="3",LEFT(U166,1)="4"),"Wiedervermietung","Schlussabrechnung"))))</f>
        <v/>
      </c>
      <c r="U166" s="16">
        <f>IF($B166="","",IF(AY166&lt;&gt;"","6 · abgeschlossen",IF(AW166&lt;&gt;"","5 · bereit zum Abschluss",IF(AT166&lt;&gt;"","5 · Schlussabrechnung",IF(AO166&lt;&gt;"","4 · Übergabe",IF(AM166&lt;&gt;"","3 · Neuvermietung",IF(M166&lt;&gt;"","2 · Abnahme &amp; Vermarktung","1 · Erfassung")))))))</f>
        <v/>
      </c>
      <c r="V166" s="15" t="n"/>
      <c r="W166" s="20" t="n"/>
      <c r="X166" s="15" t="n"/>
      <c r="Y166" s="15" t="n"/>
      <c r="Z166" s="18" t="n"/>
      <c r="AA166" s="19">
        <f>IF(M166="","",M166-30)</f>
        <v/>
      </c>
      <c r="AB166" s="19">
        <f>IF(ISNUMBER(AJ166),AJ166+3,"")</f>
        <v/>
      </c>
      <c r="AC166" s="18" t="n"/>
      <c r="AD166" s="18" t="n"/>
      <c r="AE166" s="18" t="n"/>
      <c r="AF166" s="18" t="n"/>
      <c r="AG166" s="18" t="n"/>
      <c r="AH166" s="18" t="n"/>
      <c r="AI166" s="18" t="n"/>
      <c r="AJ166" s="18" t="n"/>
      <c r="AK166" s="18" t="n"/>
      <c r="AL166" s="18" t="n"/>
      <c r="AM166" s="18" t="n"/>
      <c r="AN166" s="18" t="n"/>
      <c r="AO166" s="18" t="n"/>
      <c r="AP166" s="18" t="n"/>
      <c r="AQ166" s="18" t="n"/>
      <c r="AR166" s="18" t="n"/>
      <c r="AS166" s="18" t="n"/>
      <c r="AT166" s="18" t="n"/>
      <c r="AU166" s="18" t="n"/>
      <c r="AV166" s="18" t="n"/>
      <c r="AW166" s="18" t="n"/>
      <c r="AX166" s="18" t="n"/>
      <c r="AY166" s="18" t="n"/>
      <c r="AZ166" s="15" t="n"/>
    </row>
    <row r="167">
      <c r="A167" s="15" t="n"/>
      <c r="B167" s="15" t="n"/>
      <c r="C167" s="15" t="n"/>
      <c r="D167" s="15" t="n"/>
      <c r="E167" s="15" t="n"/>
      <c r="F167" s="15" t="n"/>
      <c r="G167" s="16">
        <f>IF(F167="","",IFERROR(INDEX(Stammdaten!$B$5:$B$24,MATCH(F167,Stammdaten!$A$5:$A$24,0)),"unbekannt"))</f>
        <v/>
      </c>
      <c r="H167" s="16">
        <f>IF($B167="","",IF(AY167&lt;&gt;"","abgeschlossen",IF(AND(ISNUMBER(AX167),AX167&gt;=TODAY()),"zurückgestellt",IF(OR(AND(ISNUMBER(AA167),AA167&lt;TODAY(),Z167="",AJ167=""),AND(ISNUMBER(Z167),Z167&lt;TODAY(),AJ167=""),AND(ISNUMBER(AB167),AB167&lt;TODAY(),AK167=""),AND(ISNUMBER(AC167),AC167&lt;TODAY(),AO167=""),AND(ISNUMBER(AD167),AD167&lt;TODAY(),AQ167="")),"überfällig","offen"))))</f>
        <v/>
      </c>
      <c r="I167" s="16">
        <f>IF($B167="","",IF(AY167&lt;&gt;"","—",IF(AND(ISNUMBER(AA167),AA167&lt;TODAY(),Z167="",AJ167=""),"Abnahmetermin vereinbaren – Sollfrist verstrichen",IF(AND(ISNUMBER(Z167),Z167&lt;TODAY(),AJ167=""),"Wohnungsabnahme nachtragen – Termin war fällig",IF(AND(ISNUMBER(AB167),AB167&lt;TODAY(),AK167=""),"Handwerker aufbieten – Frist verstrichen",IF(AND(ISNUMBER(AC167),AC167&lt;TODAY(),AO167=""),"Vertrag retour mahnen – Frist verstrichen",IF(AND(ISNUMBER(AD167),AD167&lt;TODAY(),AQ167=""),"Schlüsselübergabe nachtragen – Termin war fällig",IF(M167="","Haftungsdatum erfassen",IF(E167="","ex-Mieter erfassen",IF(AE167="","Kündigung bestätigen / G-Rem",IF(AF167="","Werke / EGT melden",IF(AG167="","Vorbesichtigung (oder n.e.)",IF(AH167="","VMZ aktualisieren",IF(AI167="","Inserat aufschalten",IF(AND(Z167="",AJ167=""),"Abnahmetermin vereinbaren",IF(AJ167="","Wohnungsabnahme durchführen",IF(AK167="","Handwerker aufbieten",IF(AL167="","Zustimmungserklärung einholen",IF(AM167="","Instandstellungen beauftragen",IF(R167="","Nachmieter erfassen",IF(AN167="","Vertrag versenden",IF(AO167="","Vertrag retour erfassen",IF(S167="","Vermietet per erfassen",IF(AP167="","Werke / EGT über Einzug informieren",IF(AND(AD167="",AQ167=""),"Schlüsselübergabe terminieren",IF(AQ167="","Schlüsselübergabe durchführen",IF(AR167="","Reinigung veranlassen",IF(AS167="","Namensschilder bestellen",IF(AT167="","Kaution prüfen / G-Rem mutieren",IF(AU167="","Instandstellungs-Rechnung erfassen",IF(AV167="","Schlussabrechnung erstellen",IF(AW167="","Zahlungseingang kontrollieren","Fall abschliessen"))))))))))))))))))))))))))))))))</f>
        <v/>
      </c>
      <c r="J167" s="17">
        <f>IF(M167="","",IF(S167&lt;&gt;"",MAX(0,S167-M167-1),MAX(0,TODAY()-M167)))</f>
        <v/>
      </c>
      <c r="K167" s="16">
        <f>IF($B167="","",TRIM(IF(AND(L167&lt;&gt;"",M167&lt;&gt;"",M167&lt;L167),"Haftungsdatum vor Kündigung. ","")&amp;IF(AND(S167&lt;&gt;"",M167&lt;&gt;"",S167&lt;M167),"Vermietung vor Leerstandsbeginn. ","")&amp;IF(AND(Z167&lt;&gt;"",L167&lt;&gt;"",Z167&lt;L167),"WA-Termin vor Kündigung. ","")&amp;IF(COUNTIFS($B$5:$B$404,$B167,$AY$5:$AY$404,"")&gt;1,"Zweiter offener Fall zum selben Objekt. ","")&amp;IF(AND($A167&lt;&gt;"",COUNTIFS($A$5:$A$404,$A167)&gt;1),"Fall-Nr. doppelt vergeben. ","")&amp;IF(E167="","ex-Mieter fehlt. ","")&amp;IF(M167="","Haftungsdatum fehlt. ","")&amp;IF(F167="","Bewirtschafter fehlt. ","")&amp;IF(AND(AY167&lt;&gt;"",AW167=""),"Abgeschlossen trotz offener Schlussabrechnung. ","")&amp;IF(AND(AY167="",S167="",ISNUMBER(J167),J167&gt;60),"Langläufer über 60 Tage. ","")))</f>
        <v/>
      </c>
      <c r="L167" s="18" t="n"/>
      <c r="M167" s="18" t="n"/>
      <c r="N167" s="19">
        <f>IF(M167="","",M167+1)</f>
        <v/>
      </c>
      <c r="O167" s="17">
        <f>IF(OR(L167="",M167=""),"",M167-L167)</f>
        <v/>
      </c>
      <c r="P167" s="16">
        <f>IF(M167="","",YEAR(M167+1)&amp;"-"&amp;TEXT(MONTH(M167+1),"00"))</f>
        <v/>
      </c>
      <c r="Q167" s="18" t="n"/>
      <c r="R167" s="15" t="n"/>
      <c r="S167" s="18" t="n"/>
      <c r="T167" s="16">
        <f>IF(U167="","",IF(LEFT(U167,1)="6","abgeschlossen",IF(OR(LEFT(U167,1)="1",LEFT(U167,1)="2"),"Kündigung &amp; Abnahme",IF(OR(LEFT(U167,1)="3",LEFT(U167,1)="4"),"Wiedervermietung","Schlussabrechnung"))))</f>
        <v/>
      </c>
      <c r="U167" s="16">
        <f>IF($B167="","",IF(AY167&lt;&gt;"","6 · abgeschlossen",IF(AW167&lt;&gt;"","5 · bereit zum Abschluss",IF(AT167&lt;&gt;"","5 · Schlussabrechnung",IF(AO167&lt;&gt;"","4 · Übergabe",IF(AM167&lt;&gt;"","3 · Neuvermietung",IF(M167&lt;&gt;"","2 · Abnahme &amp; Vermarktung","1 · Erfassung")))))))</f>
        <v/>
      </c>
      <c r="V167" s="15" t="n"/>
      <c r="W167" s="20" t="n"/>
      <c r="X167" s="15" t="n"/>
      <c r="Y167" s="15" t="n"/>
      <c r="Z167" s="18" t="n"/>
      <c r="AA167" s="19">
        <f>IF(M167="","",M167-30)</f>
        <v/>
      </c>
      <c r="AB167" s="19">
        <f>IF(ISNUMBER(AJ167),AJ167+3,"")</f>
        <v/>
      </c>
      <c r="AC167" s="18" t="n"/>
      <c r="AD167" s="18" t="n"/>
      <c r="AE167" s="18" t="n"/>
      <c r="AF167" s="18" t="n"/>
      <c r="AG167" s="18" t="n"/>
      <c r="AH167" s="18" t="n"/>
      <c r="AI167" s="18" t="n"/>
      <c r="AJ167" s="18" t="n"/>
      <c r="AK167" s="18" t="n"/>
      <c r="AL167" s="18" t="n"/>
      <c r="AM167" s="18" t="n"/>
      <c r="AN167" s="18" t="n"/>
      <c r="AO167" s="18" t="n"/>
      <c r="AP167" s="18" t="n"/>
      <c r="AQ167" s="18" t="n"/>
      <c r="AR167" s="18" t="n"/>
      <c r="AS167" s="18" t="n"/>
      <c r="AT167" s="18" t="n"/>
      <c r="AU167" s="18" t="n"/>
      <c r="AV167" s="18" t="n"/>
      <c r="AW167" s="18" t="n"/>
      <c r="AX167" s="18" t="n"/>
      <c r="AY167" s="18" t="n"/>
      <c r="AZ167" s="15" t="n"/>
    </row>
    <row r="168">
      <c r="A168" s="15" t="n"/>
      <c r="B168" s="15" t="n"/>
      <c r="C168" s="15" t="n"/>
      <c r="D168" s="15" t="n"/>
      <c r="E168" s="15" t="n"/>
      <c r="F168" s="15" t="n"/>
      <c r="G168" s="16">
        <f>IF(F168="","",IFERROR(INDEX(Stammdaten!$B$5:$B$24,MATCH(F168,Stammdaten!$A$5:$A$24,0)),"unbekannt"))</f>
        <v/>
      </c>
      <c r="H168" s="16">
        <f>IF($B168="","",IF(AY168&lt;&gt;"","abgeschlossen",IF(AND(ISNUMBER(AX168),AX168&gt;=TODAY()),"zurückgestellt",IF(OR(AND(ISNUMBER(AA168),AA168&lt;TODAY(),Z168="",AJ168=""),AND(ISNUMBER(Z168),Z168&lt;TODAY(),AJ168=""),AND(ISNUMBER(AB168),AB168&lt;TODAY(),AK168=""),AND(ISNUMBER(AC168),AC168&lt;TODAY(),AO168=""),AND(ISNUMBER(AD168),AD168&lt;TODAY(),AQ168="")),"überfällig","offen"))))</f>
        <v/>
      </c>
      <c r="I168" s="16">
        <f>IF($B168="","",IF(AY168&lt;&gt;"","—",IF(AND(ISNUMBER(AA168),AA168&lt;TODAY(),Z168="",AJ168=""),"Abnahmetermin vereinbaren – Sollfrist verstrichen",IF(AND(ISNUMBER(Z168),Z168&lt;TODAY(),AJ168=""),"Wohnungsabnahme nachtragen – Termin war fällig",IF(AND(ISNUMBER(AB168),AB168&lt;TODAY(),AK168=""),"Handwerker aufbieten – Frist verstrichen",IF(AND(ISNUMBER(AC168),AC168&lt;TODAY(),AO168=""),"Vertrag retour mahnen – Frist verstrichen",IF(AND(ISNUMBER(AD168),AD168&lt;TODAY(),AQ168=""),"Schlüsselübergabe nachtragen – Termin war fällig",IF(M168="","Haftungsdatum erfassen",IF(E168="","ex-Mieter erfassen",IF(AE168="","Kündigung bestätigen / G-Rem",IF(AF168="","Werke / EGT melden",IF(AG168="","Vorbesichtigung (oder n.e.)",IF(AH168="","VMZ aktualisieren",IF(AI168="","Inserat aufschalten",IF(AND(Z168="",AJ168=""),"Abnahmetermin vereinbaren",IF(AJ168="","Wohnungsabnahme durchführen",IF(AK168="","Handwerker aufbieten",IF(AL168="","Zustimmungserklärung einholen",IF(AM168="","Instandstellungen beauftragen",IF(R168="","Nachmieter erfassen",IF(AN168="","Vertrag versenden",IF(AO168="","Vertrag retour erfassen",IF(S168="","Vermietet per erfassen",IF(AP168="","Werke / EGT über Einzug informieren",IF(AND(AD168="",AQ168=""),"Schlüsselübergabe terminieren",IF(AQ168="","Schlüsselübergabe durchführen",IF(AR168="","Reinigung veranlassen",IF(AS168="","Namensschilder bestellen",IF(AT168="","Kaution prüfen / G-Rem mutieren",IF(AU168="","Instandstellungs-Rechnung erfassen",IF(AV168="","Schlussabrechnung erstellen",IF(AW168="","Zahlungseingang kontrollieren","Fall abschliessen"))))))))))))))))))))))))))))))))</f>
        <v/>
      </c>
      <c r="J168" s="17">
        <f>IF(M168="","",IF(S168&lt;&gt;"",MAX(0,S168-M168-1),MAX(0,TODAY()-M168)))</f>
        <v/>
      </c>
      <c r="K168" s="16">
        <f>IF($B168="","",TRIM(IF(AND(L168&lt;&gt;"",M168&lt;&gt;"",M168&lt;L168),"Haftungsdatum vor Kündigung. ","")&amp;IF(AND(S168&lt;&gt;"",M168&lt;&gt;"",S168&lt;M168),"Vermietung vor Leerstandsbeginn. ","")&amp;IF(AND(Z168&lt;&gt;"",L168&lt;&gt;"",Z168&lt;L168),"WA-Termin vor Kündigung. ","")&amp;IF(COUNTIFS($B$5:$B$404,$B168,$AY$5:$AY$404,"")&gt;1,"Zweiter offener Fall zum selben Objekt. ","")&amp;IF(AND($A168&lt;&gt;"",COUNTIFS($A$5:$A$404,$A168)&gt;1),"Fall-Nr. doppelt vergeben. ","")&amp;IF(E168="","ex-Mieter fehlt. ","")&amp;IF(M168="","Haftungsdatum fehlt. ","")&amp;IF(F168="","Bewirtschafter fehlt. ","")&amp;IF(AND(AY168&lt;&gt;"",AW168=""),"Abgeschlossen trotz offener Schlussabrechnung. ","")&amp;IF(AND(AY168="",S168="",ISNUMBER(J168),J168&gt;60),"Langläufer über 60 Tage. ","")))</f>
        <v/>
      </c>
      <c r="L168" s="18" t="n"/>
      <c r="M168" s="18" t="n"/>
      <c r="N168" s="19">
        <f>IF(M168="","",M168+1)</f>
        <v/>
      </c>
      <c r="O168" s="17">
        <f>IF(OR(L168="",M168=""),"",M168-L168)</f>
        <v/>
      </c>
      <c r="P168" s="16">
        <f>IF(M168="","",YEAR(M168+1)&amp;"-"&amp;TEXT(MONTH(M168+1),"00"))</f>
        <v/>
      </c>
      <c r="Q168" s="18" t="n"/>
      <c r="R168" s="15" t="n"/>
      <c r="S168" s="18" t="n"/>
      <c r="T168" s="16">
        <f>IF(U168="","",IF(LEFT(U168,1)="6","abgeschlossen",IF(OR(LEFT(U168,1)="1",LEFT(U168,1)="2"),"Kündigung &amp; Abnahme",IF(OR(LEFT(U168,1)="3",LEFT(U168,1)="4"),"Wiedervermietung","Schlussabrechnung"))))</f>
        <v/>
      </c>
      <c r="U168" s="16">
        <f>IF($B168="","",IF(AY168&lt;&gt;"","6 · abgeschlossen",IF(AW168&lt;&gt;"","5 · bereit zum Abschluss",IF(AT168&lt;&gt;"","5 · Schlussabrechnung",IF(AO168&lt;&gt;"","4 · Übergabe",IF(AM168&lt;&gt;"","3 · Neuvermietung",IF(M168&lt;&gt;"","2 · Abnahme &amp; Vermarktung","1 · Erfassung")))))))</f>
        <v/>
      </c>
      <c r="V168" s="15" t="n"/>
      <c r="W168" s="20" t="n"/>
      <c r="X168" s="15" t="n"/>
      <c r="Y168" s="15" t="n"/>
      <c r="Z168" s="18" t="n"/>
      <c r="AA168" s="19">
        <f>IF(M168="","",M168-30)</f>
        <v/>
      </c>
      <c r="AB168" s="19">
        <f>IF(ISNUMBER(AJ168),AJ168+3,"")</f>
        <v/>
      </c>
      <c r="AC168" s="18" t="n"/>
      <c r="AD168" s="18" t="n"/>
      <c r="AE168" s="18" t="n"/>
      <c r="AF168" s="18" t="n"/>
      <c r="AG168" s="18" t="n"/>
      <c r="AH168" s="18" t="n"/>
      <c r="AI168" s="18" t="n"/>
      <c r="AJ168" s="18" t="n"/>
      <c r="AK168" s="18" t="n"/>
      <c r="AL168" s="18" t="n"/>
      <c r="AM168" s="18" t="n"/>
      <c r="AN168" s="18" t="n"/>
      <c r="AO168" s="18" t="n"/>
      <c r="AP168" s="18" t="n"/>
      <c r="AQ168" s="18" t="n"/>
      <c r="AR168" s="18" t="n"/>
      <c r="AS168" s="18" t="n"/>
      <c r="AT168" s="18" t="n"/>
      <c r="AU168" s="18" t="n"/>
      <c r="AV168" s="18" t="n"/>
      <c r="AW168" s="18" t="n"/>
      <c r="AX168" s="18" t="n"/>
      <c r="AY168" s="18" t="n"/>
      <c r="AZ168" s="15" t="n"/>
    </row>
    <row r="169">
      <c r="A169" s="15" t="n"/>
      <c r="B169" s="15" t="n"/>
      <c r="C169" s="15" t="n"/>
      <c r="D169" s="15" t="n"/>
      <c r="E169" s="15" t="n"/>
      <c r="F169" s="15" t="n"/>
      <c r="G169" s="16">
        <f>IF(F169="","",IFERROR(INDEX(Stammdaten!$B$5:$B$24,MATCH(F169,Stammdaten!$A$5:$A$24,0)),"unbekannt"))</f>
        <v/>
      </c>
      <c r="H169" s="16">
        <f>IF($B169="","",IF(AY169&lt;&gt;"","abgeschlossen",IF(AND(ISNUMBER(AX169),AX169&gt;=TODAY()),"zurückgestellt",IF(OR(AND(ISNUMBER(AA169),AA169&lt;TODAY(),Z169="",AJ169=""),AND(ISNUMBER(Z169),Z169&lt;TODAY(),AJ169=""),AND(ISNUMBER(AB169),AB169&lt;TODAY(),AK169=""),AND(ISNUMBER(AC169),AC169&lt;TODAY(),AO169=""),AND(ISNUMBER(AD169),AD169&lt;TODAY(),AQ169="")),"überfällig","offen"))))</f>
        <v/>
      </c>
      <c r="I169" s="16">
        <f>IF($B169="","",IF(AY169&lt;&gt;"","—",IF(AND(ISNUMBER(AA169),AA169&lt;TODAY(),Z169="",AJ169=""),"Abnahmetermin vereinbaren – Sollfrist verstrichen",IF(AND(ISNUMBER(Z169),Z169&lt;TODAY(),AJ169=""),"Wohnungsabnahme nachtragen – Termin war fällig",IF(AND(ISNUMBER(AB169),AB169&lt;TODAY(),AK169=""),"Handwerker aufbieten – Frist verstrichen",IF(AND(ISNUMBER(AC169),AC169&lt;TODAY(),AO169=""),"Vertrag retour mahnen – Frist verstrichen",IF(AND(ISNUMBER(AD169),AD169&lt;TODAY(),AQ169=""),"Schlüsselübergabe nachtragen – Termin war fällig",IF(M169="","Haftungsdatum erfassen",IF(E169="","ex-Mieter erfassen",IF(AE169="","Kündigung bestätigen / G-Rem",IF(AF169="","Werke / EGT melden",IF(AG169="","Vorbesichtigung (oder n.e.)",IF(AH169="","VMZ aktualisieren",IF(AI169="","Inserat aufschalten",IF(AND(Z169="",AJ169=""),"Abnahmetermin vereinbaren",IF(AJ169="","Wohnungsabnahme durchführen",IF(AK169="","Handwerker aufbieten",IF(AL169="","Zustimmungserklärung einholen",IF(AM169="","Instandstellungen beauftragen",IF(R169="","Nachmieter erfassen",IF(AN169="","Vertrag versenden",IF(AO169="","Vertrag retour erfassen",IF(S169="","Vermietet per erfassen",IF(AP169="","Werke / EGT über Einzug informieren",IF(AND(AD169="",AQ169=""),"Schlüsselübergabe terminieren",IF(AQ169="","Schlüsselübergabe durchführen",IF(AR169="","Reinigung veranlassen",IF(AS169="","Namensschilder bestellen",IF(AT169="","Kaution prüfen / G-Rem mutieren",IF(AU169="","Instandstellungs-Rechnung erfassen",IF(AV169="","Schlussabrechnung erstellen",IF(AW169="","Zahlungseingang kontrollieren","Fall abschliessen"))))))))))))))))))))))))))))))))</f>
        <v/>
      </c>
      <c r="J169" s="17">
        <f>IF(M169="","",IF(S169&lt;&gt;"",MAX(0,S169-M169-1),MAX(0,TODAY()-M169)))</f>
        <v/>
      </c>
      <c r="K169" s="16">
        <f>IF($B169="","",TRIM(IF(AND(L169&lt;&gt;"",M169&lt;&gt;"",M169&lt;L169),"Haftungsdatum vor Kündigung. ","")&amp;IF(AND(S169&lt;&gt;"",M169&lt;&gt;"",S169&lt;M169),"Vermietung vor Leerstandsbeginn. ","")&amp;IF(AND(Z169&lt;&gt;"",L169&lt;&gt;"",Z169&lt;L169),"WA-Termin vor Kündigung. ","")&amp;IF(COUNTIFS($B$5:$B$404,$B169,$AY$5:$AY$404,"")&gt;1,"Zweiter offener Fall zum selben Objekt. ","")&amp;IF(AND($A169&lt;&gt;"",COUNTIFS($A$5:$A$404,$A169)&gt;1),"Fall-Nr. doppelt vergeben. ","")&amp;IF(E169="","ex-Mieter fehlt. ","")&amp;IF(M169="","Haftungsdatum fehlt. ","")&amp;IF(F169="","Bewirtschafter fehlt. ","")&amp;IF(AND(AY169&lt;&gt;"",AW169=""),"Abgeschlossen trotz offener Schlussabrechnung. ","")&amp;IF(AND(AY169="",S169="",ISNUMBER(J169),J169&gt;60),"Langläufer über 60 Tage. ","")))</f>
        <v/>
      </c>
      <c r="L169" s="18" t="n"/>
      <c r="M169" s="18" t="n"/>
      <c r="N169" s="19">
        <f>IF(M169="","",M169+1)</f>
        <v/>
      </c>
      <c r="O169" s="17">
        <f>IF(OR(L169="",M169=""),"",M169-L169)</f>
        <v/>
      </c>
      <c r="P169" s="16">
        <f>IF(M169="","",YEAR(M169+1)&amp;"-"&amp;TEXT(MONTH(M169+1),"00"))</f>
        <v/>
      </c>
      <c r="Q169" s="18" t="n"/>
      <c r="R169" s="15" t="n"/>
      <c r="S169" s="18" t="n"/>
      <c r="T169" s="16">
        <f>IF(U169="","",IF(LEFT(U169,1)="6","abgeschlossen",IF(OR(LEFT(U169,1)="1",LEFT(U169,1)="2"),"Kündigung &amp; Abnahme",IF(OR(LEFT(U169,1)="3",LEFT(U169,1)="4"),"Wiedervermietung","Schlussabrechnung"))))</f>
        <v/>
      </c>
      <c r="U169" s="16">
        <f>IF($B169="","",IF(AY169&lt;&gt;"","6 · abgeschlossen",IF(AW169&lt;&gt;"","5 · bereit zum Abschluss",IF(AT169&lt;&gt;"","5 · Schlussabrechnung",IF(AO169&lt;&gt;"","4 · Übergabe",IF(AM169&lt;&gt;"","3 · Neuvermietung",IF(M169&lt;&gt;"","2 · Abnahme &amp; Vermarktung","1 · Erfassung")))))))</f>
        <v/>
      </c>
      <c r="V169" s="15" t="n"/>
      <c r="W169" s="20" t="n"/>
      <c r="X169" s="15" t="n"/>
      <c r="Y169" s="15" t="n"/>
      <c r="Z169" s="18" t="n"/>
      <c r="AA169" s="19">
        <f>IF(M169="","",M169-30)</f>
        <v/>
      </c>
      <c r="AB169" s="19">
        <f>IF(ISNUMBER(AJ169),AJ169+3,"")</f>
        <v/>
      </c>
      <c r="AC169" s="18" t="n"/>
      <c r="AD169" s="18" t="n"/>
      <c r="AE169" s="18" t="n"/>
      <c r="AF169" s="18" t="n"/>
      <c r="AG169" s="18" t="n"/>
      <c r="AH169" s="18" t="n"/>
      <c r="AI169" s="18" t="n"/>
      <c r="AJ169" s="18" t="n"/>
      <c r="AK169" s="18" t="n"/>
      <c r="AL169" s="18" t="n"/>
      <c r="AM169" s="18" t="n"/>
      <c r="AN169" s="18" t="n"/>
      <c r="AO169" s="18" t="n"/>
      <c r="AP169" s="18" t="n"/>
      <c r="AQ169" s="18" t="n"/>
      <c r="AR169" s="18" t="n"/>
      <c r="AS169" s="18" t="n"/>
      <c r="AT169" s="18" t="n"/>
      <c r="AU169" s="18" t="n"/>
      <c r="AV169" s="18" t="n"/>
      <c r="AW169" s="18" t="n"/>
      <c r="AX169" s="18" t="n"/>
      <c r="AY169" s="18" t="n"/>
      <c r="AZ169" s="15" t="n"/>
    </row>
    <row r="170">
      <c r="A170" s="15" t="n"/>
      <c r="B170" s="15" t="n"/>
      <c r="C170" s="15" t="n"/>
      <c r="D170" s="15" t="n"/>
      <c r="E170" s="15" t="n"/>
      <c r="F170" s="15" t="n"/>
      <c r="G170" s="16">
        <f>IF(F170="","",IFERROR(INDEX(Stammdaten!$B$5:$B$24,MATCH(F170,Stammdaten!$A$5:$A$24,0)),"unbekannt"))</f>
        <v/>
      </c>
      <c r="H170" s="16">
        <f>IF($B170="","",IF(AY170&lt;&gt;"","abgeschlossen",IF(AND(ISNUMBER(AX170),AX170&gt;=TODAY()),"zurückgestellt",IF(OR(AND(ISNUMBER(AA170),AA170&lt;TODAY(),Z170="",AJ170=""),AND(ISNUMBER(Z170),Z170&lt;TODAY(),AJ170=""),AND(ISNUMBER(AB170),AB170&lt;TODAY(),AK170=""),AND(ISNUMBER(AC170),AC170&lt;TODAY(),AO170=""),AND(ISNUMBER(AD170),AD170&lt;TODAY(),AQ170="")),"überfällig","offen"))))</f>
        <v/>
      </c>
      <c r="I170" s="16">
        <f>IF($B170="","",IF(AY170&lt;&gt;"","—",IF(AND(ISNUMBER(AA170),AA170&lt;TODAY(),Z170="",AJ170=""),"Abnahmetermin vereinbaren – Sollfrist verstrichen",IF(AND(ISNUMBER(Z170),Z170&lt;TODAY(),AJ170=""),"Wohnungsabnahme nachtragen – Termin war fällig",IF(AND(ISNUMBER(AB170),AB170&lt;TODAY(),AK170=""),"Handwerker aufbieten – Frist verstrichen",IF(AND(ISNUMBER(AC170),AC170&lt;TODAY(),AO170=""),"Vertrag retour mahnen – Frist verstrichen",IF(AND(ISNUMBER(AD170),AD170&lt;TODAY(),AQ170=""),"Schlüsselübergabe nachtragen – Termin war fällig",IF(M170="","Haftungsdatum erfassen",IF(E170="","ex-Mieter erfassen",IF(AE170="","Kündigung bestätigen / G-Rem",IF(AF170="","Werke / EGT melden",IF(AG170="","Vorbesichtigung (oder n.e.)",IF(AH170="","VMZ aktualisieren",IF(AI170="","Inserat aufschalten",IF(AND(Z170="",AJ170=""),"Abnahmetermin vereinbaren",IF(AJ170="","Wohnungsabnahme durchführen",IF(AK170="","Handwerker aufbieten",IF(AL170="","Zustimmungserklärung einholen",IF(AM170="","Instandstellungen beauftragen",IF(R170="","Nachmieter erfassen",IF(AN170="","Vertrag versenden",IF(AO170="","Vertrag retour erfassen",IF(S170="","Vermietet per erfassen",IF(AP170="","Werke / EGT über Einzug informieren",IF(AND(AD170="",AQ170=""),"Schlüsselübergabe terminieren",IF(AQ170="","Schlüsselübergabe durchführen",IF(AR170="","Reinigung veranlassen",IF(AS170="","Namensschilder bestellen",IF(AT170="","Kaution prüfen / G-Rem mutieren",IF(AU170="","Instandstellungs-Rechnung erfassen",IF(AV170="","Schlussabrechnung erstellen",IF(AW170="","Zahlungseingang kontrollieren","Fall abschliessen"))))))))))))))))))))))))))))))))</f>
        <v/>
      </c>
      <c r="J170" s="17">
        <f>IF(M170="","",IF(S170&lt;&gt;"",MAX(0,S170-M170-1),MAX(0,TODAY()-M170)))</f>
        <v/>
      </c>
      <c r="K170" s="16">
        <f>IF($B170="","",TRIM(IF(AND(L170&lt;&gt;"",M170&lt;&gt;"",M170&lt;L170),"Haftungsdatum vor Kündigung. ","")&amp;IF(AND(S170&lt;&gt;"",M170&lt;&gt;"",S170&lt;M170),"Vermietung vor Leerstandsbeginn. ","")&amp;IF(AND(Z170&lt;&gt;"",L170&lt;&gt;"",Z170&lt;L170),"WA-Termin vor Kündigung. ","")&amp;IF(COUNTIFS($B$5:$B$404,$B170,$AY$5:$AY$404,"")&gt;1,"Zweiter offener Fall zum selben Objekt. ","")&amp;IF(AND($A170&lt;&gt;"",COUNTIFS($A$5:$A$404,$A170)&gt;1),"Fall-Nr. doppelt vergeben. ","")&amp;IF(E170="","ex-Mieter fehlt. ","")&amp;IF(M170="","Haftungsdatum fehlt. ","")&amp;IF(F170="","Bewirtschafter fehlt. ","")&amp;IF(AND(AY170&lt;&gt;"",AW170=""),"Abgeschlossen trotz offener Schlussabrechnung. ","")&amp;IF(AND(AY170="",S170="",ISNUMBER(J170),J170&gt;60),"Langläufer über 60 Tage. ","")))</f>
        <v/>
      </c>
      <c r="L170" s="18" t="n"/>
      <c r="M170" s="18" t="n"/>
      <c r="N170" s="19">
        <f>IF(M170="","",M170+1)</f>
        <v/>
      </c>
      <c r="O170" s="17">
        <f>IF(OR(L170="",M170=""),"",M170-L170)</f>
        <v/>
      </c>
      <c r="P170" s="16">
        <f>IF(M170="","",YEAR(M170+1)&amp;"-"&amp;TEXT(MONTH(M170+1),"00"))</f>
        <v/>
      </c>
      <c r="Q170" s="18" t="n"/>
      <c r="R170" s="15" t="n"/>
      <c r="S170" s="18" t="n"/>
      <c r="T170" s="16">
        <f>IF(U170="","",IF(LEFT(U170,1)="6","abgeschlossen",IF(OR(LEFT(U170,1)="1",LEFT(U170,1)="2"),"Kündigung &amp; Abnahme",IF(OR(LEFT(U170,1)="3",LEFT(U170,1)="4"),"Wiedervermietung","Schlussabrechnung"))))</f>
        <v/>
      </c>
      <c r="U170" s="16">
        <f>IF($B170="","",IF(AY170&lt;&gt;"","6 · abgeschlossen",IF(AW170&lt;&gt;"","5 · bereit zum Abschluss",IF(AT170&lt;&gt;"","5 · Schlussabrechnung",IF(AO170&lt;&gt;"","4 · Übergabe",IF(AM170&lt;&gt;"","3 · Neuvermietung",IF(M170&lt;&gt;"","2 · Abnahme &amp; Vermarktung","1 · Erfassung")))))))</f>
        <v/>
      </c>
      <c r="V170" s="15" t="n"/>
      <c r="W170" s="20" t="n"/>
      <c r="X170" s="15" t="n"/>
      <c r="Y170" s="15" t="n"/>
      <c r="Z170" s="18" t="n"/>
      <c r="AA170" s="19">
        <f>IF(M170="","",M170-30)</f>
        <v/>
      </c>
      <c r="AB170" s="19">
        <f>IF(ISNUMBER(AJ170),AJ170+3,"")</f>
        <v/>
      </c>
      <c r="AC170" s="18" t="n"/>
      <c r="AD170" s="18" t="n"/>
      <c r="AE170" s="18" t="n"/>
      <c r="AF170" s="18" t="n"/>
      <c r="AG170" s="18" t="n"/>
      <c r="AH170" s="18" t="n"/>
      <c r="AI170" s="18" t="n"/>
      <c r="AJ170" s="18" t="n"/>
      <c r="AK170" s="18" t="n"/>
      <c r="AL170" s="18" t="n"/>
      <c r="AM170" s="18" t="n"/>
      <c r="AN170" s="18" t="n"/>
      <c r="AO170" s="18" t="n"/>
      <c r="AP170" s="18" t="n"/>
      <c r="AQ170" s="18" t="n"/>
      <c r="AR170" s="18" t="n"/>
      <c r="AS170" s="18" t="n"/>
      <c r="AT170" s="18" t="n"/>
      <c r="AU170" s="18" t="n"/>
      <c r="AV170" s="18" t="n"/>
      <c r="AW170" s="18" t="n"/>
      <c r="AX170" s="18" t="n"/>
      <c r="AY170" s="18" t="n"/>
      <c r="AZ170" s="15" t="n"/>
    </row>
    <row r="171">
      <c r="A171" s="15" t="n"/>
      <c r="B171" s="15" t="n"/>
      <c r="C171" s="15" t="n"/>
      <c r="D171" s="15" t="n"/>
      <c r="E171" s="15" t="n"/>
      <c r="F171" s="15" t="n"/>
      <c r="G171" s="16">
        <f>IF(F171="","",IFERROR(INDEX(Stammdaten!$B$5:$B$24,MATCH(F171,Stammdaten!$A$5:$A$24,0)),"unbekannt"))</f>
        <v/>
      </c>
      <c r="H171" s="16">
        <f>IF($B171="","",IF(AY171&lt;&gt;"","abgeschlossen",IF(AND(ISNUMBER(AX171),AX171&gt;=TODAY()),"zurückgestellt",IF(OR(AND(ISNUMBER(AA171),AA171&lt;TODAY(),Z171="",AJ171=""),AND(ISNUMBER(Z171),Z171&lt;TODAY(),AJ171=""),AND(ISNUMBER(AB171),AB171&lt;TODAY(),AK171=""),AND(ISNUMBER(AC171),AC171&lt;TODAY(),AO171=""),AND(ISNUMBER(AD171),AD171&lt;TODAY(),AQ171="")),"überfällig","offen"))))</f>
        <v/>
      </c>
      <c r="I171" s="16">
        <f>IF($B171="","",IF(AY171&lt;&gt;"","—",IF(AND(ISNUMBER(AA171),AA171&lt;TODAY(),Z171="",AJ171=""),"Abnahmetermin vereinbaren – Sollfrist verstrichen",IF(AND(ISNUMBER(Z171),Z171&lt;TODAY(),AJ171=""),"Wohnungsabnahme nachtragen – Termin war fällig",IF(AND(ISNUMBER(AB171),AB171&lt;TODAY(),AK171=""),"Handwerker aufbieten – Frist verstrichen",IF(AND(ISNUMBER(AC171),AC171&lt;TODAY(),AO171=""),"Vertrag retour mahnen – Frist verstrichen",IF(AND(ISNUMBER(AD171),AD171&lt;TODAY(),AQ171=""),"Schlüsselübergabe nachtragen – Termin war fällig",IF(M171="","Haftungsdatum erfassen",IF(E171="","ex-Mieter erfassen",IF(AE171="","Kündigung bestätigen / G-Rem",IF(AF171="","Werke / EGT melden",IF(AG171="","Vorbesichtigung (oder n.e.)",IF(AH171="","VMZ aktualisieren",IF(AI171="","Inserat aufschalten",IF(AND(Z171="",AJ171=""),"Abnahmetermin vereinbaren",IF(AJ171="","Wohnungsabnahme durchführen",IF(AK171="","Handwerker aufbieten",IF(AL171="","Zustimmungserklärung einholen",IF(AM171="","Instandstellungen beauftragen",IF(R171="","Nachmieter erfassen",IF(AN171="","Vertrag versenden",IF(AO171="","Vertrag retour erfassen",IF(S171="","Vermietet per erfassen",IF(AP171="","Werke / EGT über Einzug informieren",IF(AND(AD171="",AQ171=""),"Schlüsselübergabe terminieren",IF(AQ171="","Schlüsselübergabe durchführen",IF(AR171="","Reinigung veranlassen",IF(AS171="","Namensschilder bestellen",IF(AT171="","Kaution prüfen / G-Rem mutieren",IF(AU171="","Instandstellungs-Rechnung erfassen",IF(AV171="","Schlussabrechnung erstellen",IF(AW171="","Zahlungseingang kontrollieren","Fall abschliessen"))))))))))))))))))))))))))))))))</f>
        <v/>
      </c>
      <c r="J171" s="17">
        <f>IF(M171="","",IF(S171&lt;&gt;"",MAX(0,S171-M171-1),MAX(0,TODAY()-M171)))</f>
        <v/>
      </c>
      <c r="K171" s="16">
        <f>IF($B171="","",TRIM(IF(AND(L171&lt;&gt;"",M171&lt;&gt;"",M171&lt;L171),"Haftungsdatum vor Kündigung. ","")&amp;IF(AND(S171&lt;&gt;"",M171&lt;&gt;"",S171&lt;M171),"Vermietung vor Leerstandsbeginn. ","")&amp;IF(AND(Z171&lt;&gt;"",L171&lt;&gt;"",Z171&lt;L171),"WA-Termin vor Kündigung. ","")&amp;IF(COUNTIFS($B$5:$B$404,$B171,$AY$5:$AY$404,"")&gt;1,"Zweiter offener Fall zum selben Objekt. ","")&amp;IF(AND($A171&lt;&gt;"",COUNTIFS($A$5:$A$404,$A171)&gt;1),"Fall-Nr. doppelt vergeben. ","")&amp;IF(E171="","ex-Mieter fehlt. ","")&amp;IF(M171="","Haftungsdatum fehlt. ","")&amp;IF(F171="","Bewirtschafter fehlt. ","")&amp;IF(AND(AY171&lt;&gt;"",AW171=""),"Abgeschlossen trotz offener Schlussabrechnung. ","")&amp;IF(AND(AY171="",S171="",ISNUMBER(J171),J171&gt;60),"Langläufer über 60 Tage. ","")))</f>
        <v/>
      </c>
      <c r="L171" s="18" t="n"/>
      <c r="M171" s="18" t="n"/>
      <c r="N171" s="19">
        <f>IF(M171="","",M171+1)</f>
        <v/>
      </c>
      <c r="O171" s="17">
        <f>IF(OR(L171="",M171=""),"",M171-L171)</f>
        <v/>
      </c>
      <c r="P171" s="16">
        <f>IF(M171="","",YEAR(M171+1)&amp;"-"&amp;TEXT(MONTH(M171+1),"00"))</f>
        <v/>
      </c>
      <c r="Q171" s="18" t="n"/>
      <c r="R171" s="15" t="n"/>
      <c r="S171" s="18" t="n"/>
      <c r="T171" s="16">
        <f>IF(U171="","",IF(LEFT(U171,1)="6","abgeschlossen",IF(OR(LEFT(U171,1)="1",LEFT(U171,1)="2"),"Kündigung &amp; Abnahme",IF(OR(LEFT(U171,1)="3",LEFT(U171,1)="4"),"Wiedervermietung","Schlussabrechnung"))))</f>
        <v/>
      </c>
      <c r="U171" s="16">
        <f>IF($B171="","",IF(AY171&lt;&gt;"","6 · abgeschlossen",IF(AW171&lt;&gt;"","5 · bereit zum Abschluss",IF(AT171&lt;&gt;"","5 · Schlussabrechnung",IF(AO171&lt;&gt;"","4 · Übergabe",IF(AM171&lt;&gt;"","3 · Neuvermietung",IF(M171&lt;&gt;"","2 · Abnahme &amp; Vermarktung","1 · Erfassung")))))))</f>
        <v/>
      </c>
      <c r="V171" s="15" t="n"/>
      <c r="W171" s="20" t="n"/>
      <c r="X171" s="15" t="n"/>
      <c r="Y171" s="15" t="n"/>
      <c r="Z171" s="18" t="n"/>
      <c r="AA171" s="19">
        <f>IF(M171="","",M171-30)</f>
        <v/>
      </c>
      <c r="AB171" s="19">
        <f>IF(ISNUMBER(AJ171),AJ171+3,"")</f>
        <v/>
      </c>
      <c r="AC171" s="18" t="n"/>
      <c r="AD171" s="18" t="n"/>
      <c r="AE171" s="18" t="n"/>
      <c r="AF171" s="18" t="n"/>
      <c r="AG171" s="18" t="n"/>
      <c r="AH171" s="18" t="n"/>
      <c r="AI171" s="18" t="n"/>
      <c r="AJ171" s="18" t="n"/>
      <c r="AK171" s="18" t="n"/>
      <c r="AL171" s="18" t="n"/>
      <c r="AM171" s="18" t="n"/>
      <c r="AN171" s="18" t="n"/>
      <c r="AO171" s="18" t="n"/>
      <c r="AP171" s="18" t="n"/>
      <c r="AQ171" s="18" t="n"/>
      <c r="AR171" s="18" t="n"/>
      <c r="AS171" s="18" t="n"/>
      <c r="AT171" s="18" t="n"/>
      <c r="AU171" s="18" t="n"/>
      <c r="AV171" s="18" t="n"/>
      <c r="AW171" s="18" t="n"/>
      <c r="AX171" s="18" t="n"/>
      <c r="AY171" s="18" t="n"/>
      <c r="AZ171" s="15" t="n"/>
    </row>
    <row r="172">
      <c r="A172" s="15" t="n"/>
      <c r="B172" s="15" t="n"/>
      <c r="C172" s="15" t="n"/>
      <c r="D172" s="15" t="n"/>
      <c r="E172" s="15" t="n"/>
      <c r="F172" s="15" t="n"/>
      <c r="G172" s="16">
        <f>IF(F172="","",IFERROR(INDEX(Stammdaten!$B$5:$B$24,MATCH(F172,Stammdaten!$A$5:$A$24,0)),"unbekannt"))</f>
        <v/>
      </c>
      <c r="H172" s="16">
        <f>IF($B172="","",IF(AY172&lt;&gt;"","abgeschlossen",IF(AND(ISNUMBER(AX172),AX172&gt;=TODAY()),"zurückgestellt",IF(OR(AND(ISNUMBER(AA172),AA172&lt;TODAY(),Z172="",AJ172=""),AND(ISNUMBER(Z172),Z172&lt;TODAY(),AJ172=""),AND(ISNUMBER(AB172),AB172&lt;TODAY(),AK172=""),AND(ISNUMBER(AC172),AC172&lt;TODAY(),AO172=""),AND(ISNUMBER(AD172),AD172&lt;TODAY(),AQ172="")),"überfällig","offen"))))</f>
        <v/>
      </c>
      <c r="I172" s="16">
        <f>IF($B172="","",IF(AY172&lt;&gt;"","—",IF(AND(ISNUMBER(AA172),AA172&lt;TODAY(),Z172="",AJ172=""),"Abnahmetermin vereinbaren – Sollfrist verstrichen",IF(AND(ISNUMBER(Z172),Z172&lt;TODAY(),AJ172=""),"Wohnungsabnahme nachtragen – Termin war fällig",IF(AND(ISNUMBER(AB172),AB172&lt;TODAY(),AK172=""),"Handwerker aufbieten – Frist verstrichen",IF(AND(ISNUMBER(AC172),AC172&lt;TODAY(),AO172=""),"Vertrag retour mahnen – Frist verstrichen",IF(AND(ISNUMBER(AD172),AD172&lt;TODAY(),AQ172=""),"Schlüsselübergabe nachtragen – Termin war fällig",IF(M172="","Haftungsdatum erfassen",IF(E172="","ex-Mieter erfassen",IF(AE172="","Kündigung bestätigen / G-Rem",IF(AF172="","Werke / EGT melden",IF(AG172="","Vorbesichtigung (oder n.e.)",IF(AH172="","VMZ aktualisieren",IF(AI172="","Inserat aufschalten",IF(AND(Z172="",AJ172=""),"Abnahmetermin vereinbaren",IF(AJ172="","Wohnungsabnahme durchführen",IF(AK172="","Handwerker aufbieten",IF(AL172="","Zustimmungserklärung einholen",IF(AM172="","Instandstellungen beauftragen",IF(R172="","Nachmieter erfassen",IF(AN172="","Vertrag versenden",IF(AO172="","Vertrag retour erfassen",IF(S172="","Vermietet per erfassen",IF(AP172="","Werke / EGT über Einzug informieren",IF(AND(AD172="",AQ172=""),"Schlüsselübergabe terminieren",IF(AQ172="","Schlüsselübergabe durchführen",IF(AR172="","Reinigung veranlassen",IF(AS172="","Namensschilder bestellen",IF(AT172="","Kaution prüfen / G-Rem mutieren",IF(AU172="","Instandstellungs-Rechnung erfassen",IF(AV172="","Schlussabrechnung erstellen",IF(AW172="","Zahlungseingang kontrollieren","Fall abschliessen"))))))))))))))))))))))))))))))))</f>
        <v/>
      </c>
      <c r="J172" s="17">
        <f>IF(M172="","",IF(S172&lt;&gt;"",MAX(0,S172-M172-1),MAX(0,TODAY()-M172)))</f>
        <v/>
      </c>
      <c r="K172" s="16">
        <f>IF($B172="","",TRIM(IF(AND(L172&lt;&gt;"",M172&lt;&gt;"",M172&lt;L172),"Haftungsdatum vor Kündigung. ","")&amp;IF(AND(S172&lt;&gt;"",M172&lt;&gt;"",S172&lt;M172),"Vermietung vor Leerstandsbeginn. ","")&amp;IF(AND(Z172&lt;&gt;"",L172&lt;&gt;"",Z172&lt;L172),"WA-Termin vor Kündigung. ","")&amp;IF(COUNTIFS($B$5:$B$404,$B172,$AY$5:$AY$404,"")&gt;1,"Zweiter offener Fall zum selben Objekt. ","")&amp;IF(AND($A172&lt;&gt;"",COUNTIFS($A$5:$A$404,$A172)&gt;1),"Fall-Nr. doppelt vergeben. ","")&amp;IF(E172="","ex-Mieter fehlt. ","")&amp;IF(M172="","Haftungsdatum fehlt. ","")&amp;IF(F172="","Bewirtschafter fehlt. ","")&amp;IF(AND(AY172&lt;&gt;"",AW172=""),"Abgeschlossen trotz offener Schlussabrechnung. ","")&amp;IF(AND(AY172="",S172="",ISNUMBER(J172),J172&gt;60),"Langläufer über 60 Tage. ","")))</f>
        <v/>
      </c>
      <c r="L172" s="18" t="n"/>
      <c r="M172" s="18" t="n"/>
      <c r="N172" s="19">
        <f>IF(M172="","",M172+1)</f>
        <v/>
      </c>
      <c r="O172" s="17">
        <f>IF(OR(L172="",M172=""),"",M172-L172)</f>
        <v/>
      </c>
      <c r="P172" s="16">
        <f>IF(M172="","",YEAR(M172+1)&amp;"-"&amp;TEXT(MONTH(M172+1),"00"))</f>
        <v/>
      </c>
      <c r="Q172" s="18" t="n"/>
      <c r="R172" s="15" t="n"/>
      <c r="S172" s="18" t="n"/>
      <c r="T172" s="16">
        <f>IF(U172="","",IF(LEFT(U172,1)="6","abgeschlossen",IF(OR(LEFT(U172,1)="1",LEFT(U172,1)="2"),"Kündigung &amp; Abnahme",IF(OR(LEFT(U172,1)="3",LEFT(U172,1)="4"),"Wiedervermietung","Schlussabrechnung"))))</f>
        <v/>
      </c>
      <c r="U172" s="16">
        <f>IF($B172="","",IF(AY172&lt;&gt;"","6 · abgeschlossen",IF(AW172&lt;&gt;"","5 · bereit zum Abschluss",IF(AT172&lt;&gt;"","5 · Schlussabrechnung",IF(AO172&lt;&gt;"","4 · Übergabe",IF(AM172&lt;&gt;"","3 · Neuvermietung",IF(M172&lt;&gt;"","2 · Abnahme &amp; Vermarktung","1 · Erfassung")))))))</f>
        <v/>
      </c>
      <c r="V172" s="15" t="n"/>
      <c r="W172" s="20" t="n"/>
      <c r="X172" s="15" t="n"/>
      <c r="Y172" s="15" t="n"/>
      <c r="Z172" s="18" t="n"/>
      <c r="AA172" s="19">
        <f>IF(M172="","",M172-30)</f>
        <v/>
      </c>
      <c r="AB172" s="19">
        <f>IF(ISNUMBER(AJ172),AJ172+3,"")</f>
        <v/>
      </c>
      <c r="AC172" s="18" t="n"/>
      <c r="AD172" s="18" t="n"/>
      <c r="AE172" s="18" t="n"/>
      <c r="AF172" s="18" t="n"/>
      <c r="AG172" s="18" t="n"/>
      <c r="AH172" s="18" t="n"/>
      <c r="AI172" s="18" t="n"/>
      <c r="AJ172" s="18" t="n"/>
      <c r="AK172" s="18" t="n"/>
      <c r="AL172" s="18" t="n"/>
      <c r="AM172" s="18" t="n"/>
      <c r="AN172" s="18" t="n"/>
      <c r="AO172" s="18" t="n"/>
      <c r="AP172" s="18" t="n"/>
      <c r="AQ172" s="18" t="n"/>
      <c r="AR172" s="18" t="n"/>
      <c r="AS172" s="18" t="n"/>
      <c r="AT172" s="18" t="n"/>
      <c r="AU172" s="18" t="n"/>
      <c r="AV172" s="18" t="n"/>
      <c r="AW172" s="18" t="n"/>
      <c r="AX172" s="18" t="n"/>
      <c r="AY172" s="18" t="n"/>
      <c r="AZ172" s="15" t="n"/>
    </row>
    <row r="173">
      <c r="A173" s="15" t="n"/>
      <c r="B173" s="15" t="n"/>
      <c r="C173" s="15" t="n"/>
      <c r="D173" s="15" t="n"/>
      <c r="E173" s="15" t="n"/>
      <c r="F173" s="15" t="n"/>
      <c r="G173" s="16">
        <f>IF(F173="","",IFERROR(INDEX(Stammdaten!$B$5:$B$24,MATCH(F173,Stammdaten!$A$5:$A$24,0)),"unbekannt"))</f>
        <v/>
      </c>
      <c r="H173" s="16">
        <f>IF($B173="","",IF(AY173&lt;&gt;"","abgeschlossen",IF(AND(ISNUMBER(AX173),AX173&gt;=TODAY()),"zurückgestellt",IF(OR(AND(ISNUMBER(AA173),AA173&lt;TODAY(),Z173="",AJ173=""),AND(ISNUMBER(Z173),Z173&lt;TODAY(),AJ173=""),AND(ISNUMBER(AB173),AB173&lt;TODAY(),AK173=""),AND(ISNUMBER(AC173),AC173&lt;TODAY(),AO173=""),AND(ISNUMBER(AD173),AD173&lt;TODAY(),AQ173="")),"überfällig","offen"))))</f>
        <v/>
      </c>
      <c r="I173" s="16">
        <f>IF($B173="","",IF(AY173&lt;&gt;"","—",IF(AND(ISNUMBER(AA173),AA173&lt;TODAY(),Z173="",AJ173=""),"Abnahmetermin vereinbaren – Sollfrist verstrichen",IF(AND(ISNUMBER(Z173),Z173&lt;TODAY(),AJ173=""),"Wohnungsabnahme nachtragen – Termin war fällig",IF(AND(ISNUMBER(AB173),AB173&lt;TODAY(),AK173=""),"Handwerker aufbieten – Frist verstrichen",IF(AND(ISNUMBER(AC173),AC173&lt;TODAY(),AO173=""),"Vertrag retour mahnen – Frist verstrichen",IF(AND(ISNUMBER(AD173),AD173&lt;TODAY(),AQ173=""),"Schlüsselübergabe nachtragen – Termin war fällig",IF(M173="","Haftungsdatum erfassen",IF(E173="","ex-Mieter erfassen",IF(AE173="","Kündigung bestätigen / G-Rem",IF(AF173="","Werke / EGT melden",IF(AG173="","Vorbesichtigung (oder n.e.)",IF(AH173="","VMZ aktualisieren",IF(AI173="","Inserat aufschalten",IF(AND(Z173="",AJ173=""),"Abnahmetermin vereinbaren",IF(AJ173="","Wohnungsabnahme durchführen",IF(AK173="","Handwerker aufbieten",IF(AL173="","Zustimmungserklärung einholen",IF(AM173="","Instandstellungen beauftragen",IF(R173="","Nachmieter erfassen",IF(AN173="","Vertrag versenden",IF(AO173="","Vertrag retour erfassen",IF(S173="","Vermietet per erfassen",IF(AP173="","Werke / EGT über Einzug informieren",IF(AND(AD173="",AQ173=""),"Schlüsselübergabe terminieren",IF(AQ173="","Schlüsselübergabe durchführen",IF(AR173="","Reinigung veranlassen",IF(AS173="","Namensschilder bestellen",IF(AT173="","Kaution prüfen / G-Rem mutieren",IF(AU173="","Instandstellungs-Rechnung erfassen",IF(AV173="","Schlussabrechnung erstellen",IF(AW173="","Zahlungseingang kontrollieren","Fall abschliessen"))))))))))))))))))))))))))))))))</f>
        <v/>
      </c>
      <c r="J173" s="17">
        <f>IF(M173="","",IF(S173&lt;&gt;"",MAX(0,S173-M173-1),MAX(0,TODAY()-M173)))</f>
        <v/>
      </c>
      <c r="K173" s="16">
        <f>IF($B173="","",TRIM(IF(AND(L173&lt;&gt;"",M173&lt;&gt;"",M173&lt;L173),"Haftungsdatum vor Kündigung. ","")&amp;IF(AND(S173&lt;&gt;"",M173&lt;&gt;"",S173&lt;M173),"Vermietung vor Leerstandsbeginn. ","")&amp;IF(AND(Z173&lt;&gt;"",L173&lt;&gt;"",Z173&lt;L173),"WA-Termin vor Kündigung. ","")&amp;IF(COUNTIFS($B$5:$B$404,$B173,$AY$5:$AY$404,"")&gt;1,"Zweiter offener Fall zum selben Objekt. ","")&amp;IF(AND($A173&lt;&gt;"",COUNTIFS($A$5:$A$404,$A173)&gt;1),"Fall-Nr. doppelt vergeben. ","")&amp;IF(E173="","ex-Mieter fehlt. ","")&amp;IF(M173="","Haftungsdatum fehlt. ","")&amp;IF(F173="","Bewirtschafter fehlt. ","")&amp;IF(AND(AY173&lt;&gt;"",AW173=""),"Abgeschlossen trotz offener Schlussabrechnung. ","")&amp;IF(AND(AY173="",S173="",ISNUMBER(J173),J173&gt;60),"Langläufer über 60 Tage. ","")))</f>
        <v/>
      </c>
      <c r="L173" s="18" t="n"/>
      <c r="M173" s="18" t="n"/>
      <c r="N173" s="19">
        <f>IF(M173="","",M173+1)</f>
        <v/>
      </c>
      <c r="O173" s="17">
        <f>IF(OR(L173="",M173=""),"",M173-L173)</f>
        <v/>
      </c>
      <c r="P173" s="16">
        <f>IF(M173="","",YEAR(M173+1)&amp;"-"&amp;TEXT(MONTH(M173+1),"00"))</f>
        <v/>
      </c>
      <c r="Q173" s="18" t="n"/>
      <c r="R173" s="15" t="n"/>
      <c r="S173" s="18" t="n"/>
      <c r="T173" s="16">
        <f>IF(U173="","",IF(LEFT(U173,1)="6","abgeschlossen",IF(OR(LEFT(U173,1)="1",LEFT(U173,1)="2"),"Kündigung &amp; Abnahme",IF(OR(LEFT(U173,1)="3",LEFT(U173,1)="4"),"Wiedervermietung","Schlussabrechnung"))))</f>
        <v/>
      </c>
      <c r="U173" s="16">
        <f>IF($B173="","",IF(AY173&lt;&gt;"","6 · abgeschlossen",IF(AW173&lt;&gt;"","5 · bereit zum Abschluss",IF(AT173&lt;&gt;"","5 · Schlussabrechnung",IF(AO173&lt;&gt;"","4 · Übergabe",IF(AM173&lt;&gt;"","3 · Neuvermietung",IF(M173&lt;&gt;"","2 · Abnahme &amp; Vermarktung","1 · Erfassung")))))))</f>
        <v/>
      </c>
      <c r="V173" s="15" t="n"/>
      <c r="W173" s="20" t="n"/>
      <c r="X173" s="15" t="n"/>
      <c r="Y173" s="15" t="n"/>
      <c r="Z173" s="18" t="n"/>
      <c r="AA173" s="19">
        <f>IF(M173="","",M173-30)</f>
        <v/>
      </c>
      <c r="AB173" s="19">
        <f>IF(ISNUMBER(AJ173),AJ173+3,"")</f>
        <v/>
      </c>
      <c r="AC173" s="18" t="n"/>
      <c r="AD173" s="18" t="n"/>
      <c r="AE173" s="18" t="n"/>
      <c r="AF173" s="18" t="n"/>
      <c r="AG173" s="18" t="n"/>
      <c r="AH173" s="18" t="n"/>
      <c r="AI173" s="18" t="n"/>
      <c r="AJ173" s="18" t="n"/>
      <c r="AK173" s="18" t="n"/>
      <c r="AL173" s="18" t="n"/>
      <c r="AM173" s="18" t="n"/>
      <c r="AN173" s="18" t="n"/>
      <c r="AO173" s="18" t="n"/>
      <c r="AP173" s="18" t="n"/>
      <c r="AQ173" s="18" t="n"/>
      <c r="AR173" s="18" t="n"/>
      <c r="AS173" s="18" t="n"/>
      <c r="AT173" s="18" t="n"/>
      <c r="AU173" s="18" t="n"/>
      <c r="AV173" s="18" t="n"/>
      <c r="AW173" s="18" t="n"/>
      <c r="AX173" s="18" t="n"/>
      <c r="AY173" s="18" t="n"/>
      <c r="AZ173" s="15" t="n"/>
    </row>
    <row r="174">
      <c r="A174" s="15" t="n"/>
      <c r="B174" s="15" t="n"/>
      <c r="C174" s="15" t="n"/>
      <c r="D174" s="15" t="n"/>
      <c r="E174" s="15" t="n"/>
      <c r="F174" s="15" t="n"/>
      <c r="G174" s="16">
        <f>IF(F174="","",IFERROR(INDEX(Stammdaten!$B$5:$B$24,MATCH(F174,Stammdaten!$A$5:$A$24,0)),"unbekannt"))</f>
        <v/>
      </c>
      <c r="H174" s="16">
        <f>IF($B174="","",IF(AY174&lt;&gt;"","abgeschlossen",IF(AND(ISNUMBER(AX174),AX174&gt;=TODAY()),"zurückgestellt",IF(OR(AND(ISNUMBER(AA174),AA174&lt;TODAY(),Z174="",AJ174=""),AND(ISNUMBER(Z174),Z174&lt;TODAY(),AJ174=""),AND(ISNUMBER(AB174),AB174&lt;TODAY(),AK174=""),AND(ISNUMBER(AC174),AC174&lt;TODAY(),AO174=""),AND(ISNUMBER(AD174),AD174&lt;TODAY(),AQ174="")),"überfällig","offen"))))</f>
        <v/>
      </c>
      <c r="I174" s="16">
        <f>IF($B174="","",IF(AY174&lt;&gt;"","—",IF(AND(ISNUMBER(AA174),AA174&lt;TODAY(),Z174="",AJ174=""),"Abnahmetermin vereinbaren – Sollfrist verstrichen",IF(AND(ISNUMBER(Z174),Z174&lt;TODAY(),AJ174=""),"Wohnungsabnahme nachtragen – Termin war fällig",IF(AND(ISNUMBER(AB174),AB174&lt;TODAY(),AK174=""),"Handwerker aufbieten – Frist verstrichen",IF(AND(ISNUMBER(AC174),AC174&lt;TODAY(),AO174=""),"Vertrag retour mahnen – Frist verstrichen",IF(AND(ISNUMBER(AD174),AD174&lt;TODAY(),AQ174=""),"Schlüsselübergabe nachtragen – Termin war fällig",IF(M174="","Haftungsdatum erfassen",IF(E174="","ex-Mieter erfassen",IF(AE174="","Kündigung bestätigen / G-Rem",IF(AF174="","Werke / EGT melden",IF(AG174="","Vorbesichtigung (oder n.e.)",IF(AH174="","VMZ aktualisieren",IF(AI174="","Inserat aufschalten",IF(AND(Z174="",AJ174=""),"Abnahmetermin vereinbaren",IF(AJ174="","Wohnungsabnahme durchführen",IF(AK174="","Handwerker aufbieten",IF(AL174="","Zustimmungserklärung einholen",IF(AM174="","Instandstellungen beauftragen",IF(R174="","Nachmieter erfassen",IF(AN174="","Vertrag versenden",IF(AO174="","Vertrag retour erfassen",IF(S174="","Vermietet per erfassen",IF(AP174="","Werke / EGT über Einzug informieren",IF(AND(AD174="",AQ174=""),"Schlüsselübergabe terminieren",IF(AQ174="","Schlüsselübergabe durchführen",IF(AR174="","Reinigung veranlassen",IF(AS174="","Namensschilder bestellen",IF(AT174="","Kaution prüfen / G-Rem mutieren",IF(AU174="","Instandstellungs-Rechnung erfassen",IF(AV174="","Schlussabrechnung erstellen",IF(AW174="","Zahlungseingang kontrollieren","Fall abschliessen"))))))))))))))))))))))))))))))))</f>
        <v/>
      </c>
      <c r="J174" s="17">
        <f>IF(M174="","",IF(S174&lt;&gt;"",MAX(0,S174-M174-1),MAX(0,TODAY()-M174)))</f>
        <v/>
      </c>
      <c r="K174" s="16">
        <f>IF($B174="","",TRIM(IF(AND(L174&lt;&gt;"",M174&lt;&gt;"",M174&lt;L174),"Haftungsdatum vor Kündigung. ","")&amp;IF(AND(S174&lt;&gt;"",M174&lt;&gt;"",S174&lt;M174),"Vermietung vor Leerstandsbeginn. ","")&amp;IF(AND(Z174&lt;&gt;"",L174&lt;&gt;"",Z174&lt;L174),"WA-Termin vor Kündigung. ","")&amp;IF(COUNTIFS($B$5:$B$404,$B174,$AY$5:$AY$404,"")&gt;1,"Zweiter offener Fall zum selben Objekt. ","")&amp;IF(AND($A174&lt;&gt;"",COUNTIFS($A$5:$A$404,$A174)&gt;1),"Fall-Nr. doppelt vergeben. ","")&amp;IF(E174="","ex-Mieter fehlt. ","")&amp;IF(M174="","Haftungsdatum fehlt. ","")&amp;IF(F174="","Bewirtschafter fehlt. ","")&amp;IF(AND(AY174&lt;&gt;"",AW174=""),"Abgeschlossen trotz offener Schlussabrechnung. ","")&amp;IF(AND(AY174="",S174="",ISNUMBER(J174),J174&gt;60),"Langläufer über 60 Tage. ","")))</f>
        <v/>
      </c>
      <c r="L174" s="18" t="n"/>
      <c r="M174" s="18" t="n"/>
      <c r="N174" s="19">
        <f>IF(M174="","",M174+1)</f>
        <v/>
      </c>
      <c r="O174" s="17">
        <f>IF(OR(L174="",M174=""),"",M174-L174)</f>
        <v/>
      </c>
      <c r="P174" s="16">
        <f>IF(M174="","",YEAR(M174+1)&amp;"-"&amp;TEXT(MONTH(M174+1),"00"))</f>
        <v/>
      </c>
      <c r="Q174" s="18" t="n"/>
      <c r="R174" s="15" t="n"/>
      <c r="S174" s="18" t="n"/>
      <c r="T174" s="16">
        <f>IF(U174="","",IF(LEFT(U174,1)="6","abgeschlossen",IF(OR(LEFT(U174,1)="1",LEFT(U174,1)="2"),"Kündigung &amp; Abnahme",IF(OR(LEFT(U174,1)="3",LEFT(U174,1)="4"),"Wiedervermietung","Schlussabrechnung"))))</f>
        <v/>
      </c>
      <c r="U174" s="16">
        <f>IF($B174="","",IF(AY174&lt;&gt;"","6 · abgeschlossen",IF(AW174&lt;&gt;"","5 · bereit zum Abschluss",IF(AT174&lt;&gt;"","5 · Schlussabrechnung",IF(AO174&lt;&gt;"","4 · Übergabe",IF(AM174&lt;&gt;"","3 · Neuvermietung",IF(M174&lt;&gt;"","2 · Abnahme &amp; Vermarktung","1 · Erfassung")))))))</f>
        <v/>
      </c>
      <c r="V174" s="15" t="n"/>
      <c r="W174" s="20" t="n"/>
      <c r="X174" s="15" t="n"/>
      <c r="Y174" s="15" t="n"/>
      <c r="Z174" s="18" t="n"/>
      <c r="AA174" s="19">
        <f>IF(M174="","",M174-30)</f>
        <v/>
      </c>
      <c r="AB174" s="19">
        <f>IF(ISNUMBER(AJ174),AJ174+3,"")</f>
        <v/>
      </c>
      <c r="AC174" s="18" t="n"/>
      <c r="AD174" s="18" t="n"/>
      <c r="AE174" s="18" t="n"/>
      <c r="AF174" s="18" t="n"/>
      <c r="AG174" s="18" t="n"/>
      <c r="AH174" s="18" t="n"/>
      <c r="AI174" s="18" t="n"/>
      <c r="AJ174" s="18" t="n"/>
      <c r="AK174" s="18" t="n"/>
      <c r="AL174" s="18" t="n"/>
      <c r="AM174" s="18" t="n"/>
      <c r="AN174" s="18" t="n"/>
      <c r="AO174" s="18" t="n"/>
      <c r="AP174" s="18" t="n"/>
      <c r="AQ174" s="18" t="n"/>
      <c r="AR174" s="18" t="n"/>
      <c r="AS174" s="18" t="n"/>
      <c r="AT174" s="18" t="n"/>
      <c r="AU174" s="18" t="n"/>
      <c r="AV174" s="18" t="n"/>
      <c r="AW174" s="18" t="n"/>
      <c r="AX174" s="18" t="n"/>
      <c r="AY174" s="18" t="n"/>
      <c r="AZ174" s="15" t="n"/>
    </row>
    <row r="175">
      <c r="A175" s="15" t="n"/>
      <c r="B175" s="15" t="n"/>
      <c r="C175" s="15" t="n"/>
      <c r="D175" s="15" t="n"/>
      <c r="E175" s="15" t="n"/>
      <c r="F175" s="15" t="n"/>
      <c r="G175" s="16">
        <f>IF(F175="","",IFERROR(INDEX(Stammdaten!$B$5:$B$24,MATCH(F175,Stammdaten!$A$5:$A$24,0)),"unbekannt"))</f>
        <v/>
      </c>
      <c r="H175" s="16">
        <f>IF($B175="","",IF(AY175&lt;&gt;"","abgeschlossen",IF(AND(ISNUMBER(AX175),AX175&gt;=TODAY()),"zurückgestellt",IF(OR(AND(ISNUMBER(AA175),AA175&lt;TODAY(),Z175="",AJ175=""),AND(ISNUMBER(Z175),Z175&lt;TODAY(),AJ175=""),AND(ISNUMBER(AB175),AB175&lt;TODAY(),AK175=""),AND(ISNUMBER(AC175),AC175&lt;TODAY(),AO175=""),AND(ISNUMBER(AD175),AD175&lt;TODAY(),AQ175="")),"überfällig","offen"))))</f>
        <v/>
      </c>
      <c r="I175" s="16">
        <f>IF($B175="","",IF(AY175&lt;&gt;"","—",IF(AND(ISNUMBER(AA175),AA175&lt;TODAY(),Z175="",AJ175=""),"Abnahmetermin vereinbaren – Sollfrist verstrichen",IF(AND(ISNUMBER(Z175),Z175&lt;TODAY(),AJ175=""),"Wohnungsabnahme nachtragen – Termin war fällig",IF(AND(ISNUMBER(AB175),AB175&lt;TODAY(),AK175=""),"Handwerker aufbieten – Frist verstrichen",IF(AND(ISNUMBER(AC175),AC175&lt;TODAY(),AO175=""),"Vertrag retour mahnen – Frist verstrichen",IF(AND(ISNUMBER(AD175),AD175&lt;TODAY(),AQ175=""),"Schlüsselübergabe nachtragen – Termin war fällig",IF(M175="","Haftungsdatum erfassen",IF(E175="","ex-Mieter erfassen",IF(AE175="","Kündigung bestätigen / G-Rem",IF(AF175="","Werke / EGT melden",IF(AG175="","Vorbesichtigung (oder n.e.)",IF(AH175="","VMZ aktualisieren",IF(AI175="","Inserat aufschalten",IF(AND(Z175="",AJ175=""),"Abnahmetermin vereinbaren",IF(AJ175="","Wohnungsabnahme durchführen",IF(AK175="","Handwerker aufbieten",IF(AL175="","Zustimmungserklärung einholen",IF(AM175="","Instandstellungen beauftragen",IF(R175="","Nachmieter erfassen",IF(AN175="","Vertrag versenden",IF(AO175="","Vertrag retour erfassen",IF(S175="","Vermietet per erfassen",IF(AP175="","Werke / EGT über Einzug informieren",IF(AND(AD175="",AQ175=""),"Schlüsselübergabe terminieren",IF(AQ175="","Schlüsselübergabe durchführen",IF(AR175="","Reinigung veranlassen",IF(AS175="","Namensschilder bestellen",IF(AT175="","Kaution prüfen / G-Rem mutieren",IF(AU175="","Instandstellungs-Rechnung erfassen",IF(AV175="","Schlussabrechnung erstellen",IF(AW175="","Zahlungseingang kontrollieren","Fall abschliessen"))))))))))))))))))))))))))))))))</f>
        <v/>
      </c>
      <c r="J175" s="17">
        <f>IF(M175="","",IF(S175&lt;&gt;"",MAX(0,S175-M175-1),MAX(0,TODAY()-M175)))</f>
        <v/>
      </c>
      <c r="K175" s="16">
        <f>IF($B175="","",TRIM(IF(AND(L175&lt;&gt;"",M175&lt;&gt;"",M175&lt;L175),"Haftungsdatum vor Kündigung. ","")&amp;IF(AND(S175&lt;&gt;"",M175&lt;&gt;"",S175&lt;M175),"Vermietung vor Leerstandsbeginn. ","")&amp;IF(AND(Z175&lt;&gt;"",L175&lt;&gt;"",Z175&lt;L175),"WA-Termin vor Kündigung. ","")&amp;IF(COUNTIFS($B$5:$B$404,$B175,$AY$5:$AY$404,"")&gt;1,"Zweiter offener Fall zum selben Objekt. ","")&amp;IF(AND($A175&lt;&gt;"",COUNTIFS($A$5:$A$404,$A175)&gt;1),"Fall-Nr. doppelt vergeben. ","")&amp;IF(E175="","ex-Mieter fehlt. ","")&amp;IF(M175="","Haftungsdatum fehlt. ","")&amp;IF(F175="","Bewirtschafter fehlt. ","")&amp;IF(AND(AY175&lt;&gt;"",AW175=""),"Abgeschlossen trotz offener Schlussabrechnung. ","")&amp;IF(AND(AY175="",S175="",ISNUMBER(J175),J175&gt;60),"Langläufer über 60 Tage. ","")))</f>
        <v/>
      </c>
      <c r="L175" s="18" t="n"/>
      <c r="M175" s="18" t="n"/>
      <c r="N175" s="19">
        <f>IF(M175="","",M175+1)</f>
        <v/>
      </c>
      <c r="O175" s="17">
        <f>IF(OR(L175="",M175=""),"",M175-L175)</f>
        <v/>
      </c>
      <c r="P175" s="16">
        <f>IF(M175="","",YEAR(M175+1)&amp;"-"&amp;TEXT(MONTH(M175+1),"00"))</f>
        <v/>
      </c>
      <c r="Q175" s="18" t="n"/>
      <c r="R175" s="15" t="n"/>
      <c r="S175" s="18" t="n"/>
      <c r="T175" s="16">
        <f>IF(U175="","",IF(LEFT(U175,1)="6","abgeschlossen",IF(OR(LEFT(U175,1)="1",LEFT(U175,1)="2"),"Kündigung &amp; Abnahme",IF(OR(LEFT(U175,1)="3",LEFT(U175,1)="4"),"Wiedervermietung","Schlussabrechnung"))))</f>
        <v/>
      </c>
      <c r="U175" s="16">
        <f>IF($B175="","",IF(AY175&lt;&gt;"","6 · abgeschlossen",IF(AW175&lt;&gt;"","5 · bereit zum Abschluss",IF(AT175&lt;&gt;"","5 · Schlussabrechnung",IF(AO175&lt;&gt;"","4 · Übergabe",IF(AM175&lt;&gt;"","3 · Neuvermietung",IF(M175&lt;&gt;"","2 · Abnahme &amp; Vermarktung","1 · Erfassung")))))))</f>
        <v/>
      </c>
      <c r="V175" s="15" t="n"/>
      <c r="W175" s="20" t="n"/>
      <c r="X175" s="15" t="n"/>
      <c r="Y175" s="15" t="n"/>
      <c r="Z175" s="18" t="n"/>
      <c r="AA175" s="19">
        <f>IF(M175="","",M175-30)</f>
        <v/>
      </c>
      <c r="AB175" s="19">
        <f>IF(ISNUMBER(AJ175),AJ175+3,"")</f>
        <v/>
      </c>
      <c r="AC175" s="18" t="n"/>
      <c r="AD175" s="18" t="n"/>
      <c r="AE175" s="18" t="n"/>
      <c r="AF175" s="18" t="n"/>
      <c r="AG175" s="18" t="n"/>
      <c r="AH175" s="18" t="n"/>
      <c r="AI175" s="18" t="n"/>
      <c r="AJ175" s="18" t="n"/>
      <c r="AK175" s="18" t="n"/>
      <c r="AL175" s="18" t="n"/>
      <c r="AM175" s="18" t="n"/>
      <c r="AN175" s="18" t="n"/>
      <c r="AO175" s="18" t="n"/>
      <c r="AP175" s="18" t="n"/>
      <c r="AQ175" s="18" t="n"/>
      <c r="AR175" s="18" t="n"/>
      <c r="AS175" s="18" t="n"/>
      <c r="AT175" s="18" t="n"/>
      <c r="AU175" s="18" t="n"/>
      <c r="AV175" s="18" t="n"/>
      <c r="AW175" s="18" t="n"/>
      <c r="AX175" s="18" t="n"/>
      <c r="AY175" s="18" t="n"/>
      <c r="AZ175" s="15" t="n"/>
    </row>
    <row r="176">
      <c r="A176" s="15" t="n"/>
      <c r="B176" s="15" t="n"/>
      <c r="C176" s="15" t="n"/>
      <c r="D176" s="15" t="n"/>
      <c r="E176" s="15" t="n"/>
      <c r="F176" s="15" t="n"/>
      <c r="G176" s="16">
        <f>IF(F176="","",IFERROR(INDEX(Stammdaten!$B$5:$B$24,MATCH(F176,Stammdaten!$A$5:$A$24,0)),"unbekannt"))</f>
        <v/>
      </c>
      <c r="H176" s="16">
        <f>IF($B176="","",IF(AY176&lt;&gt;"","abgeschlossen",IF(AND(ISNUMBER(AX176),AX176&gt;=TODAY()),"zurückgestellt",IF(OR(AND(ISNUMBER(AA176),AA176&lt;TODAY(),Z176="",AJ176=""),AND(ISNUMBER(Z176),Z176&lt;TODAY(),AJ176=""),AND(ISNUMBER(AB176),AB176&lt;TODAY(),AK176=""),AND(ISNUMBER(AC176),AC176&lt;TODAY(),AO176=""),AND(ISNUMBER(AD176),AD176&lt;TODAY(),AQ176="")),"überfällig","offen"))))</f>
        <v/>
      </c>
      <c r="I176" s="16">
        <f>IF($B176="","",IF(AY176&lt;&gt;"","—",IF(AND(ISNUMBER(AA176),AA176&lt;TODAY(),Z176="",AJ176=""),"Abnahmetermin vereinbaren – Sollfrist verstrichen",IF(AND(ISNUMBER(Z176),Z176&lt;TODAY(),AJ176=""),"Wohnungsabnahme nachtragen – Termin war fällig",IF(AND(ISNUMBER(AB176),AB176&lt;TODAY(),AK176=""),"Handwerker aufbieten – Frist verstrichen",IF(AND(ISNUMBER(AC176),AC176&lt;TODAY(),AO176=""),"Vertrag retour mahnen – Frist verstrichen",IF(AND(ISNUMBER(AD176),AD176&lt;TODAY(),AQ176=""),"Schlüsselübergabe nachtragen – Termin war fällig",IF(M176="","Haftungsdatum erfassen",IF(E176="","ex-Mieter erfassen",IF(AE176="","Kündigung bestätigen / G-Rem",IF(AF176="","Werke / EGT melden",IF(AG176="","Vorbesichtigung (oder n.e.)",IF(AH176="","VMZ aktualisieren",IF(AI176="","Inserat aufschalten",IF(AND(Z176="",AJ176=""),"Abnahmetermin vereinbaren",IF(AJ176="","Wohnungsabnahme durchführen",IF(AK176="","Handwerker aufbieten",IF(AL176="","Zustimmungserklärung einholen",IF(AM176="","Instandstellungen beauftragen",IF(R176="","Nachmieter erfassen",IF(AN176="","Vertrag versenden",IF(AO176="","Vertrag retour erfassen",IF(S176="","Vermietet per erfassen",IF(AP176="","Werke / EGT über Einzug informieren",IF(AND(AD176="",AQ176=""),"Schlüsselübergabe terminieren",IF(AQ176="","Schlüsselübergabe durchführen",IF(AR176="","Reinigung veranlassen",IF(AS176="","Namensschilder bestellen",IF(AT176="","Kaution prüfen / G-Rem mutieren",IF(AU176="","Instandstellungs-Rechnung erfassen",IF(AV176="","Schlussabrechnung erstellen",IF(AW176="","Zahlungseingang kontrollieren","Fall abschliessen"))))))))))))))))))))))))))))))))</f>
        <v/>
      </c>
      <c r="J176" s="17">
        <f>IF(M176="","",IF(S176&lt;&gt;"",MAX(0,S176-M176-1),MAX(0,TODAY()-M176)))</f>
        <v/>
      </c>
      <c r="K176" s="16">
        <f>IF($B176="","",TRIM(IF(AND(L176&lt;&gt;"",M176&lt;&gt;"",M176&lt;L176),"Haftungsdatum vor Kündigung. ","")&amp;IF(AND(S176&lt;&gt;"",M176&lt;&gt;"",S176&lt;M176),"Vermietung vor Leerstandsbeginn. ","")&amp;IF(AND(Z176&lt;&gt;"",L176&lt;&gt;"",Z176&lt;L176),"WA-Termin vor Kündigung. ","")&amp;IF(COUNTIFS($B$5:$B$404,$B176,$AY$5:$AY$404,"")&gt;1,"Zweiter offener Fall zum selben Objekt. ","")&amp;IF(AND($A176&lt;&gt;"",COUNTIFS($A$5:$A$404,$A176)&gt;1),"Fall-Nr. doppelt vergeben. ","")&amp;IF(E176="","ex-Mieter fehlt. ","")&amp;IF(M176="","Haftungsdatum fehlt. ","")&amp;IF(F176="","Bewirtschafter fehlt. ","")&amp;IF(AND(AY176&lt;&gt;"",AW176=""),"Abgeschlossen trotz offener Schlussabrechnung. ","")&amp;IF(AND(AY176="",S176="",ISNUMBER(J176),J176&gt;60),"Langläufer über 60 Tage. ","")))</f>
        <v/>
      </c>
      <c r="L176" s="18" t="n"/>
      <c r="M176" s="18" t="n"/>
      <c r="N176" s="19">
        <f>IF(M176="","",M176+1)</f>
        <v/>
      </c>
      <c r="O176" s="17">
        <f>IF(OR(L176="",M176=""),"",M176-L176)</f>
        <v/>
      </c>
      <c r="P176" s="16">
        <f>IF(M176="","",YEAR(M176+1)&amp;"-"&amp;TEXT(MONTH(M176+1),"00"))</f>
        <v/>
      </c>
      <c r="Q176" s="18" t="n"/>
      <c r="R176" s="15" t="n"/>
      <c r="S176" s="18" t="n"/>
      <c r="T176" s="16">
        <f>IF(U176="","",IF(LEFT(U176,1)="6","abgeschlossen",IF(OR(LEFT(U176,1)="1",LEFT(U176,1)="2"),"Kündigung &amp; Abnahme",IF(OR(LEFT(U176,1)="3",LEFT(U176,1)="4"),"Wiedervermietung","Schlussabrechnung"))))</f>
        <v/>
      </c>
      <c r="U176" s="16">
        <f>IF($B176="","",IF(AY176&lt;&gt;"","6 · abgeschlossen",IF(AW176&lt;&gt;"","5 · bereit zum Abschluss",IF(AT176&lt;&gt;"","5 · Schlussabrechnung",IF(AO176&lt;&gt;"","4 · Übergabe",IF(AM176&lt;&gt;"","3 · Neuvermietung",IF(M176&lt;&gt;"","2 · Abnahme &amp; Vermarktung","1 · Erfassung")))))))</f>
        <v/>
      </c>
      <c r="V176" s="15" t="n"/>
      <c r="W176" s="20" t="n"/>
      <c r="X176" s="15" t="n"/>
      <c r="Y176" s="15" t="n"/>
      <c r="Z176" s="18" t="n"/>
      <c r="AA176" s="19">
        <f>IF(M176="","",M176-30)</f>
        <v/>
      </c>
      <c r="AB176" s="19">
        <f>IF(ISNUMBER(AJ176),AJ176+3,"")</f>
        <v/>
      </c>
      <c r="AC176" s="18" t="n"/>
      <c r="AD176" s="18" t="n"/>
      <c r="AE176" s="18" t="n"/>
      <c r="AF176" s="18" t="n"/>
      <c r="AG176" s="18" t="n"/>
      <c r="AH176" s="18" t="n"/>
      <c r="AI176" s="18" t="n"/>
      <c r="AJ176" s="18" t="n"/>
      <c r="AK176" s="18" t="n"/>
      <c r="AL176" s="18" t="n"/>
      <c r="AM176" s="18" t="n"/>
      <c r="AN176" s="18" t="n"/>
      <c r="AO176" s="18" t="n"/>
      <c r="AP176" s="18" t="n"/>
      <c r="AQ176" s="18" t="n"/>
      <c r="AR176" s="18" t="n"/>
      <c r="AS176" s="18" t="n"/>
      <c r="AT176" s="18" t="n"/>
      <c r="AU176" s="18" t="n"/>
      <c r="AV176" s="18" t="n"/>
      <c r="AW176" s="18" t="n"/>
      <c r="AX176" s="18" t="n"/>
      <c r="AY176" s="18" t="n"/>
      <c r="AZ176" s="15" t="n"/>
    </row>
    <row r="177">
      <c r="A177" s="15" t="n"/>
      <c r="B177" s="15" t="n"/>
      <c r="C177" s="15" t="n"/>
      <c r="D177" s="15" t="n"/>
      <c r="E177" s="15" t="n"/>
      <c r="F177" s="15" t="n"/>
      <c r="G177" s="16">
        <f>IF(F177="","",IFERROR(INDEX(Stammdaten!$B$5:$B$24,MATCH(F177,Stammdaten!$A$5:$A$24,0)),"unbekannt"))</f>
        <v/>
      </c>
      <c r="H177" s="16">
        <f>IF($B177="","",IF(AY177&lt;&gt;"","abgeschlossen",IF(AND(ISNUMBER(AX177),AX177&gt;=TODAY()),"zurückgestellt",IF(OR(AND(ISNUMBER(AA177),AA177&lt;TODAY(),Z177="",AJ177=""),AND(ISNUMBER(Z177),Z177&lt;TODAY(),AJ177=""),AND(ISNUMBER(AB177),AB177&lt;TODAY(),AK177=""),AND(ISNUMBER(AC177),AC177&lt;TODAY(),AO177=""),AND(ISNUMBER(AD177),AD177&lt;TODAY(),AQ177="")),"überfällig","offen"))))</f>
        <v/>
      </c>
      <c r="I177" s="16">
        <f>IF($B177="","",IF(AY177&lt;&gt;"","—",IF(AND(ISNUMBER(AA177),AA177&lt;TODAY(),Z177="",AJ177=""),"Abnahmetermin vereinbaren – Sollfrist verstrichen",IF(AND(ISNUMBER(Z177),Z177&lt;TODAY(),AJ177=""),"Wohnungsabnahme nachtragen – Termin war fällig",IF(AND(ISNUMBER(AB177),AB177&lt;TODAY(),AK177=""),"Handwerker aufbieten – Frist verstrichen",IF(AND(ISNUMBER(AC177),AC177&lt;TODAY(),AO177=""),"Vertrag retour mahnen – Frist verstrichen",IF(AND(ISNUMBER(AD177),AD177&lt;TODAY(),AQ177=""),"Schlüsselübergabe nachtragen – Termin war fällig",IF(M177="","Haftungsdatum erfassen",IF(E177="","ex-Mieter erfassen",IF(AE177="","Kündigung bestätigen / G-Rem",IF(AF177="","Werke / EGT melden",IF(AG177="","Vorbesichtigung (oder n.e.)",IF(AH177="","VMZ aktualisieren",IF(AI177="","Inserat aufschalten",IF(AND(Z177="",AJ177=""),"Abnahmetermin vereinbaren",IF(AJ177="","Wohnungsabnahme durchführen",IF(AK177="","Handwerker aufbieten",IF(AL177="","Zustimmungserklärung einholen",IF(AM177="","Instandstellungen beauftragen",IF(R177="","Nachmieter erfassen",IF(AN177="","Vertrag versenden",IF(AO177="","Vertrag retour erfassen",IF(S177="","Vermietet per erfassen",IF(AP177="","Werke / EGT über Einzug informieren",IF(AND(AD177="",AQ177=""),"Schlüsselübergabe terminieren",IF(AQ177="","Schlüsselübergabe durchführen",IF(AR177="","Reinigung veranlassen",IF(AS177="","Namensschilder bestellen",IF(AT177="","Kaution prüfen / G-Rem mutieren",IF(AU177="","Instandstellungs-Rechnung erfassen",IF(AV177="","Schlussabrechnung erstellen",IF(AW177="","Zahlungseingang kontrollieren","Fall abschliessen"))))))))))))))))))))))))))))))))</f>
        <v/>
      </c>
      <c r="J177" s="17">
        <f>IF(M177="","",IF(S177&lt;&gt;"",MAX(0,S177-M177-1),MAX(0,TODAY()-M177)))</f>
        <v/>
      </c>
      <c r="K177" s="16">
        <f>IF($B177="","",TRIM(IF(AND(L177&lt;&gt;"",M177&lt;&gt;"",M177&lt;L177),"Haftungsdatum vor Kündigung. ","")&amp;IF(AND(S177&lt;&gt;"",M177&lt;&gt;"",S177&lt;M177),"Vermietung vor Leerstandsbeginn. ","")&amp;IF(AND(Z177&lt;&gt;"",L177&lt;&gt;"",Z177&lt;L177),"WA-Termin vor Kündigung. ","")&amp;IF(COUNTIFS($B$5:$B$404,$B177,$AY$5:$AY$404,"")&gt;1,"Zweiter offener Fall zum selben Objekt. ","")&amp;IF(AND($A177&lt;&gt;"",COUNTIFS($A$5:$A$404,$A177)&gt;1),"Fall-Nr. doppelt vergeben. ","")&amp;IF(E177="","ex-Mieter fehlt. ","")&amp;IF(M177="","Haftungsdatum fehlt. ","")&amp;IF(F177="","Bewirtschafter fehlt. ","")&amp;IF(AND(AY177&lt;&gt;"",AW177=""),"Abgeschlossen trotz offener Schlussabrechnung. ","")&amp;IF(AND(AY177="",S177="",ISNUMBER(J177),J177&gt;60),"Langläufer über 60 Tage. ","")))</f>
        <v/>
      </c>
      <c r="L177" s="18" t="n"/>
      <c r="M177" s="18" t="n"/>
      <c r="N177" s="19">
        <f>IF(M177="","",M177+1)</f>
        <v/>
      </c>
      <c r="O177" s="17">
        <f>IF(OR(L177="",M177=""),"",M177-L177)</f>
        <v/>
      </c>
      <c r="P177" s="16">
        <f>IF(M177="","",YEAR(M177+1)&amp;"-"&amp;TEXT(MONTH(M177+1),"00"))</f>
        <v/>
      </c>
      <c r="Q177" s="18" t="n"/>
      <c r="R177" s="15" t="n"/>
      <c r="S177" s="18" t="n"/>
      <c r="T177" s="16">
        <f>IF(U177="","",IF(LEFT(U177,1)="6","abgeschlossen",IF(OR(LEFT(U177,1)="1",LEFT(U177,1)="2"),"Kündigung &amp; Abnahme",IF(OR(LEFT(U177,1)="3",LEFT(U177,1)="4"),"Wiedervermietung","Schlussabrechnung"))))</f>
        <v/>
      </c>
      <c r="U177" s="16">
        <f>IF($B177="","",IF(AY177&lt;&gt;"","6 · abgeschlossen",IF(AW177&lt;&gt;"","5 · bereit zum Abschluss",IF(AT177&lt;&gt;"","5 · Schlussabrechnung",IF(AO177&lt;&gt;"","4 · Übergabe",IF(AM177&lt;&gt;"","3 · Neuvermietung",IF(M177&lt;&gt;"","2 · Abnahme &amp; Vermarktung","1 · Erfassung")))))))</f>
        <v/>
      </c>
      <c r="V177" s="15" t="n"/>
      <c r="W177" s="20" t="n"/>
      <c r="X177" s="15" t="n"/>
      <c r="Y177" s="15" t="n"/>
      <c r="Z177" s="18" t="n"/>
      <c r="AA177" s="19">
        <f>IF(M177="","",M177-30)</f>
        <v/>
      </c>
      <c r="AB177" s="19">
        <f>IF(ISNUMBER(AJ177),AJ177+3,"")</f>
        <v/>
      </c>
      <c r="AC177" s="18" t="n"/>
      <c r="AD177" s="18" t="n"/>
      <c r="AE177" s="18" t="n"/>
      <c r="AF177" s="18" t="n"/>
      <c r="AG177" s="18" t="n"/>
      <c r="AH177" s="18" t="n"/>
      <c r="AI177" s="18" t="n"/>
      <c r="AJ177" s="18" t="n"/>
      <c r="AK177" s="18" t="n"/>
      <c r="AL177" s="18" t="n"/>
      <c r="AM177" s="18" t="n"/>
      <c r="AN177" s="18" t="n"/>
      <c r="AO177" s="18" t="n"/>
      <c r="AP177" s="18" t="n"/>
      <c r="AQ177" s="18" t="n"/>
      <c r="AR177" s="18" t="n"/>
      <c r="AS177" s="18" t="n"/>
      <c r="AT177" s="18" t="n"/>
      <c r="AU177" s="18" t="n"/>
      <c r="AV177" s="18" t="n"/>
      <c r="AW177" s="18" t="n"/>
      <c r="AX177" s="18" t="n"/>
      <c r="AY177" s="18" t="n"/>
      <c r="AZ177" s="15" t="n"/>
    </row>
    <row r="178">
      <c r="A178" s="15" t="n"/>
      <c r="B178" s="15" t="n"/>
      <c r="C178" s="15" t="n"/>
      <c r="D178" s="15" t="n"/>
      <c r="E178" s="15" t="n"/>
      <c r="F178" s="15" t="n"/>
      <c r="G178" s="16">
        <f>IF(F178="","",IFERROR(INDEX(Stammdaten!$B$5:$B$24,MATCH(F178,Stammdaten!$A$5:$A$24,0)),"unbekannt"))</f>
        <v/>
      </c>
      <c r="H178" s="16">
        <f>IF($B178="","",IF(AY178&lt;&gt;"","abgeschlossen",IF(AND(ISNUMBER(AX178),AX178&gt;=TODAY()),"zurückgestellt",IF(OR(AND(ISNUMBER(AA178),AA178&lt;TODAY(),Z178="",AJ178=""),AND(ISNUMBER(Z178),Z178&lt;TODAY(),AJ178=""),AND(ISNUMBER(AB178),AB178&lt;TODAY(),AK178=""),AND(ISNUMBER(AC178),AC178&lt;TODAY(),AO178=""),AND(ISNUMBER(AD178),AD178&lt;TODAY(),AQ178="")),"überfällig","offen"))))</f>
        <v/>
      </c>
      <c r="I178" s="16">
        <f>IF($B178="","",IF(AY178&lt;&gt;"","—",IF(AND(ISNUMBER(AA178),AA178&lt;TODAY(),Z178="",AJ178=""),"Abnahmetermin vereinbaren – Sollfrist verstrichen",IF(AND(ISNUMBER(Z178),Z178&lt;TODAY(),AJ178=""),"Wohnungsabnahme nachtragen – Termin war fällig",IF(AND(ISNUMBER(AB178),AB178&lt;TODAY(),AK178=""),"Handwerker aufbieten – Frist verstrichen",IF(AND(ISNUMBER(AC178),AC178&lt;TODAY(),AO178=""),"Vertrag retour mahnen – Frist verstrichen",IF(AND(ISNUMBER(AD178),AD178&lt;TODAY(),AQ178=""),"Schlüsselübergabe nachtragen – Termin war fällig",IF(M178="","Haftungsdatum erfassen",IF(E178="","ex-Mieter erfassen",IF(AE178="","Kündigung bestätigen / G-Rem",IF(AF178="","Werke / EGT melden",IF(AG178="","Vorbesichtigung (oder n.e.)",IF(AH178="","VMZ aktualisieren",IF(AI178="","Inserat aufschalten",IF(AND(Z178="",AJ178=""),"Abnahmetermin vereinbaren",IF(AJ178="","Wohnungsabnahme durchführen",IF(AK178="","Handwerker aufbieten",IF(AL178="","Zustimmungserklärung einholen",IF(AM178="","Instandstellungen beauftragen",IF(R178="","Nachmieter erfassen",IF(AN178="","Vertrag versenden",IF(AO178="","Vertrag retour erfassen",IF(S178="","Vermietet per erfassen",IF(AP178="","Werke / EGT über Einzug informieren",IF(AND(AD178="",AQ178=""),"Schlüsselübergabe terminieren",IF(AQ178="","Schlüsselübergabe durchführen",IF(AR178="","Reinigung veranlassen",IF(AS178="","Namensschilder bestellen",IF(AT178="","Kaution prüfen / G-Rem mutieren",IF(AU178="","Instandstellungs-Rechnung erfassen",IF(AV178="","Schlussabrechnung erstellen",IF(AW178="","Zahlungseingang kontrollieren","Fall abschliessen"))))))))))))))))))))))))))))))))</f>
        <v/>
      </c>
      <c r="J178" s="17">
        <f>IF(M178="","",IF(S178&lt;&gt;"",MAX(0,S178-M178-1),MAX(0,TODAY()-M178)))</f>
        <v/>
      </c>
      <c r="K178" s="16">
        <f>IF($B178="","",TRIM(IF(AND(L178&lt;&gt;"",M178&lt;&gt;"",M178&lt;L178),"Haftungsdatum vor Kündigung. ","")&amp;IF(AND(S178&lt;&gt;"",M178&lt;&gt;"",S178&lt;M178),"Vermietung vor Leerstandsbeginn. ","")&amp;IF(AND(Z178&lt;&gt;"",L178&lt;&gt;"",Z178&lt;L178),"WA-Termin vor Kündigung. ","")&amp;IF(COUNTIFS($B$5:$B$404,$B178,$AY$5:$AY$404,"")&gt;1,"Zweiter offener Fall zum selben Objekt. ","")&amp;IF(AND($A178&lt;&gt;"",COUNTIFS($A$5:$A$404,$A178)&gt;1),"Fall-Nr. doppelt vergeben. ","")&amp;IF(E178="","ex-Mieter fehlt. ","")&amp;IF(M178="","Haftungsdatum fehlt. ","")&amp;IF(F178="","Bewirtschafter fehlt. ","")&amp;IF(AND(AY178&lt;&gt;"",AW178=""),"Abgeschlossen trotz offener Schlussabrechnung. ","")&amp;IF(AND(AY178="",S178="",ISNUMBER(J178),J178&gt;60),"Langläufer über 60 Tage. ","")))</f>
        <v/>
      </c>
      <c r="L178" s="18" t="n"/>
      <c r="M178" s="18" t="n"/>
      <c r="N178" s="19">
        <f>IF(M178="","",M178+1)</f>
        <v/>
      </c>
      <c r="O178" s="17">
        <f>IF(OR(L178="",M178=""),"",M178-L178)</f>
        <v/>
      </c>
      <c r="P178" s="16">
        <f>IF(M178="","",YEAR(M178+1)&amp;"-"&amp;TEXT(MONTH(M178+1),"00"))</f>
        <v/>
      </c>
      <c r="Q178" s="18" t="n"/>
      <c r="R178" s="15" t="n"/>
      <c r="S178" s="18" t="n"/>
      <c r="T178" s="16">
        <f>IF(U178="","",IF(LEFT(U178,1)="6","abgeschlossen",IF(OR(LEFT(U178,1)="1",LEFT(U178,1)="2"),"Kündigung &amp; Abnahme",IF(OR(LEFT(U178,1)="3",LEFT(U178,1)="4"),"Wiedervermietung","Schlussabrechnung"))))</f>
        <v/>
      </c>
      <c r="U178" s="16">
        <f>IF($B178="","",IF(AY178&lt;&gt;"","6 · abgeschlossen",IF(AW178&lt;&gt;"","5 · bereit zum Abschluss",IF(AT178&lt;&gt;"","5 · Schlussabrechnung",IF(AO178&lt;&gt;"","4 · Übergabe",IF(AM178&lt;&gt;"","3 · Neuvermietung",IF(M178&lt;&gt;"","2 · Abnahme &amp; Vermarktung","1 · Erfassung")))))))</f>
        <v/>
      </c>
      <c r="V178" s="15" t="n"/>
      <c r="W178" s="20" t="n"/>
      <c r="X178" s="15" t="n"/>
      <c r="Y178" s="15" t="n"/>
      <c r="Z178" s="18" t="n"/>
      <c r="AA178" s="19">
        <f>IF(M178="","",M178-30)</f>
        <v/>
      </c>
      <c r="AB178" s="19">
        <f>IF(ISNUMBER(AJ178),AJ178+3,"")</f>
        <v/>
      </c>
      <c r="AC178" s="18" t="n"/>
      <c r="AD178" s="18" t="n"/>
      <c r="AE178" s="18" t="n"/>
      <c r="AF178" s="18" t="n"/>
      <c r="AG178" s="18" t="n"/>
      <c r="AH178" s="18" t="n"/>
      <c r="AI178" s="18" t="n"/>
      <c r="AJ178" s="18" t="n"/>
      <c r="AK178" s="18" t="n"/>
      <c r="AL178" s="18" t="n"/>
      <c r="AM178" s="18" t="n"/>
      <c r="AN178" s="18" t="n"/>
      <c r="AO178" s="18" t="n"/>
      <c r="AP178" s="18" t="n"/>
      <c r="AQ178" s="18" t="n"/>
      <c r="AR178" s="18" t="n"/>
      <c r="AS178" s="18" t="n"/>
      <c r="AT178" s="18" t="n"/>
      <c r="AU178" s="18" t="n"/>
      <c r="AV178" s="18" t="n"/>
      <c r="AW178" s="18" t="n"/>
      <c r="AX178" s="18" t="n"/>
      <c r="AY178" s="18" t="n"/>
      <c r="AZ178" s="15" t="n"/>
    </row>
    <row r="179">
      <c r="A179" s="15" t="n"/>
      <c r="B179" s="15" t="n"/>
      <c r="C179" s="15" t="n"/>
      <c r="D179" s="15" t="n"/>
      <c r="E179" s="15" t="n"/>
      <c r="F179" s="15" t="n"/>
      <c r="G179" s="16">
        <f>IF(F179="","",IFERROR(INDEX(Stammdaten!$B$5:$B$24,MATCH(F179,Stammdaten!$A$5:$A$24,0)),"unbekannt"))</f>
        <v/>
      </c>
      <c r="H179" s="16">
        <f>IF($B179="","",IF(AY179&lt;&gt;"","abgeschlossen",IF(AND(ISNUMBER(AX179),AX179&gt;=TODAY()),"zurückgestellt",IF(OR(AND(ISNUMBER(AA179),AA179&lt;TODAY(),Z179="",AJ179=""),AND(ISNUMBER(Z179),Z179&lt;TODAY(),AJ179=""),AND(ISNUMBER(AB179),AB179&lt;TODAY(),AK179=""),AND(ISNUMBER(AC179),AC179&lt;TODAY(),AO179=""),AND(ISNUMBER(AD179),AD179&lt;TODAY(),AQ179="")),"überfällig","offen"))))</f>
        <v/>
      </c>
      <c r="I179" s="16">
        <f>IF($B179="","",IF(AY179&lt;&gt;"","—",IF(AND(ISNUMBER(AA179),AA179&lt;TODAY(),Z179="",AJ179=""),"Abnahmetermin vereinbaren – Sollfrist verstrichen",IF(AND(ISNUMBER(Z179),Z179&lt;TODAY(),AJ179=""),"Wohnungsabnahme nachtragen – Termin war fällig",IF(AND(ISNUMBER(AB179),AB179&lt;TODAY(),AK179=""),"Handwerker aufbieten – Frist verstrichen",IF(AND(ISNUMBER(AC179),AC179&lt;TODAY(),AO179=""),"Vertrag retour mahnen – Frist verstrichen",IF(AND(ISNUMBER(AD179),AD179&lt;TODAY(),AQ179=""),"Schlüsselübergabe nachtragen – Termin war fällig",IF(M179="","Haftungsdatum erfassen",IF(E179="","ex-Mieter erfassen",IF(AE179="","Kündigung bestätigen / G-Rem",IF(AF179="","Werke / EGT melden",IF(AG179="","Vorbesichtigung (oder n.e.)",IF(AH179="","VMZ aktualisieren",IF(AI179="","Inserat aufschalten",IF(AND(Z179="",AJ179=""),"Abnahmetermin vereinbaren",IF(AJ179="","Wohnungsabnahme durchführen",IF(AK179="","Handwerker aufbieten",IF(AL179="","Zustimmungserklärung einholen",IF(AM179="","Instandstellungen beauftragen",IF(R179="","Nachmieter erfassen",IF(AN179="","Vertrag versenden",IF(AO179="","Vertrag retour erfassen",IF(S179="","Vermietet per erfassen",IF(AP179="","Werke / EGT über Einzug informieren",IF(AND(AD179="",AQ179=""),"Schlüsselübergabe terminieren",IF(AQ179="","Schlüsselübergabe durchführen",IF(AR179="","Reinigung veranlassen",IF(AS179="","Namensschilder bestellen",IF(AT179="","Kaution prüfen / G-Rem mutieren",IF(AU179="","Instandstellungs-Rechnung erfassen",IF(AV179="","Schlussabrechnung erstellen",IF(AW179="","Zahlungseingang kontrollieren","Fall abschliessen"))))))))))))))))))))))))))))))))</f>
        <v/>
      </c>
      <c r="J179" s="17">
        <f>IF(M179="","",IF(S179&lt;&gt;"",MAX(0,S179-M179-1),MAX(0,TODAY()-M179)))</f>
        <v/>
      </c>
      <c r="K179" s="16">
        <f>IF($B179="","",TRIM(IF(AND(L179&lt;&gt;"",M179&lt;&gt;"",M179&lt;L179),"Haftungsdatum vor Kündigung. ","")&amp;IF(AND(S179&lt;&gt;"",M179&lt;&gt;"",S179&lt;M179),"Vermietung vor Leerstandsbeginn. ","")&amp;IF(AND(Z179&lt;&gt;"",L179&lt;&gt;"",Z179&lt;L179),"WA-Termin vor Kündigung. ","")&amp;IF(COUNTIFS($B$5:$B$404,$B179,$AY$5:$AY$404,"")&gt;1,"Zweiter offener Fall zum selben Objekt. ","")&amp;IF(AND($A179&lt;&gt;"",COUNTIFS($A$5:$A$404,$A179)&gt;1),"Fall-Nr. doppelt vergeben. ","")&amp;IF(E179="","ex-Mieter fehlt. ","")&amp;IF(M179="","Haftungsdatum fehlt. ","")&amp;IF(F179="","Bewirtschafter fehlt. ","")&amp;IF(AND(AY179&lt;&gt;"",AW179=""),"Abgeschlossen trotz offener Schlussabrechnung. ","")&amp;IF(AND(AY179="",S179="",ISNUMBER(J179),J179&gt;60),"Langläufer über 60 Tage. ","")))</f>
        <v/>
      </c>
      <c r="L179" s="18" t="n"/>
      <c r="M179" s="18" t="n"/>
      <c r="N179" s="19">
        <f>IF(M179="","",M179+1)</f>
        <v/>
      </c>
      <c r="O179" s="17">
        <f>IF(OR(L179="",M179=""),"",M179-L179)</f>
        <v/>
      </c>
      <c r="P179" s="16">
        <f>IF(M179="","",YEAR(M179+1)&amp;"-"&amp;TEXT(MONTH(M179+1),"00"))</f>
        <v/>
      </c>
      <c r="Q179" s="18" t="n"/>
      <c r="R179" s="15" t="n"/>
      <c r="S179" s="18" t="n"/>
      <c r="T179" s="16">
        <f>IF(U179="","",IF(LEFT(U179,1)="6","abgeschlossen",IF(OR(LEFT(U179,1)="1",LEFT(U179,1)="2"),"Kündigung &amp; Abnahme",IF(OR(LEFT(U179,1)="3",LEFT(U179,1)="4"),"Wiedervermietung","Schlussabrechnung"))))</f>
        <v/>
      </c>
      <c r="U179" s="16">
        <f>IF($B179="","",IF(AY179&lt;&gt;"","6 · abgeschlossen",IF(AW179&lt;&gt;"","5 · bereit zum Abschluss",IF(AT179&lt;&gt;"","5 · Schlussabrechnung",IF(AO179&lt;&gt;"","4 · Übergabe",IF(AM179&lt;&gt;"","3 · Neuvermietung",IF(M179&lt;&gt;"","2 · Abnahme &amp; Vermarktung","1 · Erfassung")))))))</f>
        <v/>
      </c>
      <c r="V179" s="15" t="n"/>
      <c r="W179" s="20" t="n"/>
      <c r="X179" s="15" t="n"/>
      <c r="Y179" s="15" t="n"/>
      <c r="Z179" s="18" t="n"/>
      <c r="AA179" s="19">
        <f>IF(M179="","",M179-30)</f>
        <v/>
      </c>
      <c r="AB179" s="19">
        <f>IF(ISNUMBER(AJ179),AJ179+3,"")</f>
        <v/>
      </c>
      <c r="AC179" s="18" t="n"/>
      <c r="AD179" s="18" t="n"/>
      <c r="AE179" s="18" t="n"/>
      <c r="AF179" s="18" t="n"/>
      <c r="AG179" s="18" t="n"/>
      <c r="AH179" s="18" t="n"/>
      <c r="AI179" s="18" t="n"/>
      <c r="AJ179" s="18" t="n"/>
      <c r="AK179" s="18" t="n"/>
      <c r="AL179" s="18" t="n"/>
      <c r="AM179" s="18" t="n"/>
      <c r="AN179" s="18" t="n"/>
      <c r="AO179" s="18" t="n"/>
      <c r="AP179" s="18" t="n"/>
      <c r="AQ179" s="18" t="n"/>
      <c r="AR179" s="18" t="n"/>
      <c r="AS179" s="18" t="n"/>
      <c r="AT179" s="18" t="n"/>
      <c r="AU179" s="18" t="n"/>
      <c r="AV179" s="18" t="n"/>
      <c r="AW179" s="18" t="n"/>
      <c r="AX179" s="18" t="n"/>
      <c r="AY179" s="18" t="n"/>
      <c r="AZ179" s="15" t="n"/>
    </row>
    <row r="180">
      <c r="A180" s="15" t="n"/>
      <c r="B180" s="15" t="n"/>
      <c r="C180" s="15" t="n"/>
      <c r="D180" s="15" t="n"/>
      <c r="E180" s="15" t="n"/>
      <c r="F180" s="15" t="n"/>
      <c r="G180" s="16">
        <f>IF(F180="","",IFERROR(INDEX(Stammdaten!$B$5:$B$24,MATCH(F180,Stammdaten!$A$5:$A$24,0)),"unbekannt"))</f>
        <v/>
      </c>
      <c r="H180" s="16">
        <f>IF($B180="","",IF(AY180&lt;&gt;"","abgeschlossen",IF(AND(ISNUMBER(AX180),AX180&gt;=TODAY()),"zurückgestellt",IF(OR(AND(ISNUMBER(AA180),AA180&lt;TODAY(),Z180="",AJ180=""),AND(ISNUMBER(Z180),Z180&lt;TODAY(),AJ180=""),AND(ISNUMBER(AB180),AB180&lt;TODAY(),AK180=""),AND(ISNUMBER(AC180),AC180&lt;TODAY(),AO180=""),AND(ISNUMBER(AD180),AD180&lt;TODAY(),AQ180="")),"überfällig","offen"))))</f>
        <v/>
      </c>
      <c r="I180" s="16">
        <f>IF($B180="","",IF(AY180&lt;&gt;"","—",IF(AND(ISNUMBER(AA180),AA180&lt;TODAY(),Z180="",AJ180=""),"Abnahmetermin vereinbaren – Sollfrist verstrichen",IF(AND(ISNUMBER(Z180),Z180&lt;TODAY(),AJ180=""),"Wohnungsabnahme nachtragen – Termin war fällig",IF(AND(ISNUMBER(AB180),AB180&lt;TODAY(),AK180=""),"Handwerker aufbieten – Frist verstrichen",IF(AND(ISNUMBER(AC180),AC180&lt;TODAY(),AO180=""),"Vertrag retour mahnen – Frist verstrichen",IF(AND(ISNUMBER(AD180),AD180&lt;TODAY(),AQ180=""),"Schlüsselübergabe nachtragen – Termin war fällig",IF(M180="","Haftungsdatum erfassen",IF(E180="","ex-Mieter erfassen",IF(AE180="","Kündigung bestätigen / G-Rem",IF(AF180="","Werke / EGT melden",IF(AG180="","Vorbesichtigung (oder n.e.)",IF(AH180="","VMZ aktualisieren",IF(AI180="","Inserat aufschalten",IF(AND(Z180="",AJ180=""),"Abnahmetermin vereinbaren",IF(AJ180="","Wohnungsabnahme durchführen",IF(AK180="","Handwerker aufbieten",IF(AL180="","Zustimmungserklärung einholen",IF(AM180="","Instandstellungen beauftragen",IF(R180="","Nachmieter erfassen",IF(AN180="","Vertrag versenden",IF(AO180="","Vertrag retour erfassen",IF(S180="","Vermietet per erfassen",IF(AP180="","Werke / EGT über Einzug informieren",IF(AND(AD180="",AQ180=""),"Schlüsselübergabe terminieren",IF(AQ180="","Schlüsselübergabe durchführen",IF(AR180="","Reinigung veranlassen",IF(AS180="","Namensschilder bestellen",IF(AT180="","Kaution prüfen / G-Rem mutieren",IF(AU180="","Instandstellungs-Rechnung erfassen",IF(AV180="","Schlussabrechnung erstellen",IF(AW180="","Zahlungseingang kontrollieren","Fall abschliessen"))))))))))))))))))))))))))))))))</f>
        <v/>
      </c>
      <c r="J180" s="17">
        <f>IF(M180="","",IF(S180&lt;&gt;"",MAX(0,S180-M180-1),MAX(0,TODAY()-M180)))</f>
        <v/>
      </c>
      <c r="K180" s="16">
        <f>IF($B180="","",TRIM(IF(AND(L180&lt;&gt;"",M180&lt;&gt;"",M180&lt;L180),"Haftungsdatum vor Kündigung. ","")&amp;IF(AND(S180&lt;&gt;"",M180&lt;&gt;"",S180&lt;M180),"Vermietung vor Leerstandsbeginn. ","")&amp;IF(AND(Z180&lt;&gt;"",L180&lt;&gt;"",Z180&lt;L180),"WA-Termin vor Kündigung. ","")&amp;IF(COUNTIFS($B$5:$B$404,$B180,$AY$5:$AY$404,"")&gt;1,"Zweiter offener Fall zum selben Objekt. ","")&amp;IF(AND($A180&lt;&gt;"",COUNTIFS($A$5:$A$404,$A180)&gt;1),"Fall-Nr. doppelt vergeben. ","")&amp;IF(E180="","ex-Mieter fehlt. ","")&amp;IF(M180="","Haftungsdatum fehlt. ","")&amp;IF(F180="","Bewirtschafter fehlt. ","")&amp;IF(AND(AY180&lt;&gt;"",AW180=""),"Abgeschlossen trotz offener Schlussabrechnung. ","")&amp;IF(AND(AY180="",S180="",ISNUMBER(J180),J180&gt;60),"Langläufer über 60 Tage. ","")))</f>
        <v/>
      </c>
      <c r="L180" s="18" t="n"/>
      <c r="M180" s="18" t="n"/>
      <c r="N180" s="19">
        <f>IF(M180="","",M180+1)</f>
        <v/>
      </c>
      <c r="O180" s="17">
        <f>IF(OR(L180="",M180=""),"",M180-L180)</f>
        <v/>
      </c>
      <c r="P180" s="16">
        <f>IF(M180="","",YEAR(M180+1)&amp;"-"&amp;TEXT(MONTH(M180+1),"00"))</f>
        <v/>
      </c>
      <c r="Q180" s="18" t="n"/>
      <c r="R180" s="15" t="n"/>
      <c r="S180" s="18" t="n"/>
      <c r="T180" s="16">
        <f>IF(U180="","",IF(LEFT(U180,1)="6","abgeschlossen",IF(OR(LEFT(U180,1)="1",LEFT(U180,1)="2"),"Kündigung &amp; Abnahme",IF(OR(LEFT(U180,1)="3",LEFT(U180,1)="4"),"Wiedervermietung","Schlussabrechnung"))))</f>
        <v/>
      </c>
      <c r="U180" s="16">
        <f>IF($B180="","",IF(AY180&lt;&gt;"","6 · abgeschlossen",IF(AW180&lt;&gt;"","5 · bereit zum Abschluss",IF(AT180&lt;&gt;"","5 · Schlussabrechnung",IF(AO180&lt;&gt;"","4 · Übergabe",IF(AM180&lt;&gt;"","3 · Neuvermietung",IF(M180&lt;&gt;"","2 · Abnahme &amp; Vermarktung","1 · Erfassung")))))))</f>
        <v/>
      </c>
      <c r="V180" s="15" t="n"/>
      <c r="W180" s="20" t="n"/>
      <c r="X180" s="15" t="n"/>
      <c r="Y180" s="15" t="n"/>
      <c r="Z180" s="18" t="n"/>
      <c r="AA180" s="19">
        <f>IF(M180="","",M180-30)</f>
        <v/>
      </c>
      <c r="AB180" s="19">
        <f>IF(ISNUMBER(AJ180),AJ180+3,"")</f>
        <v/>
      </c>
      <c r="AC180" s="18" t="n"/>
      <c r="AD180" s="18" t="n"/>
      <c r="AE180" s="18" t="n"/>
      <c r="AF180" s="18" t="n"/>
      <c r="AG180" s="18" t="n"/>
      <c r="AH180" s="18" t="n"/>
      <c r="AI180" s="18" t="n"/>
      <c r="AJ180" s="18" t="n"/>
      <c r="AK180" s="18" t="n"/>
      <c r="AL180" s="18" t="n"/>
      <c r="AM180" s="18" t="n"/>
      <c r="AN180" s="18" t="n"/>
      <c r="AO180" s="18" t="n"/>
      <c r="AP180" s="18" t="n"/>
      <c r="AQ180" s="18" t="n"/>
      <c r="AR180" s="18" t="n"/>
      <c r="AS180" s="18" t="n"/>
      <c r="AT180" s="18" t="n"/>
      <c r="AU180" s="18" t="n"/>
      <c r="AV180" s="18" t="n"/>
      <c r="AW180" s="18" t="n"/>
      <c r="AX180" s="18" t="n"/>
      <c r="AY180" s="18" t="n"/>
      <c r="AZ180" s="15" t="n"/>
    </row>
    <row r="181">
      <c r="A181" s="15" t="n"/>
      <c r="B181" s="15" t="n"/>
      <c r="C181" s="15" t="n"/>
      <c r="D181" s="15" t="n"/>
      <c r="E181" s="15" t="n"/>
      <c r="F181" s="15" t="n"/>
      <c r="G181" s="16">
        <f>IF(F181="","",IFERROR(INDEX(Stammdaten!$B$5:$B$24,MATCH(F181,Stammdaten!$A$5:$A$24,0)),"unbekannt"))</f>
        <v/>
      </c>
      <c r="H181" s="16">
        <f>IF($B181="","",IF(AY181&lt;&gt;"","abgeschlossen",IF(AND(ISNUMBER(AX181),AX181&gt;=TODAY()),"zurückgestellt",IF(OR(AND(ISNUMBER(AA181),AA181&lt;TODAY(),Z181="",AJ181=""),AND(ISNUMBER(Z181),Z181&lt;TODAY(),AJ181=""),AND(ISNUMBER(AB181),AB181&lt;TODAY(),AK181=""),AND(ISNUMBER(AC181),AC181&lt;TODAY(),AO181=""),AND(ISNUMBER(AD181),AD181&lt;TODAY(),AQ181="")),"überfällig","offen"))))</f>
        <v/>
      </c>
      <c r="I181" s="16">
        <f>IF($B181="","",IF(AY181&lt;&gt;"","—",IF(AND(ISNUMBER(AA181),AA181&lt;TODAY(),Z181="",AJ181=""),"Abnahmetermin vereinbaren – Sollfrist verstrichen",IF(AND(ISNUMBER(Z181),Z181&lt;TODAY(),AJ181=""),"Wohnungsabnahme nachtragen – Termin war fällig",IF(AND(ISNUMBER(AB181),AB181&lt;TODAY(),AK181=""),"Handwerker aufbieten – Frist verstrichen",IF(AND(ISNUMBER(AC181),AC181&lt;TODAY(),AO181=""),"Vertrag retour mahnen – Frist verstrichen",IF(AND(ISNUMBER(AD181),AD181&lt;TODAY(),AQ181=""),"Schlüsselübergabe nachtragen – Termin war fällig",IF(M181="","Haftungsdatum erfassen",IF(E181="","ex-Mieter erfassen",IF(AE181="","Kündigung bestätigen / G-Rem",IF(AF181="","Werke / EGT melden",IF(AG181="","Vorbesichtigung (oder n.e.)",IF(AH181="","VMZ aktualisieren",IF(AI181="","Inserat aufschalten",IF(AND(Z181="",AJ181=""),"Abnahmetermin vereinbaren",IF(AJ181="","Wohnungsabnahme durchführen",IF(AK181="","Handwerker aufbieten",IF(AL181="","Zustimmungserklärung einholen",IF(AM181="","Instandstellungen beauftragen",IF(R181="","Nachmieter erfassen",IF(AN181="","Vertrag versenden",IF(AO181="","Vertrag retour erfassen",IF(S181="","Vermietet per erfassen",IF(AP181="","Werke / EGT über Einzug informieren",IF(AND(AD181="",AQ181=""),"Schlüsselübergabe terminieren",IF(AQ181="","Schlüsselübergabe durchführen",IF(AR181="","Reinigung veranlassen",IF(AS181="","Namensschilder bestellen",IF(AT181="","Kaution prüfen / G-Rem mutieren",IF(AU181="","Instandstellungs-Rechnung erfassen",IF(AV181="","Schlussabrechnung erstellen",IF(AW181="","Zahlungseingang kontrollieren","Fall abschliessen"))))))))))))))))))))))))))))))))</f>
        <v/>
      </c>
      <c r="J181" s="17">
        <f>IF(M181="","",IF(S181&lt;&gt;"",MAX(0,S181-M181-1),MAX(0,TODAY()-M181)))</f>
        <v/>
      </c>
      <c r="K181" s="16">
        <f>IF($B181="","",TRIM(IF(AND(L181&lt;&gt;"",M181&lt;&gt;"",M181&lt;L181),"Haftungsdatum vor Kündigung. ","")&amp;IF(AND(S181&lt;&gt;"",M181&lt;&gt;"",S181&lt;M181),"Vermietung vor Leerstandsbeginn. ","")&amp;IF(AND(Z181&lt;&gt;"",L181&lt;&gt;"",Z181&lt;L181),"WA-Termin vor Kündigung. ","")&amp;IF(COUNTIFS($B$5:$B$404,$B181,$AY$5:$AY$404,"")&gt;1,"Zweiter offener Fall zum selben Objekt. ","")&amp;IF(AND($A181&lt;&gt;"",COUNTIFS($A$5:$A$404,$A181)&gt;1),"Fall-Nr. doppelt vergeben. ","")&amp;IF(E181="","ex-Mieter fehlt. ","")&amp;IF(M181="","Haftungsdatum fehlt. ","")&amp;IF(F181="","Bewirtschafter fehlt. ","")&amp;IF(AND(AY181&lt;&gt;"",AW181=""),"Abgeschlossen trotz offener Schlussabrechnung. ","")&amp;IF(AND(AY181="",S181="",ISNUMBER(J181),J181&gt;60),"Langläufer über 60 Tage. ","")))</f>
        <v/>
      </c>
      <c r="L181" s="18" t="n"/>
      <c r="M181" s="18" t="n"/>
      <c r="N181" s="19">
        <f>IF(M181="","",M181+1)</f>
        <v/>
      </c>
      <c r="O181" s="17">
        <f>IF(OR(L181="",M181=""),"",M181-L181)</f>
        <v/>
      </c>
      <c r="P181" s="16">
        <f>IF(M181="","",YEAR(M181+1)&amp;"-"&amp;TEXT(MONTH(M181+1),"00"))</f>
        <v/>
      </c>
      <c r="Q181" s="18" t="n"/>
      <c r="R181" s="15" t="n"/>
      <c r="S181" s="18" t="n"/>
      <c r="T181" s="16">
        <f>IF(U181="","",IF(LEFT(U181,1)="6","abgeschlossen",IF(OR(LEFT(U181,1)="1",LEFT(U181,1)="2"),"Kündigung &amp; Abnahme",IF(OR(LEFT(U181,1)="3",LEFT(U181,1)="4"),"Wiedervermietung","Schlussabrechnung"))))</f>
        <v/>
      </c>
      <c r="U181" s="16">
        <f>IF($B181="","",IF(AY181&lt;&gt;"","6 · abgeschlossen",IF(AW181&lt;&gt;"","5 · bereit zum Abschluss",IF(AT181&lt;&gt;"","5 · Schlussabrechnung",IF(AO181&lt;&gt;"","4 · Übergabe",IF(AM181&lt;&gt;"","3 · Neuvermietung",IF(M181&lt;&gt;"","2 · Abnahme &amp; Vermarktung","1 · Erfassung")))))))</f>
        <v/>
      </c>
      <c r="V181" s="15" t="n"/>
      <c r="W181" s="20" t="n"/>
      <c r="X181" s="15" t="n"/>
      <c r="Y181" s="15" t="n"/>
      <c r="Z181" s="18" t="n"/>
      <c r="AA181" s="19">
        <f>IF(M181="","",M181-30)</f>
        <v/>
      </c>
      <c r="AB181" s="19">
        <f>IF(ISNUMBER(AJ181),AJ181+3,"")</f>
        <v/>
      </c>
      <c r="AC181" s="18" t="n"/>
      <c r="AD181" s="18" t="n"/>
      <c r="AE181" s="18" t="n"/>
      <c r="AF181" s="18" t="n"/>
      <c r="AG181" s="18" t="n"/>
      <c r="AH181" s="18" t="n"/>
      <c r="AI181" s="18" t="n"/>
      <c r="AJ181" s="18" t="n"/>
      <c r="AK181" s="18" t="n"/>
      <c r="AL181" s="18" t="n"/>
      <c r="AM181" s="18" t="n"/>
      <c r="AN181" s="18" t="n"/>
      <c r="AO181" s="18" t="n"/>
      <c r="AP181" s="18" t="n"/>
      <c r="AQ181" s="18" t="n"/>
      <c r="AR181" s="18" t="n"/>
      <c r="AS181" s="18" t="n"/>
      <c r="AT181" s="18" t="n"/>
      <c r="AU181" s="18" t="n"/>
      <c r="AV181" s="18" t="n"/>
      <c r="AW181" s="18" t="n"/>
      <c r="AX181" s="18" t="n"/>
      <c r="AY181" s="18" t="n"/>
      <c r="AZ181" s="15" t="n"/>
    </row>
    <row r="182">
      <c r="A182" s="15" t="n"/>
      <c r="B182" s="15" t="n"/>
      <c r="C182" s="15" t="n"/>
      <c r="D182" s="15" t="n"/>
      <c r="E182" s="15" t="n"/>
      <c r="F182" s="15" t="n"/>
      <c r="G182" s="16">
        <f>IF(F182="","",IFERROR(INDEX(Stammdaten!$B$5:$B$24,MATCH(F182,Stammdaten!$A$5:$A$24,0)),"unbekannt"))</f>
        <v/>
      </c>
      <c r="H182" s="16">
        <f>IF($B182="","",IF(AY182&lt;&gt;"","abgeschlossen",IF(AND(ISNUMBER(AX182),AX182&gt;=TODAY()),"zurückgestellt",IF(OR(AND(ISNUMBER(AA182),AA182&lt;TODAY(),Z182="",AJ182=""),AND(ISNUMBER(Z182),Z182&lt;TODAY(),AJ182=""),AND(ISNUMBER(AB182),AB182&lt;TODAY(),AK182=""),AND(ISNUMBER(AC182),AC182&lt;TODAY(),AO182=""),AND(ISNUMBER(AD182),AD182&lt;TODAY(),AQ182="")),"überfällig","offen"))))</f>
        <v/>
      </c>
      <c r="I182" s="16">
        <f>IF($B182="","",IF(AY182&lt;&gt;"","—",IF(AND(ISNUMBER(AA182),AA182&lt;TODAY(),Z182="",AJ182=""),"Abnahmetermin vereinbaren – Sollfrist verstrichen",IF(AND(ISNUMBER(Z182),Z182&lt;TODAY(),AJ182=""),"Wohnungsabnahme nachtragen – Termin war fällig",IF(AND(ISNUMBER(AB182),AB182&lt;TODAY(),AK182=""),"Handwerker aufbieten – Frist verstrichen",IF(AND(ISNUMBER(AC182),AC182&lt;TODAY(),AO182=""),"Vertrag retour mahnen – Frist verstrichen",IF(AND(ISNUMBER(AD182),AD182&lt;TODAY(),AQ182=""),"Schlüsselübergabe nachtragen – Termin war fällig",IF(M182="","Haftungsdatum erfassen",IF(E182="","ex-Mieter erfassen",IF(AE182="","Kündigung bestätigen / G-Rem",IF(AF182="","Werke / EGT melden",IF(AG182="","Vorbesichtigung (oder n.e.)",IF(AH182="","VMZ aktualisieren",IF(AI182="","Inserat aufschalten",IF(AND(Z182="",AJ182=""),"Abnahmetermin vereinbaren",IF(AJ182="","Wohnungsabnahme durchführen",IF(AK182="","Handwerker aufbieten",IF(AL182="","Zustimmungserklärung einholen",IF(AM182="","Instandstellungen beauftragen",IF(R182="","Nachmieter erfassen",IF(AN182="","Vertrag versenden",IF(AO182="","Vertrag retour erfassen",IF(S182="","Vermietet per erfassen",IF(AP182="","Werke / EGT über Einzug informieren",IF(AND(AD182="",AQ182=""),"Schlüsselübergabe terminieren",IF(AQ182="","Schlüsselübergabe durchführen",IF(AR182="","Reinigung veranlassen",IF(AS182="","Namensschilder bestellen",IF(AT182="","Kaution prüfen / G-Rem mutieren",IF(AU182="","Instandstellungs-Rechnung erfassen",IF(AV182="","Schlussabrechnung erstellen",IF(AW182="","Zahlungseingang kontrollieren","Fall abschliessen"))))))))))))))))))))))))))))))))</f>
        <v/>
      </c>
      <c r="J182" s="17">
        <f>IF(M182="","",IF(S182&lt;&gt;"",MAX(0,S182-M182-1),MAX(0,TODAY()-M182)))</f>
        <v/>
      </c>
      <c r="K182" s="16">
        <f>IF($B182="","",TRIM(IF(AND(L182&lt;&gt;"",M182&lt;&gt;"",M182&lt;L182),"Haftungsdatum vor Kündigung. ","")&amp;IF(AND(S182&lt;&gt;"",M182&lt;&gt;"",S182&lt;M182),"Vermietung vor Leerstandsbeginn. ","")&amp;IF(AND(Z182&lt;&gt;"",L182&lt;&gt;"",Z182&lt;L182),"WA-Termin vor Kündigung. ","")&amp;IF(COUNTIFS($B$5:$B$404,$B182,$AY$5:$AY$404,"")&gt;1,"Zweiter offener Fall zum selben Objekt. ","")&amp;IF(AND($A182&lt;&gt;"",COUNTIFS($A$5:$A$404,$A182)&gt;1),"Fall-Nr. doppelt vergeben. ","")&amp;IF(E182="","ex-Mieter fehlt. ","")&amp;IF(M182="","Haftungsdatum fehlt. ","")&amp;IF(F182="","Bewirtschafter fehlt. ","")&amp;IF(AND(AY182&lt;&gt;"",AW182=""),"Abgeschlossen trotz offener Schlussabrechnung. ","")&amp;IF(AND(AY182="",S182="",ISNUMBER(J182),J182&gt;60),"Langläufer über 60 Tage. ","")))</f>
        <v/>
      </c>
      <c r="L182" s="18" t="n"/>
      <c r="M182" s="18" t="n"/>
      <c r="N182" s="19">
        <f>IF(M182="","",M182+1)</f>
        <v/>
      </c>
      <c r="O182" s="17">
        <f>IF(OR(L182="",M182=""),"",M182-L182)</f>
        <v/>
      </c>
      <c r="P182" s="16">
        <f>IF(M182="","",YEAR(M182+1)&amp;"-"&amp;TEXT(MONTH(M182+1),"00"))</f>
        <v/>
      </c>
      <c r="Q182" s="18" t="n"/>
      <c r="R182" s="15" t="n"/>
      <c r="S182" s="18" t="n"/>
      <c r="T182" s="16">
        <f>IF(U182="","",IF(LEFT(U182,1)="6","abgeschlossen",IF(OR(LEFT(U182,1)="1",LEFT(U182,1)="2"),"Kündigung &amp; Abnahme",IF(OR(LEFT(U182,1)="3",LEFT(U182,1)="4"),"Wiedervermietung","Schlussabrechnung"))))</f>
        <v/>
      </c>
      <c r="U182" s="16">
        <f>IF($B182="","",IF(AY182&lt;&gt;"","6 · abgeschlossen",IF(AW182&lt;&gt;"","5 · bereit zum Abschluss",IF(AT182&lt;&gt;"","5 · Schlussabrechnung",IF(AO182&lt;&gt;"","4 · Übergabe",IF(AM182&lt;&gt;"","3 · Neuvermietung",IF(M182&lt;&gt;"","2 · Abnahme &amp; Vermarktung","1 · Erfassung")))))))</f>
        <v/>
      </c>
      <c r="V182" s="15" t="n"/>
      <c r="W182" s="20" t="n"/>
      <c r="X182" s="15" t="n"/>
      <c r="Y182" s="15" t="n"/>
      <c r="Z182" s="18" t="n"/>
      <c r="AA182" s="19">
        <f>IF(M182="","",M182-30)</f>
        <v/>
      </c>
      <c r="AB182" s="19">
        <f>IF(ISNUMBER(AJ182),AJ182+3,"")</f>
        <v/>
      </c>
      <c r="AC182" s="18" t="n"/>
      <c r="AD182" s="18" t="n"/>
      <c r="AE182" s="18" t="n"/>
      <c r="AF182" s="18" t="n"/>
      <c r="AG182" s="18" t="n"/>
      <c r="AH182" s="18" t="n"/>
      <c r="AI182" s="18" t="n"/>
      <c r="AJ182" s="18" t="n"/>
      <c r="AK182" s="18" t="n"/>
      <c r="AL182" s="18" t="n"/>
      <c r="AM182" s="18" t="n"/>
      <c r="AN182" s="18" t="n"/>
      <c r="AO182" s="18" t="n"/>
      <c r="AP182" s="18" t="n"/>
      <c r="AQ182" s="18" t="n"/>
      <c r="AR182" s="18" t="n"/>
      <c r="AS182" s="18" t="n"/>
      <c r="AT182" s="18" t="n"/>
      <c r="AU182" s="18" t="n"/>
      <c r="AV182" s="18" t="n"/>
      <c r="AW182" s="18" t="n"/>
      <c r="AX182" s="18" t="n"/>
      <c r="AY182" s="18" t="n"/>
      <c r="AZ182" s="15" t="n"/>
    </row>
    <row r="183">
      <c r="A183" s="15" t="n"/>
      <c r="B183" s="15" t="n"/>
      <c r="C183" s="15" t="n"/>
      <c r="D183" s="15" t="n"/>
      <c r="E183" s="15" t="n"/>
      <c r="F183" s="15" t="n"/>
      <c r="G183" s="16">
        <f>IF(F183="","",IFERROR(INDEX(Stammdaten!$B$5:$B$24,MATCH(F183,Stammdaten!$A$5:$A$24,0)),"unbekannt"))</f>
        <v/>
      </c>
      <c r="H183" s="16">
        <f>IF($B183="","",IF(AY183&lt;&gt;"","abgeschlossen",IF(AND(ISNUMBER(AX183),AX183&gt;=TODAY()),"zurückgestellt",IF(OR(AND(ISNUMBER(AA183),AA183&lt;TODAY(),Z183="",AJ183=""),AND(ISNUMBER(Z183),Z183&lt;TODAY(),AJ183=""),AND(ISNUMBER(AB183),AB183&lt;TODAY(),AK183=""),AND(ISNUMBER(AC183),AC183&lt;TODAY(),AO183=""),AND(ISNUMBER(AD183),AD183&lt;TODAY(),AQ183="")),"überfällig","offen"))))</f>
        <v/>
      </c>
      <c r="I183" s="16">
        <f>IF($B183="","",IF(AY183&lt;&gt;"","—",IF(AND(ISNUMBER(AA183),AA183&lt;TODAY(),Z183="",AJ183=""),"Abnahmetermin vereinbaren – Sollfrist verstrichen",IF(AND(ISNUMBER(Z183),Z183&lt;TODAY(),AJ183=""),"Wohnungsabnahme nachtragen – Termin war fällig",IF(AND(ISNUMBER(AB183),AB183&lt;TODAY(),AK183=""),"Handwerker aufbieten – Frist verstrichen",IF(AND(ISNUMBER(AC183),AC183&lt;TODAY(),AO183=""),"Vertrag retour mahnen – Frist verstrichen",IF(AND(ISNUMBER(AD183),AD183&lt;TODAY(),AQ183=""),"Schlüsselübergabe nachtragen – Termin war fällig",IF(M183="","Haftungsdatum erfassen",IF(E183="","ex-Mieter erfassen",IF(AE183="","Kündigung bestätigen / G-Rem",IF(AF183="","Werke / EGT melden",IF(AG183="","Vorbesichtigung (oder n.e.)",IF(AH183="","VMZ aktualisieren",IF(AI183="","Inserat aufschalten",IF(AND(Z183="",AJ183=""),"Abnahmetermin vereinbaren",IF(AJ183="","Wohnungsabnahme durchführen",IF(AK183="","Handwerker aufbieten",IF(AL183="","Zustimmungserklärung einholen",IF(AM183="","Instandstellungen beauftragen",IF(R183="","Nachmieter erfassen",IF(AN183="","Vertrag versenden",IF(AO183="","Vertrag retour erfassen",IF(S183="","Vermietet per erfassen",IF(AP183="","Werke / EGT über Einzug informieren",IF(AND(AD183="",AQ183=""),"Schlüsselübergabe terminieren",IF(AQ183="","Schlüsselübergabe durchführen",IF(AR183="","Reinigung veranlassen",IF(AS183="","Namensschilder bestellen",IF(AT183="","Kaution prüfen / G-Rem mutieren",IF(AU183="","Instandstellungs-Rechnung erfassen",IF(AV183="","Schlussabrechnung erstellen",IF(AW183="","Zahlungseingang kontrollieren","Fall abschliessen"))))))))))))))))))))))))))))))))</f>
        <v/>
      </c>
      <c r="J183" s="17">
        <f>IF(M183="","",IF(S183&lt;&gt;"",MAX(0,S183-M183-1),MAX(0,TODAY()-M183)))</f>
        <v/>
      </c>
      <c r="K183" s="16">
        <f>IF($B183="","",TRIM(IF(AND(L183&lt;&gt;"",M183&lt;&gt;"",M183&lt;L183),"Haftungsdatum vor Kündigung. ","")&amp;IF(AND(S183&lt;&gt;"",M183&lt;&gt;"",S183&lt;M183),"Vermietung vor Leerstandsbeginn. ","")&amp;IF(AND(Z183&lt;&gt;"",L183&lt;&gt;"",Z183&lt;L183),"WA-Termin vor Kündigung. ","")&amp;IF(COUNTIFS($B$5:$B$404,$B183,$AY$5:$AY$404,"")&gt;1,"Zweiter offener Fall zum selben Objekt. ","")&amp;IF(AND($A183&lt;&gt;"",COUNTIFS($A$5:$A$404,$A183)&gt;1),"Fall-Nr. doppelt vergeben. ","")&amp;IF(E183="","ex-Mieter fehlt. ","")&amp;IF(M183="","Haftungsdatum fehlt. ","")&amp;IF(F183="","Bewirtschafter fehlt. ","")&amp;IF(AND(AY183&lt;&gt;"",AW183=""),"Abgeschlossen trotz offener Schlussabrechnung. ","")&amp;IF(AND(AY183="",S183="",ISNUMBER(J183),J183&gt;60),"Langläufer über 60 Tage. ","")))</f>
        <v/>
      </c>
      <c r="L183" s="18" t="n"/>
      <c r="M183" s="18" t="n"/>
      <c r="N183" s="19">
        <f>IF(M183="","",M183+1)</f>
        <v/>
      </c>
      <c r="O183" s="17">
        <f>IF(OR(L183="",M183=""),"",M183-L183)</f>
        <v/>
      </c>
      <c r="P183" s="16">
        <f>IF(M183="","",YEAR(M183+1)&amp;"-"&amp;TEXT(MONTH(M183+1),"00"))</f>
        <v/>
      </c>
      <c r="Q183" s="18" t="n"/>
      <c r="R183" s="15" t="n"/>
      <c r="S183" s="18" t="n"/>
      <c r="T183" s="16">
        <f>IF(U183="","",IF(LEFT(U183,1)="6","abgeschlossen",IF(OR(LEFT(U183,1)="1",LEFT(U183,1)="2"),"Kündigung &amp; Abnahme",IF(OR(LEFT(U183,1)="3",LEFT(U183,1)="4"),"Wiedervermietung","Schlussabrechnung"))))</f>
        <v/>
      </c>
      <c r="U183" s="16">
        <f>IF($B183="","",IF(AY183&lt;&gt;"","6 · abgeschlossen",IF(AW183&lt;&gt;"","5 · bereit zum Abschluss",IF(AT183&lt;&gt;"","5 · Schlussabrechnung",IF(AO183&lt;&gt;"","4 · Übergabe",IF(AM183&lt;&gt;"","3 · Neuvermietung",IF(M183&lt;&gt;"","2 · Abnahme &amp; Vermarktung","1 · Erfassung")))))))</f>
        <v/>
      </c>
      <c r="V183" s="15" t="n"/>
      <c r="W183" s="20" t="n"/>
      <c r="X183" s="15" t="n"/>
      <c r="Y183" s="15" t="n"/>
      <c r="Z183" s="18" t="n"/>
      <c r="AA183" s="19">
        <f>IF(M183="","",M183-30)</f>
        <v/>
      </c>
      <c r="AB183" s="19">
        <f>IF(ISNUMBER(AJ183),AJ183+3,"")</f>
        <v/>
      </c>
      <c r="AC183" s="18" t="n"/>
      <c r="AD183" s="18" t="n"/>
      <c r="AE183" s="18" t="n"/>
      <c r="AF183" s="18" t="n"/>
      <c r="AG183" s="18" t="n"/>
      <c r="AH183" s="18" t="n"/>
      <c r="AI183" s="18" t="n"/>
      <c r="AJ183" s="18" t="n"/>
      <c r="AK183" s="18" t="n"/>
      <c r="AL183" s="18" t="n"/>
      <c r="AM183" s="18" t="n"/>
      <c r="AN183" s="18" t="n"/>
      <c r="AO183" s="18" t="n"/>
      <c r="AP183" s="18" t="n"/>
      <c r="AQ183" s="18" t="n"/>
      <c r="AR183" s="18" t="n"/>
      <c r="AS183" s="18" t="n"/>
      <c r="AT183" s="18" t="n"/>
      <c r="AU183" s="18" t="n"/>
      <c r="AV183" s="18" t="n"/>
      <c r="AW183" s="18" t="n"/>
      <c r="AX183" s="18" t="n"/>
      <c r="AY183" s="18" t="n"/>
      <c r="AZ183" s="15" t="n"/>
    </row>
    <row r="184">
      <c r="A184" s="15" t="n"/>
      <c r="B184" s="15" t="n"/>
      <c r="C184" s="15" t="n"/>
      <c r="D184" s="15" t="n"/>
      <c r="E184" s="15" t="n"/>
      <c r="F184" s="15" t="n"/>
      <c r="G184" s="16">
        <f>IF(F184="","",IFERROR(INDEX(Stammdaten!$B$5:$B$24,MATCH(F184,Stammdaten!$A$5:$A$24,0)),"unbekannt"))</f>
        <v/>
      </c>
      <c r="H184" s="16">
        <f>IF($B184="","",IF(AY184&lt;&gt;"","abgeschlossen",IF(AND(ISNUMBER(AX184),AX184&gt;=TODAY()),"zurückgestellt",IF(OR(AND(ISNUMBER(AA184),AA184&lt;TODAY(),Z184="",AJ184=""),AND(ISNUMBER(Z184),Z184&lt;TODAY(),AJ184=""),AND(ISNUMBER(AB184),AB184&lt;TODAY(),AK184=""),AND(ISNUMBER(AC184),AC184&lt;TODAY(),AO184=""),AND(ISNUMBER(AD184),AD184&lt;TODAY(),AQ184="")),"überfällig","offen"))))</f>
        <v/>
      </c>
      <c r="I184" s="16">
        <f>IF($B184="","",IF(AY184&lt;&gt;"","—",IF(AND(ISNUMBER(AA184),AA184&lt;TODAY(),Z184="",AJ184=""),"Abnahmetermin vereinbaren – Sollfrist verstrichen",IF(AND(ISNUMBER(Z184),Z184&lt;TODAY(),AJ184=""),"Wohnungsabnahme nachtragen – Termin war fällig",IF(AND(ISNUMBER(AB184),AB184&lt;TODAY(),AK184=""),"Handwerker aufbieten – Frist verstrichen",IF(AND(ISNUMBER(AC184),AC184&lt;TODAY(),AO184=""),"Vertrag retour mahnen – Frist verstrichen",IF(AND(ISNUMBER(AD184),AD184&lt;TODAY(),AQ184=""),"Schlüsselübergabe nachtragen – Termin war fällig",IF(M184="","Haftungsdatum erfassen",IF(E184="","ex-Mieter erfassen",IF(AE184="","Kündigung bestätigen / G-Rem",IF(AF184="","Werke / EGT melden",IF(AG184="","Vorbesichtigung (oder n.e.)",IF(AH184="","VMZ aktualisieren",IF(AI184="","Inserat aufschalten",IF(AND(Z184="",AJ184=""),"Abnahmetermin vereinbaren",IF(AJ184="","Wohnungsabnahme durchführen",IF(AK184="","Handwerker aufbieten",IF(AL184="","Zustimmungserklärung einholen",IF(AM184="","Instandstellungen beauftragen",IF(R184="","Nachmieter erfassen",IF(AN184="","Vertrag versenden",IF(AO184="","Vertrag retour erfassen",IF(S184="","Vermietet per erfassen",IF(AP184="","Werke / EGT über Einzug informieren",IF(AND(AD184="",AQ184=""),"Schlüsselübergabe terminieren",IF(AQ184="","Schlüsselübergabe durchführen",IF(AR184="","Reinigung veranlassen",IF(AS184="","Namensschilder bestellen",IF(AT184="","Kaution prüfen / G-Rem mutieren",IF(AU184="","Instandstellungs-Rechnung erfassen",IF(AV184="","Schlussabrechnung erstellen",IF(AW184="","Zahlungseingang kontrollieren","Fall abschliessen"))))))))))))))))))))))))))))))))</f>
        <v/>
      </c>
      <c r="J184" s="17">
        <f>IF(M184="","",IF(S184&lt;&gt;"",MAX(0,S184-M184-1),MAX(0,TODAY()-M184)))</f>
        <v/>
      </c>
      <c r="K184" s="16">
        <f>IF($B184="","",TRIM(IF(AND(L184&lt;&gt;"",M184&lt;&gt;"",M184&lt;L184),"Haftungsdatum vor Kündigung. ","")&amp;IF(AND(S184&lt;&gt;"",M184&lt;&gt;"",S184&lt;M184),"Vermietung vor Leerstandsbeginn. ","")&amp;IF(AND(Z184&lt;&gt;"",L184&lt;&gt;"",Z184&lt;L184),"WA-Termin vor Kündigung. ","")&amp;IF(COUNTIFS($B$5:$B$404,$B184,$AY$5:$AY$404,"")&gt;1,"Zweiter offener Fall zum selben Objekt. ","")&amp;IF(AND($A184&lt;&gt;"",COUNTIFS($A$5:$A$404,$A184)&gt;1),"Fall-Nr. doppelt vergeben. ","")&amp;IF(E184="","ex-Mieter fehlt. ","")&amp;IF(M184="","Haftungsdatum fehlt. ","")&amp;IF(F184="","Bewirtschafter fehlt. ","")&amp;IF(AND(AY184&lt;&gt;"",AW184=""),"Abgeschlossen trotz offener Schlussabrechnung. ","")&amp;IF(AND(AY184="",S184="",ISNUMBER(J184),J184&gt;60),"Langläufer über 60 Tage. ","")))</f>
        <v/>
      </c>
      <c r="L184" s="18" t="n"/>
      <c r="M184" s="18" t="n"/>
      <c r="N184" s="19">
        <f>IF(M184="","",M184+1)</f>
        <v/>
      </c>
      <c r="O184" s="17">
        <f>IF(OR(L184="",M184=""),"",M184-L184)</f>
        <v/>
      </c>
      <c r="P184" s="16">
        <f>IF(M184="","",YEAR(M184+1)&amp;"-"&amp;TEXT(MONTH(M184+1),"00"))</f>
        <v/>
      </c>
      <c r="Q184" s="18" t="n"/>
      <c r="R184" s="15" t="n"/>
      <c r="S184" s="18" t="n"/>
      <c r="T184" s="16">
        <f>IF(U184="","",IF(LEFT(U184,1)="6","abgeschlossen",IF(OR(LEFT(U184,1)="1",LEFT(U184,1)="2"),"Kündigung &amp; Abnahme",IF(OR(LEFT(U184,1)="3",LEFT(U184,1)="4"),"Wiedervermietung","Schlussabrechnung"))))</f>
        <v/>
      </c>
      <c r="U184" s="16">
        <f>IF($B184="","",IF(AY184&lt;&gt;"","6 · abgeschlossen",IF(AW184&lt;&gt;"","5 · bereit zum Abschluss",IF(AT184&lt;&gt;"","5 · Schlussabrechnung",IF(AO184&lt;&gt;"","4 · Übergabe",IF(AM184&lt;&gt;"","3 · Neuvermietung",IF(M184&lt;&gt;"","2 · Abnahme &amp; Vermarktung","1 · Erfassung")))))))</f>
        <v/>
      </c>
      <c r="V184" s="15" t="n"/>
      <c r="W184" s="20" t="n"/>
      <c r="X184" s="15" t="n"/>
      <c r="Y184" s="15" t="n"/>
      <c r="Z184" s="18" t="n"/>
      <c r="AA184" s="19">
        <f>IF(M184="","",M184-30)</f>
        <v/>
      </c>
      <c r="AB184" s="19">
        <f>IF(ISNUMBER(AJ184),AJ184+3,"")</f>
        <v/>
      </c>
      <c r="AC184" s="18" t="n"/>
      <c r="AD184" s="18" t="n"/>
      <c r="AE184" s="18" t="n"/>
      <c r="AF184" s="18" t="n"/>
      <c r="AG184" s="18" t="n"/>
      <c r="AH184" s="18" t="n"/>
      <c r="AI184" s="18" t="n"/>
      <c r="AJ184" s="18" t="n"/>
      <c r="AK184" s="18" t="n"/>
      <c r="AL184" s="18" t="n"/>
      <c r="AM184" s="18" t="n"/>
      <c r="AN184" s="18" t="n"/>
      <c r="AO184" s="18" t="n"/>
      <c r="AP184" s="18" t="n"/>
      <c r="AQ184" s="18" t="n"/>
      <c r="AR184" s="18" t="n"/>
      <c r="AS184" s="18" t="n"/>
      <c r="AT184" s="18" t="n"/>
      <c r="AU184" s="18" t="n"/>
      <c r="AV184" s="18" t="n"/>
      <c r="AW184" s="18" t="n"/>
      <c r="AX184" s="18" t="n"/>
      <c r="AY184" s="18" t="n"/>
      <c r="AZ184" s="15" t="n"/>
    </row>
    <row r="185">
      <c r="A185" s="15" t="n"/>
      <c r="B185" s="15" t="n"/>
      <c r="C185" s="15" t="n"/>
      <c r="D185" s="15" t="n"/>
      <c r="E185" s="15" t="n"/>
      <c r="F185" s="15" t="n"/>
      <c r="G185" s="16">
        <f>IF(F185="","",IFERROR(INDEX(Stammdaten!$B$5:$B$24,MATCH(F185,Stammdaten!$A$5:$A$24,0)),"unbekannt"))</f>
        <v/>
      </c>
      <c r="H185" s="16">
        <f>IF($B185="","",IF(AY185&lt;&gt;"","abgeschlossen",IF(AND(ISNUMBER(AX185),AX185&gt;=TODAY()),"zurückgestellt",IF(OR(AND(ISNUMBER(AA185),AA185&lt;TODAY(),Z185="",AJ185=""),AND(ISNUMBER(Z185),Z185&lt;TODAY(),AJ185=""),AND(ISNUMBER(AB185),AB185&lt;TODAY(),AK185=""),AND(ISNUMBER(AC185),AC185&lt;TODAY(),AO185=""),AND(ISNUMBER(AD185),AD185&lt;TODAY(),AQ185="")),"überfällig","offen"))))</f>
        <v/>
      </c>
      <c r="I185" s="16">
        <f>IF($B185="","",IF(AY185&lt;&gt;"","—",IF(AND(ISNUMBER(AA185),AA185&lt;TODAY(),Z185="",AJ185=""),"Abnahmetermin vereinbaren – Sollfrist verstrichen",IF(AND(ISNUMBER(Z185),Z185&lt;TODAY(),AJ185=""),"Wohnungsabnahme nachtragen – Termin war fällig",IF(AND(ISNUMBER(AB185),AB185&lt;TODAY(),AK185=""),"Handwerker aufbieten – Frist verstrichen",IF(AND(ISNUMBER(AC185),AC185&lt;TODAY(),AO185=""),"Vertrag retour mahnen – Frist verstrichen",IF(AND(ISNUMBER(AD185),AD185&lt;TODAY(),AQ185=""),"Schlüsselübergabe nachtragen – Termin war fällig",IF(M185="","Haftungsdatum erfassen",IF(E185="","ex-Mieter erfassen",IF(AE185="","Kündigung bestätigen / G-Rem",IF(AF185="","Werke / EGT melden",IF(AG185="","Vorbesichtigung (oder n.e.)",IF(AH185="","VMZ aktualisieren",IF(AI185="","Inserat aufschalten",IF(AND(Z185="",AJ185=""),"Abnahmetermin vereinbaren",IF(AJ185="","Wohnungsabnahme durchführen",IF(AK185="","Handwerker aufbieten",IF(AL185="","Zustimmungserklärung einholen",IF(AM185="","Instandstellungen beauftragen",IF(R185="","Nachmieter erfassen",IF(AN185="","Vertrag versenden",IF(AO185="","Vertrag retour erfassen",IF(S185="","Vermietet per erfassen",IF(AP185="","Werke / EGT über Einzug informieren",IF(AND(AD185="",AQ185=""),"Schlüsselübergabe terminieren",IF(AQ185="","Schlüsselübergabe durchführen",IF(AR185="","Reinigung veranlassen",IF(AS185="","Namensschilder bestellen",IF(AT185="","Kaution prüfen / G-Rem mutieren",IF(AU185="","Instandstellungs-Rechnung erfassen",IF(AV185="","Schlussabrechnung erstellen",IF(AW185="","Zahlungseingang kontrollieren","Fall abschliessen"))))))))))))))))))))))))))))))))</f>
        <v/>
      </c>
      <c r="J185" s="17">
        <f>IF(M185="","",IF(S185&lt;&gt;"",MAX(0,S185-M185-1),MAX(0,TODAY()-M185)))</f>
        <v/>
      </c>
      <c r="K185" s="16">
        <f>IF($B185="","",TRIM(IF(AND(L185&lt;&gt;"",M185&lt;&gt;"",M185&lt;L185),"Haftungsdatum vor Kündigung. ","")&amp;IF(AND(S185&lt;&gt;"",M185&lt;&gt;"",S185&lt;M185),"Vermietung vor Leerstandsbeginn. ","")&amp;IF(AND(Z185&lt;&gt;"",L185&lt;&gt;"",Z185&lt;L185),"WA-Termin vor Kündigung. ","")&amp;IF(COUNTIFS($B$5:$B$404,$B185,$AY$5:$AY$404,"")&gt;1,"Zweiter offener Fall zum selben Objekt. ","")&amp;IF(AND($A185&lt;&gt;"",COUNTIFS($A$5:$A$404,$A185)&gt;1),"Fall-Nr. doppelt vergeben. ","")&amp;IF(E185="","ex-Mieter fehlt. ","")&amp;IF(M185="","Haftungsdatum fehlt. ","")&amp;IF(F185="","Bewirtschafter fehlt. ","")&amp;IF(AND(AY185&lt;&gt;"",AW185=""),"Abgeschlossen trotz offener Schlussabrechnung. ","")&amp;IF(AND(AY185="",S185="",ISNUMBER(J185),J185&gt;60),"Langläufer über 60 Tage. ","")))</f>
        <v/>
      </c>
      <c r="L185" s="18" t="n"/>
      <c r="M185" s="18" t="n"/>
      <c r="N185" s="19">
        <f>IF(M185="","",M185+1)</f>
        <v/>
      </c>
      <c r="O185" s="17">
        <f>IF(OR(L185="",M185=""),"",M185-L185)</f>
        <v/>
      </c>
      <c r="P185" s="16">
        <f>IF(M185="","",YEAR(M185+1)&amp;"-"&amp;TEXT(MONTH(M185+1),"00"))</f>
        <v/>
      </c>
      <c r="Q185" s="18" t="n"/>
      <c r="R185" s="15" t="n"/>
      <c r="S185" s="18" t="n"/>
      <c r="T185" s="16">
        <f>IF(U185="","",IF(LEFT(U185,1)="6","abgeschlossen",IF(OR(LEFT(U185,1)="1",LEFT(U185,1)="2"),"Kündigung &amp; Abnahme",IF(OR(LEFT(U185,1)="3",LEFT(U185,1)="4"),"Wiedervermietung","Schlussabrechnung"))))</f>
        <v/>
      </c>
      <c r="U185" s="16">
        <f>IF($B185="","",IF(AY185&lt;&gt;"","6 · abgeschlossen",IF(AW185&lt;&gt;"","5 · bereit zum Abschluss",IF(AT185&lt;&gt;"","5 · Schlussabrechnung",IF(AO185&lt;&gt;"","4 · Übergabe",IF(AM185&lt;&gt;"","3 · Neuvermietung",IF(M185&lt;&gt;"","2 · Abnahme &amp; Vermarktung","1 · Erfassung")))))))</f>
        <v/>
      </c>
      <c r="V185" s="15" t="n"/>
      <c r="W185" s="20" t="n"/>
      <c r="X185" s="15" t="n"/>
      <c r="Y185" s="15" t="n"/>
      <c r="Z185" s="18" t="n"/>
      <c r="AA185" s="19">
        <f>IF(M185="","",M185-30)</f>
        <v/>
      </c>
      <c r="AB185" s="19">
        <f>IF(ISNUMBER(AJ185),AJ185+3,"")</f>
        <v/>
      </c>
      <c r="AC185" s="18" t="n"/>
      <c r="AD185" s="18" t="n"/>
      <c r="AE185" s="18" t="n"/>
      <c r="AF185" s="18" t="n"/>
      <c r="AG185" s="18" t="n"/>
      <c r="AH185" s="18" t="n"/>
      <c r="AI185" s="18" t="n"/>
      <c r="AJ185" s="18" t="n"/>
      <c r="AK185" s="18" t="n"/>
      <c r="AL185" s="18" t="n"/>
      <c r="AM185" s="18" t="n"/>
      <c r="AN185" s="18" t="n"/>
      <c r="AO185" s="18" t="n"/>
      <c r="AP185" s="18" t="n"/>
      <c r="AQ185" s="18" t="n"/>
      <c r="AR185" s="18" t="n"/>
      <c r="AS185" s="18" t="n"/>
      <c r="AT185" s="18" t="n"/>
      <c r="AU185" s="18" t="n"/>
      <c r="AV185" s="18" t="n"/>
      <c r="AW185" s="18" t="n"/>
      <c r="AX185" s="18" t="n"/>
      <c r="AY185" s="18" t="n"/>
      <c r="AZ185" s="15" t="n"/>
    </row>
    <row r="186">
      <c r="A186" s="15" t="n"/>
      <c r="B186" s="15" t="n"/>
      <c r="C186" s="15" t="n"/>
      <c r="D186" s="15" t="n"/>
      <c r="E186" s="15" t="n"/>
      <c r="F186" s="15" t="n"/>
      <c r="G186" s="16">
        <f>IF(F186="","",IFERROR(INDEX(Stammdaten!$B$5:$B$24,MATCH(F186,Stammdaten!$A$5:$A$24,0)),"unbekannt"))</f>
        <v/>
      </c>
      <c r="H186" s="16">
        <f>IF($B186="","",IF(AY186&lt;&gt;"","abgeschlossen",IF(AND(ISNUMBER(AX186),AX186&gt;=TODAY()),"zurückgestellt",IF(OR(AND(ISNUMBER(AA186),AA186&lt;TODAY(),Z186="",AJ186=""),AND(ISNUMBER(Z186),Z186&lt;TODAY(),AJ186=""),AND(ISNUMBER(AB186),AB186&lt;TODAY(),AK186=""),AND(ISNUMBER(AC186),AC186&lt;TODAY(),AO186=""),AND(ISNUMBER(AD186),AD186&lt;TODAY(),AQ186="")),"überfällig","offen"))))</f>
        <v/>
      </c>
      <c r="I186" s="16">
        <f>IF($B186="","",IF(AY186&lt;&gt;"","—",IF(AND(ISNUMBER(AA186),AA186&lt;TODAY(),Z186="",AJ186=""),"Abnahmetermin vereinbaren – Sollfrist verstrichen",IF(AND(ISNUMBER(Z186),Z186&lt;TODAY(),AJ186=""),"Wohnungsabnahme nachtragen – Termin war fällig",IF(AND(ISNUMBER(AB186),AB186&lt;TODAY(),AK186=""),"Handwerker aufbieten – Frist verstrichen",IF(AND(ISNUMBER(AC186),AC186&lt;TODAY(),AO186=""),"Vertrag retour mahnen – Frist verstrichen",IF(AND(ISNUMBER(AD186),AD186&lt;TODAY(),AQ186=""),"Schlüsselübergabe nachtragen – Termin war fällig",IF(M186="","Haftungsdatum erfassen",IF(E186="","ex-Mieter erfassen",IF(AE186="","Kündigung bestätigen / G-Rem",IF(AF186="","Werke / EGT melden",IF(AG186="","Vorbesichtigung (oder n.e.)",IF(AH186="","VMZ aktualisieren",IF(AI186="","Inserat aufschalten",IF(AND(Z186="",AJ186=""),"Abnahmetermin vereinbaren",IF(AJ186="","Wohnungsabnahme durchführen",IF(AK186="","Handwerker aufbieten",IF(AL186="","Zustimmungserklärung einholen",IF(AM186="","Instandstellungen beauftragen",IF(R186="","Nachmieter erfassen",IF(AN186="","Vertrag versenden",IF(AO186="","Vertrag retour erfassen",IF(S186="","Vermietet per erfassen",IF(AP186="","Werke / EGT über Einzug informieren",IF(AND(AD186="",AQ186=""),"Schlüsselübergabe terminieren",IF(AQ186="","Schlüsselübergabe durchführen",IF(AR186="","Reinigung veranlassen",IF(AS186="","Namensschilder bestellen",IF(AT186="","Kaution prüfen / G-Rem mutieren",IF(AU186="","Instandstellungs-Rechnung erfassen",IF(AV186="","Schlussabrechnung erstellen",IF(AW186="","Zahlungseingang kontrollieren","Fall abschliessen"))))))))))))))))))))))))))))))))</f>
        <v/>
      </c>
      <c r="J186" s="17">
        <f>IF(M186="","",IF(S186&lt;&gt;"",MAX(0,S186-M186-1),MAX(0,TODAY()-M186)))</f>
        <v/>
      </c>
      <c r="K186" s="16">
        <f>IF($B186="","",TRIM(IF(AND(L186&lt;&gt;"",M186&lt;&gt;"",M186&lt;L186),"Haftungsdatum vor Kündigung. ","")&amp;IF(AND(S186&lt;&gt;"",M186&lt;&gt;"",S186&lt;M186),"Vermietung vor Leerstandsbeginn. ","")&amp;IF(AND(Z186&lt;&gt;"",L186&lt;&gt;"",Z186&lt;L186),"WA-Termin vor Kündigung. ","")&amp;IF(COUNTIFS($B$5:$B$404,$B186,$AY$5:$AY$404,"")&gt;1,"Zweiter offener Fall zum selben Objekt. ","")&amp;IF(AND($A186&lt;&gt;"",COUNTIFS($A$5:$A$404,$A186)&gt;1),"Fall-Nr. doppelt vergeben. ","")&amp;IF(E186="","ex-Mieter fehlt. ","")&amp;IF(M186="","Haftungsdatum fehlt. ","")&amp;IF(F186="","Bewirtschafter fehlt. ","")&amp;IF(AND(AY186&lt;&gt;"",AW186=""),"Abgeschlossen trotz offener Schlussabrechnung. ","")&amp;IF(AND(AY186="",S186="",ISNUMBER(J186),J186&gt;60),"Langläufer über 60 Tage. ","")))</f>
        <v/>
      </c>
      <c r="L186" s="18" t="n"/>
      <c r="M186" s="18" t="n"/>
      <c r="N186" s="19">
        <f>IF(M186="","",M186+1)</f>
        <v/>
      </c>
      <c r="O186" s="17">
        <f>IF(OR(L186="",M186=""),"",M186-L186)</f>
        <v/>
      </c>
      <c r="P186" s="16">
        <f>IF(M186="","",YEAR(M186+1)&amp;"-"&amp;TEXT(MONTH(M186+1),"00"))</f>
        <v/>
      </c>
      <c r="Q186" s="18" t="n"/>
      <c r="R186" s="15" t="n"/>
      <c r="S186" s="18" t="n"/>
      <c r="T186" s="16">
        <f>IF(U186="","",IF(LEFT(U186,1)="6","abgeschlossen",IF(OR(LEFT(U186,1)="1",LEFT(U186,1)="2"),"Kündigung &amp; Abnahme",IF(OR(LEFT(U186,1)="3",LEFT(U186,1)="4"),"Wiedervermietung","Schlussabrechnung"))))</f>
        <v/>
      </c>
      <c r="U186" s="16">
        <f>IF($B186="","",IF(AY186&lt;&gt;"","6 · abgeschlossen",IF(AW186&lt;&gt;"","5 · bereit zum Abschluss",IF(AT186&lt;&gt;"","5 · Schlussabrechnung",IF(AO186&lt;&gt;"","4 · Übergabe",IF(AM186&lt;&gt;"","3 · Neuvermietung",IF(M186&lt;&gt;"","2 · Abnahme &amp; Vermarktung","1 · Erfassung")))))))</f>
        <v/>
      </c>
      <c r="V186" s="15" t="n"/>
      <c r="W186" s="20" t="n"/>
      <c r="X186" s="15" t="n"/>
      <c r="Y186" s="15" t="n"/>
      <c r="Z186" s="18" t="n"/>
      <c r="AA186" s="19">
        <f>IF(M186="","",M186-30)</f>
        <v/>
      </c>
      <c r="AB186" s="19">
        <f>IF(ISNUMBER(AJ186),AJ186+3,"")</f>
        <v/>
      </c>
      <c r="AC186" s="18" t="n"/>
      <c r="AD186" s="18" t="n"/>
      <c r="AE186" s="18" t="n"/>
      <c r="AF186" s="18" t="n"/>
      <c r="AG186" s="18" t="n"/>
      <c r="AH186" s="18" t="n"/>
      <c r="AI186" s="18" t="n"/>
      <c r="AJ186" s="18" t="n"/>
      <c r="AK186" s="18" t="n"/>
      <c r="AL186" s="18" t="n"/>
      <c r="AM186" s="18" t="n"/>
      <c r="AN186" s="18" t="n"/>
      <c r="AO186" s="18" t="n"/>
      <c r="AP186" s="18" t="n"/>
      <c r="AQ186" s="18" t="n"/>
      <c r="AR186" s="18" t="n"/>
      <c r="AS186" s="18" t="n"/>
      <c r="AT186" s="18" t="n"/>
      <c r="AU186" s="18" t="n"/>
      <c r="AV186" s="18" t="n"/>
      <c r="AW186" s="18" t="n"/>
      <c r="AX186" s="18" t="n"/>
      <c r="AY186" s="18" t="n"/>
      <c r="AZ186" s="15" t="n"/>
    </row>
    <row r="187">
      <c r="A187" s="15" t="n"/>
      <c r="B187" s="15" t="n"/>
      <c r="C187" s="15" t="n"/>
      <c r="D187" s="15" t="n"/>
      <c r="E187" s="15" t="n"/>
      <c r="F187" s="15" t="n"/>
      <c r="G187" s="16">
        <f>IF(F187="","",IFERROR(INDEX(Stammdaten!$B$5:$B$24,MATCH(F187,Stammdaten!$A$5:$A$24,0)),"unbekannt"))</f>
        <v/>
      </c>
      <c r="H187" s="16">
        <f>IF($B187="","",IF(AY187&lt;&gt;"","abgeschlossen",IF(AND(ISNUMBER(AX187),AX187&gt;=TODAY()),"zurückgestellt",IF(OR(AND(ISNUMBER(AA187),AA187&lt;TODAY(),Z187="",AJ187=""),AND(ISNUMBER(Z187),Z187&lt;TODAY(),AJ187=""),AND(ISNUMBER(AB187),AB187&lt;TODAY(),AK187=""),AND(ISNUMBER(AC187),AC187&lt;TODAY(),AO187=""),AND(ISNUMBER(AD187),AD187&lt;TODAY(),AQ187="")),"überfällig","offen"))))</f>
        <v/>
      </c>
      <c r="I187" s="16">
        <f>IF($B187="","",IF(AY187&lt;&gt;"","—",IF(AND(ISNUMBER(AA187),AA187&lt;TODAY(),Z187="",AJ187=""),"Abnahmetermin vereinbaren – Sollfrist verstrichen",IF(AND(ISNUMBER(Z187),Z187&lt;TODAY(),AJ187=""),"Wohnungsabnahme nachtragen – Termin war fällig",IF(AND(ISNUMBER(AB187),AB187&lt;TODAY(),AK187=""),"Handwerker aufbieten – Frist verstrichen",IF(AND(ISNUMBER(AC187),AC187&lt;TODAY(),AO187=""),"Vertrag retour mahnen – Frist verstrichen",IF(AND(ISNUMBER(AD187),AD187&lt;TODAY(),AQ187=""),"Schlüsselübergabe nachtragen – Termin war fällig",IF(M187="","Haftungsdatum erfassen",IF(E187="","ex-Mieter erfassen",IF(AE187="","Kündigung bestätigen / G-Rem",IF(AF187="","Werke / EGT melden",IF(AG187="","Vorbesichtigung (oder n.e.)",IF(AH187="","VMZ aktualisieren",IF(AI187="","Inserat aufschalten",IF(AND(Z187="",AJ187=""),"Abnahmetermin vereinbaren",IF(AJ187="","Wohnungsabnahme durchführen",IF(AK187="","Handwerker aufbieten",IF(AL187="","Zustimmungserklärung einholen",IF(AM187="","Instandstellungen beauftragen",IF(R187="","Nachmieter erfassen",IF(AN187="","Vertrag versenden",IF(AO187="","Vertrag retour erfassen",IF(S187="","Vermietet per erfassen",IF(AP187="","Werke / EGT über Einzug informieren",IF(AND(AD187="",AQ187=""),"Schlüsselübergabe terminieren",IF(AQ187="","Schlüsselübergabe durchführen",IF(AR187="","Reinigung veranlassen",IF(AS187="","Namensschilder bestellen",IF(AT187="","Kaution prüfen / G-Rem mutieren",IF(AU187="","Instandstellungs-Rechnung erfassen",IF(AV187="","Schlussabrechnung erstellen",IF(AW187="","Zahlungseingang kontrollieren","Fall abschliessen"))))))))))))))))))))))))))))))))</f>
        <v/>
      </c>
      <c r="J187" s="17">
        <f>IF(M187="","",IF(S187&lt;&gt;"",MAX(0,S187-M187-1),MAX(0,TODAY()-M187)))</f>
        <v/>
      </c>
      <c r="K187" s="16">
        <f>IF($B187="","",TRIM(IF(AND(L187&lt;&gt;"",M187&lt;&gt;"",M187&lt;L187),"Haftungsdatum vor Kündigung. ","")&amp;IF(AND(S187&lt;&gt;"",M187&lt;&gt;"",S187&lt;M187),"Vermietung vor Leerstandsbeginn. ","")&amp;IF(AND(Z187&lt;&gt;"",L187&lt;&gt;"",Z187&lt;L187),"WA-Termin vor Kündigung. ","")&amp;IF(COUNTIFS($B$5:$B$404,$B187,$AY$5:$AY$404,"")&gt;1,"Zweiter offener Fall zum selben Objekt. ","")&amp;IF(AND($A187&lt;&gt;"",COUNTIFS($A$5:$A$404,$A187)&gt;1),"Fall-Nr. doppelt vergeben. ","")&amp;IF(E187="","ex-Mieter fehlt. ","")&amp;IF(M187="","Haftungsdatum fehlt. ","")&amp;IF(F187="","Bewirtschafter fehlt. ","")&amp;IF(AND(AY187&lt;&gt;"",AW187=""),"Abgeschlossen trotz offener Schlussabrechnung. ","")&amp;IF(AND(AY187="",S187="",ISNUMBER(J187),J187&gt;60),"Langläufer über 60 Tage. ","")))</f>
        <v/>
      </c>
      <c r="L187" s="18" t="n"/>
      <c r="M187" s="18" t="n"/>
      <c r="N187" s="19">
        <f>IF(M187="","",M187+1)</f>
        <v/>
      </c>
      <c r="O187" s="17">
        <f>IF(OR(L187="",M187=""),"",M187-L187)</f>
        <v/>
      </c>
      <c r="P187" s="16">
        <f>IF(M187="","",YEAR(M187+1)&amp;"-"&amp;TEXT(MONTH(M187+1),"00"))</f>
        <v/>
      </c>
      <c r="Q187" s="18" t="n"/>
      <c r="R187" s="15" t="n"/>
      <c r="S187" s="18" t="n"/>
      <c r="T187" s="16">
        <f>IF(U187="","",IF(LEFT(U187,1)="6","abgeschlossen",IF(OR(LEFT(U187,1)="1",LEFT(U187,1)="2"),"Kündigung &amp; Abnahme",IF(OR(LEFT(U187,1)="3",LEFT(U187,1)="4"),"Wiedervermietung","Schlussabrechnung"))))</f>
        <v/>
      </c>
      <c r="U187" s="16">
        <f>IF($B187="","",IF(AY187&lt;&gt;"","6 · abgeschlossen",IF(AW187&lt;&gt;"","5 · bereit zum Abschluss",IF(AT187&lt;&gt;"","5 · Schlussabrechnung",IF(AO187&lt;&gt;"","4 · Übergabe",IF(AM187&lt;&gt;"","3 · Neuvermietung",IF(M187&lt;&gt;"","2 · Abnahme &amp; Vermarktung","1 · Erfassung")))))))</f>
        <v/>
      </c>
      <c r="V187" s="15" t="n"/>
      <c r="W187" s="20" t="n"/>
      <c r="X187" s="15" t="n"/>
      <c r="Y187" s="15" t="n"/>
      <c r="Z187" s="18" t="n"/>
      <c r="AA187" s="19">
        <f>IF(M187="","",M187-30)</f>
        <v/>
      </c>
      <c r="AB187" s="19">
        <f>IF(ISNUMBER(AJ187),AJ187+3,"")</f>
        <v/>
      </c>
      <c r="AC187" s="18" t="n"/>
      <c r="AD187" s="18" t="n"/>
      <c r="AE187" s="18" t="n"/>
      <c r="AF187" s="18" t="n"/>
      <c r="AG187" s="18" t="n"/>
      <c r="AH187" s="18" t="n"/>
      <c r="AI187" s="18" t="n"/>
      <c r="AJ187" s="18" t="n"/>
      <c r="AK187" s="18" t="n"/>
      <c r="AL187" s="18" t="n"/>
      <c r="AM187" s="18" t="n"/>
      <c r="AN187" s="18" t="n"/>
      <c r="AO187" s="18" t="n"/>
      <c r="AP187" s="18" t="n"/>
      <c r="AQ187" s="18" t="n"/>
      <c r="AR187" s="18" t="n"/>
      <c r="AS187" s="18" t="n"/>
      <c r="AT187" s="18" t="n"/>
      <c r="AU187" s="18" t="n"/>
      <c r="AV187" s="18" t="n"/>
      <c r="AW187" s="18" t="n"/>
      <c r="AX187" s="18" t="n"/>
      <c r="AY187" s="18" t="n"/>
      <c r="AZ187" s="15" t="n"/>
    </row>
    <row r="188">
      <c r="A188" s="15" t="n"/>
      <c r="B188" s="15" t="n"/>
      <c r="C188" s="15" t="n"/>
      <c r="D188" s="15" t="n"/>
      <c r="E188" s="15" t="n"/>
      <c r="F188" s="15" t="n"/>
      <c r="G188" s="16">
        <f>IF(F188="","",IFERROR(INDEX(Stammdaten!$B$5:$B$24,MATCH(F188,Stammdaten!$A$5:$A$24,0)),"unbekannt"))</f>
        <v/>
      </c>
      <c r="H188" s="16">
        <f>IF($B188="","",IF(AY188&lt;&gt;"","abgeschlossen",IF(AND(ISNUMBER(AX188),AX188&gt;=TODAY()),"zurückgestellt",IF(OR(AND(ISNUMBER(AA188),AA188&lt;TODAY(),Z188="",AJ188=""),AND(ISNUMBER(Z188),Z188&lt;TODAY(),AJ188=""),AND(ISNUMBER(AB188),AB188&lt;TODAY(),AK188=""),AND(ISNUMBER(AC188),AC188&lt;TODAY(),AO188=""),AND(ISNUMBER(AD188),AD188&lt;TODAY(),AQ188="")),"überfällig","offen"))))</f>
        <v/>
      </c>
      <c r="I188" s="16">
        <f>IF($B188="","",IF(AY188&lt;&gt;"","—",IF(AND(ISNUMBER(AA188),AA188&lt;TODAY(),Z188="",AJ188=""),"Abnahmetermin vereinbaren – Sollfrist verstrichen",IF(AND(ISNUMBER(Z188),Z188&lt;TODAY(),AJ188=""),"Wohnungsabnahme nachtragen – Termin war fällig",IF(AND(ISNUMBER(AB188),AB188&lt;TODAY(),AK188=""),"Handwerker aufbieten – Frist verstrichen",IF(AND(ISNUMBER(AC188),AC188&lt;TODAY(),AO188=""),"Vertrag retour mahnen – Frist verstrichen",IF(AND(ISNUMBER(AD188),AD188&lt;TODAY(),AQ188=""),"Schlüsselübergabe nachtragen – Termin war fällig",IF(M188="","Haftungsdatum erfassen",IF(E188="","ex-Mieter erfassen",IF(AE188="","Kündigung bestätigen / G-Rem",IF(AF188="","Werke / EGT melden",IF(AG188="","Vorbesichtigung (oder n.e.)",IF(AH188="","VMZ aktualisieren",IF(AI188="","Inserat aufschalten",IF(AND(Z188="",AJ188=""),"Abnahmetermin vereinbaren",IF(AJ188="","Wohnungsabnahme durchführen",IF(AK188="","Handwerker aufbieten",IF(AL188="","Zustimmungserklärung einholen",IF(AM188="","Instandstellungen beauftragen",IF(R188="","Nachmieter erfassen",IF(AN188="","Vertrag versenden",IF(AO188="","Vertrag retour erfassen",IF(S188="","Vermietet per erfassen",IF(AP188="","Werke / EGT über Einzug informieren",IF(AND(AD188="",AQ188=""),"Schlüsselübergabe terminieren",IF(AQ188="","Schlüsselübergabe durchführen",IF(AR188="","Reinigung veranlassen",IF(AS188="","Namensschilder bestellen",IF(AT188="","Kaution prüfen / G-Rem mutieren",IF(AU188="","Instandstellungs-Rechnung erfassen",IF(AV188="","Schlussabrechnung erstellen",IF(AW188="","Zahlungseingang kontrollieren","Fall abschliessen"))))))))))))))))))))))))))))))))</f>
        <v/>
      </c>
      <c r="J188" s="17">
        <f>IF(M188="","",IF(S188&lt;&gt;"",MAX(0,S188-M188-1),MAX(0,TODAY()-M188)))</f>
        <v/>
      </c>
      <c r="K188" s="16">
        <f>IF($B188="","",TRIM(IF(AND(L188&lt;&gt;"",M188&lt;&gt;"",M188&lt;L188),"Haftungsdatum vor Kündigung. ","")&amp;IF(AND(S188&lt;&gt;"",M188&lt;&gt;"",S188&lt;M188),"Vermietung vor Leerstandsbeginn. ","")&amp;IF(AND(Z188&lt;&gt;"",L188&lt;&gt;"",Z188&lt;L188),"WA-Termin vor Kündigung. ","")&amp;IF(COUNTIFS($B$5:$B$404,$B188,$AY$5:$AY$404,"")&gt;1,"Zweiter offener Fall zum selben Objekt. ","")&amp;IF(AND($A188&lt;&gt;"",COUNTIFS($A$5:$A$404,$A188)&gt;1),"Fall-Nr. doppelt vergeben. ","")&amp;IF(E188="","ex-Mieter fehlt. ","")&amp;IF(M188="","Haftungsdatum fehlt. ","")&amp;IF(F188="","Bewirtschafter fehlt. ","")&amp;IF(AND(AY188&lt;&gt;"",AW188=""),"Abgeschlossen trotz offener Schlussabrechnung. ","")&amp;IF(AND(AY188="",S188="",ISNUMBER(J188),J188&gt;60),"Langläufer über 60 Tage. ","")))</f>
        <v/>
      </c>
      <c r="L188" s="18" t="n"/>
      <c r="M188" s="18" t="n"/>
      <c r="N188" s="19">
        <f>IF(M188="","",M188+1)</f>
        <v/>
      </c>
      <c r="O188" s="17">
        <f>IF(OR(L188="",M188=""),"",M188-L188)</f>
        <v/>
      </c>
      <c r="P188" s="16">
        <f>IF(M188="","",YEAR(M188+1)&amp;"-"&amp;TEXT(MONTH(M188+1),"00"))</f>
        <v/>
      </c>
      <c r="Q188" s="18" t="n"/>
      <c r="R188" s="15" t="n"/>
      <c r="S188" s="18" t="n"/>
      <c r="T188" s="16">
        <f>IF(U188="","",IF(LEFT(U188,1)="6","abgeschlossen",IF(OR(LEFT(U188,1)="1",LEFT(U188,1)="2"),"Kündigung &amp; Abnahme",IF(OR(LEFT(U188,1)="3",LEFT(U188,1)="4"),"Wiedervermietung","Schlussabrechnung"))))</f>
        <v/>
      </c>
      <c r="U188" s="16">
        <f>IF($B188="","",IF(AY188&lt;&gt;"","6 · abgeschlossen",IF(AW188&lt;&gt;"","5 · bereit zum Abschluss",IF(AT188&lt;&gt;"","5 · Schlussabrechnung",IF(AO188&lt;&gt;"","4 · Übergabe",IF(AM188&lt;&gt;"","3 · Neuvermietung",IF(M188&lt;&gt;"","2 · Abnahme &amp; Vermarktung","1 · Erfassung")))))))</f>
        <v/>
      </c>
      <c r="V188" s="15" t="n"/>
      <c r="W188" s="20" t="n"/>
      <c r="X188" s="15" t="n"/>
      <c r="Y188" s="15" t="n"/>
      <c r="Z188" s="18" t="n"/>
      <c r="AA188" s="19">
        <f>IF(M188="","",M188-30)</f>
        <v/>
      </c>
      <c r="AB188" s="19">
        <f>IF(ISNUMBER(AJ188),AJ188+3,"")</f>
        <v/>
      </c>
      <c r="AC188" s="18" t="n"/>
      <c r="AD188" s="18" t="n"/>
      <c r="AE188" s="18" t="n"/>
      <c r="AF188" s="18" t="n"/>
      <c r="AG188" s="18" t="n"/>
      <c r="AH188" s="18" t="n"/>
      <c r="AI188" s="18" t="n"/>
      <c r="AJ188" s="18" t="n"/>
      <c r="AK188" s="18" t="n"/>
      <c r="AL188" s="18" t="n"/>
      <c r="AM188" s="18" t="n"/>
      <c r="AN188" s="18" t="n"/>
      <c r="AO188" s="18" t="n"/>
      <c r="AP188" s="18" t="n"/>
      <c r="AQ188" s="18" t="n"/>
      <c r="AR188" s="18" t="n"/>
      <c r="AS188" s="18" t="n"/>
      <c r="AT188" s="18" t="n"/>
      <c r="AU188" s="18" t="n"/>
      <c r="AV188" s="18" t="n"/>
      <c r="AW188" s="18" t="n"/>
      <c r="AX188" s="18" t="n"/>
      <c r="AY188" s="18" t="n"/>
      <c r="AZ188" s="15" t="n"/>
    </row>
    <row r="189">
      <c r="A189" s="15" t="n"/>
      <c r="B189" s="15" t="n"/>
      <c r="C189" s="15" t="n"/>
      <c r="D189" s="15" t="n"/>
      <c r="E189" s="15" t="n"/>
      <c r="F189" s="15" t="n"/>
      <c r="G189" s="16">
        <f>IF(F189="","",IFERROR(INDEX(Stammdaten!$B$5:$B$24,MATCH(F189,Stammdaten!$A$5:$A$24,0)),"unbekannt"))</f>
        <v/>
      </c>
      <c r="H189" s="16">
        <f>IF($B189="","",IF(AY189&lt;&gt;"","abgeschlossen",IF(AND(ISNUMBER(AX189),AX189&gt;=TODAY()),"zurückgestellt",IF(OR(AND(ISNUMBER(AA189),AA189&lt;TODAY(),Z189="",AJ189=""),AND(ISNUMBER(Z189),Z189&lt;TODAY(),AJ189=""),AND(ISNUMBER(AB189),AB189&lt;TODAY(),AK189=""),AND(ISNUMBER(AC189),AC189&lt;TODAY(),AO189=""),AND(ISNUMBER(AD189),AD189&lt;TODAY(),AQ189="")),"überfällig","offen"))))</f>
        <v/>
      </c>
      <c r="I189" s="16">
        <f>IF($B189="","",IF(AY189&lt;&gt;"","—",IF(AND(ISNUMBER(AA189),AA189&lt;TODAY(),Z189="",AJ189=""),"Abnahmetermin vereinbaren – Sollfrist verstrichen",IF(AND(ISNUMBER(Z189),Z189&lt;TODAY(),AJ189=""),"Wohnungsabnahme nachtragen – Termin war fällig",IF(AND(ISNUMBER(AB189),AB189&lt;TODAY(),AK189=""),"Handwerker aufbieten – Frist verstrichen",IF(AND(ISNUMBER(AC189),AC189&lt;TODAY(),AO189=""),"Vertrag retour mahnen – Frist verstrichen",IF(AND(ISNUMBER(AD189),AD189&lt;TODAY(),AQ189=""),"Schlüsselübergabe nachtragen – Termin war fällig",IF(M189="","Haftungsdatum erfassen",IF(E189="","ex-Mieter erfassen",IF(AE189="","Kündigung bestätigen / G-Rem",IF(AF189="","Werke / EGT melden",IF(AG189="","Vorbesichtigung (oder n.e.)",IF(AH189="","VMZ aktualisieren",IF(AI189="","Inserat aufschalten",IF(AND(Z189="",AJ189=""),"Abnahmetermin vereinbaren",IF(AJ189="","Wohnungsabnahme durchführen",IF(AK189="","Handwerker aufbieten",IF(AL189="","Zustimmungserklärung einholen",IF(AM189="","Instandstellungen beauftragen",IF(R189="","Nachmieter erfassen",IF(AN189="","Vertrag versenden",IF(AO189="","Vertrag retour erfassen",IF(S189="","Vermietet per erfassen",IF(AP189="","Werke / EGT über Einzug informieren",IF(AND(AD189="",AQ189=""),"Schlüsselübergabe terminieren",IF(AQ189="","Schlüsselübergabe durchführen",IF(AR189="","Reinigung veranlassen",IF(AS189="","Namensschilder bestellen",IF(AT189="","Kaution prüfen / G-Rem mutieren",IF(AU189="","Instandstellungs-Rechnung erfassen",IF(AV189="","Schlussabrechnung erstellen",IF(AW189="","Zahlungseingang kontrollieren","Fall abschliessen"))))))))))))))))))))))))))))))))</f>
        <v/>
      </c>
      <c r="J189" s="17">
        <f>IF(M189="","",IF(S189&lt;&gt;"",MAX(0,S189-M189-1),MAX(0,TODAY()-M189)))</f>
        <v/>
      </c>
      <c r="K189" s="16">
        <f>IF($B189="","",TRIM(IF(AND(L189&lt;&gt;"",M189&lt;&gt;"",M189&lt;L189),"Haftungsdatum vor Kündigung. ","")&amp;IF(AND(S189&lt;&gt;"",M189&lt;&gt;"",S189&lt;M189),"Vermietung vor Leerstandsbeginn. ","")&amp;IF(AND(Z189&lt;&gt;"",L189&lt;&gt;"",Z189&lt;L189),"WA-Termin vor Kündigung. ","")&amp;IF(COUNTIFS($B$5:$B$404,$B189,$AY$5:$AY$404,"")&gt;1,"Zweiter offener Fall zum selben Objekt. ","")&amp;IF(AND($A189&lt;&gt;"",COUNTIFS($A$5:$A$404,$A189)&gt;1),"Fall-Nr. doppelt vergeben. ","")&amp;IF(E189="","ex-Mieter fehlt. ","")&amp;IF(M189="","Haftungsdatum fehlt. ","")&amp;IF(F189="","Bewirtschafter fehlt. ","")&amp;IF(AND(AY189&lt;&gt;"",AW189=""),"Abgeschlossen trotz offener Schlussabrechnung. ","")&amp;IF(AND(AY189="",S189="",ISNUMBER(J189),J189&gt;60),"Langläufer über 60 Tage. ","")))</f>
        <v/>
      </c>
      <c r="L189" s="18" t="n"/>
      <c r="M189" s="18" t="n"/>
      <c r="N189" s="19">
        <f>IF(M189="","",M189+1)</f>
        <v/>
      </c>
      <c r="O189" s="17">
        <f>IF(OR(L189="",M189=""),"",M189-L189)</f>
        <v/>
      </c>
      <c r="P189" s="16">
        <f>IF(M189="","",YEAR(M189+1)&amp;"-"&amp;TEXT(MONTH(M189+1),"00"))</f>
        <v/>
      </c>
      <c r="Q189" s="18" t="n"/>
      <c r="R189" s="15" t="n"/>
      <c r="S189" s="18" t="n"/>
      <c r="T189" s="16">
        <f>IF(U189="","",IF(LEFT(U189,1)="6","abgeschlossen",IF(OR(LEFT(U189,1)="1",LEFT(U189,1)="2"),"Kündigung &amp; Abnahme",IF(OR(LEFT(U189,1)="3",LEFT(U189,1)="4"),"Wiedervermietung","Schlussabrechnung"))))</f>
        <v/>
      </c>
      <c r="U189" s="16">
        <f>IF($B189="","",IF(AY189&lt;&gt;"","6 · abgeschlossen",IF(AW189&lt;&gt;"","5 · bereit zum Abschluss",IF(AT189&lt;&gt;"","5 · Schlussabrechnung",IF(AO189&lt;&gt;"","4 · Übergabe",IF(AM189&lt;&gt;"","3 · Neuvermietung",IF(M189&lt;&gt;"","2 · Abnahme &amp; Vermarktung","1 · Erfassung")))))))</f>
        <v/>
      </c>
      <c r="V189" s="15" t="n"/>
      <c r="W189" s="20" t="n"/>
      <c r="X189" s="15" t="n"/>
      <c r="Y189" s="15" t="n"/>
      <c r="Z189" s="18" t="n"/>
      <c r="AA189" s="19">
        <f>IF(M189="","",M189-30)</f>
        <v/>
      </c>
      <c r="AB189" s="19">
        <f>IF(ISNUMBER(AJ189),AJ189+3,"")</f>
        <v/>
      </c>
      <c r="AC189" s="18" t="n"/>
      <c r="AD189" s="18" t="n"/>
      <c r="AE189" s="18" t="n"/>
      <c r="AF189" s="18" t="n"/>
      <c r="AG189" s="18" t="n"/>
      <c r="AH189" s="18" t="n"/>
      <c r="AI189" s="18" t="n"/>
      <c r="AJ189" s="18" t="n"/>
      <c r="AK189" s="18" t="n"/>
      <c r="AL189" s="18" t="n"/>
      <c r="AM189" s="18" t="n"/>
      <c r="AN189" s="18" t="n"/>
      <c r="AO189" s="18" t="n"/>
      <c r="AP189" s="18" t="n"/>
      <c r="AQ189" s="18" t="n"/>
      <c r="AR189" s="18" t="n"/>
      <c r="AS189" s="18" t="n"/>
      <c r="AT189" s="18" t="n"/>
      <c r="AU189" s="18" t="n"/>
      <c r="AV189" s="18" t="n"/>
      <c r="AW189" s="18" t="n"/>
      <c r="AX189" s="18" t="n"/>
      <c r="AY189" s="18" t="n"/>
      <c r="AZ189" s="15" t="n"/>
    </row>
    <row r="190">
      <c r="A190" s="15" t="n"/>
      <c r="B190" s="15" t="n"/>
      <c r="C190" s="15" t="n"/>
      <c r="D190" s="15" t="n"/>
      <c r="E190" s="15" t="n"/>
      <c r="F190" s="15" t="n"/>
      <c r="G190" s="16">
        <f>IF(F190="","",IFERROR(INDEX(Stammdaten!$B$5:$B$24,MATCH(F190,Stammdaten!$A$5:$A$24,0)),"unbekannt"))</f>
        <v/>
      </c>
      <c r="H190" s="16">
        <f>IF($B190="","",IF(AY190&lt;&gt;"","abgeschlossen",IF(AND(ISNUMBER(AX190),AX190&gt;=TODAY()),"zurückgestellt",IF(OR(AND(ISNUMBER(AA190),AA190&lt;TODAY(),Z190="",AJ190=""),AND(ISNUMBER(Z190),Z190&lt;TODAY(),AJ190=""),AND(ISNUMBER(AB190),AB190&lt;TODAY(),AK190=""),AND(ISNUMBER(AC190),AC190&lt;TODAY(),AO190=""),AND(ISNUMBER(AD190),AD190&lt;TODAY(),AQ190="")),"überfällig","offen"))))</f>
        <v/>
      </c>
      <c r="I190" s="16">
        <f>IF($B190="","",IF(AY190&lt;&gt;"","—",IF(AND(ISNUMBER(AA190),AA190&lt;TODAY(),Z190="",AJ190=""),"Abnahmetermin vereinbaren – Sollfrist verstrichen",IF(AND(ISNUMBER(Z190),Z190&lt;TODAY(),AJ190=""),"Wohnungsabnahme nachtragen – Termin war fällig",IF(AND(ISNUMBER(AB190),AB190&lt;TODAY(),AK190=""),"Handwerker aufbieten – Frist verstrichen",IF(AND(ISNUMBER(AC190),AC190&lt;TODAY(),AO190=""),"Vertrag retour mahnen – Frist verstrichen",IF(AND(ISNUMBER(AD190),AD190&lt;TODAY(),AQ190=""),"Schlüsselübergabe nachtragen – Termin war fällig",IF(M190="","Haftungsdatum erfassen",IF(E190="","ex-Mieter erfassen",IF(AE190="","Kündigung bestätigen / G-Rem",IF(AF190="","Werke / EGT melden",IF(AG190="","Vorbesichtigung (oder n.e.)",IF(AH190="","VMZ aktualisieren",IF(AI190="","Inserat aufschalten",IF(AND(Z190="",AJ190=""),"Abnahmetermin vereinbaren",IF(AJ190="","Wohnungsabnahme durchführen",IF(AK190="","Handwerker aufbieten",IF(AL190="","Zustimmungserklärung einholen",IF(AM190="","Instandstellungen beauftragen",IF(R190="","Nachmieter erfassen",IF(AN190="","Vertrag versenden",IF(AO190="","Vertrag retour erfassen",IF(S190="","Vermietet per erfassen",IF(AP190="","Werke / EGT über Einzug informieren",IF(AND(AD190="",AQ190=""),"Schlüsselübergabe terminieren",IF(AQ190="","Schlüsselübergabe durchführen",IF(AR190="","Reinigung veranlassen",IF(AS190="","Namensschilder bestellen",IF(AT190="","Kaution prüfen / G-Rem mutieren",IF(AU190="","Instandstellungs-Rechnung erfassen",IF(AV190="","Schlussabrechnung erstellen",IF(AW190="","Zahlungseingang kontrollieren","Fall abschliessen"))))))))))))))))))))))))))))))))</f>
        <v/>
      </c>
      <c r="J190" s="17">
        <f>IF(M190="","",IF(S190&lt;&gt;"",MAX(0,S190-M190-1),MAX(0,TODAY()-M190)))</f>
        <v/>
      </c>
      <c r="K190" s="16">
        <f>IF($B190="","",TRIM(IF(AND(L190&lt;&gt;"",M190&lt;&gt;"",M190&lt;L190),"Haftungsdatum vor Kündigung. ","")&amp;IF(AND(S190&lt;&gt;"",M190&lt;&gt;"",S190&lt;M190),"Vermietung vor Leerstandsbeginn. ","")&amp;IF(AND(Z190&lt;&gt;"",L190&lt;&gt;"",Z190&lt;L190),"WA-Termin vor Kündigung. ","")&amp;IF(COUNTIFS($B$5:$B$404,$B190,$AY$5:$AY$404,"")&gt;1,"Zweiter offener Fall zum selben Objekt. ","")&amp;IF(AND($A190&lt;&gt;"",COUNTIFS($A$5:$A$404,$A190)&gt;1),"Fall-Nr. doppelt vergeben. ","")&amp;IF(E190="","ex-Mieter fehlt. ","")&amp;IF(M190="","Haftungsdatum fehlt. ","")&amp;IF(F190="","Bewirtschafter fehlt. ","")&amp;IF(AND(AY190&lt;&gt;"",AW190=""),"Abgeschlossen trotz offener Schlussabrechnung. ","")&amp;IF(AND(AY190="",S190="",ISNUMBER(J190),J190&gt;60),"Langläufer über 60 Tage. ","")))</f>
        <v/>
      </c>
      <c r="L190" s="18" t="n"/>
      <c r="M190" s="18" t="n"/>
      <c r="N190" s="19">
        <f>IF(M190="","",M190+1)</f>
        <v/>
      </c>
      <c r="O190" s="17">
        <f>IF(OR(L190="",M190=""),"",M190-L190)</f>
        <v/>
      </c>
      <c r="P190" s="16">
        <f>IF(M190="","",YEAR(M190+1)&amp;"-"&amp;TEXT(MONTH(M190+1),"00"))</f>
        <v/>
      </c>
      <c r="Q190" s="18" t="n"/>
      <c r="R190" s="15" t="n"/>
      <c r="S190" s="18" t="n"/>
      <c r="T190" s="16">
        <f>IF(U190="","",IF(LEFT(U190,1)="6","abgeschlossen",IF(OR(LEFT(U190,1)="1",LEFT(U190,1)="2"),"Kündigung &amp; Abnahme",IF(OR(LEFT(U190,1)="3",LEFT(U190,1)="4"),"Wiedervermietung","Schlussabrechnung"))))</f>
        <v/>
      </c>
      <c r="U190" s="16">
        <f>IF($B190="","",IF(AY190&lt;&gt;"","6 · abgeschlossen",IF(AW190&lt;&gt;"","5 · bereit zum Abschluss",IF(AT190&lt;&gt;"","5 · Schlussabrechnung",IF(AO190&lt;&gt;"","4 · Übergabe",IF(AM190&lt;&gt;"","3 · Neuvermietung",IF(M190&lt;&gt;"","2 · Abnahme &amp; Vermarktung","1 · Erfassung")))))))</f>
        <v/>
      </c>
      <c r="V190" s="15" t="n"/>
      <c r="W190" s="20" t="n"/>
      <c r="X190" s="15" t="n"/>
      <c r="Y190" s="15" t="n"/>
      <c r="Z190" s="18" t="n"/>
      <c r="AA190" s="19">
        <f>IF(M190="","",M190-30)</f>
        <v/>
      </c>
      <c r="AB190" s="19">
        <f>IF(ISNUMBER(AJ190),AJ190+3,"")</f>
        <v/>
      </c>
      <c r="AC190" s="18" t="n"/>
      <c r="AD190" s="18" t="n"/>
      <c r="AE190" s="18" t="n"/>
      <c r="AF190" s="18" t="n"/>
      <c r="AG190" s="18" t="n"/>
      <c r="AH190" s="18" t="n"/>
      <c r="AI190" s="18" t="n"/>
      <c r="AJ190" s="18" t="n"/>
      <c r="AK190" s="18" t="n"/>
      <c r="AL190" s="18" t="n"/>
      <c r="AM190" s="18" t="n"/>
      <c r="AN190" s="18" t="n"/>
      <c r="AO190" s="18" t="n"/>
      <c r="AP190" s="18" t="n"/>
      <c r="AQ190" s="18" t="n"/>
      <c r="AR190" s="18" t="n"/>
      <c r="AS190" s="18" t="n"/>
      <c r="AT190" s="18" t="n"/>
      <c r="AU190" s="18" t="n"/>
      <c r="AV190" s="18" t="n"/>
      <c r="AW190" s="18" t="n"/>
      <c r="AX190" s="18" t="n"/>
      <c r="AY190" s="18" t="n"/>
      <c r="AZ190" s="15" t="n"/>
    </row>
    <row r="191">
      <c r="A191" s="15" t="n"/>
      <c r="B191" s="15" t="n"/>
      <c r="C191" s="15" t="n"/>
      <c r="D191" s="15" t="n"/>
      <c r="E191" s="15" t="n"/>
      <c r="F191" s="15" t="n"/>
      <c r="G191" s="16">
        <f>IF(F191="","",IFERROR(INDEX(Stammdaten!$B$5:$B$24,MATCH(F191,Stammdaten!$A$5:$A$24,0)),"unbekannt"))</f>
        <v/>
      </c>
      <c r="H191" s="16">
        <f>IF($B191="","",IF(AY191&lt;&gt;"","abgeschlossen",IF(AND(ISNUMBER(AX191),AX191&gt;=TODAY()),"zurückgestellt",IF(OR(AND(ISNUMBER(AA191),AA191&lt;TODAY(),Z191="",AJ191=""),AND(ISNUMBER(Z191),Z191&lt;TODAY(),AJ191=""),AND(ISNUMBER(AB191),AB191&lt;TODAY(),AK191=""),AND(ISNUMBER(AC191),AC191&lt;TODAY(),AO191=""),AND(ISNUMBER(AD191),AD191&lt;TODAY(),AQ191="")),"überfällig","offen"))))</f>
        <v/>
      </c>
      <c r="I191" s="16">
        <f>IF($B191="","",IF(AY191&lt;&gt;"","—",IF(AND(ISNUMBER(AA191),AA191&lt;TODAY(),Z191="",AJ191=""),"Abnahmetermin vereinbaren – Sollfrist verstrichen",IF(AND(ISNUMBER(Z191),Z191&lt;TODAY(),AJ191=""),"Wohnungsabnahme nachtragen – Termin war fällig",IF(AND(ISNUMBER(AB191),AB191&lt;TODAY(),AK191=""),"Handwerker aufbieten – Frist verstrichen",IF(AND(ISNUMBER(AC191),AC191&lt;TODAY(),AO191=""),"Vertrag retour mahnen – Frist verstrichen",IF(AND(ISNUMBER(AD191),AD191&lt;TODAY(),AQ191=""),"Schlüsselübergabe nachtragen – Termin war fällig",IF(M191="","Haftungsdatum erfassen",IF(E191="","ex-Mieter erfassen",IF(AE191="","Kündigung bestätigen / G-Rem",IF(AF191="","Werke / EGT melden",IF(AG191="","Vorbesichtigung (oder n.e.)",IF(AH191="","VMZ aktualisieren",IF(AI191="","Inserat aufschalten",IF(AND(Z191="",AJ191=""),"Abnahmetermin vereinbaren",IF(AJ191="","Wohnungsabnahme durchführen",IF(AK191="","Handwerker aufbieten",IF(AL191="","Zustimmungserklärung einholen",IF(AM191="","Instandstellungen beauftragen",IF(R191="","Nachmieter erfassen",IF(AN191="","Vertrag versenden",IF(AO191="","Vertrag retour erfassen",IF(S191="","Vermietet per erfassen",IF(AP191="","Werke / EGT über Einzug informieren",IF(AND(AD191="",AQ191=""),"Schlüsselübergabe terminieren",IF(AQ191="","Schlüsselübergabe durchführen",IF(AR191="","Reinigung veranlassen",IF(AS191="","Namensschilder bestellen",IF(AT191="","Kaution prüfen / G-Rem mutieren",IF(AU191="","Instandstellungs-Rechnung erfassen",IF(AV191="","Schlussabrechnung erstellen",IF(AW191="","Zahlungseingang kontrollieren","Fall abschliessen"))))))))))))))))))))))))))))))))</f>
        <v/>
      </c>
      <c r="J191" s="17">
        <f>IF(M191="","",IF(S191&lt;&gt;"",MAX(0,S191-M191-1),MAX(0,TODAY()-M191)))</f>
        <v/>
      </c>
      <c r="K191" s="16">
        <f>IF($B191="","",TRIM(IF(AND(L191&lt;&gt;"",M191&lt;&gt;"",M191&lt;L191),"Haftungsdatum vor Kündigung. ","")&amp;IF(AND(S191&lt;&gt;"",M191&lt;&gt;"",S191&lt;M191),"Vermietung vor Leerstandsbeginn. ","")&amp;IF(AND(Z191&lt;&gt;"",L191&lt;&gt;"",Z191&lt;L191),"WA-Termin vor Kündigung. ","")&amp;IF(COUNTIFS($B$5:$B$404,$B191,$AY$5:$AY$404,"")&gt;1,"Zweiter offener Fall zum selben Objekt. ","")&amp;IF(AND($A191&lt;&gt;"",COUNTIFS($A$5:$A$404,$A191)&gt;1),"Fall-Nr. doppelt vergeben. ","")&amp;IF(E191="","ex-Mieter fehlt. ","")&amp;IF(M191="","Haftungsdatum fehlt. ","")&amp;IF(F191="","Bewirtschafter fehlt. ","")&amp;IF(AND(AY191&lt;&gt;"",AW191=""),"Abgeschlossen trotz offener Schlussabrechnung. ","")&amp;IF(AND(AY191="",S191="",ISNUMBER(J191),J191&gt;60),"Langläufer über 60 Tage. ","")))</f>
        <v/>
      </c>
      <c r="L191" s="18" t="n"/>
      <c r="M191" s="18" t="n"/>
      <c r="N191" s="19">
        <f>IF(M191="","",M191+1)</f>
        <v/>
      </c>
      <c r="O191" s="17">
        <f>IF(OR(L191="",M191=""),"",M191-L191)</f>
        <v/>
      </c>
      <c r="P191" s="16">
        <f>IF(M191="","",YEAR(M191+1)&amp;"-"&amp;TEXT(MONTH(M191+1),"00"))</f>
        <v/>
      </c>
      <c r="Q191" s="18" t="n"/>
      <c r="R191" s="15" t="n"/>
      <c r="S191" s="18" t="n"/>
      <c r="T191" s="16">
        <f>IF(U191="","",IF(LEFT(U191,1)="6","abgeschlossen",IF(OR(LEFT(U191,1)="1",LEFT(U191,1)="2"),"Kündigung &amp; Abnahme",IF(OR(LEFT(U191,1)="3",LEFT(U191,1)="4"),"Wiedervermietung","Schlussabrechnung"))))</f>
        <v/>
      </c>
      <c r="U191" s="16">
        <f>IF($B191="","",IF(AY191&lt;&gt;"","6 · abgeschlossen",IF(AW191&lt;&gt;"","5 · bereit zum Abschluss",IF(AT191&lt;&gt;"","5 · Schlussabrechnung",IF(AO191&lt;&gt;"","4 · Übergabe",IF(AM191&lt;&gt;"","3 · Neuvermietung",IF(M191&lt;&gt;"","2 · Abnahme &amp; Vermarktung","1 · Erfassung")))))))</f>
        <v/>
      </c>
      <c r="V191" s="15" t="n"/>
      <c r="W191" s="20" t="n"/>
      <c r="X191" s="15" t="n"/>
      <c r="Y191" s="15" t="n"/>
      <c r="Z191" s="18" t="n"/>
      <c r="AA191" s="19">
        <f>IF(M191="","",M191-30)</f>
        <v/>
      </c>
      <c r="AB191" s="19">
        <f>IF(ISNUMBER(AJ191),AJ191+3,"")</f>
        <v/>
      </c>
      <c r="AC191" s="18" t="n"/>
      <c r="AD191" s="18" t="n"/>
      <c r="AE191" s="18" t="n"/>
      <c r="AF191" s="18" t="n"/>
      <c r="AG191" s="18" t="n"/>
      <c r="AH191" s="18" t="n"/>
      <c r="AI191" s="18" t="n"/>
      <c r="AJ191" s="18" t="n"/>
      <c r="AK191" s="18" t="n"/>
      <c r="AL191" s="18" t="n"/>
      <c r="AM191" s="18" t="n"/>
      <c r="AN191" s="18" t="n"/>
      <c r="AO191" s="18" t="n"/>
      <c r="AP191" s="18" t="n"/>
      <c r="AQ191" s="18" t="n"/>
      <c r="AR191" s="18" t="n"/>
      <c r="AS191" s="18" t="n"/>
      <c r="AT191" s="18" t="n"/>
      <c r="AU191" s="18" t="n"/>
      <c r="AV191" s="18" t="n"/>
      <c r="AW191" s="18" t="n"/>
      <c r="AX191" s="18" t="n"/>
      <c r="AY191" s="18" t="n"/>
      <c r="AZ191" s="15" t="n"/>
    </row>
    <row r="192">
      <c r="A192" s="15" t="n"/>
      <c r="B192" s="15" t="n"/>
      <c r="C192" s="15" t="n"/>
      <c r="D192" s="15" t="n"/>
      <c r="E192" s="15" t="n"/>
      <c r="F192" s="15" t="n"/>
      <c r="G192" s="16">
        <f>IF(F192="","",IFERROR(INDEX(Stammdaten!$B$5:$B$24,MATCH(F192,Stammdaten!$A$5:$A$24,0)),"unbekannt"))</f>
        <v/>
      </c>
      <c r="H192" s="16">
        <f>IF($B192="","",IF(AY192&lt;&gt;"","abgeschlossen",IF(AND(ISNUMBER(AX192),AX192&gt;=TODAY()),"zurückgestellt",IF(OR(AND(ISNUMBER(AA192),AA192&lt;TODAY(),Z192="",AJ192=""),AND(ISNUMBER(Z192),Z192&lt;TODAY(),AJ192=""),AND(ISNUMBER(AB192),AB192&lt;TODAY(),AK192=""),AND(ISNUMBER(AC192),AC192&lt;TODAY(),AO192=""),AND(ISNUMBER(AD192),AD192&lt;TODAY(),AQ192="")),"überfällig","offen"))))</f>
        <v/>
      </c>
      <c r="I192" s="16">
        <f>IF($B192="","",IF(AY192&lt;&gt;"","—",IF(AND(ISNUMBER(AA192),AA192&lt;TODAY(),Z192="",AJ192=""),"Abnahmetermin vereinbaren – Sollfrist verstrichen",IF(AND(ISNUMBER(Z192),Z192&lt;TODAY(),AJ192=""),"Wohnungsabnahme nachtragen – Termin war fällig",IF(AND(ISNUMBER(AB192),AB192&lt;TODAY(),AK192=""),"Handwerker aufbieten – Frist verstrichen",IF(AND(ISNUMBER(AC192),AC192&lt;TODAY(),AO192=""),"Vertrag retour mahnen – Frist verstrichen",IF(AND(ISNUMBER(AD192),AD192&lt;TODAY(),AQ192=""),"Schlüsselübergabe nachtragen – Termin war fällig",IF(M192="","Haftungsdatum erfassen",IF(E192="","ex-Mieter erfassen",IF(AE192="","Kündigung bestätigen / G-Rem",IF(AF192="","Werke / EGT melden",IF(AG192="","Vorbesichtigung (oder n.e.)",IF(AH192="","VMZ aktualisieren",IF(AI192="","Inserat aufschalten",IF(AND(Z192="",AJ192=""),"Abnahmetermin vereinbaren",IF(AJ192="","Wohnungsabnahme durchführen",IF(AK192="","Handwerker aufbieten",IF(AL192="","Zustimmungserklärung einholen",IF(AM192="","Instandstellungen beauftragen",IF(R192="","Nachmieter erfassen",IF(AN192="","Vertrag versenden",IF(AO192="","Vertrag retour erfassen",IF(S192="","Vermietet per erfassen",IF(AP192="","Werke / EGT über Einzug informieren",IF(AND(AD192="",AQ192=""),"Schlüsselübergabe terminieren",IF(AQ192="","Schlüsselübergabe durchführen",IF(AR192="","Reinigung veranlassen",IF(AS192="","Namensschilder bestellen",IF(AT192="","Kaution prüfen / G-Rem mutieren",IF(AU192="","Instandstellungs-Rechnung erfassen",IF(AV192="","Schlussabrechnung erstellen",IF(AW192="","Zahlungseingang kontrollieren","Fall abschliessen"))))))))))))))))))))))))))))))))</f>
        <v/>
      </c>
      <c r="J192" s="17">
        <f>IF(M192="","",IF(S192&lt;&gt;"",MAX(0,S192-M192-1),MAX(0,TODAY()-M192)))</f>
        <v/>
      </c>
      <c r="K192" s="16">
        <f>IF($B192="","",TRIM(IF(AND(L192&lt;&gt;"",M192&lt;&gt;"",M192&lt;L192),"Haftungsdatum vor Kündigung. ","")&amp;IF(AND(S192&lt;&gt;"",M192&lt;&gt;"",S192&lt;M192),"Vermietung vor Leerstandsbeginn. ","")&amp;IF(AND(Z192&lt;&gt;"",L192&lt;&gt;"",Z192&lt;L192),"WA-Termin vor Kündigung. ","")&amp;IF(COUNTIFS($B$5:$B$404,$B192,$AY$5:$AY$404,"")&gt;1,"Zweiter offener Fall zum selben Objekt. ","")&amp;IF(AND($A192&lt;&gt;"",COUNTIFS($A$5:$A$404,$A192)&gt;1),"Fall-Nr. doppelt vergeben. ","")&amp;IF(E192="","ex-Mieter fehlt. ","")&amp;IF(M192="","Haftungsdatum fehlt. ","")&amp;IF(F192="","Bewirtschafter fehlt. ","")&amp;IF(AND(AY192&lt;&gt;"",AW192=""),"Abgeschlossen trotz offener Schlussabrechnung. ","")&amp;IF(AND(AY192="",S192="",ISNUMBER(J192),J192&gt;60),"Langläufer über 60 Tage. ","")))</f>
        <v/>
      </c>
      <c r="L192" s="18" t="n"/>
      <c r="M192" s="18" t="n"/>
      <c r="N192" s="19">
        <f>IF(M192="","",M192+1)</f>
        <v/>
      </c>
      <c r="O192" s="17">
        <f>IF(OR(L192="",M192=""),"",M192-L192)</f>
        <v/>
      </c>
      <c r="P192" s="16">
        <f>IF(M192="","",YEAR(M192+1)&amp;"-"&amp;TEXT(MONTH(M192+1),"00"))</f>
        <v/>
      </c>
      <c r="Q192" s="18" t="n"/>
      <c r="R192" s="15" t="n"/>
      <c r="S192" s="18" t="n"/>
      <c r="T192" s="16">
        <f>IF(U192="","",IF(LEFT(U192,1)="6","abgeschlossen",IF(OR(LEFT(U192,1)="1",LEFT(U192,1)="2"),"Kündigung &amp; Abnahme",IF(OR(LEFT(U192,1)="3",LEFT(U192,1)="4"),"Wiedervermietung","Schlussabrechnung"))))</f>
        <v/>
      </c>
      <c r="U192" s="16">
        <f>IF($B192="","",IF(AY192&lt;&gt;"","6 · abgeschlossen",IF(AW192&lt;&gt;"","5 · bereit zum Abschluss",IF(AT192&lt;&gt;"","5 · Schlussabrechnung",IF(AO192&lt;&gt;"","4 · Übergabe",IF(AM192&lt;&gt;"","3 · Neuvermietung",IF(M192&lt;&gt;"","2 · Abnahme &amp; Vermarktung","1 · Erfassung")))))))</f>
        <v/>
      </c>
      <c r="V192" s="15" t="n"/>
      <c r="W192" s="20" t="n"/>
      <c r="X192" s="15" t="n"/>
      <c r="Y192" s="15" t="n"/>
      <c r="Z192" s="18" t="n"/>
      <c r="AA192" s="19">
        <f>IF(M192="","",M192-30)</f>
        <v/>
      </c>
      <c r="AB192" s="19">
        <f>IF(ISNUMBER(AJ192),AJ192+3,"")</f>
        <v/>
      </c>
      <c r="AC192" s="18" t="n"/>
      <c r="AD192" s="18" t="n"/>
      <c r="AE192" s="18" t="n"/>
      <c r="AF192" s="18" t="n"/>
      <c r="AG192" s="18" t="n"/>
      <c r="AH192" s="18" t="n"/>
      <c r="AI192" s="18" t="n"/>
      <c r="AJ192" s="18" t="n"/>
      <c r="AK192" s="18" t="n"/>
      <c r="AL192" s="18" t="n"/>
      <c r="AM192" s="18" t="n"/>
      <c r="AN192" s="18" t="n"/>
      <c r="AO192" s="18" t="n"/>
      <c r="AP192" s="18" t="n"/>
      <c r="AQ192" s="18" t="n"/>
      <c r="AR192" s="18" t="n"/>
      <c r="AS192" s="18" t="n"/>
      <c r="AT192" s="18" t="n"/>
      <c r="AU192" s="18" t="n"/>
      <c r="AV192" s="18" t="n"/>
      <c r="AW192" s="18" t="n"/>
      <c r="AX192" s="18" t="n"/>
      <c r="AY192" s="18" t="n"/>
      <c r="AZ192" s="15" t="n"/>
    </row>
    <row r="193">
      <c r="A193" s="15" t="n"/>
      <c r="B193" s="15" t="n"/>
      <c r="C193" s="15" t="n"/>
      <c r="D193" s="15" t="n"/>
      <c r="E193" s="15" t="n"/>
      <c r="F193" s="15" t="n"/>
      <c r="G193" s="16">
        <f>IF(F193="","",IFERROR(INDEX(Stammdaten!$B$5:$B$24,MATCH(F193,Stammdaten!$A$5:$A$24,0)),"unbekannt"))</f>
        <v/>
      </c>
      <c r="H193" s="16">
        <f>IF($B193="","",IF(AY193&lt;&gt;"","abgeschlossen",IF(AND(ISNUMBER(AX193),AX193&gt;=TODAY()),"zurückgestellt",IF(OR(AND(ISNUMBER(AA193),AA193&lt;TODAY(),Z193="",AJ193=""),AND(ISNUMBER(Z193),Z193&lt;TODAY(),AJ193=""),AND(ISNUMBER(AB193),AB193&lt;TODAY(),AK193=""),AND(ISNUMBER(AC193),AC193&lt;TODAY(),AO193=""),AND(ISNUMBER(AD193),AD193&lt;TODAY(),AQ193="")),"überfällig","offen"))))</f>
        <v/>
      </c>
      <c r="I193" s="16">
        <f>IF($B193="","",IF(AY193&lt;&gt;"","—",IF(AND(ISNUMBER(AA193),AA193&lt;TODAY(),Z193="",AJ193=""),"Abnahmetermin vereinbaren – Sollfrist verstrichen",IF(AND(ISNUMBER(Z193),Z193&lt;TODAY(),AJ193=""),"Wohnungsabnahme nachtragen – Termin war fällig",IF(AND(ISNUMBER(AB193),AB193&lt;TODAY(),AK193=""),"Handwerker aufbieten – Frist verstrichen",IF(AND(ISNUMBER(AC193),AC193&lt;TODAY(),AO193=""),"Vertrag retour mahnen – Frist verstrichen",IF(AND(ISNUMBER(AD193),AD193&lt;TODAY(),AQ193=""),"Schlüsselübergabe nachtragen – Termin war fällig",IF(M193="","Haftungsdatum erfassen",IF(E193="","ex-Mieter erfassen",IF(AE193="","Kündigung bestätigen / G-Rem",IF(AF193="","Werke / EGT melden",IF(AG193="","Vorbesichtigung (oder n.e.)",IF(AH193="","VMZ aktualisieren",IF(AI193="","Inserat aufschalten",IF(AND(Z193="",AJ193=""),"Abnahmetermin vereinbaren",IF(AJ193="","Wohnungsabnahme durchführen",IF(AK193="","Handwerker aufbieten",IF(AL193="","Zustimmungserklärung einholen",IF(AM193="","Instandstellungen beauftragen",IF(R193="","Nachmieter erfassen",IF(AN193="","Vertrag versenden",IF(AO193="","Vertrag retour erfassen",IF(S193="","Vermietet per erfassen",IF(AP193="","Werke / EGT über Einzug informieren",IF(AND(AD193="",AQ193=""),"Schlüsselübergabe terminieren",IF(AQ193="","Schlüsselübergabe durchführen",IF(AR193="","Reinigung veranlassen",IF(AS193="","Namensschilder bestellen",IF(AT193="","Kaution prüfen / G-Rem mutieren",IF(AU193="","Instandstellungs-Rechnung erfassen",IF(AV193="","Schlussabrechnung erstellen",IF(AW193="","Zahlungseingang kontrollieren","Fall abschliessen"))))))))))))))))))))))))))))))))</f>
        <v/>
      </c>
      <c r="J193" s="17">
        <f>IF(M193="","",IF(S193&lt;&gt;"",MAX(0,S193-M193-1),MAX(0,TODAY()-M193)))</f>
        <v/>
      </c>
      <c r="K193" s="16">
        <f>IF($B193="","",TRIM(IF(AND(L193&lt;&gt;"",M193&lt;&gt;"",M193&lt;L193),"Haftungsdatum vor Kündigung. ","")&amp;IF(AND(S193&lt;&gt;"",M193&lt;&gt;"",S193&lt;M193),"Vermietung vor Leerstandsbeginn. ","")&amp;IF(AND(Z193&lt;&gt;"",L193&lt;&gt;"",Z193&lt;L193),"WA-Termin vor Kündigung. ","")&amp;IF(COUNTIFS($B$5:$B$404,$B193,$AY$5:$AY$404,"")&gt;1,"Zweiter offener Fall zum selben Objekt. ","")&amp;IF(AND($A193&lt;&gt;"",COUNTIFS($A$5:$A$404,$A193)&gt;1),"Fall-Nr. doppelt vergeben. ","")&amp;IF(E193="","ex-Mieter fehlt. ","")&amp;IF(M193="","Haftungsdatum fehlt. ","")&amp;IF(F193="","Bewirtschafter fehlt. ","")&amp;IF(AND(AY193&lt;&gt;"",AW193=""),"Abgeschlossen trotz offener Schlussabrechnung. ","")&amp;IF(AND(AY193="",S193="",ISNUMBER(J193),J193&gt;60),"Langläufer über 60 Tage. ","")))</f>
        <v/>
      </c>
      <c r="L193" s="18" t="n"/>
      <c r="M193" s="18" t="n"/>
      <c r="N193" s="19">
        <f>IF(M193="","",M193+1)</f>
        <v/>
      </c>
      <c r="O193" s="17">
        <f>IF(OR(L193="",M193=""),"",M193-L193)</f>
        <v/>
      </c>
      <c r="P193" s="16">
        <f>IF(M193="","",YEAR(M193+1)&amp;"-"&amp;TEXT(MONTH(M193+1),"00"))</f>
        <v/>
      </c>
      <c r="Q193" s="18" t="n"/>
      <c r="R193" s="15" t="n"/>
      <c r="S193" s="18" t="n"/>
      <c r="T193" s="16">
        <f>IF(U193="","",IF(LEFT(U193,1)="6","abgeschlossen",IF(OR(LEFT(U193,1)="1",LEFT(U193,1)="2"),"Kündigung &amp; Abnahme",IF(OR(LEFT(U193,1)="3",LEFT(U193,1)="4"),"Wiedervermietung","Schlussabrechnung"))))</f>
        <v/>
      </c>
      <c r="U193" s="16">
        <f>IF($B193="","",IF(AY193&lt;&gt;"","6 · abgeschlossen",IF(AW193&lt;&gt;"","5 · bereit zum Abschluss",IF(AT193&lt;&gt;"","5 · Schlussabrechnung",IF(AO193&lt;&gt;"","4 · Übergabe",IF(AM193&lt;&gt;"","3 · Neuvermietung",IF(M193&lt;&gt;"","2 · Abnahme &amp; Vermarktung","1 · Erfassung")))))))</f>
        <v/>
      </c>
      <c r="V193" s="15" t="n"/>
      <c r="W193" s="20" t="n"/>
      <c r="X193" s="15" t="n"/>
      <c r="Y193" s="15" t="n"/>
      <c r="Z193" s="18" t="n"/>
      <c r="AA193" s="19">
        <f>IF(M193="","",M193-30)</f>
        <v/>
      </c>
      <c r="AB193" s="19">
        <f>IF(ISNUMBER(AJ193),AJ193+3,"")</f>
        <v/>
      </c>
      <c r="AC193" s="18" t="n"/>
      <c r="AD193" s="18" t="n"/>
      <c r="AE193" s="18" t="n"/>
      <c r="AF193" s="18" t="n"/>
      <c r="AG193" s="18" t="n"/>
      <c r="AH193" s="18" t="n"/>
      <c r="AI193" s="18" t="n"/>
      <c r="AJ193" s="18" t="n"/>
      <c r="AK193" s="18" t="n"/>
      <c r="AL193" s="18" t="n"/>
      <c r="AM193" s="18" t="n"/>
      <c r="AN193" s="18" t="n"/>
      <c r="AO193" s="18" t="n"/>
      <c r="AP193" s="18" t="n"/>
      <c r="AQ193" s="18" t="n"/>
      <c r="AR193" s="18" t="n"/>
      <c r="AS193" s="18" t="n"/>
      <c r="AT193" s="18" t="n"/>
      <c r="AU193" s="18" t="n"/>
      <c r="AV193" s="18" t="n"/>
      <c r="AW193" s="18" t="n"/>
      <c r="AX193" s="18" t="n"/>
      <c r="AY193" s="18" t="n"/>
      <c r="AZ193" s="15" t="n"/>
    </row>
    <row r="194">
      <c r="A194" s="15" t="n"/>
      <c r="B194" s="15" t="n"/>
      <c r="C194" s="15" t="n"/>
      <c r="D194" s="15" t="n"/>
      <c r="E194" s="15" t="n"/>
      <c r="F194" s="15" t="n"/>
      <c r="G194" s="16">
        <f>IF(F194="","",IFERROR(INDEX(Stammdaten!$B$5:$B$24,MATCH(F194,Stammdaten!$A$5:$A$24,0)),"unbekannt"))</f>
        <v/>
      </c>
      <c r="H194" s="16">
        <f>IF($B194="","",IF(AY194&lt;&gt;"","abgeschlossen",IF(AND(ISNUMBER(AX194),AX194&gt;=TODAY()),"zurückgestellt",IF(OR(AND(ISNUMBER(AA194),AA194&lt;TODAY(),Z194="",AJ194=""),AND(ISNUMBER(Z194),Z194&lt;TODAY(),AJ194=""),AND(ISNUMBER(AB194),AB194&lt;TODAY(),AK194=""),AND(ISNUMBER(AC194),AC194&lt;TODAY(),AO194=""),AND(ISNUMBER(AD194),AD194&lt;TODAY(),AQ194="")),"überfällig","offen"))))</f>
        <v/>
      </c>
      <c r="I194" s="16">
        <f>IF($B194="","",IF(AY194&lt;&gt;"","—",IF(AND(ISNUMBER(AA194),AA194&lt;TODAY(),Z194="",AJ194=""),"Abnahmetermin vereinbaren – Sollfrist verstrichen",IF(AND(ISNUMBER(Z194),Z194&lt;TODAY(),AJ194=""),"Wohnungsabnahme nachtragen – Termin war fällig",IF(AND(ISNUMBER(AB194),AB194&lt;TODAY(),AK194=""),"Handwerker aufbieten – Frist verstrichen",IF(AND(ISNUMBER(AC194),AC194&lt;TODAY(),AO194=""),"Vertrag retour mahnen – Frist verstrichen",IF(AND(ISNUMBER(AD194),AD194&lt;TODAY(),AQ194=""),"Schlüsselübergabe nachtragen – Termin war fällig",IF(M194="","Haftungsdatum erfassen",IF(E194="","ex-Mieter erfassen",IF(AE194="","Kündigung bestätigen / G-Rem",IF(AF194="","Werke / EGT melden",IF(AG194="","Vorbesichtigung (oder n.e.)",IF(AH194="","VMZ aktualisieren",IF(AI194="","Inserat aufschalten",IF(AND(Z194="",AJ194=""),"Abnahmetermin vereinbaren",IF(AJ194="","Wohnungsabnahme durchführen",IF(AK194="","Handwerker aufbieten",IF(AL194="","Zustimmungserklärung einholen",IF(AM194="","Instandstellungen beauftragen",IF(R194="","Nachmieter erfassen",IF(AN194="","Vertrag versenden",IF(AO194="","Vertrag retour erfassen",IF(S194="","Vermietet per erfassen",IF(AP194="","Werke / EGT über Einzug informieren",IF(AND(AD194="",AQ194=""),"Schlüsselübergabe terminieren",IF(AQ194="","Schlüsselübergabe durchführen",IF(AR194="","Reinigung veranlassen",IF(AS194="","Namensschilder bestellen",IF(AT194="","Kaution prüfen / G-Rem mutieren",IF(AU194="","Instandstellungs-Rechnung erfassen",IF(AV194="","Schlussabrechnung erstellen",IF(AW194="","Zahlungseingang kontrollieren","Fall abschliessen"))))))))))))))))))))))))))))))))</f>
        <v/>
      </c>
      <c r="J194" s="17">
        <f>IF(M194="","",IF(S194&lt;&gt;"",MAX(0,S194-M194-1),MAX(0,TODAY()-M194)))</f>
        <v/>
      </c>
      <c r="K194" s="16">
        <f>IF($B194="","",TRIM(IF(AND(L194&lt;&gt;"",M194&lt;&gt;"",M194&lt;L194),"Haftungsdatum vor Kündigung. ","")&amp;IF(AND(S194&lt;&gt;"",M194&lt;&gt;"",S194&lt;M194),"Vermietung vor Leerstandsbeginn. ","")&amp;IF(AND(Z194&lt;&gt;"",L194&lt;&gt;"",Z194&lt;L194),"WA-Termin vor Kündigung. ","")&amp;IF(COUNTIFS($B$5:$B$404,$B194,$AY$5:$AY$404,"")&gt;1,"Zweiter offener Fall zum selben Objekt. ","")&amp;IF(AND($A194&lt;&gt;"",COUNTIFS($A$5:$A$404,$A194)&gt;1),"Fall-Nr. doppelt vergeben. ","")&amp;IF(E194="","ex-Mieter fehlt. ","")&amp;IF(M194="","Haftungsdatum fehlt. ","")&amp;IF(F194="","Bewirtschafter fehlt. ","")&amp;IF(AND(AY194&lt;&gt;"",AW194=""),"Abgeschlossen trotz offener Schlussabrechnung. ","")&amp;IF(AND(AY194="",S194="",ISNUMBER(J194),J194&gt;60),"Langläufer über 60 Tage. ","")))</f>
        <v/>
      </c>
      <c r="L194" s="18" t="n"/>
      <c r="M194" s="18" t="n"/>
      <c r="N194" s="19">
        <f>IF(M194="","",M194+1)</f>
        <v/>
      </c>
      <c r="O194" s="17">
        <f>IF(OR(L194="",M194=""),"",M194-L194)</f>
        <v/>
      </c>
      <c r="P194" s="16">
        <f>IF(M194="","",YEAR(M194+1)&amp;"-"&amp;TEXT(MONTH(M194+1),"00"))</f>
        <v/>
      </c>
      <c r="Q194" s="18" t="n"/>
      <c r="R194" s="15" t="n"/>
      <c r="S194" s="18" t="n"/>
      <c r="T194" s="16">
        <f>IF(U194="","",IF(LEFT(U194,1)="6","abgeschlossen",IF(OR(LEFT(U194,1)="1",LEFT(U194,1)="2"),"Kündigung &amp; Abnahme",IF(OR(LEFT(U194,1)="3",LEFT(U194,1)="4"),"Wiedervermietung","Schlussabrechnung"))))</f>
        <v/>
      </c>
      <c r="U194" s="16">
        <f>IF($B194="","",IF(AY194&lt;&gt;"","6 · abgeschlossen",IF(AW194&lt;&gt;"","5 · bereit zum Abschluss",IF(AT194&lt;&gt;"","5 · Schlussabrechnung",IF(AO194&lt;&gt;"","4 · Übergabe",IF(AM194&lt;&gt;"","3 · Neuvermietung",IF(M194&lt;&gt;"","2 · Abnahme &amp; Vermarktung","1 · Erfassung")))))))</f>
        <v/>
      </c>
      <c r="V194" s="15" t="n"/>
      <c r="W194" s="20" t="n"/>
      <c r="X194" s="15" t="n"/>
      <c r="Y194" s="15" t="n"/>
      <c r="Z194" s="18" t="n"/>
      <c r="AA194" s="19">
        <f>IF(M194="","",M194-30)</f>
        <v/>
      </c>
      <c r="AB194" s="19">
        <f>IF(ISNUMBER(AJ194),AJ194+3,"")</f>
        <v/>
      </c>
      <c r="AC194" s="18" t="n"/>
      <c r="AD194" s="18" t="n"/>
      <c r="AE194" s="18" t="n"/>
      <c r="AF194" s="18" t="n"/>
      <c r="AG194" s="18" t="n"/>
      <c r="AH194" s="18" t="n"/>
      <c r="AI194" s="18" t="n"/>
      <c r="AJ194" s="18" t="n"/>
      <c r="AK194" s="18" t="n"/>
      <c r="AL194" s="18" t="n"/>
      <c r="AM194" s="18" t="n"/>
      <c r="AN194" s="18" t="n"/>
      <c r="AO194" s="18" t="n"/>
      <c r="AP194" s="18" t="n"/>
      <c r="AQ194" s="18" t="n"/>
      <c r="AR194" s="18" t="n"/>
      <c r="AS194" s="18" t="n"/>
      <c r="AT194" s="18" t="n"/>
      <c r="AU194" s="18" t="n"/>
      <c r="AV194" s="18" t="n"/>
      <c r="AW194" s="18" t="n"/>
      <c r="AX194" s="18" t="n"/>
      <c r="AY194" s="18" t="n"/>
      <c r="AZ194" s="15" t="n"/>
    </row>
    <row r="195">
      <c r="A195" s="15" t="n"/>
      <c r="B195" s="15" t="n"/>
      <c r="C195" s="15" t="n"/>
      <c r="D195" s="15" t="n"/>
      <c r="E195" s="15" t="n"/>
      <c r="F195" s="15" t="n"/>
      <c r="G195" s="16">
        <f>IF(F195="","",IFERROR(INDEX(Stammdaten!$B$5:$B$24,MATCH(F195,Stammdaten!$A$5:$A$24,0)),"unbekannt"))</f>
        <v/>
      </c>
      <c r="H195" s="16">
        <f>IF($B195="","",IF(AY195&lt;&gt;"","abgeschlossen",IF(AND(ISNUMBER(AX195),AX195&gt;=TODAY()),"zurückgestellt",IF(OR(AND(ISNUMBER(AA195),AA195&lt;TODAY(),Z195="",AJ195=""),AND(ISNUMBER(Z195),Z195&lt;TODAY(),AJ195=""),AND(ISNUMBER(AB195),AB195&lt;TODAY(),AK195=""),AND(ISNUMBER(AC195),AC195&lt;TODAY(),AO195=""),AND(ISNUMBER(AD195),AD195&lt;TODAY(),AQ195="")),"überfällig","offen"))))</f>
        <v/>
      </c>
      <c r="I195" s="16">
        <f>IF($B195="","",IF(AY195&lt;&gt;"","—",IF(AND(ISNUMBER(AA195),AA195&lt;TODAY(),Z195="",AJ195=""),"Abnahmetermin vereinbaren – Sollfrist verstrichen",IF(AND(ISNUMBER(Z195),Z195&lt;TODAY(),AJ195=""),"Wohnungsabnahme nachtragen – Termin war fällig",IF(AND(ISNUMBER(AB195),AB195&lt;TODAY(),AK195=""),"Handwerker aufbieten – Frist verstrichen",IF(AND(ISNUMBER(AC195),AC195&lt;TODAY(),AO195=""),"Vertrag retour mahnen – Frist verstrichen",IF(AND(ISNUMBER(AD195),AD195&lt;TODAY(),AQ195=""),"Schlüsselübergabe nachtragen – Termin war fällig",IF(M195="","Haftungsdatum erfassen",IF(E195="","ex-Mieter erfassen",IF(AE195="","Kündigung bestätigen / G-Rem",IF(AF195="","Werke / EGT melden",IF(AG195="","Vorbesichtigung (oder n.e.)",IF(AH195="","VMZ aktualisieren",IF(AI195="","Inserat aufschalten",IF(AND(Z195="",AJ195=""),"Abnahmetermin vereinbaren",IF(AJ195="","Wohnungsabnahme durchführen",IF(AK195="","Handwerker aufbieten",IF(AL195="","Zustimmungserklärung einholen",IF(AM195="","Instandstellungen beauftragen",IF(R195="","Nachmieter erfassen",IF(AN195="","Vertrag versenden",IF(AO195="","Vertrag retour erfassen",IF(S195="","Vermietet per erfassen",IF(AP195="","Werke / EGT über Einzug informieren",IF(AND(AD195="",AQ195=""),"Schlüsselübergabe terminieren",IF(AQ195="","Schlüsselübergabe durchführen",IF(AR195="","Reinigung veranlassen",IF(AS195="","Namensschilder bestellen",IF(AT195="","Kaution prüfen / G-Rem mutieren",IF(AU195="","Instandstellungs-Rechnung erfassen",IF(AV195="","Schlussabrechnung erstellen",IF(AW195="","Zahlungseingang kontrollieren","Fall abschliessen"))))))))))))))))))))))))))))))))</f>
        <v/>
      </c>
      <c r="J195" s="17">
        <f>IF(M195="","",IF(S195&lt;&gt;"",MAX(0,S195-M195-1),MAX(0,TODAY()-M195)))</f>
        <v/>
      </c>
      <c r="K195" s="16">
        <f>IF($B195="","",TRIM(IF(AND(L195&lt;&gt;"",M195&lt;&gt;"",M195&lt;L195),"Haftungsdatum vor Kündigung. ","")&amp;IF(AND(S195&lt;&gt;"",M195&lt;&gt;"",S195&lt;M195),"Vermietung vor Leerstandsbeginn. ","")&amp;IF(AND(Z195&lt;&gt;"",L195&lt;&gt;"",Z195&lt;L195),"WA-Termin vor Kündigung. ","")&amp;IF(COUNTIFS($B$5:$B$404,$B195,$AY$5:$AY$404,"")&gt;1,"Zweiter offener Fall zum selben Objekt. ","")&amp;IF(AND($A195&lt;&gt;"",COUNTIFS($A$5:$A$404,$A195)&gt;1),"Fall-Nr. doppelt vergeben. ","")&amp;IF(E195="","ex-Mieter fehlt. ","")&amp;IF(M195="","Haftungsdatum fehlt. ","")&amp;IF(F195="","Bewirtschafter fehlt. ","")&amp;IF(AND(AY195&lt;&gt;"",AW195=""),"Abgeschlossen trotz offener Schlussabrechnung. ","")&amp;IF(AND(AY195="",S195="",ISNUMBER(J195),J195&gt;60),"Langläufer über 60 Tage. ","")))</f>
        <v/>
      </c>
      <c r="L195" s="18" t="n"/>
      <c r="M195" s="18" t="n"/>
      <c r="N195" s="19">
        <f>IF(M195="","",M195+1)</f>
        <v/>
      </c>
      <c r="O195" s="17">
        <f>IF(OR(L195="",M195=""),"",M195-L195)</f>
        <v/>
      </c>
      <c r="P195" s="16">
        <f>IF(M195="","",YEAR(M195+1)&amp;"-"&amp;TEXT(MONTH(M195+1),"00"))</f>
        <v/>
      </c>
      <c r="Q195" s="18" t="n"/>
      <c r="R195" s="15" t="n"/>
      <c r="S195" s="18" t="n"/>
      <c r="T195" s="16">
        <f>IF(U195="","",IF(LEFT(U195,1)="6","abgeschlossen",IF(OR(LEFT(U195,1)="1",LEFT(U195,1)="2"),"Kündigung &amp; Abnahme",IF(OR(LEFT(U195,1)="3",LEFT(U195,1)="4"),"Wiedervermietung","Schlussabrechnung"))))</f>
        <v/>
      </c>
      <c r="U195" s="16">
        <f>IF($B195="","",IF(AY195&lt;&gt;"","6 · abgeschlossen",IF(AW195&lt;&gt;"","5 · bereit zum Abschluss",IF(AT195&lt;&gt;"","5 · Schlussabrechnung",IF(AO195&lt;&gt;"","4 · Übergabe",IF(AM195&lt;&gt;"","3 · Neuvermietung",IF(M195&lt;&gt;"","2 · Abnahme &amp; Vermarktung","1 · Erfassung")))))))</f>
        <v/>
      </c>
      <c r="V195" s="15" t="n"/>
      <c r="W195" s="20" t="n"/>
      <c r="X195" s="15" t="n"/>
      <c r="Y195" s="15" t="n"/>
      <c r="Z195" s="18" t="n"/>
      <c r="AA195" s="19">
        <f>IF(M195="","",M195-30)</f>
        <v/>
      </c>
      <c r="AB195" s="19">
        <f>IF(ISNUMBER(AJ195),AJ195+3,"")</f>
        <v/>
      </c>
      <c r="AC195" s="18" t="n"/>
      <c r="AD195" s="18" t="n"/>
      <c r="AE195" s="18" t="n"/>
      <c r="AF195" s="18" t="n"/>
      <c r="AG195" s="18" t="n"/>
      <c r="AH195" s="18" t="n"/>
      <c r="AI195" s="18" t="n"/>
      <c r="AJ195" s="18" t="n"/>
      <c r="AK195" s="18" t="n"/>
      <c r="AL195" s="18" t="n"/>
      <c r="AM195" s="18" t="n"/>
      <c r="AN195" s="18" t="n"/>
      <c r="AO195" s="18" t="n"/>
      <c r="AP195" s="18" t="n"/>
      <c r="AQ195" s="18" t="n"/>
      <c r="AR195" s="18" t="n"/>
      <c r="AS195" s="18" t="n"/>
      <c r="AT195" s="18" t="n"/>
      <c r="AU195" s="18" t="n"/>
      <c r="AV195" s="18" t="n"/>
      <c r="AW195" s="18" t="n"/>
      <c r="AX195" s="18" t="n"/>
      <c r="AY195" s="18" t="n"/>
      <c r="AZ195" s="15" t="n"/>
    </row>
    <row r="196">
      <c r="A196" s="15" t="n"/>
      <c r="B196" s="15" t="n"/>
      <c r="C196" s="15" t="n"/>
      <c r="D196" s="15" t="n"/>
      <c r="E196" s="15" t="n"/>
      <c r="F196" s="15" t="n"/>
      <c r="G196" s="16">
        <f>IF(F196="","",IFERROR(INDEX(Stammdaten!$B$5:$B$24,MATCH(F196,Stammdaten!$A$5:$A$24,0)),"unbekannt"))</f>
        <v/>
      </c>
      <c r="H196" s="16">
        <f>IF($B196="","",IF(AY196&lt;&gt;"","abgeschlossen",IF(AND(ISNUMBER(AX196),AX196&gt;=TODAY()),"zurückgestellt",IF(OR(AND(ISNUMBER(AA196),AA196&lt;TODAY(),Z196="",AJ196=""),AND(ISNUMBER(Z196),Z196&lt;TODAY(),AJ196=""),AND(ISNUMBER(AB196),AB196&lt;TODAY(),AK196=""),AND(ISNUMBER(AC196),AC196&lt;TODAY(),AO196=""),AND(ISNUMBER(AD196),AD196&lt;TODAY(),AQ196="")),"überfällig","offen"))))</f>
        <v/>
      </c>
      <c r="I196" s="16">
        <f>IF($B196="","",IF(AY196&lt;&gt;"","—",IF(AND(ISNUMBER(AA196),AA196&lt;TODAY(),Z196="",AJ196=""),"Abnahmetermin vereinbaren – Sollfrist verstrichen",IF(AND(ISNUMBER(Z196),Z196&lt;TODAY(),AJ196=""),"Wohnungsabnahme nachtragen – Termin war fällig",IF(AND(ISNUMBER(AB196),AB196&lt;TODAY(),AK196=""),"Handwerker aufbieten – Frist verstrichen",IF(AND(ISNUMBER(AC196),AC196&lt;TODAY(),AO196=""),"Vertrag retour mahnen – Frist verstrichen",IF(AND(ISNUMBER(AD196),AD196&lt;TODAY(),AQ196=""),"Schlüsselübergabe nachtragen – Termin war fällig",IF(M196="","Haftungsdatum erfassen",IF(E196="","ex-Mieter erfassen",IF(AE196="","Kündigung bestätigen / G-Rem",IF(AF196="","Werke / EGT melden",IF(AG196="","Vorbesichtigung (oder n.e.)",IF(AH196="","VMZ aktualisieren",IF(AI196="","Inserat aufschalten",IF(AND(Z196="",AJ196=""),"Abnahmetermin vereinbaren",IF(AJ196="","Wohnungsabnahme durchführen",IF(AK196="","Handwerker aufbieten",IF(AL196="","Zustimmungserklärung einholen",IF(AM196="","Instandstellungen beauftragen",IF(R196="","Nachmieter erfassen",IF(AN196="","Vertrag versenden",IF(AO196="","Vertrag retour erfassen",IF(S196="","Vermietet per erfassen",IF(AP196="","Werke / EGT über Einzug informieren",IF(AND(AD196="",AQ196=""),"Schlüsselübergabe terminieren",IF(AQ196="","Schlüsselübergabe durchführen",IF(AR196="","Reinigung veranlassen",IF(AS196="","Namensschilder bestellen",IF(AT196="","Kaution prüfen / G-Rem mutieren",IF(AU196="","Instandstellungs-Rechnung erfassen",IF(AV196="","Schlussabrechnung erstellen",IF(AW196="","Zahlungseingang kontrollieren","Fall abschliessen"))))))))))))))))))))))))))))))))</f>
        <v/>
      </c>
      <c r="J196" s="17">
        <f>IF(M196="","",IF(S196&lt;&gt;"",MAX(0,S196-M196-1),MAX(0,TODAY()-M196)))</f>
        <v/>
      </c>
      <c r="K196" s="16">
        <f>IF($B196="","",TRIM(IF(AND(L196&lt;&gt;"",M196&lt;&gt;"",M196&lt;L196),"Haftungsdatum vor Kündigung. ","")&amp;IF(AND(S196&lt;&gt;"",M196&lt;&gt;"",S196&lt;M196),"Vermietung vor Leerstandsbeginn. ","")&amp;IF(AND(Z196&lt;&gt;"",L196&lt;&gt;"",Z196&lt;L196),"WA-Termin vor Kündigung. ","")&amp;IF(COUNTIFS($B$5:$B$404,$B196,$AY$5:$AY$404,"")&gt;1,"Zweiter offener Fall zum selben Objekt. ","")&amp;IF(AND($A196&lt;&gt;"",COUNTIFS($A$5:$A$404,$A196)&gt;1),"Fall-Nr. doppelt vergeben. ","")&amp;IF(E196="","ex-Mieter fehlt. ","")&amp;IF(M196="","Haftungsdatum fehlt. ","")&amp;IF(F196="","Bewirtschafter fehlt. ","")&amp;IF(AND(AY196&lt;&gt;"",AW196=""),"Abgeschlossen trotz offener Schlussabrechnung. ","")&amp;IF(AND(AY196="",S196="",ISNUMBER(J196),J196&gt;60),"Langläufer über 60 Tage. ","")))</f>
        <v/>
      </c>
      <c r="L196" s="18" t="n"/>
      <c r="M196" s="18" t="n"/>
      <c r="N196" s="19">
        <f>IF(M196="","",M196+1)</f>
        <v/>
      </c>
      <c r="O196" s="17">
        <f>IF(OR(L196="",M196=""),"",M196-L196)</f>
        <v/>
      </c>
      <c r="P196" s="16">
        <f>IF(M196="","",YEAR(M196+1)&amp;"-"&amp;TEXT(MONTH(M196+1),"00"))</f>
        <v/>
      </c>
      <c r="Q196" s="18" t="n"/>
      <c r="R196" s="15" t="n"/>
      <c r="S196" s="18" t="n"/>
      <c r="T196" s="16">
        <f>IF(U196="","",IF(LEFT(U196,1)="6","abgeschlossen",IF(OR(LEFT(U196,1)="1",LEFT(U196,1)="2"),"Kündigung &amp; Abnahme",IF(OR(LEFT(U196,1)="3",LEFT(U196,1)="4"),"Wiedervermietung","Schlussabrechnung"))))</f>
        <v/>
      </c>
      <c r="U196" s="16">
        <f>IF($B196="","",IF(AY196&lt;&gt;"","6 · abgeschlossen",IF(AW196&lt;&gt;"","5 · bereit zum Abschluss",IF(AT196&lt;&gt;"","5 · Schlussabrechnung",IF(AO196&lt;&gt;"","4 · Übergabe",IF(AM196&lt;&gt;"","3 · Neuvermietung",IF(M196&lt;&gt;"","2 · Abnahme &amp; Vermarktung","1 · Erfassung")))))))</f>
        <v/>
      </c>
      <c r="V196" s="15" t="n"/>
      <c r="W196" s="20" t="n"/>
      <c r="X196" s="15" t="n"/>
      <c r="Y196" s="15" t="n"/>
      <c r="Z196" s="18" t="n"/>
      <c r="AA196" s="19">
        <f>IF(M196="","",M196-30)</f>
        <v/>
      </c>
      <c r="AB196" s="19">
        <f>IF(ISNUMBER(AJ196),AJ196+3,"")</f>
        <v/>
      </c>
      <c r="AC196" s="18" t="n"/>
      <c r="AD196" s="18" t="n"/>
      <c r="AE196" s="18" t="n"/>
      <c r="AF196" s="18" t="n"/>
      <c r="AG196" s="18" t="n"/>
      <c r="AH196" s="18" t="n"/>
      <c r="AI196" s="18" t="n"/>
      <c r="AJ196" s="18" t="n"/>
      <c r="AK196" s="18" t="n"/>
      <c r="AL196" s="18" t="n"/>
      <c r="AM196" s="18" t="n"/>
      <c r="AN196" s="18" t="n"/>
      <c r="AO196" s="18" t="n"/>
      <c r="AP196" s="18" t="n"/>
      <c r="AQ196" s="18" t="n"/>
      <c r="AR196" s="18" t="n"/>
      <c r="AS196" s="18" t="n"/>
      <c r="AT196" s="18" t="n"/>
      <c r="AU196" s="18" t="n"/>
      <c r="AV196" s="18" t="n"/>
      <c r="AW196" s="18" t="n"/>
      <c r="AX196" s="18" t="n"/>
      <c r="AY196" s="18" t="n"/>
      <c r="AZ196" s="15" t="n"/>
    </row>
    <row r="197">
      <c r="A197" s="15" t="n"/>
      <c r="B197" s="15" t="n"/>
      <c r="C197" s="15" t="n"/>
      <c r="D197" s="15" t="n"/>
      <c r="E197" s="15" t="n"/>
      <c r="F197" s="15" t="n"/>
      <c r="G197" s="16">
        <f>IF(F197="","",IFERROR(INDEX(Stammdaten!$B$5:$B$24,MATCH(F197,Stammdaten!$A$5:$A$24,0)),"unbekannt"))</f>
        <v/>
      </c>
      <c r="H197" s="16">
        <f>IF($B197="","",IF(AY197&lt;&gt;"","abgeschlossen",IF(AND(ISNUMBER(AX197),AX197&gt;=TODAY()),"zurückgestellt",IF(OR(AND(ISNUMBER(AA197),AA197&lt;TODAY(),Z197="",AJ197=""),AND(ISNUMBER(Z197),Z197&lt;TODAY(),AJ197=""),AND(ISNUMBER(AB197),AB197&lt;TODAY(),AK197=""),AND(ISNUMBER(AC197),AC197&lt;TODAY(),AO197=""),AND(ISNUMBER(AD197),AD197&lt;TODAY(),AQ197="")),"überfällig","offen"))))</f>
        <v/>
      </c>
      <c r="I197" s="16">
        <f>IF($B197="","",IF(AY197&lt;&gt;"","—",IF(AND(ISNUMBER(AA197),AA197&lt;TODAY(),Z197="",AJ197=""),"Abnahmetermin vereinbaren – Sollfrist verstrichen",IF(AND(ISNUMBER(Z197),Z197&lt;TODAY(),AJ197=""),"Wohnungsabnahme nachtragen – Termin war fällig",IF(AND(ISNUMBER(AB197),AB197&lt;TODAY(),AK197=""),"Handwerker aufbieten – Frist verstrichen",IF(AND(ISNUMBER(AC197),AC197&lt;TODAY(),AO197=""),"Vertrag retour mahnen – Frist verstrichen",IF(AND(ISNUMBER(AD197),AD197&lt;TODAY(),AQ197=""),"Schlüsselübergabe nachtragen – Termin war fällig",IF(M197="","Haftungsdatum erfassen",IF(E197="","ex-Mieter erfassen",IF(AE197="","Kündigung bestätigen / G-Rem",IF(AF197="","Werke / EGT melden",IF(AG197="","Vorbesichtigung (oder n.e.)",IF(AH197="","VMZ aktualisieren",IF(AI197="","Inserat aufschalten",IF(AND(Z197="",AJ197=""),"Abnahmetermin vereinbaren",IF(AJ197="","Wohnungsabnahme durchführen",IF(AK197="","Handwerker aufbieten",IF(AL197="","Zustimmungserklärung einholen",IF(AM197="","Instandstellungen beauftragen",IF(R197="","Nachmieter erfassen",IF(AN197="","Vertrag versenden",IF(AO197="","Vertrag retour erfassen",IF(S197="","Vermietet per erfassen",IF(AP197="","Werke / EGT über Einzug informieren",IF(AND(AD197="",AQ197=""),"Schlüsselübergabe terminieren",IF(AQ197="","Schlüsselübergabe durchführen",IF(AR197="","Reinigung veranlassen",IF(AS197="","Namensschilder bestellen",IF(AT197="","Kaution prüfen / G-Rem mutieren",IF(AU197="","Instandstellungs-Rechnung erfassen",IF(AV197="","Schlussabrechnung erstellen",IF(AW197="","Zahlungseingang kontrollieren","Fall abschliessen"))))))))))))))))))))))))))))))))</f>
        <v/>
      </c>
      <c r="J197" s="17">
        <f>IF(M197="","",IF(S197&lt;&gt;"",MAX(0,S197-M197-1),MAX(0,TODAY()-M197)))</f>
        <v/>
      </c>
      <c r="K197" s="16">
        <f>IF($B197="","",TRIM(IF(AND(L197&lt;&gt;"",M197&lt;&gt;"",M197&lt;L197),"Haftungsdatum vor Kündigung. ","")&amp;IF(AND(S197&lt;&gt;"",M197&lt;&gt;"",S197&lt;M197),"Vermietung vor Leerstandsbeginn. ","")&amp;IF(AND(Z197&lt;&gt;"",L197&lt;&gt;"",Z197&lt;L197),"WA-Termin vor Kündigung. ","")&amp;IF(COUNTIFS($B$5:$B$404,$B197,$AY$5:$AY$404,"")&gt;1,"Zweiter offener Fall zum selben Objekt. ","")&amp;IF(AND($A197&lt;&gt;"",COUNTIFS($A$5:$A$404,$A197)&gt;1),"Fall-Nr. doppelt vergeben. ","")&amp;IF(E197="","ex-Mieter fehlt. ","")&amp;IF(M197="","Haftungsdatum fehlt. ","")&amp;IF(F197="","Bewirtschafter fehlt. ","")&amp;IF(AND(AY197&lt;&gt;"",AW197=""),"Abgeschlossen trotz offener Schlussabrechnung. ","")&amp;IF(AND(AY197="",S197="",ISNUMBER(J197),J197&gt;60),"Langläufer über 60 Tage. ","")))</f>
        <v/>
      </c>
      <c r="L197" s="18" t="n"/>
      <c r="M197" s="18" t="n"/>
      <c r="N197" s="19">
        <f>IF(M197="","",M197+1)</f>
        <v/>
      </c>
      <c r="O197" s="17">
        <f>IF(OR(L197="",M197=""),"",M197-L197)</f>
        <v/>
      </c>
      <c r="P197" s="16">
        <f>IF(M197="","",YEAR(M197+1)&amp;"-"&amp;TEXT(MONTH(M197+1),"00"))</f>
        <v/>
      </c>
      <c r="Q197" s="18" t="n"/>
      <c r="R197" s="15" t="n"/>
      <c r="S197" s="18" t="n"/>
      <c r="T197" s="16">
        <f>IF(U197="","",IF(LEFT(U197,1)="6","abgeschlossen",IF(OR(LEFT(U197,1)="1",LEFT(U197,1)="2"),"Kündigung &amp; Abnahme",IF(OR(LEFT(U197,1)="3",LEFT(U197,1)="4"),"Wiedervermietung","Schlussabrechnung"))))</f>
        <v/>
      </c>
      <c r="U197" s="16">
        <f>IF($B197="","",IF(AY197&lt;&gt;"","6 · abgeschlossen",IF(AW197&lt;&gt;"","5 · bereit zum Abschluss",IF(AT197&lt;&gt;"","5 · Schlussabrechnung",IF(AO197&lt;&gt;"","4 · Übergabe",IF(AM197&lt;&gt;"","3 · Neuvermietung",IF(M197&lt;&gt;"","2 · Abnahme &amp; Vermarktung","1 · Erfassung")))))))</f>
        <v/>
      </c>
      <c r="V197" s="15" t="n"/>
      <c r="W197" s="20" t="n"/>
      <c r="X197" s="15" t="n"/>
      <c r="Y197" s="15" t="n"/>
      <c r="Z197" s="18" t="n"/>
      <c r="AA197" s="19">
        <f>IF(M197="","",M197-30)</f>
        <v/>
      </c>
      <c r="AB197" s="19">
        <f>IF(ISNUMBER(AJ197),AJ197+3,"")</f>
        <v/>
      </c>
      <c r="AC197" s="18" t="n"/>
      <c r="AD197" s="18" t="n"/>
      <c r="AE197" s="18" t="n"/>
      <c r="AF197" s="18" t="n"/>
      <c r="AG197" s="18" t="n"/>
      <c r="AH197" s="18" t="n"/>
      <c r="AI197" s="18" t="n"/>
      <c r="AJ197" s="18" t="n"/>
      <c r="AK197" s="18" t="n"/>
      <c r="AL197" s="18" t="n"/>
      <c r="AM197" s="18" t="n"/>
      <c r="AN197" s="18" t="n"/>
      <c r="AO197" s="18" t="n"/>
      <c r="AP197" s="18" t="n"/>
      <c r="AQ197" s="18" t="n"/>
      <c r="AR197" s="18" t="n"/>
      <c r="AS197" s="18" t="n"/>
      <c r="AT197" s="18" t="n"/>
      <c r="AU197" s="18" t="n"/>
      <c r="AV197" s="18" t="n"/>
      <c r="AW197" s="18" t="n"/>
      <c r="AX197" s="18" t="n"/>
      <c r="AY197" s="18" t="n"/>
      <c r="AZ197" s="15" t="n"/>
    </row>
    <row r="198">
      <c r="A198" s="15" t="n"/>
      <c r="B198" s="15" t="n"/>
      <c r="C198" s="15" t="n"/>
      <c r="D198" s="15" t="n"/>
      <c r="E198" s="15" t="n"/>
      <c r="F198" s="15" t="n"/>
      <c r="G198" s="16">
        <f>IF(F198="","",IFERROR(INDEX(Stammdaten!$B$5:$B$24,MATCH(F198,Stammdaten!$A$5:$A$24,0)),"unbekannt"))</f>
        <v/>
      </c>
      <c r="H198" s="16">
        <f>IF($B198="","",IF(AY198&lt;&gt;"","abgeschlossen",IF(AND(ISNUMBER(AX198),AX198&gt;=TODAY()),"zurückgestellt",IF(OR(AND(ISNUMBER(AA198),AA198&lt;TODAY(),Z198="",AJ198=""),AND(ISNUMBER(Z198),Z198&lt;TODAY(),AJ198=""),AND(ISNUMBER(AB198),AB198&lt;TODAY(),AK198=""),AND(ISNUMBER(AC198),AC198&lt;TODAY(),AO198=""),AND(ISNUMBER(AD198),AD198&lt;TODAY(),AQ198="")),"überfällig","offen"))))</f>
        <v/>
      </c>
      <c r="I198" s="16">
        <f>IF($B198="","",IF(AY198&lt;&gt;"","—",IF(AND(ISNUMBER(AA198),AA198&lt;TODAY(),Z198="",AJ198=""),"Abnahmetermin vereinbaren – Sollfrist verstrichen",IF(AND(ISNUMBER(Z198),Z198&lt;TODAY(),AJ198=""),"Wohnungsabnahme nachtragen – Termin war fällig",IF(AND(ISNUMBER(AB198),AB198&lt;TODAY(),AK198=""),"Handwerker aufbieten – Frist verstrichen",IF(AND(ISNUMBER(AC198),AC198&lt;TODAY(),AO198=""),"Vertrag retour mahnen – Frist verstrichen",IF(AND(ISNUMBER(AD198),AD198&lt;TODAY(),AQ198=""),"Schlüsselübergabe nachtragen – Termin war fällig",IF(M198="","Haftungsdatum erfassen",IF(E198="","ex-Mieter erfassen",IF(AE198="","Kündigung bestätigen / G-Rem",IF(AF198="","Werke / EGT melden",IF(AG198="","Vorbesichtigung (oder n.e.)",IF(AH198="","VMZ aktualisieren",IF(AI198="","Inserat aufschalten",IF(AND(Z198="",AJ198=""),"Abnahmetermin vereinbaren",IF(AJ198="","Wohnungsabnahme durchführen",IF(AK198="","Handwerker aufbieten",IF(AL198="","Zustimmungserklärung einholen",IF(AM198="","Instandstellungen beauftragen",IF(R198="","Nachmieter erfassen",IF(AN198="","Vertrag versenden",IF(AO198="","Vertrag retour erfassen",IF(S198="","Vermietet per erfassen",IF(AP198="","Werke / EGT über Einzug informieren",IF(AND(AD198="",AQ198=""),"Schlüsselübergabe terminieren",IF(AQ198="","Schlüsselübergabe durchführen",IF(AR198="","Reinigung veranlassen",IF(AS198="","Namensschilder bestellen",IF(AT198="","Kaution prüfen / G-Rem mutieren",IF(AU198="","Instandstellungs-Rechnung erfassen",IF(AV198="","Schlussabrechnung erstellen",IF(AW198="","Zahlungseingang kontrollieren","Fall abschliessen"))))))))))))))))))))))))))))))))</f>
        <v/>
      </c>
      <c r="J198" s="17">
        <f>IF(M198="","",IF(S198&lt;&gt;"",MAX(0,S198-M198-1),MAX(0,TODAY()-M198)))</f>
        <v/>
      </c>
      <c r="K198" s="16">
        <f>IF($B198="","",TRIM(IF(AND(L198&lt;&gt;"",M198&lt;&gt;"",M198&lt;L198),"Haftungsdatum vor Kündigung. ","")&amp;IF(AND(S198&lt;&gt;"",M198&lt;&gt;"",S198&lt;M198),"Vermietung vor Leerstandsbeginn. ","")&amp;IF(AND(Z198&lt;&gt;"",L198&lt;&gt;"",Z198&lt;L198),"WA-Termin vor Kündigung. ","")&amp;IF(COUNTIFS($B$5:$B$404,$B198,$AY$5:$AY$404,"")&gt;1,"Zweiter offener Fall zum selben Objekt. ","")&amp;IF(AND($A198&lt;&gt;"",COUNTIFS($A$5:$A$404,$A198)&gt;1),"Fall-Nr. doppelt vergeben. ","")&amp;IF(E198="","ex-Mieter fehlt. ","")&amp;IF(M198="","Haftungsdatum fehlt. ","")&amp;IF(F198="","Bewirtschafter fehlt. ","")&amp;IF(AND(AY198&lt;&gt;"",AW198=""),"Abgeschlossen trotz offener Schlussabrechnung. ","")&amp;IF(AND(AY198="",S198="",ISNUMBER(J198),J198&gt;60),"Langläufer über 60 Tage. ","")))</f>
        <v/>
      </c>
      <c r="L198" s="18" t="n"/>
      <c r="M198" s="18" t="n"/>
      <c r="N198" s="19">
        <f>IF(M198="","",M198+1)</f>
        <v/>
      </c>
      <c r="O198" s="17">
        <f>IF(OR(L198="",M198=""),"",M198-L198)</f>
        <v/>
      </c>
      <c r="P198" s="16">
        <f>IF(M198="","",YEAR(M198+1)&amp;"-"&amp;TEXT(MONTH(M198+1),"00"))</f>
        <v/>
      </c>
      <c r="Q198" s="18" t="n"/>
      <c r="R198" s="15" t="n"/>
      <c r="S198" s="18" t="n"/>
      <c r="T198" s="16">
        <f>IF(U198="","",IF(LEFT(U198,1)="6","abgeschlossen",IF(OR(LEFT(U198,1)="1",LEFT(U198,1)="2"),"Kündigung &amp; Abnahme",IF(OR(LEFT(U198,1)="3",LEFT(U198,1)="4"),"Wiedervermietung","Schlussabrechnung"))))</f>
        <v/>
      </c>
      <c r="U198" s="16">
        <f>IF($B198="","",IF(AY198&lt;&gt;"","6 · abgeschlossen",IF(AW198&lt;&gt;"","5 · bereit zum Abschluss",IF(AT198&lt;&gt;"","5 · Schlussabrechnung",IF(AO198&lt;&gt;"","4 · Übergabe",IF(AM198&lt;&gt;"","3 · Neuvermietung",IF(M198&lt;&gt;"","2 · Abnahme &amp; Vermarktung","1 · Erfassung")))))))</f>
        <v/>
      </c>
      <c r="V198" s="15" t="n"/>
      <c r="W198" s="20" t="n"/>
      <c r="X198" s="15" t="n"/>
      <c r="Y198" s="15" t="n"/>
      <c r="Z198" s="18" t="n"/>
      <c r="AA198" s="19">
        <f>IF(M198="","",M198-30)</f>
        <v/>
      </c>
      <c r="AB198" s="19">
        <f>IF(ISNUMBER(AJ198),AJ198+3,"")</f>
        <v/>
      </c>
      <c r="AC198" s="18" t="n"/>
      <c r="AD198" s="18" t="n"/>
      <c r="AE198" s="18" t="n"/>
      <c r="AF198" s="18" t="n"/>
      <c r="AG198" s="18" t="n"/>
      <c r="AH198" s="18" t="n"/>
      <c r="AI198" s="18" t="n"/>
      <c r="AJ198" s="18" t="n"/>
      <c r="AK198" s="18" t="n"/>
      <c r="AL198" s="18" t="n"/>
      <c r="AM198" s="18" t="n"/>
      <c r="AN198" s="18" t="n"/>
      <c r="AO198" s="18" t="n"/>
      <c r="AP198" s="18" t="n"/>
      <c r="AQ198" s="18" t="n"/>
      <c r="AR198" s="18" t="n"/>
      <c r="AS198" s="18" t="n"/>
      <c r="AT198" s="18" t="n"/>
      <c r="AU198" s="18" t="n"/>
      <c r="AV198" s="18" t="n"/>
      <c r="AW198" s="18" t="n"/>
      <c r="AX198" s="18" t="n"/>
      <c r="AY198" s="18" t="n"/>
      <c r="AZ198" s="15" t="n"/>
    </row>
    <row r="199">
      <c r="A199" s="15" t="n"/>
      <c r="B199" s="15" t="n"/>
      <c r="C199" s="15" t="n"/>
      <c r="D199" s="15" t="n"/>
      <c r="E199" s="15" t="n"/>
      <c r="F199" s="15" t="n"/>
      <c r="G199" s="16">
        <f>IF(F199="","",IFERROR(INDEX(Stammdaten!$B$5:$B$24,MATCH(F199,Stammdaten!$A$5:$A$24,0)),"unbekannt"))</f>
        <v/>
      </c>
      <c r="H199" s="16">
        <f>IF($B199="","",IF(AY199&lt;&gt;"","abgeschlossen",IF(AND(ISNUMBER(AX199),AX199&gt;=TODAY()),"zurückgestellt",IF(OR(AND(ISNUMBER(AA199),AA199&lt;TODAY(),Z199="",AJ199=""),AND(ISNUMBER(Z199),Z199&lt;TODAY(),AJ199=""),AND(ISNUMBER(AB199),AB199&lt;TODAY(),AK199=""),AND(ISNUMBER(AC199),AC199&lt;TODAY(),AO199=""),AND(ISNUMBER(AD199),AD199&lt;TODAY(),AQ199="")),"überfällig","offen"))))</f>
        <v/>
      </c>
      <c r="I199" s="16">
        <f>IF($B199="","",IF(AY199&lt;&gt;"","—",IF(AND(ISNUMBER(AA199),AA199&lt;TODAY(),Z199="",AJ199=""),"Abnahmetermin vereinbaren – Sollfrist verstrichen",IF(AND(ISNUMBER(Z199),Z199&lt;TODAY(),AJ199=""),"Wohnungsabnahme nachtragen – Termin war fällig",IF(AND(ISNUMBER(AB199),AB199&lt;TODAY(),AK199=""),"Handwerker aufbieten – Frist verstrichen",IF(AND(ISNUMBER(AC199),AC199&lt;TODAY(),AO199=""),"Vertrag retour mahnen – Frist verstrichen",IF(AND(ISNUMBER(AD199),AD199&lt;TODAY(),AQ199=""),"Schlüsselübergabe nachtragen – Termin war fällig",IF(M199="","Haftungsdatum erfassen",IF(E199="","ex-Mieter erfassen",IF(AE199="","Kündigung bestätigen / G-Rem",IF(AF199="","Werke / EGT melden",IF(AG199="","Vorbesichtigung (oder n.e.)",IF(AH199="","VMZ aktualisieren",IF(AI199="","Inserat aufschalten",IF(AND(Z199="",AJ199=""),"Abnahmetermin vereinbaren",IF(AJ199="","Wohnungsabnahme durchführen",IF(AK199="","Handwerker aufbieten",IF(AL199="","Zustimmungserklärung einholen",IF(AM199="","Instandstellungen beauftragen",IF(R199="","Nachmieter erfassen",IF(AN199="","Vertrag versenden",IF(AO199="","Vertrag retour erfassen",IF(S199="","Vermietet per erfassen",IF(AP199="","Werke / EGT über Einzug informieren",IF(AND(AD199="",AQ199=""),"Schlüsselübergabe terminieren",IF(AQ199="","Schlüsselübergabe durchführen",IF(AR199="","Reinigung veranlassen",IF(AS199="","Namensschilder bestellen",IF(AT199="","Kaution prüfen / G-Rem mutieren",IF(AU199="","Instandstellungs-Rechnung erfassen",IF(AV199="","Schlussabrechnung erstellen",IF(AW199="","Zahlungseingang kontrollieren","Fall abschliessen"))))))))))))))))))))))))))))))))</f>
        <v/>
      </c>
      <c r="J199" s="17">
        <f>IF(M199="","",IF(S199&lt;&gt;"",MAX(0,S199-M199-1),MAX(0,TODAY()-M199)))</f>
        <v/>
      </c>
      <c r="K199" s="16">
        <f>IF($B199="","",TRIM(IF(AND(L199&lt;&gt;"",M199&lt;&gt;"",M199&lt;L199),"Haftungsdatum vor Kündigung. ","")&amp;IF(AND(S199&lt;&gt;"",M199&lt;&gt;"",S199&lt;M199),"Vermietung vor Leerstandsbeginn. ","")&amp;IF(AND(Z199&lt;&gt;"",L199&lt;&gt;"",Z199&lt;L199),"WA-Termin vor Kündigung. ","")&amp;IF(COUNTIFS($B$5:$B$404,$B199,$AY$5:$AY$404,"")&gt;1,"Zweiter offener Fall zum selben Objekt. ","")&amp;IF(AND($A199&lt;&gt;"",COUNTIFS($A$5:$A$404,$A199)&gt;1),"Fall-Nr. doppelt vergeben. ","")&amp;IF(E199="","ex-Mieter fehlt. ","")&amp;IF(M199="","Haftungsdatum fehlt. ","")&amp;IF(F199="","Bewirtschafter fehlt. ","")&amp;IF(AND(AY199&lt;&gt;"",AW199=""),"Abgeschlossen trotz offener Schlussabrechnung. ","")&amp;IF(AND(AY199="",S199="",ISNUMBER(J199),J199&gt;60),"Langläufer über 60 Tage. ","")))</f>
        <v/>
      </c>
      <c r="L199" s="18" t="n"/>
      <c r="M199" s="18" t="n"/>
      <c r="N199" s="19">
        <f>IF(M199="","",M199+1)</f>
        <v/>
      </c>
      <c r="O199" s="17">
        <f>IF(OR(L199="",M199=""),"",M199-L199)</f>
        <v/>
      </c>
      <c r="P199" s="16">
        <f>IF(M199="","",YEAR(M199+1)&amp;"-"&amp;TEXT(MONTH(M199+1),"00"))</f>
        <v/>
      </c>
      <c r="Q199" s="18" t="n"/>
      <c r="R199" s="15" t="n"/>
      <c r="S199" s="18" t="n"/>
      <c r="T199" s="16">
        <f>IF(U199="","",IF(LEFT(U199,1)="6","abgeschlossen",IF(OR(LEFT(U199,1)="1",LEFT(U199,1)="2"),"Kündigung &amp; Abnahme",IF(OR(LEFT(U199,1)="3",LEFT(U199,1)="4"),"Wiedervermietung","Schlussabrechnung"))))</f>
        <v/>
      </c>
      <c r="U199" s="16">
        <f>IF($B199="","",IF(AY199&lt;&gt;"","6 · abgeschlossen",IF(AW199&lt;&gt;"","5 · bereit zum Abschluss",IF(AT199&lt;&gt;"","5 · Schlussabrechnung",IF(AO199&lt;&gt;"","4 · Übergabe",IF(AM199&lt;&gt;"","3 · Neuvermietung",IF(M199&lt;&gt;"","2 · Abnahme &amp; Vermarktung","1 · Erfassung")))))))</f>
        <v/>
      </c>
      <c r="V199" s="15" t="n"/>
      <c r="W199" s="20" t="n"/>
      <c r="X199" s="15" t="n"/>
      <c r="Y199" s="15" t="n"/>
      <c r="Z199" s="18" t="n"/>
      <c r="AA199" s="19">
        <f>IF(M199="","",M199-30)</f>
        <v/>
      </c>
      <c r="AB199" s="19">
        <f>IF(ISNUMBER(AJ199),AJ199+3,"")</f>
        <v/>
      </c>
      <c r="AC199" s="18" t="n"/>
      <c r="AD199" s="18" t="n"/>
      <c r="AE199" s="18" t="n"/>
      <c r="AF199" s="18" t="n"/>
      <c r="AG199" s="18" t="n"/>
      <c r="AH199" s="18" t="n"/>
      <c r="AI199" s="18" t="n"/>
      <c r="AJ199" s="18" t="n"/>
      <c r="AK199" s="18" t="n"/>
      <c r="AL199" s="18" t="n"/>
      <c r="AM199" s="18" t="n"/>
      <c r="AN199" s="18" t="n"/>
      <c r="AO199" s="18" t="n"/>
      <c r="AP199" s="18" t="n"/>
      <c r="AQ199" s="18" t="n"/>
      <c r="AR199" s="18" t="n"/>
      <c r="AS199" s="18" t="n"/>
      <c r="AT199" s="18" t="n"/>
      <c r="AU199" s="18" t="n"/>
      <c r="AV199" s="18" t="n"/>
      <c r="AW199" s="18" t="n"/>
      <c r="AX199" s="18" t="n"/>
      <c r="AY199" s="18" t="n"/>
      <c r="AZ199" s="15" t="n"/>
    </row>
    <row r="200">
      <c r="A200" s="15" t="n"/>
      <c r="B200" s="15" t="n"/>
      <c r="C200" s="15" t="n"/>
      <c r="D200" s="15" t="n"/>
      <c r="E200" s="15" t="n"/>
      <c r="F200" s="15" t="n"/>
      <c r="G200" s="16">
        <f>IF(F200="","",IFERROR(INDEX(Stammdaten!$B$5:$B$24,MATCH(F200,Stammdaten!$A$5:$A$24,0)),"unbekannt"))</f>
        <v/>
      </c>
      <c r="H200" s="16">
        <f>IF($B200="","",IF(AY200&lt;&gt;"","abgeschlossen",IF(AND(ISNUMBER(AX200),AX200&gt;=TODAY()),"zurückgestellt",IF(OR(AND(ISNUMBER(AA200),AA200&lt;TODAY(),Z200="",AJ200=""),AND(ISNUMBER(Z200),Z200&lt;TODAY(),AJ200=""),AND(ISNUMBER(AB200),AB200&lt;TODAY(),AK200=""),AND(ISNUMBER(AC200),AC200&lt;TODAY(),AO200=""),AND(ISNUMBER(AD200),AD200&lt;TODAY(),AQ200="")),"überfällig","offen"))))</f>
        <v/>
      </c>
      <c r="I200" s="16">
        <f>IF($B200="","",IF(AY200&lt;&gt;"","—",IF(AND(ISNUMBER(AA200),AA200&lt;TODAY(),Z200="",AJ200=""),"Abnahmetermin vereinbaren – Sollfrist verstrichen",IF(AND(ISNUMBER(Z200),Z200&lt;TODAY(),AJ200=""),"Wohnungsabnahme nachtragen – Termin war fällig",IF(AND(ISNUMBER(AB200),AB200&lt;TODAY(),AK200=""),"Handwerker aufbieten – Frist verstrichen",IF(AND(ISNUMBER(AC200),AC200&lt;TODAY(),AO200=""),"Vertrag retour mahnen – Frist verstrichen",IF(AND(ISNUMBER(AD200),AD200&lt;TODAY(),AQ200=""),"Schlüsselübergabe nachtragen – Termin war fällig",IF(M200="","Haftungsdatum erfassen",IF(E200="","ex-Mieter erfassen",IF(AE200="","Kündigung bestätigen / G-Rem",IF(AF200="","Werke / EGT melden",IF(AG200="","Vorbesichtigung (oder n.e.)",IF(AH200="","VMZ aktualisieren",IF(AI200="","Inserat aufschalten",IF(AND(Z200="",AJ200=""),"Abnahmetermin vereinbaren",IF(AJ200="","Wohnungsabnahme durchführen",IF(AK200="","Handwerker aufbieten",IF(AL200="","Zustimmungserklärung einholen",IF(AM200="","Instandstellungen beauftragen",IF(R200="","Nachmieter erfassen",IF(AN200="","Vertrag versenden",IF(AO200="","Vertrag retour erfassen",IF(S200="","Vermietet per erfassen",IF(AP200="","Werke / EGT über Einzug informieren",IF(AND(AD200="",AQ200=""),"Schlüsselübergabe terminieren",IF(AQ200="","Schlüsselübergabe durchführen",IF(AR200="","Reinigung veranlassen",IF(AS200="","Namensschilder bestellen",IF(AT200="","Kaution prüfen / G-Rem mutieren",IF(AU200="","Instandstellungs-Rechnung erfassen",IF(AV200="","Schlussabrechnung erstellen",IF(AW200="","Zahlungseingang kontrollieren","Fall abschliessen"))))))))))))))))))))))))))))))))</f>
        <v/>
      </c>
      <c r="J200" s="17">
        <f>IF(M200="","",IF(S200&lt;&gt;"",MAX(0,S200-M200-1),MAX(0,TODAY()-M200)))</f>
        <v/>
      </c>
      <c r="K200" s="16">
        <f>IF($B200="","",TRIM(IF(AND(L200&lt;&gt;"",M200&lt;&gt;"",M200&lt;L200),"Haftungsdatum vor Kündigung. ","")&amp;IF(AND(S200&lt;&gt;"",M200&lt;&gt;"",S200&lt;M200),"Vermietung vor Leerstandsbeginn. ","")&amp;IF(AND(Z200&lt;&gt;"",L200&lt;&gt;"",Z200&lt;L200),"WA-Termin vor Kündigung. ","")&amp;IF(COUNTIFS($B$5:$B$404,$B200,$AY$5:$AY$404,"")&gt;1,"Zweiter offener Fall zum selben Objekt. ","")&amp;IF(AND($A200&lt;&gt;"",COUNTIFS($A$5:$A$404,$A200)&gt;1),"Fall-Nr. doppelt vergeben. ","")&amp;IF(E200="","ex-Mieter fehlt. ","")&amp;IF(M200="","Haftungsdatum fehlt. ","")&amp;IF(F200="","Bewirtschafter fehlt. ","")&amp;IF(AND(AY200&lt;&gt;"",AW200=""),"Abgeschlossen trotz offener Schlussabrechnung. ","")&amp;IF(AND(AY200="",S200="",ISNUMBER(J200),J200&gt;60),"Langläufer über 60 Tage. ","")))</f>
        <v/>
      </c>
      <c r="L200" s="18" t="n"/>
      <c r="M200" s="18" t="n"/>
      <c r="N200" s="19">
        <f>IF(M200="","",M200+1)</f>
        <v/>
      </c>
      <c r="O200" s="17">
        <f>IF(OR(L200="",M200=""),"",M200-L200)</f>
        <v/>
      </c>
      <c r="P200" s="16">
        <f>IF(M200="","",YEAR(M200+1)&amp;"-"&amp;TEXT(MONTH(M200+1),"00"))</f>
        <v/>
      </c>
      <c r="Q200" s="18" t="n"/>
      <c r="R200" s="15" t="n"/>
      <c r="S200" s="18" t="n"/>
      <c r="T200" s="16">
        <f>IF(U200="","",IF(LEFT(U200,1)="6","abgeschlossen",IF(OR(LEFT(U200,1)="1",LEFT(U200,1)="2"),"Kündigung &amp; Abnahme",IF(OR(LEFT(U200,1)="3",LEFT(U200,1)="4"),"Wiedervermietung","Schlussabrechnung"))))</f>
        <v/>
      </c>
      <c r="U200" s="16">
        <f>IF($B200="","",IF(AY200&lt;&gt;"","6 · abgeschlossen",IF(AW200&lt;&gt;"","5 · bereit zum Abschluss",IF(AT200&lt;&gt;"","5 · Schlussabrechnung",IF(AO200&lt;&gt;"","4 · Übergabe",IF(AM200&lt;&gt;"","3 · Neuvermietung",IF(M200&lt;&gt;"","2 · Abnahme &amp; Vermarktung","1 · Erfassung")))))))</f>
        <v/>
      </c>
      <c r="V200" s="15" t="n"/>
      <c r="W200" s="20" t="n"/>
      <c r="X200" s="15" t="n"/>
      <c r="Y200" s="15" t="n"/>
      <c r="Z200" s="18" t="n"/>
      <c r="AA200" s="19">
        <f>IF(M200="","",M200-30)</f>
        <v/>
      </c>
      <c r="AB200" s="19">
        <f>IF(ISNUMBER(AJ200),AJ200+3,"")</f>
        <v/>
      </c>
      <c r="AC200" s="18" t="n"/>
      <c r="AD200" s="18" t="n"/>
      <c r="AE200" s="18" t="n"/>
      <c r="AF200" s="18" t="n"/>
      <c r="AG200" s="18" t="n"/>
      <c r="AH200" s="18" t="n"/>
      <c r="AI200" s="18" t="n"/>
      <c r="AJ200" s="18" t="n"/>
      <c r="AK200" s="18" t="n"/>
      <c r="AL200" s="18" t="n"/>
      <c r="AM200" s="18" t="n"/>
      <c r="AN200" s="18" t="n"/>
      <c r="AO200" s="18" t="n"/>
      <c r="AP200" s="18" t="n"/>
      <c r="AQ200" s="18" t="n"/>
      <c r="AR200" s="18" t="n"/>
      <c r="AS200" s="18" t="n"/>
      <c r="AT200" s="18" t="n"/>
      <c r="AU200" s="18" t="n"/>
      <c r="AV200" s="18" t="n"/>
      <c r="AW200" s="18" t="n"/>
      <c r="AX200" s="18" t="n"/>
      <c r="AY200" s="18" t="n"/>
      <c r="AZ200" s="15" t="n"/>
    </row>
    <row r="201">
      <c r="A201" s="15" t="n"/>
      <c r="B201" s="15" t="n"/>
      <c r="C201" s="15" t="n"/>
      <c r="D201" s="15" t="n"/>
      <c r="E201" s="15" t="n"/>
      <c r="F201" s="15" t="n"/>
      <c r="G201" s="16">
        <f>IF(F201="","",IFERROR(INDEX(Stammdaten!$B$5:$B$24,MATCH(F201,Stammdaten!$A$5:$A$24,0)),"unbekannt"))</f>
        <v/>
      </c>
      <c r="H201" s="16">
        <f>IF($B201="","",IF(AY201&lt;&gt;"","abgeschlossen",IF(AND(ISNUMBER(AX201),AX201&gt;=TODAY()),"zurückgestellt",IF(OR(AND(ISNUMBER(AA201),AA201&lt;TODAY(),Z201="",AJ201=""),AND(ISNUMBER(Z201),Z201&lt;TODAY(),AJ201=""),AND(ISNUMBER(AB201),AB201&lt;TODAY(),AK201=""),AND(ISNUMBER(AC201),AC201&lt;TODAY(),AO201=""),AND(ISNUMBER(AD201),AD201&lt;TODAY(),AQ201="")),"überfällig","offen"))))</f>
        <v/>
      </c>
      <c r="I201" s="16">
        <f>IF($B201="","",IF(AY201&lt;&gt;"","—",IF(AND(ISNUMBER(AA201),AA201&lt;TODAY(),Z201="",AJ201=""),"Abnahmetermin vereinbaren – Sollfrist verstrichen",IF(AND(ISNUMBER(Z201),Z201&lt;TODAY(),AJ201=""),"Wohnungsabnahme nachtragen – Termin war fällig",IF(AND(ISNUMBER(AB201),AB201&lt;TODAY(),AK201=""),"Handwerker aufbieten – Frist verstrichen",IF(AND(ISNUMBER(AC201),AC201&lt;TODAY(),AO201=""),"Vertrag retour mahnen – Frist verstrichen",IF(AND(ISNUMBER(AD201),AD201&lt;TODAY(),AQ201=""),"Schlüsselübergabe nachtragen – Termin war fällig",IF(M201="","Haftungsdatum erfassen",IF(E201="","ex-Mieter erfassen",IF(AE201="","Kündigung bestätigen / G-Rem",IF(AF201="","Werke / EGT melden",IF(AG201="","Vorbesichtigung (oder n.e.)",IF(AH201="","VMZ aktualisieren",IF(AI201="","Inserat aufschalten",IF(AND(Z201="",AJ201=""),"Abnahmetermin vereinbaren",IF(AJ201="","Wohnungsabnahme durchführen",IF(AK201="","Handwerker aufbieten",IF(AL201="","Zustimmungserklärung einholen",IF(AM201="","Instandstellungen beauftragen",IF(R201="","Nachmieter erfassen",IF(AN201="","Vertrag versenden",IF(AO201="","Vertrag retour erfassen",IF(S201="","Vermietet per erfassen",IF(AP201="","Werke / EGT über Einzug informieren",IF(AND(AD201="",AQ201=""),"Schlüsselübergabe terminieren",IF(AQ201="","Schlüsselübergabe durchführen",IF(AR201="","Reinigung veranlassen",IF(AS201="","Namensschilder bestellen",IF(AT201="","Kaution prüfen / G-Rem mutieren",IF(AU201="","Instandstellungs-Rechnung erfassen",IF(AV201="","Schlussabrechnung erstellen",IF(AW201="","Zahlungseingang kontrollieren","Fall abschliessen"))))))))))))))))))))))))))))))))</f>
        <v/>
      </c>
      <c r="J201" s="17">
        <f>IF(M201="","",IF(S201&lt;&gt;"",MAX(0,S201-M201-1),MAX(0,TODAY()-M201)))</f>
        <v/>
      </c>
      <c r="K201" s="16">
        <f>IF($B201="","",TRIM(IF(AND(L201&lt;&gt;"",M201&lt;&gt;"",M201&lt;L201),"Haftungsdatum vor Kündigung. ","")&amp;IF(AND(S201&lt;&gt;"",M201&lt;&gt;"",S201&lt;M201),"Vermietung vor Leerstandsbeginn. ","")&amp;IF(AND(Z201&lt;&gt;"",L201&lt;&gt;"",Z201&lt;L201),"WA-Termin vor Kündigung. ","")&amp;IF(COUNTIFS($B$5:$B$404,$B201,$AY$5:$AY$404,"")&gt;1,"Zweiter offener Fall zum selben Objekt. ","")&amp;IF(AND($A201&lt;&gt;"",COUNTIFS($A$5:$A$404,$A201)&gt;1),"Fall-Nr. doppelt vergeben. ","")&amp;IF(E201="","ex-Mieter fehlt. ","")&amp;IF(M201="","Haftungsdatum fehlt. ","")&amp;IF(F201="","Bewirtschafter fehlt. ","")&amp;IF(AND(AY201&lt;&gt;"",AW201=""),"Abgeschlossen trotz offener Schlussabrechnung. ","")&amp;IF(AND(AY201="",S201="",ISNUMBER(J201),J201&gt;60),"Langläufer über 60 Tage. ","")))</f>
        <v/>
      </c>
      <c r="L201" s="18" t="n"/>
      <c r="M201" s="18" t="n"/>
      <c r="N201" s="19">
        <f>IF(M201="","",M201+1)</f>
        <v/>
      </c>
      <c r="O201" s="17">
        <f>IF(OR(L201="",M201=""),"",M201-L201)</f>
        <v/>
      </c>
      <c r="P201" s="16">
        <f>IF(M201="","",YEAR(M201+1)&amp;"-"&amp;TEXT(MONTH(M201+1),"00"))</f>
        <v/>
      </c>
      <c r="Q201" s="18" t="n"/>
      <c r="R201" s="15" t="n"/>
      <c r="S201" s="18" t="n"/>
      <c r="T201" s="16">
        <f>IF(U201="","",IF(LEFT(U201,1)="6","abgeschlossen",IF(OR(LEFT(U201,1)="1",LEFT(U201,1)="2"),"Kündigung &amp; Abnahme",IF(OR(LEFT(U201,1)="3",LEFT(U201,1)="4"),"Wiedervermietung","Schlussabrechnung"))))</f>
        <v/>
      </c>
      <c r="U201" s="16">
        <f>IF($B201="","",IF(AY201&lt;&gt;"","6 · abgeschlossen",IF(AW201&lt;&gt;"","5 · bereit zum Abschluss",IF(AT201&lt;&gt;"","5 · Schlussabrechnung",IF(AO201&lt;&gt;"","4 · Übergabe",IF(AM201&lt;&gt;"","3 · Neuvermietung",IF(M201&lt;&gt;"","2 · Abnahme &amp; Vermarktung","1 · Erfassung")))))))</f>
        <v/>
      </c>
      <c r="V201" s="15" t="n"/>
      <c r="W201" s="20" t="n"/>
      <c r="X201" s="15" t="n"/>
      <c r="Y201" s="15" t="n"/>
      <c r="Z201" s="18" t="n"/>
      <c r="AA201" s="19">
        <f>IF(M201="","",M201-30)</f>
        <v/>
      </c>
      <c r="AB201" s="19">
        <f>IF(ISNUMBER(AJ201),AJ201+3,"")</f>
        <v/>
      </c>
      <c r="AC201" s="18" t="n"/>
      <c r="AD201" s="18" t="n"/>
      <c r="AE201" s="18" t="n"/>
      <c r="AF201" s="18" t="n"/>
      <c r="AG201" s="18" t="n"/>
      <c r="AH201" s="18" t="n"/>
      <c r="AI201" s="18" t="n"/>
      <c r="AJ201" s="18" t="n"/>
      <c r="AK201" s="18" t="n"/>
      <c r="AL201" s="18" t="n"/>
      <c r="AM201" s="18" t="n"/>
      <c r="AN201" s="18" t="n"/>
      <c r="AO201" s="18" t="n"/>
      <c r="AP201" s="18" t="n"/>
      <c r="AQ201" s="18" t="n"/>
      <c r="AR201" s="18" t="n"/>
      <c r="AS201" s="18" t="n"/>
      <c r="AT201" s="18" t="n"/>
      <c r="AU201" s="18" t="n"/>
      <c r="AV201" s="18" t="n"/>
      <c r="AW201" s="18" t="n"/>
      <c r="AX201" s="18" t="n"/>
      <c r="AY201" s="18" t="n"/>
      <c r="AZ201" s="15" t="n"/>
    </row>
    <row r="202">
      <c r="A202" s="15" t="n"/>
      <c r="B202" s="15" t="n"/>
      <c r="C202" s="15" t="n"/>
      <c r="D202" s="15" t="n"/>
      <c r="E202" s="15" t="n"/>
      <c r="F202" s="15" t="n"/>
      <c r="G202" s="16">
        <f>IF(F202="","",IFERROR(INDEX(Stammdaten!$B$5:$B$24,MATCH(F202,Stammdaten!$A$5:$A$24,0)),"unbekannt"))</f>
        <v/>
      </c>
      <c r="H202" s="16">
        <f>IF($B202="","",IF(AY202&lt;&gt;"","abgeschlossen",IF(AND(ISNUMBER(AX202),AX202&gt;=TODAY()),"zurückgestellt",IF(OR(AND(ISNUMBER(AA202),AA202&lt;TODAY(),Z202="",AJ202=""),AND(ISNUMBER(Z202),Z202&lt;TODAY(),AJ202=""),AND(ISNUMBER(AB202),AB202&lt;TODAY(),AK202=""),AND(ISNUMBER(AC202),AC202&lt;TODAY(),AO202=""),AND(ISNUMBER(AD202),AD202&lt;TODAY(),AQ202="")),"überfällig","offen"))))</f>
        <v/>
      </c>
      <c r="I202" s="16">
        <f>IF($B202="","",IF(AY202&lt;&gt;"","—",IF(AND(ISNUMBER(AA202),AA202&lt;TODAY(),Z202="",AJ202=""),"Abnahmetermin vereinbaren – Sollfrist verstrichen",IF(AND(ISNUMBER(Z202),Z202&lt;TODAY(),AJ202=""),"Wohnungsabnahme nachtragen – Termin war fällig",IF(AND(ISNUMBER(AB202),AB202&lt;TODAY(),AK202=""),"Handwerker aufbieten – Frist verstrichen",IF(AND(ISNUMBER(AC202),AC202&lt;TODAY(),AO202=""),"Vertrag retour mahnen – Frist verstrichen",IF(AND(ISNUMBER(AD202),AD202&lt;TODAY(),AQ202=""),"Schlüsselübergabe nachtragen – Termin war fällig",IF(M202="","Haftungsdatum erfassen",IF(E202="","ex-Mieter erfassen",IF(AE202="","Kündigung bestätigen / G-Rem",IF(AF202="","Werke / EGT melden",IF(AG202="","Vorbesichtigung (oder n.e.)",IF(AH202="","VMZ aktualisieren",IF(AI202="","Inserat aufschalten",IF(AND(Z202="",AJ202=""),"Abnahmetermin vereinbaren",IF(AJ202="","Wohnungsabnahme durchführen",IF(AK202="","Handwerker aufbieten",IF(AL202="","Zustimmungserklärung einholen",IF(AM202="","Instandstellungen beauftragen",IF(R202="","Nachmieter erfassen",IF(AN202="","Vertrag versenden",IF(AO202="","Vertrag retour erfassen",IF(S202="","Vermietet per erfassen",IF(AP202="","Werke / EGT über Einzug informieren",IF(AND(AD202="",AQ202=""),"Schlüsselübergabe terminieren",IF(AQ202="","Schlüsselübergabe durchführen",IF(AR202="","Reinigung veranlassen",IF(AS202="","Namensschilder bestellen",IF(AT202="","Kaution prüfen / G-Rem mutieren",IF(AU202="","Instandstellungs-Rechnung erfassen",IF(AV202="","Schlussabrechnung erstellen",IF(AW202="","Zahlungseingang kontrollieren","Fall abschliessen"))))))))))))))))))))))))))))))))</f>
        <v/>
      </c>
      <c r="J202" s="17">
        <f>IF(M202="","",IF(S202&lt;&gt;"",MAX(0,S202-M202-1),MAX(0,TODAY()-M202)))</f>
        <v/>
      </c>
      <c r="K202" s="16">
        <f>IF($B202="","",TRIM(IF(AND(L202&lt;&gt;"",M202&lt;&gt;"",M202&lt;L202),"Haftungsdatum vor Kündigung. ","")&amp;IF(AND(S202&lt;&gt;"",M202&lt;&gt;"",S202&lt;M202),"Vermietung vor Leerstandsbeginn. ","")&amp;IF(AND(Z202&lt;&gt;"",L202&lt;&gt;"",Z202&lt;L202),"WA-Termin vor Kündigung. ","")&amp;IF(COUNTIFS($B$5:$B$404,$B202,$AY$5:$AY$404,"")&gt;1,"Zweiter offener Fall zum selben Objekt. ","")&amp;IF(AND($A202&lt;&gt;"",COUNTIFS($A$5:$A$404,$A202)&gt;1),"Fall-Nr. doppelt vergeben. ","")&amp;IF(E202="","ex-Mieter fehlt. ","")&amp;IF(M202="","Haftungsdatum fehlt. ","")&amp;IF(F202="","Bewirtschafter fehlt. ","")&amp;IF(AND(AY202&lt;&gt;"",AW202=""),"Abgeschlossen trotz offener Schlussabrechnung. ","")&amp;IF(AND(AY202="",S202="",ISNUMBER(J202),J202&gt;60),"Langläufer über 60 Tage. ","")))</f>
        <v/>
      </c>
      <c r="L202" s="18" t="n"/>
      <c r="M202" s="18" t="n"/>
      <c r="N202" s="19">
        <f>IF(M202="","",M202+1)</f>
        <v/>
      </c>
      <c r="O202" s="17">
        <f>IF(OR(L202="",M202=""),"",M202-L202)</f>
        <v/>
      </c>
      <c r="P202" s="16">
        <f>IF(M202="","",YEAR(M202+1)&amp;"-"&amp;TEXT(MONTH(M202+1),"00"))</f>
        <v/>
      </c>
      <c r="Q202" s="18" t="n"/>
      <c r="R202" s="15" t="n"/>
      <c r="S202" s="18" t="n"/>
      <c r="T202" s="16">
        <f>IF(U202="","",IF(LEFT(U202,1)="6","abgeschlossen",IF(OR(LEFT(U202,1)="1",LEFT(U202,1)="2"),"Kündigung &amp; Abnahme",IF(OR(LEFT(U202,1)="3",LEFT(U202,1)="4"),"Wiedervermietung","Schlussabrechnung"))))</f>
        <v/>
      </c>
      <c r="U202" s="16">
        <f>IF($B202="","",IF(AY202&lt;&gt;"","6 · abgeschlossen",IF(AW202&lt;&gt;"","5 · bereit zum Abschluss",IF(AT202&lt;&gt;"","5 · Schlussabrechnung",IF(AO202&lt;&gt;"","4 · Übergabe",IF(AM202&lt;&gt;"","3 · Neuvermietung",IF(M202&lt;&gt;"","2 · Abnahme &amp; Vermarktung","1 · Erfassung")))))))</f>
        <v/>
      </c>
      <c r="V202" s="15" t="n"/>
      <c r="W202" s="20" t="n"/>
      <c r="X202" s="15" t="n"/>
      <c r="Y202" s="15" t="n"/>
      <c r="Z202" s="18" t="n"/>
      <c r="AA202" s="19">
        <f>IF(M202="","",M202-30)</f>
        <v/>
      </c>
      <c r="AB202" s="19">
        <f>IF(ISNUMBER(AJ202),AJ202+3,"")</f>
        <v/>
      </c>
      <c r="AC202" s="18" t="n"/>
      <c r="AD202" s="18" t="n"/>
      <c r="AE202" s="18" t="n"/>
      <c r="AF202" s="18" t="n"/>
      <c r="AG202" s="18" t="n"/>
      <c r="AH202" s="18" t="n"/>
      <c r="AI202" s="18" t="n"/>
      <c r="AJ202" s="18" t="n"/>
      <c r="AK202" s="18" t="n"/>
      <c r="AL202" s="18" t="n"/>
      <c r="AM202" s="18" t="n"/>
      <c r="AN202" s="18" t="n"/>
      <c r="AO202" s="18" t="n"/>
      <c r="AP202" s="18" t="n"/>
      <c r="AQ202" s="18" t="n"/>
      <c r="AR202" s="18" t="n"/>
      <c r="AS202" s="18" t="n"/>
      <c r="AT202" s="18" t="n"/>
      <c r="AU202" s="18" t="n"/>
      <c r="AV202" s="18" t="n"/>
      <c r="AW202" s="18" t="n"/>
      <c r="AX202" s="18" t="n"/>
      <c r="AY202" s="18" t="n"/>
      <c r="AZ202" s="15" t="n"/>
    </row>
    <row r="203">
      <c r="A203" s="15" t="n"/>
      <c r="B203" s="15" t="n"/>
      <c r="C203" s="15" t="n"/>
      <c r="D203" s="15" t="n"/>
      <c r="E203" s="15" t="n"/>
      <c r="F203" s="15" t="n"/>
      <c r="G203" s="16">
        <f>IF(F203="","",IFERROR(INDEX(Stammdaten!$B$5:$B$24,MATCH(F203,Stammdaten!$A$5:$A$24,0)),"unbekannt"))</f>
        <v/>
      </c>
      <c r="H203" s="16">
        <f>IF($B203="","",IF(AY203&lt;&gt;"","abgeschlossen",IF(AND(ISNUMBER(AX203),AX203&gt;=TODAY()),"zurückgestellt",IF(OR(AND(ISNUMBER(AA203),AA203&lt;TODAY(),Z203="",AJ203=""),AND(ISNUMBER(Z203),Z203&lt;TODAY(),AJ203=""),AND(ISNUMBER(AB203),AB203&lt;TODAY(),AK203=""),AND(ISNUMBER(AC203),AC203&lt;TODAY(),AO203=""),AND(ISNUMBER(AD203),AD203&lt;TODAY(),AQ203="")),"überfällig","offen"))))</f>
        <v/>
      </c>
      <c r="I203" s="16">
        <f>IF($B203="","",IF(AY203&lt;&gt;"","—",IF(AND(ISNUMBER(AA203),AA203&lt;TODAY(),Z203="",AJ203=""),"Abnahmetermin vereinbaren – Sollfrist verstrichen",IF(AND(ISNUMBER(Z203),Z203&lt;TODAY(),AJ203=""),"Wohnungsabnahme nachtragen – Termin war fällig",IF(AND(ISNUMBER(AB203),AB203&lt;TODAY(),AK203=""),"Handwerker aufbieten – Frist verstrichen",IF(AND(ISNUMBER(AC203),AC203&lt;TODAY(),AO203=""),"Vertrag retour mahnen – Frist verstrichen",IF(AND(ISNUMBER(AD203),AD203&lt;TODAY(),AQ203=""),"Schlüsselübergabe nachtragen – Termin war fällig",IF(M203="","Haftungsdatum erfassen",IF(E203="","ex-Mieter erfassen",IF(AE203="","Kündigung bestätigen / G-Rem",IF(AF203="","Werke / EGT melden",IF(AG203="","Vorbesichtigung (oder n.e.)",IF(AH203="","VMZ aktualisieren",IF(AI203="","Inserat aufschalten",IF(AND(Z203="",AJ203=""),"Abnahmetermin vereinbaren",IF(AJ203="","Wohnungsabnahme durchführen",IF(AK203="","Handwerker aufbieten",IF(AL203="","Zustimmungserklärung einholen",IF(AM203="","Instandstellungen beauftragen",IF(R203="","Nachmieter erfassen",IF(AN203="","Vertrag versenden",IF(AO203="","Vertrag retour erfassen",IF(S203="","Vermietet per erfassen",IF(AP203="","Werke / EGT über Einzug informieren",IF(AND(AD203="",AQ203=""),"Schlüsselübergabe terminieren",IF(AQ203="","Schlüsselübergabe durchführen",IF(AR203="","Reinigung veranlassen",IF(AS203="","Namensschilder bestellen",IF(AT203="","Kaution prüfen / G-Rem mutieren",IF(AU203="","Instandstellungs-Rechnung erfassen",IF(AV203="","Schlussabrechnung erstellen",IF(AW203="","Zahlungseingang kontrollieren","Fall abschliessen"))))))))))))))))))))))))))))))))</f>
        <v/>
      </c>
      <c r="J203" s="17">
        <f>IF(M203="","",IF(S203&lt;&gt;"",MAX(0,S203-M203-1),MAX(0,TODAY()-M203)))</f>
        <v/>
      </c>
      <c r="K203" s="16">
        <f>IF($B203="","",TRIM(IF(AND(L203&lt;&gt;"",M203&lt;&gt;"",M203&lt;L203),"Haftungsdatum vor Kündigung. ","")&amp;IF(AND(S203&lt;&gt;"",M203&lt;&gt;"",S203&lt;M203),"Vermietung vor Leerstandsbeginn. ","")&amp;IF(AND(Z203&lt;&gt;"",L203&lt;&gt;"",Z203&lt;L203),"WA-Termin vor Kündigung. ","")&amp;IF(COUNTIFS($B$5:$B$404,$B203,$AY$5:$AY$404,"")&gt;1,"Zweiter offener Fall zum selben Objekt. ","")&amp;IF(AND($A203&lt;&gt;"",COUNTIFS($A$5:$A$404,$A203)&gt;1),"Fall-Nr. doppelt vergeben. ","")&amp;IF(E203="","ex-Mieter fehlt. ","")&amp;IF(M203="","Haftungsdatum fehlt. ","")&amp;IF(F203="","Bewirtschafter fehlt. ","")&amp;IF(AND(AY203&lt;&gt;"",AW203=""),"Abgeschlossen trotz offener Schlussabrechnung. ","")&amp;IF(AND(AY203="",S203="",ISNUMBER(J203),J203&gt;60),"Langläufer über 60 Tage. ","")))</f>
        <v/>
      </c>
      <c r="L203" s="18" t="n"/>
      <c r="M203" s="18" t="n"/>
      <c r="N203" s="19">
        <f>IF(M203="","",M203+1)</f>
        <v/>
      </c>
      <c r="O203" s="17">
        <f>IF(OR(L203="",M203=""),"",M203-L203)</f>
        <v/>
      </c>
      <c r="P203" s="16">
        <f>IF(M203="","",YEAR(M203+1)&amp;"-"&amp;TEXT(MONTH(M203+1),"00"))</f>
        <v/>
      </c>
      <c r="Q203" s="18" t="n"/>
      <c r="R203" s="15" t="n"/>
      <c r="S203" s="18" t="n"/>
      <c r="T203" s="16">
        <f>IF(U203="","",IF(LEFT(U203,1)="6","abgeschlossen",IF(OR(LEFT(U203,1)="1",LEFT(U203,1)="2"),"Kündigung &amp; Abnahme",IF(OR(LEFT(U203,1)="3",LEFT(U203,1)="4"),"Wiedervermietung","Schlussabrechnung"))))</f>
        <v/>
      </c>
      <c r="U203" s="16">
        <f>IF($B203="","",IF(AY203&lt;&gt;"","6 · abgeschlossen",IF(AW203&lt;&gt;"","5 · bereit zum Abschluss",IF(AT203&lt;&gt;"","5 · Schlussabrechnung",IF(AO203&lt;&gt;"","4 · Übergabe",IF(AM203&lt;&gt;"","3 · Neuvermietung",IF(M203&lt;&gt;"","2 · Abnahme &amp; Vermarktung","1 · Erfassung")))))))</f>
        <v/>
      </c>
      <c r="V203" s="15" t="n"/>
      <c r="W203" s="20" t="n"/>
      <c r="X203" s="15" t="n"/>
      <c r="Y203" s="15" t="n"/>
      <c r="Z203" s="18" t="n"/>
      <c r="AA203" s="19">
        <f>IF(M203="","",M203-30)</f>
        <v/>
      </c>
      <c r="AB203" s="19">
        <f>IF(ISNUMBER(AJ203),AJ203+3,"")</f>
        <v/>
      </c>
      <c r="AC203" s="18" t="n"/>
      <c r="AD203" s="18" t="n"/>
      <c r="AE203" s="18" t="n"/>
      <c r="AF203" s="18" t="n"/>
      <c r="AG203" s="18" t="n"/>
      <c r="AH203" s="18" t="n"/>
      <c r="AI203" s="18" t="n"/>
      <c r="AJ203" s="18" t="n"/>
      <c r="AK203" s="18" t="n"/>
      <c r="AL203" s="18" t="n"/>
      <c r="AM203" s="18" t="n"/>
      <c r="AN203" s="18" t="n"/>
      <c r="AO203" s="18" t="n"/>
      <c r="AP203" s="18" t="n"/>
      <c r="AQ203" s="18" t="n"/>
      <c r="AR203" s="18" t="n"/>
      <c r="AS203" s="18" t="n"/>
      <c r="AT203" s="18" t="n"/>
      <c r="AU203" s="18" t="n"/>
      <c r="AV203" s="18" t="n"/>
      <c r="AW203" s="18" t="n"/>
      <c r="AX203" s="18" t="n"/>
      <c r="AY203" s="18" t="n"/>
      <c r="AZ203" s="15" t="n"/>
    </row>
    <row r="204">
      <c r="A204" s="15" t="n"/>
      <c r="B204" s="15" t="n"/>
      <c r="C204" s="15" t="n"/>
      <c r="D204" s="15" t="n"/>
      <c r="E204" s="15" t="n"/>
      <c r="F204" s="15" t="n"/>
      <c r="G204" s="16">
        <f>IF(F204="","",IFERROR(INDEX(Stammdaten!$B$5:$B$24,MATCH(F204,Stammdaten!$A$5:$A$24,0)),"unbekannt"))</f>
        <v/>
      </c>
      <c r="H204" s="16">
        <f>IF($B204="","",IF(AY204&lt;&gt;"","abgeschlossen",IF(AND(ISNUMBER(AX204),AX204&gt;=TODAY()),"zurückgestellt",IF(OR(AND(ISNUMBER(AA204),AA204&lt;TODAY(),Z204="",AJ204=""),AND(ISNUMBER(Z204),Z204&lt;TODAY(),AJ204=""),AND(ISNUMBER(AB204),AB204&lt;TODAY(),AK204=""),AND(ISNUMBER(AC204),AC204&lt;TODAY(),AO204=""),AND(ISNUMBER(AD204),AD204&lt;TODAY(),AQ204="")),"überfällig","offen"))))</f>
        <v/>
      </c>
      <c r="I204" s="16">
        <f>IF($B204="","",IF(AY204&lt;&gt;"","—",IF(AND(ISNUMBER(AA204),AA204&lt;TODAY(),Z204="",AJ204=""),"Abnahmetermin vereinbaren – Sollfrist verstrichen",IF(AND(ISNUMBER(Z204),Z204&lt;TODAY(),AJ204=""),"Wohnungsabnahme nachtragen – Termin war fällig",IF(AND(ISNUMBER(AB204),AB204&lt;TODAY(),AK204=""),"Handwerker aufbieten – Frist verstrichen",IF(AND(ISNUMBER(AC204),AC204&lt;TODAY(),AO204=""),"Vertrag retour mahnen – Frist verstrichen",IF(AND(ISNUMBER(AD204),AD204&lt;TODAY(),AQ204=""),"Schlüsselübergabe nachtragen – Termin war fällig",IF(M204="","Haftungsdatum erfassen",IF(E204="","ex-Mieter erfassen",IF(AE204="","Kündigung bestätigen / G-Rem",IF(AF204="","Werke / EGT melden",IF(AG204="","Vorbesichtigung (oder n.e.)",IF(AH204="","VMZ aktualisieren",IF(AI204="","Inserat aufschalten",IF(AND(Z204="",AJ204=""),"Abnahmetermin vereinbaren",IF(AJ204="","Wohnungsabnahme durchführen",IF(AK204="","Handwerker aufbieten",IF(AL204="","Zustimmungserklärung einholen",IF(AM204="","Instandstellungen beauftragen",IF(R204="","Nachmieter erfassen",IF(AN204="","Vertrag versenden",IF(AO204="","Vertrag retour erfassen",IF(S204="","Vermietet per erfassen",IF(AP204="","Werke / EGT über Einzug informieren",IF(AND(AD204="",AQ204=""),"Schlüsselübergabe terminieren",IF(AQ204="","Schlüsselübergabe durchführen",IF(AR204="","Reinigung veranlassen",IF(AS204="","Namensschilder bestellen",IF(AT204="","Kaution prüfen / G-Rem mutieren",IF(AU204="","Instandstellungs-Rechnung erfassen",IF(AV204="","Schlussabrechnung erstellen",IF(AW204="","Zahlungseingang kontrollieren","Fall abschliessen"))))))))))))))))))))))))))))))))</f>
        <v/>
      </c>
      <c r="J204" s="17">
        <f>IF(M204="","",IF(S204&lt;&gt;"",MAX(0,S204-M204-1),MAX(0,TODAY()-M204)))</f>
        <v/>
      </c>
      <c r="K204" s="16">
        <f>IF($B204="","",TRIM(IF(AND(L204&lt;&gt;"",M204&lt;&gt;"",M204&lt;L204),"Haftungsdatum vor Kündigung. ","")&amp;IF(AND(S204&lt;&gt;"",M204&lt;&gt;"",S204&lt;M204),"Vermietung vor Leerstandsbeginn. ","")&amp;IF(AND(Z204&lt;&gt;"",L204&lt;&gt;"",Z204&lt;L204),"WA-Termin vor Kündigung. ","")&amp;IF(COUNTIFS($B$5:$B$404,$B204,$AY$5:$AY$404,"")&gt;1,"Zweiter offener Fall zum selben Objekt. ","")&amp;IF(AND($A204&lt;&gt;"",COUNTIFS($A$5:$A$404,$A204)&gt;1),"Fall-Nr. doppelt vergeben. ","")&amp;IF(E204="","ex-Mieter fehlt. ","")&amp;IF(M204="","Haftungsdatum fehlt. ","")&amp;IF(F204="","Bewirtschafter fehlt. ","")&amp;IF(AND(AY204&lt;&gt;"",AW204=""),"Abgeschlossen trotz offener Schlussabrechnung. ","")&amp;IF(AND(AY204="",S204="",ISNUMBER(J204),J204&gt;60),"Langläufer über 60 Tage. ","")))</f>
        <v/>
      </c>
      <c r="L204" s="18" t="n"/>
      <c r="M204" s="18" t="n"/>
      <c r="N204" s="19">
        <f>IF(M204="","",M204+1)</f>
        <v/>
      </c>
      <c r="O204" s="17">
        <f>IF(OR(L204="",M204=""),"",M204-L204)</f>
        <v/>
      </c>
      <c r="P204" s="16">
        <f>IF(M204="","",YEAR(M204+1)&amp;"-"&amp;TEXT(MONTH(M204+1),"00"))</f>
        <v/>
      </c>
      <c r="Q204" s="18" t="n"/>
      <c r="R204" s="15" t="n"/>
      <c r="S204" s="18" t="n"/>
      <c r="T204" s="16">
        <f>IF(U204="","",IF(LEFT(U204,1)="6","abgeschlossen",IF(OR(LEFT(U204,1)="1",LEFT(U204,1)="2"),"Kündigung &amp; Abnahme",IF(OR(LEFT(U204,1)="3",LEFT(U204,1)="4"),"Wiedervermietung","Schlussabrechnung"))))</f>
        <v/>
      </c>
      <c r="U204" s="16">
        <f>IF($B204="","",IF(AY204&lt;&gt;"","6 · abgeschlossen",IF(AW204&lt;&gt;"","5 · bereit zum Abschluss",IF(AT204&lt;&gt;"","5 · Schlussabrechnung",IF(AO204&lt;&gt;"","4 · Übergabe",IF(AM204&lt;&gt;"","3 · Neuvermietung",IF(M204&lt;&gt;"","2 · Abnahme &amp; Vermarktung","1 · Erfassung")))))))</f>
        <v/>
      </c>
      <c r="V204" s="15" t="n"/>
      <c r="W204" s="20" t="n"/>
      <c r="X204" s="15" t="n"/>
      <c r="Y204" s="15" t="n"/>
      <c r="Z204" s="18" t="n"/>
      <c r="AA204" s="19">
        <f>IF(M204="","",M204-30)</f>
        <v/>
      </c>
      <c r="AB204" s="19">
        <f>IF(ISNUMBER(AJ204),AJ204+3,"")</f>
        <v/>
      </c>
      <c r="AC204" s="18" t="n"/>
      <c r="AD204" s="18" t="n"/>
      <c r="AE204" s="18" t="n"/>
      <c r="AF204" s="18" t="n"/>
      <c r="AG204" s="18" t="n"/>
      <c r="AH204" s="18" t="n"/>
      <c r="AI204" s="18" t="n"/>
      <c r="AJ204" s="18" t="n"/>
      <c r="AK204" s="18" t="n"/>
      <c r="AL204" s="18" t="n"/>
      <c r="AM204" s="18" t="n"/>
      <c r="AN204" s="18" t="n"/>
      <c r="AO204" s="18" t="n"/>
      <c r="AP204" s="18" t="n"/>
      <c r="AQ204" s="18" t="n"/>
      <c r="AR204" s="18" t="n"/>
      <c r="AS204" s="18" t="n"/>
      <c r="AT204" s="18" t="n"/>
      <c r="AU204" s="18" t="n"/>
      <c r="AV204" s="18" t="n"/>
      <c r="AW204" s="18" t="n"/>
      <c r="AX204" s="18" t="n"/>
      <c r="AY204" s="18" t="n"/>
      <c r="AZ204" s="15" t="n"/>
    </row>
    <row r="205">
      <c r="A205" s="15" t="n"/>
      <c r="B205" s="15" t="n"/>
      <c r="C205" s="15" t="n"/>
      <c r="D205" s="15" t="n"/>
      <c r="E205" s="15" t="n"/>
      <c r="F205" s="15" t="n"/>
      <c r="G205" s="16">
        <f>IF(F205="","",IFERROR(INDEX(Stammdaten!$B$5:$B$24,MATCH(F205,Stammdaten!$A$5:$A$24,0)),"unbekannt"))</f>
        <v/>
      </c>
      <c r="H205" s="16">
        <f>IF($B205="","",IF(AY205&lt;&gt;"","abgeschlossen",IF(AND(ISNUMBER(AX205),AX205&gt;=TODAY()),"zurückgestellt",IF(OR(AND(ISNUMBER(AA205),AA205&lt;TODAY(),Z205="",AJ205=""),AND(ISNUMBER(Z205),Z205&lt;TODAY(),AJ205=""),AND(ISNUMBER(AB205),AB205&lt;TODAY(),AK205=""),AND(ISNUMBER(AC205),AC205&lt;TODAY(),AO205=""),AND(ISNUMBER(AD205),AD205&lt;TODAY(),AQ205="")),"überfällig","offen"))))</f>
        <v/>
      </c>
      <c r="I205" s="16">
        <f>IF($B205="","",IF(AY205&lt;&gt;"","—",IF(AND(ISNUMBER(AA205),AA205&lt;TODAY(),Z205="",AJ205=""),"Abnahmetermin vereinbaren – Sollfrist verstrichen",IF(AND(ISNUMBER(Z205),Z205&lt;TODAY(),AJ205=""),"Wohnungsabnahme nachtragen – Termin war fällig",IF(AND(ISNUMBER(AB205),AB205&lt;TODAY(),AK205=""),"Handwerker aufbieten – Frist verstrichen",IF(AND(ISNUMBER(AC205),AC205&lt;TODAY(),AO205=""),"Vertrag retour mahnen – Frist verstrichen",IF(AND(ISNUMBER(AD205),AD205&lt;TODAY(),AQ205=""),"Schlüsselübergabe nachtragen – Termin war fällig",IF(M205="","Haftungsdatum erfassen",IF(E205="","ex-Mieter erfassen",IF(AE205="","Kündigung bestätigen / G-Rem",IF(AF205="","Werke / EGT melden",IF(AG205="","Vorbesichtigung (oder n.e.)",IF(AH205="","VMZ aktualisieren",IF(AI205="","Inserat aufschalten",IF(AND(Z205="",AJ205=""),"Abnahmetermin vereinbaren",IF(AJ205="","Wohnungsabnahme durchführen",IF(AK205="","Handwerker aufbieten",IF(AL205="","Zustimmungserklärung einholen",IF(AM205="","Instandstellungen beauftragen",IF(R205="","Nachmieter erfassen",IF(AN205="","Vertrag versenden",IF(AO205="","Vertrag retour erfassen",IF(S205="","Vermietet per erfassen",IF(AP205="","Werke / EGT über Einzug informieren",IF(AND(AD205="",AQ205=""),"Schlüsselübergabe terminieren",IF(AQ205="","Schlüsselübergabe durchführen",IF(AR205="","Reinigung veranlassen",IF(AS205="","Namensschilder bestellen",IF(AT205="","Kaution prüfen / G-Rem mutieren",IF(AU205="","Instandstellungs-Rechnung erfassen",IF(AV205="","Schlussabrechnung erstellen",IF(AW205="","Zahlungseingang kontrollieren","Fall abschliessen"))))))))))))))))))))))))))))))))</f>
        <v/>
      </c>
      <c r="J205" s="17">
        <f>IF(M205="","",IF(S205&lt;&gt;"",MAX(0,S205-M205-1),MAX(0,TODAY()-M205)))</f>
        <v/>
      </c>
      <c r="K205" s="16">
        <f>IF($B205="","",TRIM(IF(AND(L205&lt;&gt;"",M205&lt;&gt;"",M205&lt;L205),"Haftungsdatum vor Kündigung. ","")&amp;IF(AND(S205&lt;&gt;"",M205&lt;&gt;"",S205&lt;M205),"Vermietung vor Leerstandsbeginn. ","")&amp;IF(AND(Z205&lt;&gt;"",L205&lt;&gt;"",Z205&lt;L205),"WA-Termin vor Kündigung. ","")&amp;IF(COUNTIFS($B$5:$B$404,$B205,$AY$5:$AY$404,"")&gt;1,"Zweiter offener Fall zum selben Objekt. ","")&amp;IF(AND($A205&lt;&gt;"",COUNTIFS($A$5:$A$404,$A205)&gt;1),"Fall-Nr. doppelt vergeben. ","")&amp;IF(E205="","ex-Mieter fehlt. ","")&amp;IF(M205="","Haftungsdatum fehlt. ","")&amp;IF(F205="","Bewirtschafter fehlt. ","")&amp;IF(AND(AY205&lt;&gt;"",AW205=""),"Abgeschlossen trotz offener Schlussabrechnung. ","")&amp;IF(AND(AY205="",S205="",ISNUMBER(J205),J205&gt;60),"Langläufer über 60 Tage. ","")))</f>
        <v/>
      </c>
      <c r="L205" s="18" t="n"/>
      <c r="M205" s="18" t="n"/>
      <c r="N205" s="19">
        <f>IF(M205="","",M205+1)</f>
        <v/>
      </c>
      <c r="O205" s="17">
        <f>IF(OR(L205="",M205=""),"",M205-L205)</f>
        <v/>
      </c>
      <c r="P205" s="16">
        <f>IF(M205="","",YEAR(M205+1)&amp;"-"&amp;TEXT(MONTH(M205+1),"00"))</f>
        <v/>
      </c>
      <c r="Q205" s="18" t="n"/>
      <c r="R205" s="15" t="n"/>
      <c r="S205" s="18" t="n"/>
      <c r="T205" s="16">
        <f>IF(U205="","",IF(LEFT(U205,1)="6","abgeschlossen",IF(OR(LEFT(U205,1)="1",LEFT(U205,1)="2"),"Kündigung &amp; Abnahme",IF(OR(LEFT(U205,1)="3",LEFT(U205,1)="4"),"Wiedervermietung","Schlussabrechnung"))))</f>
        <v/>
      </c>
      <c r="U205" s="16">
        <f>IF($B205="","",IF(AY205&lt;&gt;"","6 · abgeschlossen",IF(AW205&lt;&gt;"","5 · bereit zum Abschluss",IF(AT205&lt;&gt;"","5 · Schlussabrechnung",IF(AO205&lt;&gt;"","4 · Übergabe",IF(AM205&lt;&gt;"","3 · Neuvermietung",IF(M205&lt;&gt;"","2 · Abnahme &amp; Vermarktung","1 · Erfassung")))))))</f>
        <v/>
      </c>
      <c r="V205" s="15" t="n"/>
      <c r="W205" s="20" t="n"/>
      <c r="X205" s="15" t="n"/>
      <c r="Y205" s="15" t="n"/>
      <c r="Z205" s="18" t="n"/>
      <c r="AA205" s="19">
        <f>IF(M205="","",M205-30)</f>
        <v/>
      </c>
      <c r="AB205" s="19">
        <f>IF(ISNUMBER(AJ205),AJ205+3,"")</f>
        <v/>
      </c>
      <c r="AC205" s="18" t="n"/>
      <c r="AD205" s="18" t="n"/>
      <c r="AE205" s="18" t="n"/>
      <c r="AF205" s="18" t="n"/>
      <c r="AG205" s="18" t="n"/>
      <c r="AH205" s="18" t="n"/>
      <c r="AI205" s="18" t="n"/>
      <c r="AJ205" s="18" t="n"/>
      <c r="AK205" s="18" t="n"/>
      <c r="AL205" s="18" t="n"/>
      <c r="AM205" s="18" t="n"/>
      <c r="AN205" s="18" t="n"/>
      <c r="AO205" s="18" t="n"/>
      <c r="AP205" s="18" t="n"/>
      <c r="AQ205" s="18" t="n"/>
      <c r="AR205" s="18" t="n"/>
      <c r="AS205" s="18" t="n"/>
      <c r="AT205" s="18" t="n"/>
      <c r="AU205" s="18" t="n"/>
      <c r="AV205" s="18" t="n"/>
      <c r="AW205" s="18" t="n"/>
      <c r="AX205" s="18" t="n"/>
      <c r="AY205" s="18" t="n"/>
      <c r="AZ205" s="15" t="n"/>
    </row>
    <row r="206">
      <c r="A206" s="15" t="n"/>
      <c r="B206" s="15" t="n"/>
      <c r="C206" s="15" t="n"/>
      <c r="D206" s="15" t="n"/>
      <c r="E206" s="15" t="n"/>
      <c r="F206" s="15" t="n"/>
      <c r="G206" s="16">
        <f>IF(F206="","",IFERROR(INDEX(Stammdaten!$B$5:$B$24,MATCH(F206,Stammdaten!$A$5:$A$24,0)),"unbekannt"))</f>
        <v/>
      </c>
      <c r="H206" s="16">
        <f>IF($B206="","",IF(AY206&lt;&gt;"","abgeschlossen",IF(AND(ISNUMBER(AX206),AX206&gt;=TODAY()),"zurückgestellt",IF(OR(AND(ISNUMBER(AA206),AA206&lt;TODAY(),Z206="",AJ206=""),AND(ISNUMBER(Z206),Z206&lt;TODAY(),AJ206=""),AND(ISNUMBER(AB206),AB206&lt;TODAY(),AK206=""),AND(ISNUMBER(AC206),AC206&lt;TODAY(),AO206=""),AND(ISNUMBER(AD206),AD206&lt;TODAY(),AQ206="")),"überfällig","offen"))))</f>
        <v/>
      </c>
      <c r="I206" s="16">
        <f>IF($B206="","",IF(AY206&lt;&gt;"","—",IF(AND(ISNUMBER(AA206),AA206&lt;TODAY(),Z206="",AJ206=""),"Abnahmetermin vereinbaren – Sollfrist verstrichen",IF(AND(ISNUMBER(Z206),Z206&lt;TODAY(),AJ206=""),"Wohnungsabnahme nachtragen – Termin war fällig",IF(AND(ISNUMBER(AB206),AB206&lt;TODAY(),AK206=""),"Handwerker aufbieten – Frist verstrichen",IF(AND(ISNUMBER(AC206),AC206&lt;TODAY(),AO206=""),"Vertrag retour mahnen – Frist verstrichen",IF(AND(ISNUMBER(AD206),AD206&lt;TODAY(),AQ206=""),"Schlüsselübergabe nachtragen – Termin war fällig",IF(M206="","Haftungsdatum erfassen",IF(E206="","ex-Mieter erfassen",IF(AE206="","Kündigung bestätigen / G-Rem",IF(AF206="","Werke / EGT melden",IF(AG206="","Vorbesichtigung (oder n.e.)",IF(AH206="","VMZ aktualisieren",IF(AI206="","Inserat aufschalten",IF(AND(Z206="",AJ206=""),"Abnahmetermin vereinbaren",IF(AJ206="","Wohnungsabnahme durchführen",IF(AK206="","Handwerker aufbieten",IF(AL206="","Zustimmungserklärung einholen",IF(AM206="","Instandstellungen beauftragen",IF(R206="","Nachmieter erfassen",IF(AN206="","Vertrag versenden",IF(AO206="","Vertrag retour erfassen",IF(S206="","Vermietet per erfassen",IF(AP206="","Werke / EGT über Einzug informieren",IF(AND(AD206="",AQ206=""),"Schlüsselübergabe terminieren",IF(AQ206="","Schlüsselübergabe durchführen",IF(AR206="","Reinigung veranlassen",IF(AS206="","Namensschilder bestellen",IF(AT206="","Kaution prüfen / G-Rem mutieren",IF(AU206="","Instandstellungs-Rechnung erfassen",IF(AV206="","Schlussabrechnung erstellen",IF(AW206="","Zahlungseingang kontrollieren","Fall abschliessen"))))))))))))))))))))))))))))))))</f>
        <v/>
      </c>
      <c r="J206" s="17">
        <f>IF(M206="","",IF(S206&lt;&gt;"",MAX(0,S206-M206-1),MAX(0,TODAY()-M206)))</f>
        <v/>
      </c>
      <c r="K206" s="16">
        <f>IF($B206="","",TRIM(IF(AND(L206&lt;&gt;"",M206&lt;&gt;"",M206&lt;L206),"Haftungsdatum vor Kündigung. ","")&amp;IF(AND(S206&lt;&gt;"",M206&lt;&gt;"",S206&lt;M206),"Vermietung vor Leerstandsbeginn. ","")&amp;IF(AND(Z206&lt;&gt;"",L206&lt;&gt;"",Z206&lt;L206),"WA-Termin vor Kündigung. ","")&amp;IF(COUNTIFS($B$5:$B$404,$B206,$AY$5:$AY$404,"")&gt;1,"Zweiter offener Fall zum selben Objekt. ","")&amp;IF(AND($A206&lt;&gt;"",COUNTIFS($A$5:$A$404,$A206)&gt;1),"Fall-Nr. doppelt vergeben. ","")&amp;IF(E206="","ex-Mieter fehlt. ","")&amp;IF(M206="","Haftungsdatum fehlt. ","")&amp;IF(F206="","Bewirtschafter fehlt. ","")&amp;IF(AND(AY206&lt;&gt;"",AW206=""),"Abgeschlossen trotz offener Schlussabrechnung. ","")&amp;IF(AND(AY206="",S206="",ISNUMBER(J206),J206&gt;60),"Langläufer über 60 Tage. ","")))</f>
        <v/>
      </c>
      <c r="L206" s="18" t="n"/>
      <c r="M206" s="18" t="n"/>
      <c r="N206" s="19">
        <f>IF(M206="","",M206+1)</f>
        <v/>
      </c>
      <c r="O206" s="17">
        <f>IF(OR(L206="",M206=""),"",M206-L206)</f>
        <v/>
      </c>
      <c r="P206" s="16">
        <f>IF(M206="","",YEAR(M206+1)&amp;"-"&amp;TEXT(MONTH(M206+1),"00"))</f>
        <v/>
      </c>
      <c r="Q206" s="18" t="n"/>
      <c r="R206" s="15" t="n"/>
      <c r="S206" s="18" t="n"/>
      <c r="T206" s="16">
        <f>IF(U206="","",IF(LEFT(U206,1)="6","abgeschlossen",IF(OR(LEFT(U206,1)="1",LEFT(U206,1)="2"),"Kündigung &amp; Abnahme",IF(OR(LEFT(U206,1)="3",LEFT(U206,1)="4"),"Wiedervermietung","Schlussabrechnung"))))</f>
        <v/>
      </c>
      <c r="U206" s="16">
        <f>IF($B206="","",IF(AY206&lt;&gt;"","6 · abgeschlossen",IF(AW206&lt;&gt;"","5 · bereit zum Abschluss",IF(AT206&lt;&gt;"","5 · Schlussabrechnung",IF(AO206&lt;&gt;"","4 · Übergabe",IF(AM206&lt;&gt;"","3 · Neuvermietung",IF(M206&lt;&gt;"","2 · Abnahme &amp; Vermarktung","1 · Erfassung")))))))</f>
        <v/>
      </c>
      <c r="V206" s="15" t="n"/>
      <c r="W206" s="20" t="n"/>
      <c r="X206" s="15" t="n"/>
      <c r="Y206" s="15" t="n"/>
      <c r="Z206" s="18" t="n"/>
      <c r="AA206" s="19">
        <f>IF(M206="","",M206-30)</f>
        <v/>
      </c>
      <c r="AB206" s="19">
        <f>IF(ISNUMBER(AJ206),AJ206+3,"")</f>
        <v/>
      </c>
      <c r="AC206" s="18" t="n"/>
      <c r="AD206" s="18" t="n"/>
      <c r="AE206" s="18" t="n"/>
      <c r="AF206" s="18" t="n"/>
      <c r="AG206" s="18" t="n"/>
      <c r="AH206" s="18" t="n"/>
      <c r="AI206" s="18" t="n"/>
      <c r="AJ206" s="18" t="n"/>
      <c r="AK206" s="18" t="n"/>
      <c r="AL206" s="18" t="n"/>
      <c r="AM206" s="18" t="n"/>
      <c r="AN206" s="18" t="n"/>
      <c r="AO206" s="18" t="n"/>
      <c r="AP206" s="18" t="n"/>
      <c r="AQ206" s="18" t="n"/>
      <c r="AR206" s="18" t="n"/>
      <c r="AS206" s="18" t="n"/>
      <c r="AT206" s="18" t="n"/>
      <c r="AU206" s="18" t="n"/>
      <c r="AV206" s="18" t="n"/>
      <c r="AW206" s="18" t="n"/>
      <c r="AX206" s="18" t="n"/>
      <c r="AY206" s="18" t="n"/>
      <c r="AZ206" s="15" t="n"/>
    </row>
    <row r="207">
      <c r="A207" s="15" t="n"/>
      <c r="B207" s="15" t="n"/>
      <c r="C207" s="15" t="n"/>
      <c r="D207" s="15" t="n"/>
      <c r="E207" s="15" t="n"/>
      <c r="F207" s="15" t="n"/>
      <c r="G207" s="16">
        <f>IF(F207="","",IFERROR(INDEX(Stammdaten!$B$5:$B$24,MATCH(F207,Stammdaten!$A$5:$A$24,0)),"unbekannt"))</f>
        <v/>
      </c>
      <c r="H207" s="16">
        <f>IF($B207="","",IF(AY207&lt;&gt;"","abgeschlossen",IF(AND(ISNUMBER(AX207),AX207&gt;=TODAY()),"zurückgestellt",IF(OR(AND(ISNUMBER(AA207),AA207&lt;TODAY(),Z207="",AJ207=""),AND(ISNUMBER(Z207),Z207&lt;TODAY(),AJ207=""),AND(ISNUMBER(AB207),AB207&lt;TODAY(),AK207=""),AND(ISNUMBER(AC207),AC207&lt;TODAY(),AO207=""),AND(ISNUMBER(AD207),AD207&lt;TODAY(),AQ207="")),"überfällig","offen"))))</f>
        <v/>
      </c>
      <c r="I207" s="16">
        <f>IF($B207="","",IF(AY207&lt;&gt;"","—",IF(AND(ISNUMBER(AA207),AA207&lt;TODAY(),Z207="",AJ207=""),"Abnahmetermin vereinbaren – Sollfrist verstrichen",IF(AND(ISNUMBER(Z207),Z207&lt;TODAY(),AJ207=""),"Wohnungsabnahme nachtragen – Termin war fällig",IF(AND(ISNUMBER(AB207),AB207&lt;TODAY(),AK207=""),"Handwerker aufbieten – Frist verstrichen",IF(AND(ISNUMBER(AC207),AC207&lt;TODAY(),AO207=""),"Vertrag retour mahnen – Frist verstrichen",IF(AND(ISNUMBER(AD207),AD207&lt;TODAY(),AQ207=""),"Schlüsselübergabe nachtragen – Termin war fällig",IF(M207="","Haftungsdatum erfassen",IF(E207="","ex-Mieter erfassen",IF(AE207="","Kündigung bestätigen / G-Rem",IF(AF207="","Werke / EGT melden",IF(AG207="","Vorbesichtigung (oder n.e.)",IF(AH207="","VMZ aktualisieren",IF(AI207="","Inserat aufschalten",IF(AND(Z207="",AJ207=""),"Abnahmetermin vereinbaren",IF(AJ207="","Wohnungsabnahme durchführen",IF(AK207="","Handwerker aufbieten",IF(AL207="","Zustimmungserklärung einholen",IF(AM207="","Instandstellungen beauftragen",IF(R207="","Nachmieter erfassen",IF(AN207="","Vertrag versenden",IF(AO207="","Vertrag retour erfassen",IF(S207="","Vermietet per erfassen",IF(AP207="","Werke / EGT über Einzug informieren",IF(AND(AD207="",AQ207=""),"Schlüsselübergabe terminieren",IF(AQ207="","Schlüsselübergabe durchführen",IF(AR207="","Reinigung veranlassen",IF(AS207="","Namensschilder bestellen",IF(AT207="","Kaution prüfen / G-Rem mutieren",IF(AU207="","Instandstellungs-Rechnung erfassen",IF(AV207="","Schlussabrechnung erstellen",IF(AW207="","Zahlungseingang kontrollieren","Fall abschliessen"))))))))))))))))))))))))))))))))</f>
        <v/>
      </c>
      <c r="J207" s="17">
        <f>IF(M207="","",IF(S207&lt;&gt;"",MAX(0,S207-M207-1),MAX(0,TODAY()-M207)))</f>
        <v/>
      </c>
      <c r="K207" s="16">
        <f>IF($B207="","",TRIM(IF(AND(L207&lt;&gt;"",M207&lt;&gt;"",M207&lt;L207),"Haftungsdatum vor Kündigung. ","")&amp;IF(AND(S207&lt;&gt;"",M207&lt;&gt;"",S207&lt;M207),"Vermietung vor Leerstandsbeginn. ","")&amp;IF(AND(Z207&lt;&gt;"",L207&lt;&gt;"",Z207&lt;L207),"WA-Termin vor Kündigung. ","")&amp;IF(COUNTIFS($B$5:$B$404,$B207,$AY$5:$AY$404,"")&gt;1,"Zweiter offener Fall zum selben Objekt. ","")&amp;IF(AND($A207&lt;&gt;"",COUNTIFS($A$5:$A$404,$A207)&gt;1),"Fall-Nr. doppelt vergeben. ","")&amp;IF(E207="","ex-Mieter fehlt. ","")&amp;IF(M207="","Haftungsdatum fehlt. ","")&amp;IF(F207="","Bewirtschafter fehlt. ","")&amp;IF(AND(AY207&lt;&gt;"",AW207=""),"Abgeschlossen trotz offener Schlussabrechnung. ","")&amp;IF(AND(AY207="",S207="",ISNUMBER(J207),J207&gt;60),"Langläufer über 60 Tage. ","")))</f>
        <v/>
      </c>
      <c r="L207" s="18" t="n"/>
      <c r="M207" s="18" t="n"/>
      <c r="N207" s="19">
        <f>IF(M207="","",M207+1)</f>
        <v/>
      </c>
      <c r="O207" s="17">
        <f>IF(OR(L207="",M207=""),"",M207-L207)</f>
        <v/>
      </c>
      <c r="P207" s="16">
        <f>IF(M207="","",YEAR(M207+1)&amp;"-"&amp;TEXT(MONTH(M207+1),"00"))</f>
        <v/>
      </c>
      <c r="Q207" s="18" t="n"/>
      <c r="R207" s="15" t="n"/>
      <c r="S207" s="18" t="n"/>
      <c r="T207" s="16">
        <f>IF(U207="","",IF(LEFT(U207,1)="6","abgeschlossen",IF(OR(LEFT(U207,1)="1",LEFT(U207,1)="2"),"Kündigung &amp; Abnahme",IF(OR(LEFT(U207,1)="3",LEFT(U207,1)="4"),"Wiedervermietung","Schlussabrechnung"))))</f>
        <v/>
      </c>
      <c r="U207" s="16">
        <f>IF($B207="","",IF(AY207&lt;&gt;"","6 · abgeschlossen",IF(AW207&lt;&gt;"","5 · bereit zum Abschluss",IF(AT207&lt;&gt;"","5 · Schlussabrechnung",IF(AO207&lt;&gt;"","4 · Übergabe",IF(AM207&lt;&gt;"","3 · Neuvermietung",IF(M207&lt;&gt;"","2 · Abnahme &amp; Vermarktung","1 · Erfassung")))))))</f>
        <v/>
      </c>
      <c r="V207" s="15" t="n"/>
      <c r="W207" s="20" t="n"/>
      <c r="X207" s="15" t="n"/>
      <c r="Y207" s="15" t="n"/>
      <c r="Z207" s="18" t="n"/>
      <c r="AA207" s="19">
        <f>IF(M207="","",M207-30)</f>
        <v/>
      </c>
      <c r="AB207" s="19">
        <f>IF(ISNUMBER(AJ207),AJ207+3,"")</f>
        <v/>
      </c>
      <c r="AC207" s="18" t="n"/>
      <c r="AD207" s="18" t="n"/>
      <c r="AE207" s="18" t="n"/>
      <c r="AF207" s="18" t="n"/>
      <c r="AG207" s="18" t="n"/>
      <c r="AH207" s="18" t="n"/>
      <c r="AI207" s="18" t="n"/>
      <c r="AJ207" s="18" t="n"/>
      <c r="AK207" s="18" t="n"/>
      <c r="AL207" s="18" t="n"/>
      <c r="AM207" s="18" t="n"/>
      <c r="AN207" s="18" t="n"/>
      <c r="AO207" s="18" t="n"/>
      <c r="AP207" s="18" t="n"/>
      <c r="AQ207" s="18" t="n"/>
      <c r="AR207" s="18" t="n"/>
      <c r="AS207" s="18" t="n"/>
      <c r="AT207" s="18" t="n"/>
      <c r="AU207" s="18" t="n"/>
      <c r="AV207" s="18" t="n"/>
      <c r="AW207" s="18" t="n"/>
      <c r="AX207" s="18" t="n"/>
      <c r="AY207" s="18" t="n"/>
      <c r="AZ207" s="15" t="n"/>
    </row>
    <row r="208">
      <c r="A208" s="15" t="n"/>
      <c r="B208" s="15" t="n"/>
      <c r="C208" s="15" t="n"/>
      <c r="D208" s="15" t="n"/>
      <c r="E208" s="15" t="n"/>
      <c r="F208" s="15" t="n"/>
      <c r="G208" s="16">
        <f>IF(F208="","",IFERROR(INDEX(Stammdaten!$B$5:$B$24,MATCH(F208,Stammdaten!$A$5:$A$24,0)),"unbekannt"))</f>
        <v/>
      </c>
      <c r="H208" s="16">
        <f>IF($B208="","",IF(AY208&lt;&gt;"","abgeschlossen",IF(AND(ISNUMBER(AX208),AX208&gt;=TODAY()),"zurückgestellt",IF(OR(AND(ISNUMBER(AA208),AA208&lt;TODAY(),Z208="",AJ208=""),AND(ISNUMBER(Z208),Z208&lt;TODAY(),AJ208=""),AND(ISNUMBER(AB208),AB208&lt;TODAY(),AK208=""),AND(ISNUMBER(AC208),AC208&lt;TODAY(),AO208=""),AND(ISNUMBER(AD208),AD208&lt;TODAY(),AQ208="")),"überfällig","offen"))))</f>
        <v/>
      </c>
      <c r="I208" s="16">
        <f>IF($B208="","",IF(AY208&lt;&gt;"","—",IF(AND(ISNUMBER(AA208),AA208&lt;TODAY(),Z208="",AJ208=""),"Abnahmetermin vereinbaren – Sollfrist verstrichen",IF(AND(ISNUMBER(Z208),Z208&lt;TODAY(),AJ208=""),"Wohnungsabnahme nachtragen – Termin war fällig",IF(AND(ISNUMBER(AB208),AB208&lt;TODAY(),AK208=""),"Handwerker aufbieten – Frist verstrichen",IF(AND(ISNUMBER(AC208),AC208&lt;TODAY(),AO208=""),"Vertrag retour mahnen – Frist verstrichen",IF(AND(ISNUMBER(AD208),AD208&lt;TODAY(),AQ208=""),"Schlüsselübergabe nachtragen – Termin war fällig",IF(M208="","Haftungsdatum erfassen",IF(E208="","ex-Mieter erfassen",IF(AE208="","Kündigung bestätigen / G-Rem",IF(AF208="","Werke / EGT melden",IF(AG208="","Vorbesichtigung (oder n.e.)",IF(AH208="","VMZ aktualisieren",IF(AI208="","Inserat aufschalten",IF(AND(Z208="",AJ208=""),"Abnahmetermin vereinbaren",IF(AJ208="","Wohnungsabnahme durchführen",IF(AK208="","Handwerker aufbieten",IF(AL208="","Zustimmungserklärung einholen",IF(AM208="","Instandstellungen beauftragen",IF(R208="","Nachmieter erfassen",IF(AN208="","Vertrag versenden",IF(AO208="","Vertrag retour erfassen",IF(S208="","Vermietet per erfassen",IF(AP208="","Werke / EGT über Einzug informieren",IF(AND(AD208="",AQ208=""),"Schlüsselübergabe terminieren",IF(AQ208="","Schlüsselübergabe durchführen",IF(AR208="","Reinigung veranlassen",IF(AS208="","Namensschilder bestellen",IF(AT208="","Kaution prüfen / G-Rem mutieren",IF(AU208="","Instandstellungs-Rechnung erfassen",IF(AV208="","Schlussabrechnung erstellen",IF(AW208="","Zahlungseingang kontrollieren","Fall abschliessen"))))))))))))))))))))))))))))))))</f>
        <v/>
      </c>
      <c r="J208" s="17">
        <f>IF(M208="","",IF(S208&lt;&gt;"",MAX(0,S208-M208-1),MAX(0,TODAY()-M208)))</f>
        <v/>
      </c>
      <c r="K208" s="16">
        <f>IF($B208="","",TRIM(IF(AND(L208&lt;&gt;"",M208&lt;&gt;"",M208&lt;L208),"Haftungsdatum vor Kündigung. ","")&amp;IF(AND(S208&lt;&gt;"",M208&lt;&gt;"",S208&lt;M208),"Vermietung vor Leerstandsbeginn. ","")&amp;IF(AND(Z208&lt;&gt;"",L208&lt;&gt;"",Z208&lt;L208),"WA-Termin vor Kündigung. ","")&amp;IF(COUNTIFS($B$5:$B$404,$B208,$AY$5:$AY$404,"")&gt;1,"Zweiter offener Fall zum selben Objekt. ","")&amp;IF(AND($A208&lt;&gt;"",COUNTIFS($A$5:$A$404,$A208)&gt;1),"Fall-Nr. doppelt vergeben. ","")&amp;IF(E208="","ex-Mieter fehlt. ","")&amp;IF(M208="","Haftungsdatum fehlt. ","")&amp;IF(F208="","Bewirtschafter fehlt. ","")&amp;IF(AND(AY208&lt;&gt;"",AW208=""),"Abgeschlossen trotz offener Schlussabrechnung. ","")&amp;IF(AND(AY208="",S208="",ISNUMBER(J208),J208&gt;60),"Langläufer über 60 Tage. ","")))</f>
        <v/>
      </c>
      <c r="L208" s="18" t="n"/>
      <c r="M208" s="18" t="n"/>
      <c r="N208" s="19">
        <f>IF(M208="","",M208+1)</f>
        <v/>
      </c>
      <c r="O208" s="17">
        <f>IF(OR(L208="",M208=""),"",M208-L208)</f>
        <v/>
      </c>
      <c r="P208" s="16">
        <f>IF(M208="","",YEAR(M208+1)&amp;"-"&amp;TEXT(MONTH(M208+1),"00"))</f>
        <v/>
      </c>
      <c r="Q208" s="18" t="n"/>
      <c r="R208" s="15" t="n"/>
      <c r="S208" s="18" t="n"/>
      <c r="T208" s="16">
        <f>IF(U208="","",IF(LEFT(U208,1)="6","abgeschlossen",IF(OR(LEFT(U208,1)="1",LEFT(U208,1)="2"),"Kündigung &amp; Abnahme",IF(OR(LEFT(U208,1)="3",LEFT(U208,1)="4"),"Wiedervermietung","Schlussabrechnung"))))</f>
        <v/>
      </c>
      <c r="U208" s="16">
        <f>IF($B208="","",IF(AY208&lt;&gt;"","6 · abgeschlossen",IF(AW208&lt;&gt;"","5 · bereit zum Abschluss",IF(AT208&lt;&gt;"","5 · Schlussabrechnung",IF(AO208&lt;&gt;"","4 · Übergabe",IF(AM208&lt;&gt;"","3 · Neuvermietung",IF(M208&lt;&gt;"","2 · Abnahme &amp; Vermarktung","1 · Erfassung")))))))</f>
        <v/>
      </c>
      <c r="V208" s="15" t="n"/>
      <c r="W208" s="20" t="n"/>
      <c r="X208" s="15" t="n"/>
      <c r="Y208" s="15" t="n"/>
      <c r="Z208" s="18" t="n"/>
      <c r="AA208" s="19">
        <f>IF(M208="","",M208-30)</f>
        <v/>
      </c>
      <c r="AB208" s="19">
        <f>IF(ISNUMBER(AJ208),AJ208+3,"")</f>
        <v/>
      </c>
      <c r="AC208" s="18" t="n"/>
      <c r="AD208" s="18" t="n"/>
      <c r="AE208" s="18" t="n"/>
      <c r="AF208" s="18" t="n"/>
      <c r="AG208" s="18" t="n"/>
      <c r="AH208" s="18" t="n"/>
      <c r="AI208" s="18" t="n"/>
      <c r="AJ208" s="18" t="n"/>
      <c r="AK208" s="18" t="n"/>
      <c r="AL208" s="18" t="n"/>
      <c r="AM208" s="18" t="n"/>
      <c r="AN208" s="18" t="n"/>
      <c r="AO208" s="18" t="n"/>
      <c r="AP208" s="18" t="n"/>
      <c r="AQ208" s="18" t="n"/>
      <c r="AR208" s="18" t="n"/>
      <c r="AS208" s="18" t="n"/>
      <c r="AT208" s="18" t="n"/>
      <c r="AU208" s="18" t="n"/>
      <c r="AV208" s="18" t="n"/>
      <c r="AW208" s="18" t="n"/>
      <c r="AX208" s="18" t="n"/>
      <c r="AY208" s="18" t="n"/>
      <c r="AZ208" s="15" t="n"/>
    </row>
    <row r="209">
      <c r="A209" s="15" t="n"/>
      <c r="B209" s="15" t="n"/>
      <c r="C209" s="15" t="n"/>
      <c r="D209" s="15" t="n"/>
      <c r="E209" s="15" t="n"/>
      <c r="F209" s="15" t="n"/>
      <c r="G209" s="16">
        <f>IF(F209="","",IFERROR(INDEX(Stammdaten!$B$5:$B$24,MATCH(F209,Stammdaten!$A$5:$A$24,0)),"unbekannt"))</f>
        <v/>
      </c>
      <c r="H209" s="16">
        <f>IF($B209="","",IF(AY209&lt;&gt;"","abgeschlossen",IF(AND(ISNUMBER(AX209),AX209&gt;=TODAY()),"zurückgestellt",IF(OR(AND(ISNUMBER(AA209),AA209&lt;TODAY(),Z209="",AJ209=""),AND(ISNUMBER(Z209),Z209&lt;TODAY(),AJ209=""),AND(ISNUMBER(AB209),AB209&lt;TODAY(),AK209=""),AND(ISNUMBER(AC209),AC209&lt;TODAY(),AO209=""),AND(ISNUMBER(AD209),AD209&lt;TODAY(),AQ209="")),"überfällig","offen"))))</f>
        <v/>
      </c>
      <c r="I209" s="16">
        <f>IF($B209="","",IF(AY209&lt;&gt;"","—",IF(AND(ISNUMBER(AA209),AA209&lt;TODAY(),Z209="",AJ209=""),"Abnahmetermin vereinbaren – Sollfrist verstrichen",IF(AND(ISNUMBER(Z209),Z209&lt;TODAY(),AJ209=""),"Wohnungsabnahme nachtragen – Termin war fällig",IF(AND(ISNUMBER(AB209),AB209&lt;TODAY(),AK209=""),"Handwerker aufbieten – Frist verstrichen",IF(AND(ISNUMBER(AC209),AC209&lt;TODAY(),AO209=""),"Vertrag retour mahnen – Frist verstrichen",IF(AND(ISNUMBER(AD209),AD209&lt;TODAY(),AQ209=""),"Schlüsselübergabe nachtragen – Termin war fällig",IF(M209="","Haftungsdatum erfassen",IF(E209="","ex-Mieter erfassen",IF(AE209="","Kündigung bestätigen / G-Rem",IF(AF209="","Werke / EGT melden",IF(AG209="","Vorbesichtigung (oder n.e.)",IF(AH209="","VMZ aktualisieren",IF(AI209="","Inserat aufschalten",IF(AND(Z209="",AJ209=""),"Abnahmetermin vereinbaren",IF(AJ209="","Wohnungsabnahme durchführen",IF(AK209="","Handwerker aufbieten",IF(AL209="","Zustimmungserklärung einholen",IF(AM209="","Instandstellungen beauftragen",IF(R209="","Nachmieter erfassen",IF(AN209="","Vertrag versenden",IF(AO209="","Vertrag retour erfassen",IF(S209="","Vermietet per erfassen",IF(AP209="","Werke / EGT über Einzug informieren",IF(AND(AD209="",AQ209=""),"Schlüsselübergabe terminieren",IF(AQ209="","Schlüsselübergabe durchführen",IF(AR209="","Reinigung veranlassen",IF(AS209="","Namensschilder bestellen",IF(AT209="","Kaution prüfen / G-Rem mutieren",IF(AU209="","Instandstellungs-Rechnung erfassen",IF(AV209="","Schlussabrechnung erstellen",IF(AW209="","Zahlungseingang kontrollieren","Fall abschliessen"))))))))))))))))))))))))))))))))</f>
        <v/>
      </c>
      <c r="J209" s="17">
        <f>IF(M209="","",IF(S209&lt;&gt;"",MAX(0,S209-M209-1),MAX(0,TODAY()-M209)))</f>
        <v/>
      </c>
      <c r="K209" s="16">
        <f>IF($B209="","",TRIM(IF(AND(L209&lt;&gt;"",M209&lt;&gt;"",M209&lt;L209),"Haftungsdatum vor Kündigung. ","")&amp;IF(AND(S209&lt;&gt;"",M209&lt;&gt;"",S209&lt;M209),"Vermietung vor Leerstandsbeginn. ","")&amp;IF(AND(Z209&lt;&gt;"",L209&lt;&gt;"",Z209&lt;L209),"WA-Termin vor Kündigung. ","")&amp;IF(COUNTIFS($B$5:$B$404,$B209,$AY$5:$AY$404,"")&gt;1,"Zweiter offener Fall zum selben Objekt. ","")&amp;IF(AND($A209&lt;&gt;"",COUNTIFS($A$5:$A$404,$A209)&gt;1),"Fall-Nr. doppelt vergeben. ","")&amp;IF(E209="","ex-Mieter fehlt. ","")&amp;IF(M209="","Haftungsdatum fehlt. ","")&amp;IF(F209="","Bewirtschafter fehlt. ","")&amp;IF(AND(AY209&lt;&gt;"",AW209=""),"Abgeschlossen trotz offener Schlussabrechnung. ","")&amp;IF(AND(AY209="",S209="",ISNUMBER(J209),J209&gt;60),"Langläufer über 60 Tage. ","")))</f>
        <v/>
      </c>
      <c r="L209" s="18" t="n"/>
      <c r="M209" s="18" t="n"/>
      <c r="N209" s="19">
        <f>IF(M209="","",M209+1)</f>
        <v/>
      </c>
      <c r="O209" s="17">
        <f>IF(OR(L209="",M209=""),"",M209-L209)</f>
        <v/>
      </c>
      <c r="P209" s="16">
        <f>IF(M209="","",YEAR(M209+1)&amp;"-"&amp;TEXT(MONTH(M209+1),"00"))</f>
        <v/>
      </c>
      <c r="Q209" s="18" t="n"/>
      <c r="R209" s="15" t="n"/>
      <c r="S209" s="18" t="n"/>
      <c r="T209" s="16">
        <f>IF(U209="","",IF(LEFT(U209,1)="6","abgeschlossen",IF(OR(LEFT(U209,1)="1",LEFT(U209,1)="2"),"Kündigung &amp; Abnahme",IF(OR(LEFT(U209,1)="3",LEFT(U209,1)="4"),"Wiedervermietung","Schlussabrechnung"))))</f>
        <v/>
      </c>
      <c r="U209" s="16">
        <f>IF($B209="","",IF(AY209&lt;&gt;"","6 · abgeschlossen",IF(AW209&lt;&gt;"","5 · bereit zum Abschluss",IF(AT209&lt;&gt;"","5 · Schlussabrechnung",IF(AO209&lt;&gt;"","4 · Übergabe",IF(AM209&lt;&gt;"","3 · Neuvermietung",IF(M209&lt;&gt;"","2 · Abnahme &amp; Vermarktung","1 · Erfassung")))))))</f>
        <v/>
      </c>
      <c r="V209" s="15" t="n"/>
      <c r="W209" s="20" t="n"/>
      <c r="X209" s="15" t="n"/>
      <c r="Y209" s="15" t="n"/>
      <c r="Z209" s="18" t="n"/>
      <c r="AA209" s="19">
        <f>IF(M209="","",M209-30)</f>
        <v/>
      </c>
      <c r="AB209" s="19">
        <f>IF(ISNUMBER(AJ209),AJ209+3,"")</f>
        <v/>
      </c>
      <c r="AC209" s="18" t="n"/>
      <c r="AD209" s="18" t="n"/>
      <c r="AE209" s="18" t="n"/>
      <c r="AF209" s="18" t="n"/>
      <c r="AG209" s="18" t="n"/>
      <c r="AH209" s="18" t="n"/>
      <c r="AI209" s="18" t="n"/>
      <c r="AJ209" s="18" t="n"/>
      <c r="AK209" s="18" t="n"/>
      <c r="AL209" s="18" t="n"/>
      <c r="AM209" s="18" t="n"/>
      <c r="AN209" s="18" t="n"/>
      <c r="AO209" s="18" t="n"/>
      <c r="AP209" s="18" t="n"/>
      <c r="AQ209" s="18" t="n"/>
      <c r="AR209" s="18" t="n"/>
      <c r="AS209" s="18" t="n"/>
      <c r="AT209" s="18" t="n"/>
      <c r="AU209" s="18" t="n"/>
      <c r="AV209" s="18" t="n"/>
      <c r="AW209" s="18" t="n"/>
      <c r="AX209" s="18" t="n"/>
      <c r="AY209" s="18" t="n"/>
      <c r="AZ209" s="15" t="n"/>
    </row>
    <row r="210">
      <c r="A210" s="15" t="n"/>
      <c r="B210" s="15" t="n"/>
      <c r="C210" s="15" t="n"/>
      <c r="D210" s="15" t="n"/>
      <c r="E210" s="15" t="n"/>
      <c r="F210" s="15" t="n"/>
      <c r="G210" s="16">
        <f>IF(F210="","",IFERROR(INDEX(Stammdaten!$B$5:$B$24,MATCH(F210,Stammdaten!$A$5:$A$24,0)),"unbekannt"))</f>
        <v/>
      </c>
      <c r="H210" s="16">
        <f>IF($B210="","",IF(AY210&lt;&gt;"","abgeschlossen",IF(AND(ISNUMBER(AX210),AX210&gt;=TODAY()),"zurückgestellt",IF(OR(AND(ISNUMBER(AA210),AA210&lt;TODAY(),Z210="",AJ210=""),AND(ISNUMBER(Z210),Z210&lt;TODAY(),AJ210=""),AND(ISNUMBER(AB210),AB210&lt;TODAY(),AK210=""),AND(ISNUMBER(AC210),AC210&lt;TODAY(),AO210=""),AND(ISNUMBER(AD210),AD210&lt;TODAY(),AQ210="")),"überfällig","offen"))))</f>
        <v/>
      </c>
      <c r="I210" s="16">
        <f>IF($B210="","",IF(AY210&lt;&gt;"","—",IF(AND(ISNUMBER(AA210),AA210&lt;TODAY(),Z210="",AJ210=""),"Abnahmetermin vereinbaren – Sollfrist verstrichen",IF(AND(ISNUMBER(Z210),Z210&lt;TODAY(),AJ210=""),"Wohnungsabnahme nachtragen – Termin war fällig",IF(AND(ISNUMBER(AB210),AB210&lt;TODAY(),AK210=""),"Handwerker aufbieten – Frist verstrichen",IF(AND(ISNUMBER(AC210),AC210&lt;TODAY(),AO210=""),"Vertrag retour mahnen – Frist verstrichen",IF(AND(ISNUMBER(AD210),AD210&lt;TODAY(),AQ210=""),"Schlüsselübergabe nachtragen – Termin war fällig",IF(M210="","Haftungsdatum erfassen",IF(E210="","ex-Mieter erfassen",IF(AE210="","Kündigung bestätigen / G-Rem",IF(AF210="","Werke / EGT melden",IF(AG210="","Vorbesichtigung (oder n.e.)",IF(AH210="","VMZ aktualisieren",IF(AI210="","Inserat aufschalten",IF(AND(Z210="",AJ210=""),"Abnahmetermin vereinbaren",IF(AJ210="","Wohnungsabnahme durchführen",IF(AK210="","Handwerker aufbieten",IF(AL210="","Zustimmungserklärung einholen",IF(AM210="","Instandstellungen beauftragen",IF(R210="","Nachmieter erfassen",IF(AN210="","Vertrag versenden",IF(AO210="","Vertrag retour erfassen",IF(S210="","Vermietet per erfassen",IF(AP210="","Werke / EGT über Einzug informieren",IF(AND(AD210="",AQ210=""),"Schlüsselübergabe terminieren",IF(AQ210="","Schlüsselübergabe durchführen",IF(AR210="","Reinigung veranlassen",IF(AS210="","Namensschilder bestellen",IF(AT210="","Kaution prüfen / G-Rem mutieren",IF(AU210="","Instandstellungs-Rechnung erfassen",IF(AV210="","Schlussabrechnung erstellen",IF(AW210="","Zahlungseingang kontrollieren","Fall abschliessen"))))))))))))))))))))))))))))))))</f>
        <v/>
      </c>
      <c r="J210" s="17">
        <f>IF(M210="","",IF(S210&lt;&gt;"",MAX(0,S210-M210-1),MAX(0,TODAY()-M210)))</f>
        <v/>
      </c>
      <c r="K210" s="16">
        <f>IF($B210="","",TRIM(IF(AND(L210&lt;&gt;"",M210&lt;&gt;"",M210&lt;L210),"Haftungsdatum vor Kündigung. ","")&amp;IF(AND(S210&lt;&gt;"",M210&lt;&gt;"",S210&lt;M210),"Vermietung vor Leerstandsbeginn. ","")&amp;IF(AND(Z210&lt;&gt;"",L210&lt;&gt;"",Z210&lt;L210),"WA-Termin vor Kündigung. ","")&amp;IF(COUNTIFS($B$5:$B$404,$B210,$AY$5:$AY$404,"")&gt;1,"Zweiter offener Fall zum selben Objekt. ","")&amp;IF(AND($A210&lt;&gt;"",COUNTIFS($A$5:$A$404,$A210)&gt;1),"Fall-Nr. doppelt vergeben. ","")&amp;IF(E210="","ex-Mieter fehlt. ","")&amp;IF(M210="","Haftungsdatum fehlt. ","")&amp;IF(F210="","Bewirtschafter fehlt. ","")&amp;IF(AND(AY210&lt;&gt;"",AW210=""),"Abgeschlossen trotz offener Schlussabrechnung. ","")&amp;IF(AND(AY210="",S210="",ISNUMBER(J210),J210&gt;60),"Langläufer über 60 Tage. ","")))</f>
        <v/>
      </c>
      <c r="L210" s="18" t="n"/>
      <c r="M210" s="18" t="n"/>
      <c r="N210" s="19">
        <f>IF(M210="","",M210+1)</f>
        <v/>
      </c>
      <c r="O210" s="17">
        <f>IF(OR(L210="",M210=""),"",M210-L210)</f>
        <v/>
      </c>
      <c r="P210" s="16">
        <f>IF(M210="","",YEAR(M210+1)&amp;"-"&amp;TEXT(MONTH(M210+1),"00"))</f>
        <v/>
      </c>
      <c r="Q210" s="18" t="n"/>
      <c r="R210" s="15" t="n"/>
      <c r="S210" s="18" t="n"/>
      <c r="T210" s="16">
        <f>IF(U210="","",IF(LEFT(U210,1)="6","abgeschlossen",IF(OR(LEFT(U210,1)="1",LEFT(U210,1)="2"),"Kündigung &amp; Abnahme",IF(OR(LEFT(U210,1)="3",LEFT(U210,1)="4"),"Wiedervermietung","Schlussabrechnung"))))</f>
        <v/>
      </c>
      <c r="U210" s="16">
        <f>IF($B210="","",IF(AY210&lt;&gt;"","6 · abgeschlossen",IF(AW210&lt;&gt;"","5 · bereit zum Abschluss",IF(AT210&lt;&gt;"","5 · Schlussabrechnung",IF(AO210&lt;&gt;"","4 · Übergabe",IF(AM210&lt;&gt;"","3 · Neuvermietung",IF(M210&lt;&gt;"","2 · Abnahme &amp; Vermarktung","1 · Erfassung")))))))</f>
        <v/>
      </c>
      <c r="V210" s="15" t="n"/>
      <c r="W210" s="20" t="n"/>
      <c r="X210" s="15" t="n"/>
      <c r="Y210" s="15" t="n"/>
      <c r="Z210" s="18" t="n"/>
      <c r="AA210" s="19">
        <f>IF(M210="","",M210-30)</f>
        <v/>
      </c>
      <c r="AB210" s="19">
        <f>IF(ISNUMBER(AJ210),AJ210+3,"")</f>
        <v/>
      </c>
      <c r="AC210" s="18" t="n"/>
      <c r="AD210" s="18" t="n"/>
      <c r="AE210" s="18" t="n"/>
      <c r="AF210" s="18" t="n"/>
      <c r="AG210" s="18" t="n"/>
      <c r="AH210" s="18" t="n"/>
      <c r="AI210" s="18" t="n"/>
      <c r="AJ210" s="18" t="n"/>
      <c r="AK210" s="18" t="n"/>
      <c r="AL210" s="18" t="n"/>
      <c r="AM210" s="18" t="n"/>
      <c r="AN210" s="18" t="n"/>
      <c r="AO210" s="18" t="n"/>
      <c r="AP210" s="18" t="n"/>
      <c r="AQ210" s="18" t="n"/>
      <c r="AR210" s="18" t="n"/>
      <c r="AS210" s="18" t="n"/>
      <c r="AT210" s="18" t="n"/>
      <c r="AU210" s="18" t="n"/>
      <c r="AV210" s="18" t="n"/>
      <c r="AW210" s="18" t="n"/>
      <c r="AX210" s="18" t="n"/>
      <c r="AY210" s="18" t="n"/>
      <c r="AZ210" s="15" t="n"/>
    </row>
    <row r="211">
      <c r="A211" s="15" t="n"/>
      <c r="B211" s="15" t="n"/>
      <c r="C211" s="15" t="n"/>
      <c r="D211" s="15" t="n"/>
      <c r="E211" s="15" t="n"/>
      <c r="F211" s="15" t="n"/>
      <c r="G211" s="16">
        <f>IF(F211="","",IFERROR(INDEX(Stammdaten!$B$5:$B$24,MATCH(F211,Stammdaten!$A$5:$A$24,0)),"unbekannt"))</f>
        <v/>
      </c>
      <c r="H211" s="16">
        <f>IF($B211="","",IF(AY211&lt;&gt;"","abgeschlossen",IF(AND(ISNUMBER(AX211),AX211&gt;=TODAY()),"zurückgestellt",IF(OR(AND(ISNUMBER(AA211),AA211&lt;TODAY(),Z211="",AJ211=""),AND(ISNUMBER(Z211),Z211&lt;TODAY(),AJ211=""),AND(ISNUMBER(AB211),AB211&lt;TODAY(),AK211=""),AND(ISNUMBER(AC211),AC211&lt;TODAY(),AO211=""),AND(ISNUMBER(AD211),AD211&lt;TODAY(),AQ211="")),"überfällig","offen"))))</f>
        <v/>
      </c>
      <c r="I211" s="16">
        <f>IF($B211="","",IF(AY211&lt;&gt;"","—",IF(AND(ISNUMBER(AA211),AA211&lt;TODAY(),Z211="",AJ211=""),"Abnahmetermin vereinbaren – Sollfrist verstrichen",IF(AND(ISNUMBER(Z211),Z211&lt;TODAY(),AJ211=""),"Wohnungsabnahme nachtragen – Termin war fällig",IF(AND(ISNUMBER(AB211),AB211&lt;TODAY(),AK211=""),"Handwerker aufbieten – Frist verstrichen",IF(AND(ISNUMBER(AC211),AC211&lt;TODAY(),AO211=""),"Vertrag retour mahnen – Frist verstrichen",IF(AND(ISNUMBER(AD211),AD211&lt;TODAY(),AQ211=""),"Schlüsselübergabe nachtragen – Termin war fällig",IF(M211="","Haftungsdatum erfassen",IF(E211="","ex-Mieter erfassen",IF(AE211="","Kündigung bestätigen / G-Rem",IF(AF211="","Werke / EGT melden",IF(AG211="","Vorbesichtigung (oder n.e.)",IF(AH211="","VMZ aktualisieren",IF(AI211="","Inserat aufschalten",IF(AND(Z211="",AJ211=""),"Abnahmetermin vereinbaren",IF(AJ211="","Wohnungsabnahme durchführen",IF(AK211="","Handwerker aufbieten",IF(AL211="","Zustimmungserklärung einholen",IF(AM211="","Instandstellungen beauftragen",IF(R211="","Nachmieter erfassen",IF(AN211="","Vertrag versenden",IF(AO211="","Vertrag retour erfassen",IF(S211="","Vermietet per erfassen",IF(AP211="","Werke / EGT über Einzug informieren",IF(AND(AD211="",AQ211=""),"Schlüsselübergabe terminieren",IF(AQ211="","Schlüsselübergabe durchführen",IF(AR211="","Reinigung veranlassen",IF(AS211="","Namensschilder bestellen",IF(AT211="","Kaution prüfen / G-Rem mutieren",IF(AU211="","Instandstellungs-Rechnung erfassen",IF(AV211="","Schlussabrechnung erstellen",IF(AW211="","Zahlungseingang kontrollieren","Fall abschliessen"))))))))))))))))))))))))))))))))</f>
        <v/>
      </c>
      <c r="J211" s="17">
        <f>IF(M211="","",IF(S211&lt;&gt;"",MAX(0,S211-M211-1),MAX(0,TODAY()-M211)))</f>
        <v/>
      </c>
      <c r="K211" s="16">
        <f>IF($B211="","",TRIM(IF(AND(L211&lt;&gt;"",M211&lt;&gt;"",M211&lt;L211),"Haftungsdatum vor Kündigung. ","")&amp;IF(AND(S211&lt;&gt;"",M211&lt;&gt;"",S211&lt;M211),"Vermietung vor Leerstandsbeginn. ","")&amp;IF(AND(Z211&lt;&gt;"",L211&lt;&gt;"",Z211&lt;L211),"WA-Termin vor Kündigung. ","")&amp;IF(COUNTIFS($B$5:$B$404,$B211,$AY$5:$AY$404,"")&gt;1,"Zweiter offener Fall zum selben Objekt. ","")&amp;IF(AND($A211&lt;&gt;"",COUNTIFS($A$5:$A$404,$A211)&gt;1),"Fall-Nr. doppelt vergeben. ","")&amp;IF(E211="","ex-Mieter fehlt. ","")&amp;IF(M211="","Haftungsdatum fehlt. ","")&amp;IF(F211="","Bewirtschafter fehlt. ","")&amp;IF(AND(AY211&lt;&gt;"",AW211=""),"Abgeschlossen trotz offener Schlussabrechnung. ","")&amp;IF(AND(AY211="",S211="",ISNUMBER(J211),J211&gt;60),"Langläufer über 60 Tage. ","")))</f>
        <v/>
      </c>
      <c r="L211" s="18" t="n"/>
      <c r="M211" s="18" t="n"/>
      <c r="N211" s="19">
        <f>IF(M211="","",M211+1)</f>
        <v/>
      </c>
      <c r="O211" s="17">
        <f>IF(OR(L211="",M211=""),"",M211-L211)</f>
        <v/>
      </c>
      <c r="P211" s="16">
        <f>IF(M211="","",YEAR(M211+1)&amp;"-"&amp;TEXT(MONTH(M211+1),"00"))</f>
        <v/>
      </c>
      <c r="Q211" s="18" t="n"/>
      <c r="R211" s="15" t="n"/>
      <c r="S211" s="18" t="n"/>
      <c r="T211" s="16">
        <f>IF(U211="","",IF(LEFT(U211,1)="6","abgeschlossen",IF(OR(LEFT(U211,1)="1",LEFT(U211,1)="2"),"Kündigung &amp; Abnahme",IF(OR(LEFT(U211,1)="3",LEFT(U211,1)="4"),"Wiedervermietung","Schlussabrechnung"))))</f>
        <v/>
      </c>
      <c r="U211" s="16">
        <f>IF($B211="","",IF(AY211&lt;&gt;"","6 · abgeschlossen",IF(AW211&lt;&gt;"","5 · bereit zum Abschluss",IF(AT211&lt;&gt;"","5 · Schlussabrechnung",IF(AO211&lt;&gt;"","4 · Übergabe",IF(AM211&lt;&gt;"","3 · Neuvermietung",IF(M211&lt;&gt;"","2 · Abnahme &amp; Vermarktung","1 · Erfassung")))))))</f>
        <v/>
      </c>
      <c r="V211" s="15" t="n"/>
      <c r="W211" s="20" t="n"/>
      <c r="X211" s="15" t="n"/>
      <c r="Y211" s="15" t="n"/>
      <c r="Z211" s="18" t="n"/>
      <c r="AA211" s="19">
        <f>IF(M211="","",M211-30)</f>
        <v/>
      </c>
      <c r="AB211" s="19">
        <f>IF(ISNUMBER(AJ211),AJ211+3,"")</f>
        <v/>
      </c>
      <c r="AC211" s="18" t="n"/>
      <c r="AD211" s="18" t="n"/>
      <c r="AE211" s="18" t="n"/>
      <c r="AF211" s="18" t="n"/>
      <c r="AG211" s="18" t="n"/>
      <c r="AH211" s="18" t="n"/>
      <c r="AI211" s="18" t="n"/>
      <c r="AJ211" s="18" t="n"/>
      <c r="AK211" s="18" t="n"/>
      <c r="AL211" s="18" t="n"/>
      <c r="AM211" s="18" t="n"/>
      <c r="AN211" s="18" t="n"/>
      <c r="AO211" s="18" t="n"/>
      <c r="AP211" s="18" t="n"/>
      <c r="AQ211" s="18" t="n"/>
      <c r="AR211" s="18" t="n"/>
      <c r="AS211" s="18" t="n"/>
      <c r="AT211" s="18" t="n"/>
      <c r="AU211" s="18" t="n"/>
      <c r="AV211" s="18" t="n"/>
      <c r="AW211" s="18" t="n"/>
      <c r="AX211" s="18" t="n"/>
      <c r="AY211" s="18" t="n"/>
      <c r="AZ211" s="15" t="n"/>
    </row>
    <row r="212">
      <c r="A212" s="15" t="n"/>
      <c r="B212" s="15" t="n"/>
      <c r="C212" s="15" t="n"/>
      <c r="D212" s="15" t="n"/>
      <c r="E212" s="15" t="n"/>
      <c r="F212" s="15" t="n"/>
      <c r="G212" s="16">
        <f>IF(F212="","",IFERROR(INDEX(Stammdaten!$B$5:$B$24,MATCH(F212,Stammdaten!$A$5:$A$24,0)),"unbekannt"))</f>
        <v/>
      </c>
      <c r="H212" s="16">
        <f>IF($B212="","",IF(AY212&lt;&gt;"","abgeschlossen",IF(AND(ISNUMBER(AX212),AX212&gt;=TODAY()),"zurückgestellt",IF(OR(AND(ISNUMBER(AA212),AA212&lt;TODAY(),Z212="",AJ212=""),AND(ISNUMBER(Z212),Z212&lt;TODAY(),AJ212=""),AND(ISNUMBER(AB212),AB212&lt;TODAY(),AK212=""),AND(ISNUMBER(AC212),AC212&lt;TODAY(),AO212=""),AND(ISNUMBER(AD212),AD212&lt;TODAY(),AQ212="")),"überfällig","offen"))))</f>
        <v/>
      </c>
      <c r="I212" s="16">
        <f>IF($B212="","",IF(AY212&lt;&gt;"","—",IF(AND(ISNUMBER(AA212),AA212&lt;TODAY(),Z212="",AJ212=""),"Abnahmetermin vereinbaren – Sollfrist verstrichen",IF(AND(ISNUMBER(Z212),Z212&lt;TODAY(),AJ212=""),"Wohnungsabnahme nachtragen – Termin war fällig",IF(AND(ISNUMBER(AB212),AB212&lt;TODAY(),AK212=""),"Handwerker aufbieten – Frist verstrichen",IF(AND(ISNUMBER(AC212),AC212&lt;TODAY(),AO212=""),"Vertrag retour mahnen – Frist verstrichen",IF(AND(ISNUMBER(AD212),AD212&lt;TODAY(),AQ212=""),"Schlüsselübergabe nachtragen – Termin war fällig",IF(M212="","Haftungsdatum erfassen",IF(E212="","ex-Mieter erfassen",IF(AE212="","Kündigung bestätigen / G-Rem",IF(AF212="","Werke / EGT melden",IF(AG212="","Vorbesichtigung (oder n.e.)",IF(AH212="","VMZ aktualisieren",IF(AI212="","Inserat aufschalten",IF(AND(Z212="",AJ212=""),"Abnahmetermin vereinbaren",IF(AJ212="","Wohnungsabnahme durchführen",IF(AK212="","Handwerker aufbieten",IF(AL212="","Zustimmungserklärung einholen",IF(AM212="","Instandstellungen beauftragen",IF(R212="","Nachmieter erfassen",IF(AN212="","Vertrag versenden",IF(AO212="","Vertrag retour erfassen",IF(S212="","Vermietet per erfassen",IF(AP212="","Werke / EGT über Einzug informieren",IF(AND(AD212="",AQ212=""),"Schlüsselübergabe terminieren",IF(AQ212="","Schlüsselübergabe durchführen",IF(AR212="","Reinigung veranlassen",IF(AS212="","Namensschilder bestellen",IF(AT212="","Kaution prüfen / G-Rem mutieren",IF(AU212="","Instandstellungs-Rechnung erfassen",IF(AV212="","Schlussabrechnung erstellen",IF(AW212="","Zahlungseingang kontrollieren","Fall abschliessen"))))))))))))))))))))))))))))))))</f>
        <v/>
      </c>
      <c r="J212" s="17">
        <f>IF(M212="","",IF(S212&lt;&gt;"",MAX(0,S212-M212-1),MAX(0,TODAY()-M212)))</f>
        <v/>
      </c>
      <c r="K212" s="16">
        <f>IF($B212="","",TRIM(IF(AND(L212&lt;&gt;"",M212&lt;&gt;"",M212&lt;L212),"Haftungsdatum vor Kündigung. ","")&amp;IF(AND(S212&lt;&gt;"",M212&lt;&gt;"",S212&lt;M212),"Vermietung vor Leerstandsbeginn. ","")&amp;IF(AND(Z212&lt;&gt;"",L212&lt;&gt;"",Z212&lt;L212),"WA-Termin vor Kündigung. ","")&amp;IF(COUNTIFS($B$5:$B$404,$B212,$AY$5:$AY$404,"")&gt;1,"Zweiter offener Fall zum selben Objekt. ","")&amp;IF(AND($A212&lt;&gt;"",COUNTIFS($A$5:$A$404,$A212)&gt;1),"Fall-Nr. doppelt vergeben. ","")&amp;IF(E212="","ex-Mieter fehlt. ","")&amp;IF(M212="","Haftungsdatum fehlt. ","")&amp;IF(F212="","Bewirtschafter fehlt. ","")&amp;IF(AND(AY212&lt;&gt;"",AW212=""),"Abgeschlossen trotz offener Schlussabrechnung. ","")&amp;IF(AND(AY212="",S212="",ISNUMBER(J212),J212&gt;60),"Langläufer über 60 Tage. ","")))</f>
        <v/>
      </c>
      <c r="L212" s="18" t="n"/>
      <c r="M212" s="18" t="n"/>
      <c r="N212" s="19">
        <f>IF(M212="","",M212+1)</f>
        <v/>
      </c>
      <c r="O212" s="17">
        <f>IF(OR(L212="",M212=""),"",M212-L212)</f>
        <v/>
      </c>
      <c r="P212" s="16">
        <f>IF(M212="","",YEAR(M212+1)&amp;"-"&amp;TEXT(MONTH(M212+1),"00"))</f>
        <v/>
      </c>
      <c r="Q212" s="18" t="n"/>
      <c r="R212" s="15" t="n"/>
      <c r="S212" s="18" t="n"/>
      <c r="T212" s="16">
        <f>IF(U212="","",IF(LEFT(U212,1)="6","abgeschlossen",IF(OR(LEFT(U212,1)="1",LEFT(U212,1)="2"),"Kündigung &amp; Abnahme",IF(OR(LEFT(U212,1)="3",LEFT(U212,1)="4"),"Wiedervermietung","Schlussabrechnung"))))</f>
        <v/>
      </c>
      <c r="U212" s="16">
        <f>IF($B212="","",IF(AY212&lt;&gt;"","6 · abgeschlossen",IF(AW212&lt;&gt;"","5 · bereit zum Abschluss",IF(AT212&lt;&gt;"","5 · Schlussabrechnung",IF(AO212&lt;&gt;"","4 · Übergabe",IF(AM212&lt;&gt;"","3 · Neuvermietung",IF(M212&lt;&gt;"","2 · Abnahme &amp; Vermarktung","1 · Erfassung")))))))</f>
        <v/>
      </c>
      <c r="V212" s="15" t="n"/>
      <c r="W212" s="20" t="n"/>
      <c r="X212" s="15" t="n"/>
      <c r="Y212" s="15" t="n"/>
      <c r="Z212" s="18" t="n"/>
      <c r="AA212" s="19">
        <f>IF(M212="","",M212-30)</f>
        <v/>
      </c>
      <c r="AB212" s="19">
        <f>IF(ISNUMBER(AJ212),AJ212+3,"")</f>
        <v/>
      </c>
      <c r="AC212" s="18" t="n"/>
      <c r="AD212" s="18" t="n"/>
      <c r="AE212" s="18" t="n"/>
      <c r="AF212" s="18" t="n"/>
      <c r="AG212" s="18" t="n"/>
      <c r="AH212" s="18" t="n"/>
      <c r="AI212" s="18" t="n"/>
      <c r="AJ212" s="18" t="n"/>
      <c r="AK212" s="18" t="n"/>
      <c r="AL212" s="18" t="n"/>
      <c r="AM212" s="18" t="n"/>
      <c r="AN212" s="18" t="n"/>
      <c r="AO212" s="18" t="n"/>
      <c r="AP212" s="18" t="n"/>
      <c r="AQ212" s="18" t="n"/>
      <c r="AR212" s="18" t="n"/>
      <c r="AS212" s="18" t="n"/>
      <c r="AT212" s="18" t="n"/>
      <c r="AU212" s="18" t="n"/>
      <c r="AV212" s="18" t="n"/>
      <c r="AW212" s="18" t="n"/>
      <c r="AX212" s="18" t="n"/>
      <c r="AY212" s="18" t="n"/>
      <c r="AZ212" s="15" t="n"/>
    </row>
    <row r="213">
      <c r="A213" s="15" t="n"/>
      <c r="B213" s="15" t="n"/>
      <c r="C213" s="15" t="n"/>
      <c r="D213" s="15" t="n"/>
      <c r="E213" s="15" t="n"/>
      <c r="F213" s="15" t="n"/>
      <c r="G213" s="16">
        <f>IF(F213="","",IFERROR(INDEX(Stammdaten!$B$5:$B$24,MATCH(F213,Stammdaten!$A$5:$A$24,0)),"unbekannt"))</f>
        <v/>
      </c>
      <c r="H213" s="16">
        <f>IF($B213="","",IF(AY213&lt;&gt;"","abgeschlossen",IF(AND(ISNUMBER(AX213),AX213&gt;=TODAY()),"zurückgestellt",IF(OR(AND(ISNUMBER(AA213),AA213&lt;TODAY(),Z213="",AJ213=""),AND(ISNUMBER(Z213),Z213&lt;TODAY(),AJ213=""),AND(ISNUMBER(AB213),AB213&lt;TODAY(),AK213=""),AND(ISNUMBER(AC213),AC213&lt;TODAY(),AO213=""),AND(ISNUMBER(AD213),AD213&lt;TODAY(),AQ213="")),"überfällig","offen"))))</f>
        <v/>
      </c>
      <c r="I213" s="16">
        <f>IF($B213="","",IF(AY213&lt;&gt;"","—",IF(AND(ISNUMBER(AA213),AA213&lt;TODAY(),Z213="",AJ213=""),"Abnahmetermin vereinbaren – Sollfrist verstrichen",IF(AND(ISNUMBER(Z213),Z213&lt;TODAY(),AJ213=""),"Wohnungsabnahme nachtragen – Termin war fällig",IF(AND(ISNUMBER(AB213),AB213&lt;TODAY(),AK213=""),"Handwerker aufbieten – Frist verstrichen",IF(AND(ISNUMBER(AC213),AC213&lt;TODAY(),AO213=""),"Vertrag retour mahnen – Frist verstrichen",IF(AND(ISNUMBER(AD213),AD213&lt;TODAY(),AQ213=""),"Schlüsselübergabe nachtragen – Termin war fällig",IF(M213="","Haftungsdatum erfassen",IF(E213="","ex-Mieter erfassen",IF(AE213="","Kündigung bestätigen / G-Rem",IF(AF213="","Werke / EGT melden",IF(AG213="","Vorbesichtigung (oder n.e.)",IF(AH213="","VMZ aktualisieren",IF(AI213="","Inserat aufschalten",IF(AND(Z213="",AJ213=""),"Abnahmetermin vereinbaren",IF(AJ213="","Wohnungsabnahme durchführen",IF(AK213="","Handwerker aufbieten",IF(AL213="","Zustimmungserklärung einholen",IF(AM213="","Instandstellungen beauftragen",IF(R213="","Nachmieter erfassen",IF(AN213="","Vertrag versenden",IF(AO213="","Vertrag retour erfassen",IF(S213="","Vermietet per erfassen",IF(AP213="","Werke / EGT über Einzug informieren",IF(AND(AD213="",AQ213=""),"Schlüsselübergabe terminieren",IF(AQ213="","Schlüsselübergabe durchführen",IF(AR213="","Reinigung veranlassen",IF(AS213="","Namensschilder bestellen",IF(AT213="","Kaution prüfen / G-Rem mutieren",IF(AU213="","Instandstellungs-Rechnung erfassen",IF(AV213="","Schlussabrechnung erstellen",IF(AW213="","Zahlungseingang kontrollieren","Fall abschliessen"))))))))))))))))))))))))))))))))</f>
        <v/>
      </c>
      <c r="J213" s="17">
        <f>IF(M213="","",IF(S213&lt;&gt;"",MAX(0,S213-M213-1),MAX(0,TODAY()-M213)))</f>
        <v/>
      </c>
      <c r="K213" s="16">
        <f>IF($B213="","",TRIM(IF(AND(L213&lt;&gt;"",M213&lt;&gt;"",M213&lt;L213),"Haftungsdatum vor Kündigung. ","")&amp;IF(AND(S213&lt;&gt;"",M213&lt;&gt;"",S213&lt;M213),"Vermietung vor Leerstandsbeginn. ","")&amp;IF(AND(Z213&lt;&gt;"",L213&lt;&gt;"",Z213&lt;L213),"WA-Termin vor Kündigung. ","")&amp;IF(COUNTIFS($B$5:$B$404,$B213,$AY$5:$AY$404,"")&gt;1,"Zweiter offener Fall zum selben Objekt. ","")&amp;IF(AND($A213&lt;&gt;"",COUNTIFS($A$5:$A$404,$A213)&gt;1),"Fall-Nr. doppelt vergeben. ","")&amp;IF(E213="","ex-Mieter fehlt. ","")&amp;IF(M213="","Haftungsdatum fehlt. ","")&amp;IF(F213="","Bewirtschafter fehlt. ","")&amp;IF(AND(AY213&lt;&gt;"",AW213=""),"Abgeschlossen trotz offener Schlussabrechnung. ","")&amp;IF(AND(AY213="",S213="",ISNUMBER(J213),J213&gt;60),"Langläufer über 60 Tage. ","")))</f>
        <v/>
      </c>
      <c r="L213" s="18" t="n"/>
      <c r="M213" s="18" t="n"/>
      <c r="N213" s="19">
        <f>IF(M213="","",M213+1)</f>
        <v/>
      </c>
      <c r="O213" s="17">
        <f>IF(OR(L213="",M213=""),"",M213-L213)</f>
        <v/>
      </c>
      <c r="P213" s="16">
        <f>IF(M213="","",YEAR(M213+1)&amp;"-"&amp;TEXT(MONTH(M213+1),"00"))</f>
        <v/>
      </c>
      <c r="Q213" s="18" t="n"/>
      <c r="R213" s="15" t="n"/>
      <c r="S213" s="18" t="n"/>
      <c r="T213" s="16">
        <f>IF(U213="","",IF(LEFT(U213,1)="6","abgeschlossen",IF(OR(LEFT(U213,1)="1",LEFT(U213,1)="2"),"Kündigung &amp; Abnahme",IF(OR(LEFT(U213,1)="3",LEFT(U213,1)="4"),"Wiedervermietung","Schlussabrechnung"))))</f>
        <v/>
      </c>
      <c r="U213" s="16">
        <f>IF($B213="","",IF(AY213&lt;&gt;"","6 · abgeschlossen",IF(AW213&lt;&gt;"","5 · bereit zum Abschluss",IF(AT213&lt;&gt;"","5 · Schlussabrechnung",IF(AO213&lt;&gt;"","4 · Übergabe",IF(AM213&lt;&gt;"","3 · Neuvermietung",IF(M213&lt;&gt;"","2 · Abnahme &amp; Vermarktung","1 · Erfassung")))))))</f>
        <v/>
      </c>
      <c r="V213" s="15" t="n"/>
      <c r="W213" s="20" t="n"/>
      <c r="X213" s="15" t="n"/>
      <c r="Y213" s="15" t="n"/>
      <c r="Z213" s="18" t="n"/>
      <c r="AA213" s="19">
        <f>IF(M213="","",M213-30)</f>
        <v/>
      </c>
      <c r="AB213" s="19">
        <f>IF(ISNUMBER(AJ213),AJ213+3,"")</f>
        <v/>
      </c>
      <c r="AC213" s="18" t="n"/>
      <c r="AD213" s="18" t="n"/>
      <c r="AE213" s="18" t="n"/>
      <c r="AF213" s="18" t="n"/>
      <c r="AG213" s="18" t="n"/>
      <c r="AH213" s="18" t="n"/>
      <c r="AI213" s="18" t="n"/>
      <c r="AJ213" s="18" t="n"/>
      <c r="AK213" s="18" t="n"/>
      <c r="AL213" s="18" t="n"/>
      <c r="AM213" s="18" t="n"/>
      <c r="AN213" s="18" t="n"/>
      <c r="AO213" s="18" t="n"/>
      <c r="AP213" s="18" t="n"/>
      <c r="AQ213" s="18" t="n"/>
      <c r="AR213" s="18" t="n"/>
      <c r="AS213" s="18" t="n"/>
      <c r="AT213" s="18" t="n"/>
      <c r="AU213" s="18" t="n"/>
      <c r="AV213" s="18" t="n"/>
      <c r="AW213" s="18" t="n"/>
      <c r="AX213" s="18" t="n"/>
      <c r="AY213" s="18" t="n"/>
      <c r="AZ213" s="15" t="n"/>
    </row>
    <row r="214">
      <c r="A214" s="15" t="n"/>
      <c r="B214" s="15" t="n"/>
      <c r="C214" s="15" t="n"/>
      <c r="D214" s="15" t="n"/>
      <c r="E214" s="15" t="n"/>
      <c r="F214" s="15" t="n"/>
      <c r="G214" s="16">
        <f>IF(F214="","",IFERROR(INDEX(Stammdaten!$B$5:$B$24,MATCH(F214,Stammdaten!$A$5:$A$24,0)),"unbekannt"))</f>
        <v/>
      </c>
      <c r="H214" s="16">
        <f>IF($B214="","",IF(AY214&lt;&gt;"","abgeschlossen",IF(AND(ISNUMBER(AX214),AX214&gt;=TODAY()),"zurückgestellt",IF(OR(AND(ISNUMBER(AA214),AA214&lt;TODAY(),Z214="",AJ214=""),AND(ISNUMBER(Z214),Z214&lt;TODAY(),AJ214=""),AND(ISNUMBER(AB214),AB214&lt;TODAY(),AK214=""),AND(ISNUMBER(AC214),AC214&lt;TODAY(),AO214=""),AND(ISNUMBER(AD214),AD214&lt;TODAY(),AQ214="")),"überfällig","offen"))))</f>
        <v/>
      </c>
      <c r="I214" s="16">
        <f>IF($B214="","",IF(AY214&lt;&gt;"","—",IF(AND(ISNUMBER(AA214),AA214&lt;TODAY(),Z214="",AJ214=""),"Abnahmetermin vereinbaren – Sollfrist verstrichen",IF(AND(ISNUMBER(Z214),Z214&lt;TODAY(),AJ214=""),"Wohnungsabnahme nachtragen – Termin war fällig",IF(AND(ISNUMBER(AB214),AB214&lt;TODAY(),AK214=""),"Handwerker aufbieten – Frist verstrichen",IF(AND(ISNUMBER(AC214),AC214&lt;TODAY(),AO214=""),"Vertrag retour mahnen – Frist verstrichen",IF(AND(ISNUMBER(AD214),AD214&lt;TODAY(),AQ214=""),"Schlüsselübergabe nachtragen – Termin war fällig",IF(M214="","Haftungsdatum erfassen",IF(E214="","ex-Mieter erfassen",IF(AE214="","Kündigung bestätigen / G-Rem",IF(AF214="","Werke / EGT melden",IF(AG214="","Vorbesichtigung (oder n.e.)",IF(AH214="","VMZ aktualisieren",IF(AI214="","Inserat aufschalten",IF(AND(Z214="",AJ214=""),"Abnahmetermin vereinbaren",IF(AJ214="","Wohnungsabnahme durchführen",IF(AK214="","Handwerker aufbieten",IF(AL214="","Zustimmungserklärung einholen",IF(AM214="","Instandstellungen beauftragen",IF(R214="","Nachmieter erfassen",IF(AN214="","Vertrag versenden",IF(AO214="","Vertrag retour erfassen",IF(S214="","Vermietet per erfassen",IF(AP214="","Werke / EGT über Einzug informieren",IF(AND(AD214="",AQ214=""),"Schlüsselübergabe terminieren",IF(AQ214="","Schlüsselübergabe durchführen",IF(AR214="","Reinigung veranlassen",IF(AS214="","Namensschilder bestellen",IF(AT214="","Kaution prüfen / G-Rem mutieren",IF(AU214="","Instandstellungs-Rechnung erfassen",IF(AV214="","Schlussabrechnung erstellen",IF(AW214="","Zahlungseingang kontrollieren","Fall abschliessen"))))))))))))))))))))))))))))))))</f>
        <v/>
      </c>
      <c r="J214" s="17">
        <f>IF(M214="","",IF(S214&lt;&gt;"",MAX(0,S214-M214-1),MAX(0,TODAY()-M214)))</f>
        <v/>
      </c>
      <c r="K214" s="16">
        <f>IF($B214="","",TRIM(IF(AND(L214&lt;&gt;"",M214&lt;&gt;"",M214&lt;L214),"Haftungsdatum vor Kündigung. ","")&amp;IF(AND(S214&lt;&gt;"",M214&lt;&gt;"",S214&lt;M214),"Vermietung vor Leerstandsbeginn. ","")&amp;IF(AND(Z214&lt;&gt;"",L214&lt;&gt;"",Z214&lt;L214),"WA-Termin vor Kündigung. ","")&amp;IF(COUNTIFS($B$5:$B$404,$B214,$AY$5:$AY$404,"")&gt;1,"Zweiter offener Fall zum selben Objekt. ","")&amp;IF(AND($A214&lt;&gt;"",COUNTIFS($A$5:$A$404,$A214)&gt;1),"Fall-Nr. doppelt vergeben. ","")&amp;IF(E214="","ex-Mieter fehlt. ","")&amp;IF(M214="","Haftungsdatum fehlt. ","")&amp;IF(F214="","Bewirtschafter fehlt. ","")&amp;IF(AND(AY214&lt;&gt;"",AW214=""),"Abgeschlossen trotz offener Schlussabrechnung. ","")&amp;IF(AND(AY214="",S214="",ISNUMBER(J214),J214&gt;60),"Langläufer über 60 Tage. ","")))</f>
        <v/>
      </c>
      <c r="L214" s="18" t="n"/>
      <c r="M214" s="18" t="n"/>
      <c r="N214" s="19">
        <f>IF(M214="","",M214+1)</f>
        <v/>
      </c>
      <c r="O214" s="17">
        <f>IF(OR(L214="",M214=""),"",M214-L214)</f>
        <v/>
      </c>
      <c r="P214" s="16">
        <f>IF(M214="","",YEAR(M214+1)&amp;"-"&amp;TEXT(MONTH(M214+1),"00"))</f>
        <v/>
      </c>
      <c r="Q214" s="18" t="n"/>
      <c r="R214" s="15" t="n"/>
      <c r="S214" s="18" t="n"/>
      <c r="T214" s="16">
        <f>IF(U214="","",IF(LEFT(U214,1)="6","abgeschlossen",IF(OR(LEFT(U214,1)="1",LEFT(U214,1)="2"),"Kündigung &amp; Abnahme",IF(OR(LEFT(U214,1)="3",LEFT(U214,1)="4"),"Wiedervermietung","Schlussabrechnung"))))</f>
        <v/>
      </c>
      <c r="U214" s="16">
        <f>IF($B214="","",IF(AY214&lt;&gt;"","6 · abgeschlossen",IF(AW214&lt;&gt;"","5 · bereit zum Abschluss",IF(AT214&lt;&gt;"","5 · Schlussabrechnung",IF(AO214&lt;&gt;"","4 · Übergabe",IF(AM214&lt;&gt;"","3 · Neuvermietung",IF(M214&lt;&gt;"","2 · Abnahme &amp; Vermarktung","1 · Erfassung")))))))</f>
        <v/>
      </c>
      <c r="V214" s="15" t="n"/>
      <c r="W214" s="20" t="n"/>
      <c r="X214" s="15" t="n"/>
      <c r="Y214" s="15" t="n"/>
      <c r="Z214" s="18" t="n"/>
      <c r="AA214" s="19">
        <f>IF(M214="","",M214-30)</f>
        <v/>
      </c>
      <c r="AB214" s="19">
        <f>IF(ISNUMBER(AJ214),AJ214+3,"")</f>
        <v/>
      </c>
      <c r="AC214" s="18" t="n"/>
      <c r="AD214" s="18" t="n"/>
      <c r="AE214" s="18" t="n"/>
      <c r="AF214" s="18" t="n"/>
      <c r="AG214" s="18" t="n"/>
      <c r="AH214" s="18" t="n"/>
      <c r="AI214" s="18" t="n"/>
      <c r="AJ214" s="18" t="n"/>
      <c r="AK214" s="18" t="n"/>
      <c r="AL214" s="18" t="n"/>
      <c r="AM214" s="18" t="n"/>
      <c r="AN214" s="18" t="n"/>
      <c r="AO214" s="18" t="n"/>
      <c r="AP214" s="18" t="n"/>
      <c r="AQ214" s="18" t="n"/>
      <c r="AR214" s="18" t="n"/>
      <c r="AS214" s="18" t="n"/>
      <c r="AT214" s="18" t="n"/>
      <c r="AU214" s="18" t="n"/>
      <c r="AV214" s="18" t="n"/>
      <c r="AW214" s="18" t="n"/>
      <c r="AX214" s="18" t="n"/>
      <c r="AY214" s="18" t="n"/>
      <c r="AZ214" s="15" t="n"/>
    </row>
    <row r="215">
      <c r="A215" s="15" t="n"/>
      <c r="B215" s="15" t="n"/>
      <c r="C215" s="15" t="n"/>
      <c r="D215" s="15" t="n"/>
      <c r="E215" s="15" t="n"/>
      <c r="F215" s="15" t="n"/>
      <c r="G215" s="16">
        <f>IF(F215="","",IFERROR(INDEX(Stammdaten!$B$5:$B$24,MATCH(F215,Stammdaten!$A$5:$A$24,0)),"unbekannt"))</f>
        <v/>
      </c>
      <c r="H215" s="16">
        <f>IF($B215="","",IF(AY215&lt;&gt;"","abgeschlossen",IF(AND(ISNUMBER(AX215),AX215&gt;=TODAY()),"zurückgestellt",IF(OR(AND(ISNUMBER(AA215),AA215&lt;TODAY(),Z215="",AJ215=""),AND(ISNUMBER(Z215),Z215&lt;TODAY(),AJ215=""),AND(ISNUMBER(AB215),AB215&lt;TODAY(),AK215=""),AND(ISNUMBER(AC215),AC215&lt;TODAY(),AO215=""),AND(ISNUMBER(AD215),AD215&lt;TODAY(),AQ215="")),"überfällig","offen"))))</f>
        <v/>
      </c>
      <c r="I215" s="16">
        <f>IF($B215="","",IF(AY215&lt;&gt;"","—",IF(AND(ISNUMBER(AA215),AA215&lt;TODAY(),Z215="",AJ215=""),"Abnahmetermin vereinbaren – Sollfrist verstrichen",IF(AND(ISNUMBER(Z215),Z215&lt;TODAY(),AJ215=""),"Wohnungsabnahme nachtragen – Termin war fällig",IF(AND(ISNUMBER(AB215),AB215&lt;TODAY(),AK215=""),"Handwerker aufbieten – Frist verstrichen",IF(AND(ISNUMBER(AC215),AC215&lt;TODAY(),AO215=""),"Vertrag retour mahnen – Frist verstrichen",IF(AND(ISNUMBER(AD215),AD215&lt;TODAY(),AQ215=""),"Schlüsselübergabe nachtragen – Termin war fällig",IF(M215="","Haftungsdatum erfassen",IF(E215="","ex-Mieter erfassen",IF(AE215="","Kündigung bestätigen / G-Rem",IF(AF215="","Werke / EGT melden",IF(AG215="","Vorbesichtigung (oder n.e.)",IF(AH215="","VMZ aktualisieren",IF(AI215="","Inserat aufschalten",IF(AND(Z215="",AJ215=""),"Abnahmetermin vereinbaren",IF(AJ215="","Wohnungsabnahme durchführen",IF(AK215="","Handwerker aufbieten",IF(AL215="","Zustimmungserklärung einholen",IF(AM215="","Instandstellungen beauftragen",IF(R215="","Nachmieter erfassen",IF(AN215="","Vertrag versenden",IF(AO215="","Vertrag retour erfassen",IF(S215="","Vermietet per erfassen",IF(AP215="","Werke / EGT über Einzug informieren",IF(AND(AD215="",AQ215=""),"Schlüsselübergabe terminieren",IF(AQ215="","Schlüsselübergabe durchführen",IF(AR215="","Reinigung veranlassen",IF(AS215="","Namensschilder bestellen",IF(AT215="","Kaution prüfen / G-Rem mutieren",IF(AU215="","Instandstellungs-Rechnung erfassen",IF(AV215="","Schlussabrechnung erstellen",IF(AW215="","Zahlungseingang kontrollieren","Fall abschliessen"))))))))))))))))))))))))))))))))</f>
        <v/>
      </c>
      <c r="J215" s="17">
        <f>IF(M215="","",IF(S215&lt;&gt;"",MAX(0,S215-M215-1),MAX(0,TODAY()-M215)))</f>
        <v/>
      </c>
      <c r="K215" s="16">
        <f>IF($B215="","",TRIM(IF(AND(L215&lt;&gt;"",M215&lt;&gt;"",M215&lt;L215),"Haftungsdatum vor Kündigung. ","")&amp;IF(AND(S215&lt;&gt;"",M215&lt;&gt;"",S215&lt;M215),"Vermietung vor Leerstandsbeginn. ","")&amp;IF(AND(Z215&lt;&gt;"",L215&lt;&gt;"",Z215&lt;L215),"WA-Termin vor Kündigung. ","")&amp;IF(COUNTIFS($B$5:$B$404,$B215,$AY$5:$AY$404,"")&gt;1,"Zweiter offener Fall zum selben Objekt. ","")&amp;IF(AND($A215&lt;&gt;"",COUNTIFS($A$5:$A$404,$A215)&gt;1),"Fall-Nr. doppelt vergeben. ","")&amp;IF(E215="","ex-Mieter fehlt. ","")&amp;IF(M215="","Haftungsdatum fehlt. ","")&amp;IF(F215="","Bewirtschafter fehlt. ","")&amp;IF(AND(AY215&lt;&gt;"",AW215=""),"Abgeschlossen trotz offener Schlussabrechnung. ","")&amp;IF(AND(AY215="",S215="",ISNUMBER(J215),J215&gt;60),"Langläufer über 60 Tage. ","")))</f>
        <v/>
      </c>
      <c r="L215" s="18" t="n"/>
      <c r="M215" s="18" t="n"/>
      <c r="N215" s="19">
        <f>IF(M215="","",M215+1)</f>
        <v/>
      </c>
      <c r="O215" s="17">
        <f>IF(OR(L215="",M215=""),"",M215-L215)</f>
        <v/>
      </c>
      <c r="P215" s="16">
        <f>IF(M215="","",YEAR(M215+1)&amp;"-"&amp;TEXT(MONTH(M215+1),"00"))</f>
        <v/>
      </c>
      <c r="Q215" s="18" t="n"/>
      <c r="R215" s="15" t="n"/>
      <c r="S215" s="18" t="n"/>
      <c r="T215" s="16">
        <f>IF(U215="","",IF(LEFT(U215,1)="6","abgeschlossen",IF(OR(LEFT(U215,1)="1",LEFT(U215,1)="2"),"Kündigung &amp; Abnahme",IF(OR(LEFT(U215,1)="3",LEFT(U215,1)="4"),"Wiedervermietung","Schlussabrechnung"))))</f>
        <v/>
      </c>
      <c r="U215" s="16">
        <f>IF($B215="","",IF(AY215&lt;&gt;"","6 · abgeschlossen",IF(AW215&lt;&gt;"","5 · bereit zum Abschluss",IF(AT215&lt;&gt;"","5 · Schlussabrechnung",IF(AO215&lt;&gt;"","4 · Übergabe",IF(AM215&lt;&gt;"","3 · Neuvermietung",IF(M215&lt;&gt;"","2 · Abnahme &amp; Vermarktung","1 · Erfassung")))))))</f>
        <v/>
      </c>
      <c r="V215" s="15" t="n"/>
      <c r="W215" s="20" t="n"/>
      <c r="X215" s="15" t="n"/>
      <c r="Y215" s="15" t="n"/>
      <c r="Z215" s="18" t="n"/>
      <c r="AA215" s="19">
        <f>IF(M215="","",M215-30)</f>
        <v/>
      </c>
      <c r="AB215" s="19">
        <f>IF(ISNUMBER(AJ215),AJ215+3,"")</f>
        <v/>
      </c>
      <c r="AC215" s="18" t="n"/>
      <c r="AD215" s="18" t="n"/>
      <c r="AE215" s="18" t="n"/>
      <c r="AF215" s="18" t="n"/>
      <c r="AG215" s="18" t="n"/>
      <c r="AH215" s="18" t="n"/>
      <c r="AI215" s="18" t="n"/>
      <c r="AJ215" s="18" t="n"/>
      <c r="AK215" s="18" t="n"/>
      <c r="AL215" s="18" t="n"/>
      <c r="AM215" s="18" t="n"/>
      <c r="AN215" s="18" t="n"/>
      <c r="AO215" s="18" t="n"/>
      <c r="AP215" s="18" t="n"/>
      <c r="AQ215" s="18" t="n"/>
      <c r="AR215" s="18" t="n"/>
      <c r="AS215" s="18" t="n"/>
      <c r="AT215" s="18" t="n"/>
      <c r="AU215" s="18" t="n"/>
      <c r="AV215" s="18" t="n"/>
      <c r="AW215" s="18" t="n"/>
      <c r="AX215" s="18" t="n"/>
      <c r="AY215" s="18" t="n"/>
      <c r="AZ215" s="15" t="n"/>
    </row>
    <row r="216">
      <c r="A216" s="15" t="n"/>
      <c r="B216" s="15" t="n"/>
      <c r="C216" s="15" t="n"/>
      <c r="D216" s="15" t="n"/>
      <c r="E216" s="15" t="n"/>
      <c r="F216" s="15" t="n"/>
      <c r="G216" s="16">
        <f>IF(F216="","",IFERROR(INDEX(Stammdaten!$B$5:$B$24,MATCH(F216,Stammdaten!$A$5:$A$24,0)),"unbekannt"))</f>
        <v/>
      </c>
      <c r="H216" s="16">
        <f>IF($B216="","",IF(AY216&lt;&gt;"","abgeschlossen",IF(AND(ISNUMBER(AX216),AX216&gt;=TODAY()),"zurückgestellt",IF(OR(AND(ISNUMBER(AA216),AA216&lt;TODAY(),Z216="",AJ216=""),AND(ISNUMBER(Z216),Z216&lt;TODAY(),AJ216=""),AND(ISNUMBER(AB216),AB216&lt;TODAY(),AK216=""),AND(ISNUMBER(AC216),AC216&lt;TODAY(),AO216=""),AND(ISNUMBER(AD216),AD216&lt;TODAY(),AQ216="")),"überfällig","offen"))))</f>
        <v/>
      </c>
      <c r="I216" s="16">
        <f>IF($B216="","",IF(AY216&lt;&gt;"","—",IF(AND(ISNUMBER(AA216),AA216&lt;TODAY(),Z216="",AJ216=""),"Abnahmetermin vereinbaren – Sollfrist verstrichen",IF(AND(ISNUMBER(Z216),Z216&lt;TODAY(),AJ216=""),"Wohnungsabnahme nachtragen – Termin war fällig",IF(AND(ISNUMBER(AB216),AB216&lt;TODAY(),AK216=""),"Handwerker aufbieten – Frist verstrichen",IF(AND(ISNUMBER(AC216),AC216&lt;TODAY(),AO216=""),"Vertrag retour mahnen – Frist verstrichen",IF(AND(ISNUMBER(AD216),AD216&lt;TODAY(),AQ216=""),"Schlüsselübergabe nachtragen – Termin war fällig",IF(M216="","Haftungsdatum erfassen",IF(E216="","ex-Mieter erfassen",IF(AE216="","Kündigung bestätigen / G-Rem",IF(AF216="","Werke / EGT melden",IF(AG216="","Vorbesichtigung (oder n.e.)",IF(AH216="","VMZ aktualisieren",IF(AI216="","Inserat aufschalten",IF(AND(Z216="",AJ216=""),"Abnahmetermin vereinbaren",IF(AJ216="","Wohnungsabnahme durchführen",IF(AK216="","Handwerker aufbieten",IF(AL216="","Zustimmungserklärung einholen",IF(AM216="","Instandstellungen beauftragen",IF(R216="","Nachmieter erfassen",IF(AN216="","Vertrag versenden",IF(AO216="","Vertrag retour erfassen",IF(S216="","Vermietet per erfassen",IF(AP216="","Werke / EGT über Einzug informieren",IF(AND(AD216="",AQ216=""),"Schlüsselübergabe terminieren",IF(AQ216="","Schlüsselübergabe durchführen",IF(AR216="","Reinigung veranlassen",IF(AS216="","Namensschilder bestellen",IF(AT216="","Kaution prüfen / G-Rem mutieren",IF(AU216="","Instandstellungs-Rechnung erfassen",IF(AV216="","Schlussabrechnung erstellen",IF(AW216="","Zahlungseingang kontrollieren","Fall abschliessen"))))))))))))))))))))))))))))))))</f>
        <v/>
      </c>
      <c r="J216" s="17">
        <f>IF(M216="","",IF(S216&lt;&gt;"",MAX(0,S216-M216-1),MAX(0,TODAY()-M216)))</f>
        <v/>
      </c>
      <c r="K216" s="16">
        <f>IF($B216="","",TRIM(IF(AND(L216&lt;&gt;"",M216&lt;&gt;"",M216&lt;L216),"Haftungsdatum vor Kündigung. ","")&amp;IF(AND(S216&lt;&gt;"",M216&lt;&gt;"",S216&lt;M216),"Vermietung vor Leerstandsbeginn. ","")&amp;IF(AND(Z216&lt;&gt;"",L216&lt;&gt;"",Z216&lt;L216),"WA-Termin vor Kündigung. ","")&amp;IF(COUNTIFS($B$5:$B$404,$B216,$AY$5:$AY$404,"")&gt;1,"Zweiter offener Fall zum selben Objekt. ","")&amp;IF(AND($A216&lt;&gt;"",COUNTIFS($A$5:$A$404,$A216)&gt;1),"Fall-Nr. doppelt vergeben. ","")&amp;IF(E216="","ex-Mieter fehlt. ","")&amp;IF(M216="","Haftungsdatum fehlt. ","")&amp;IF(F216="","Bewirtschafter fehlt. ","")&amp;IF(AND(AY216&lt;&gt;"",AW216=""),"Abgeschlossen trotz offener Schlussabrechnung. ","")&amp;IF(AND(AY216="",S216="",ISNUMBER(J216),J216&gt;60),"Langläufer über 60 Tage. ","")))</f>
        <v/>
      </c>
      <c r="L216" s="18" t="n"/>
      <c r="M216" s="18" t="n"/>
      <c r="N216" s="19">
        <f>IF(M216="","",M216+1)</f>
        <v/>
      </c>
      <c r="O216" s="17">
        <f>IF(OR(L216="",M216=""),"",M216-L216)</f>
        <v/>
      </c>
      <c r="P216" s="16">
        <f>IF(M216="","",YEAR(M216+1)&amp;"-"&amp;TEXT(MONTH(M216+1),"00"))</f>
        <v/>
      </c>
      <c r="Q216" s="18" t="n"/>
      <c r="R216" s="15" t="n"/>
      <c r="S216" s="18" t="n"/>
      <c r="T216" s="16">
        <f>IF(U216="","",IF(LEFT(U216,1)="6","abgeschlossen",IF(OR(LEFT(U216,1)="1",LEFT(U216,1)="2"),"Kündigung &amp; Abnahme",IF(OR(LEFT(U216,1)="3",LEFT(U216,1)="4"),"Wiedervermietung","Schlussabrechnung"))))</f>
        <v/>
      </c>
      <c r="U216" s="16">
        <f>IF($B216="","",IF(AY216&lt;&gt;"","6 · abgeschlossen",IF(AW216&lt;&gt;"","5 · bereit zum Abschluss",IF(AT216&lt;&gt;"","5 · Schlussabrechnung",IF(AO216&lt;&gt;"","4 · Übergabe",IF(AM216&lt;&gt;"","3 · Neuvermietung",IF(M216&lt;&gt;"","2 · Abnahme &amp; Vermarktung","1 · Erfassung")))))))</f>
        <v/>
      </c>
      <c r="V216" s="15" t="n"/>
      <c r="W216" s="20" t="n"/>
      <c r="X216" s="15" t="n"/>
      <c r="Y216" s="15" t="n"/>
      <c r="Z216" s="18" t="n"/>
      <c r="AA216" s="19">
        <f>IF(M216="","",M216-30)</f>
        <v/>
      </c>
      <c r="AB216" s="19">
        <f>IF(ISNUMBER(AJ216),AJ216+3,"")</f>
        <v/>
      </c>
      <c r="AC216" s="18" t="n"/>
      <c r="AD216" s="18" t="n"/>
      <c r="AE216" s="18" t="n"/>
      <c r="AF216" s="18" t="n"/>
      <c r="AG216" s="18" t="n"/>
      <c r="AH216" s="18" t="n"/>
      <c r="AI216" s="18" t="n"/>
      <c r="AJ216" s="18" t="n"/>
      <c r="AK216" s="18" t="n"/>
      <c r="AL216" s="18" t="n"/>
      <c r="AM216" s="18" t="n"/>
      <c r="AN216" s="18" t="n"/>
      <c r="AO216" s="18" t="n"/>
      <c r="AP216" s="18" t="n"/>
      <c r="AQ216" s="18" t="n"/>
      <c r="AR216" s="18" t="n"/>
      <c r="AS216" s="18" t="n"/>
      <c r="AT216" s="18" t="n"/>
      <c r="AU216" s="18" t="n"/>
      <c r="AV216" s="18" t="n"/>
      <c r="AW216" s="18" t="n"/>
      <c r="AX216" s="18" t="n"/>
      <c r="AY216" s="18" t="n"/>
      <c r="AZ216" s="15" t="n"/>
    </row>
    <row r="217">
      <c r="A217" s="15" t="n"/>
      <c r="B217" s="15" t="n"/>
      <c r="C217" s="15" t="n"/>
      <c r="D217" s="15" t="n"/>
      <c r="E217" s="15" t="n"/>
      <c r="F217" s="15" t="n"/>
      <c r="G217" s="16">
        <f>IF(F217="","",IFERROR(INDEX(Stammdaten!$B$5:$B$24,MATCH(F217,Stammdaten!$A$5:$A$24,0)),"unbekannt"))</f>
        <v/>
      </c>
      <c r="H217" s="16">
        <f>IF($B217="","",IF(AY217&lt;&gt;"","abgeschlossen",IF(AND(ISNUMBER(AX217),AX217&gt;=TODAY()),"zurückgestellt",IF(OR(AND(ISNUMBER(AA217),AA217&lt;TODAY(),Z217="",AJ217=""),AND(ISNUMBER(Z217),Z217&lt;TODAY(),AJ217=""),AND(ISNUMBER(AB217),AB217&lt;TODAY(),AK217=""),AND(ISNUMBER(AC217),AC217&lt;TODAY(),AO217=""),AND(ISNUMBER(AD217),AD217&lt;TODAY(),AQ217="")),"überfällig","offen"))))</f>
        <v/>
      </c>
      <c r="I217" s="16">
        <f>IF($B217="","",IF(AY217&lt;&gt;"","—",IF(AND(ISNUMBER(AA217),AA217&lt;TODAY(),Z217="",AJ217=""),"Abnahmetermin vereinbaren – Sollfrist verstrichen",IF(AND(ISNUMBER(Z217),Z217&lt;TODAY(),AJ217=""),"Wohnungsabnahme nachtragen – Termin war fällig",IF(AND(ISNUMBER(AB217),AB217&lt;TODAY(),AK217=""),"Handwerker aufbieten – Frist verstrichen",IF(AND(ISNUMBER(AC217),AC217&lt;TODAY(),AO217=""),"Vertrag retour mahnen – Frist verstrichen",IF(AND(ISNUMBER(AD217),AD217&lt;TODAY(),AQ217=""),"Schlüsselübergabe nachtragen – Termin war fällig",IF(M217="","Haftungsdatum erfassen",IF(E217="","ex-Mieter erfassen",IF(AE217="","Kündigung bestätigen / G-Rem",IF(AF217="","Werke / EGT melden",IF(AG217="","Vorbesichtigung (oder n.e.)",IF(AH217="","VMZ aktualisieren",IF(AI217="","Inserat aufschalten",IF(AND(Z217="",AJ217=""),"Abnahmetermin vereinbaren",IF(AJ217="","Wohnungsabnahme durchführen",IF(AK217="","Handwerker aufbieten",IF(AL217="","Zustimmungserklärung einholen",IF(AM217="","Instandstellungen beauftragen",IF(R217="","Nachmieter erfassen",IF(AN217="","Vertrag versenden",IF(AO217="","Vertrag retour erfassen",IF(S217="","Vermietet per erfassen",IF(AP217="","Werke / EGT über Einzug informieren",IF(AND(AD217="",AQ217=""),"Schlüsselübergabe terminieren",IF(AQ217="","Schlüsselübergabe durchführen",IF(AR217="","Reinigung veranlassen",IF(AS217="","Namensschilder bestellen",IF(AT217="","Kaution prüfen / G-Rem mutieren",IF(AU217="","Instandstellungs-Rechnung erfassen",IF(AV217="","Schlussabrechnung erstellen",IF(AW217="","Zahlungseingang kontrollieren","Fall abschliessen"))))))))))))))))))))))))))))))))</f>
        <v/>
      </c>
      <c r="J217" s="17">
        <f>IF(M217="","",IF(S217&lt;&gt;"",MAX(0,S217-M217-1),MAX(0,TODAY()-M217)))</f>
        <v/>
      </c>
      <c r="K217" s="16">
        <f>IF($B217="","",TRIM(IF(AND(L217&lt;&gt;"",M217&lt;&gt;"",M217&lt;L217),"Haftungsdatum vor Kündigung. ","")&amp;IF(AND(S217&lt;&gt;"",M217&lt;&gt;"",S217&lt;M217),"Vermietung vor Leerstandsbeginn. ","")&amp;IF(AND(Z217&lt;&gt;"",L217&lt;&gt;"",Z217&lt;L217),"WA-Termin vor Kündigung. ","")&amp;IF(COUNTIFS($B$5:$B$404,$B217,$AY$5:$AY$404,"")&gt;1,"Zweiter offener Fall zum selben Objekt. ","")&amp;IF(AND($A217&lt;&gt;"",COUNTIFS($A$5:$A$404,$A217)&gt;1),"Fall-Nr. doppelt vergeben. ","")&amp;IF(E217="","ex-Mieter fehlt. ","")&amp;IF(M217="","Haftungsdatum fehlt. ","")&amp;IF(F217="","Bewirtschafter fehlt. ","")&amp;IF(AND(AY217&lt;&gt;"",AW217=""),"Abgeschlossen trotz offener Schlussabrechnung. ","")&amp;IF(AND(AY217="",S217="",ISNUMBER(J217),J217&gt;60),"Langläufer über 60 Tage. ","")))</f>
        <v/>
      </c>
      <c r="L217" s="18" t="n"/>
      <c r="M217" s="18" t="n"/>
      <c r="N217" s="19">
        <f>IF(M217="","",M217+1)</f>
        <v/>
      </c>
      <c r="O217" s="17">
        <f>IF(OR(L217="",M217=""),"",M217-L217)</f>
        <v/>
      </c>
      <c r="P217" s="16">
        <f>IF(M217="","",YEAR(M217+1)&amp;"-"&amp;TEXT(MONTH(M217+1),"00"))</f>
        <v/>
      </c>
      <c r="Q217" s="18" t="n"/>
      <c r="R217" s="15" t="n"/>
      <c r="S217" s="18" t="n"/>
      <c r="T217" s="16">
        <f>IF(U217="","",IF(LEFT(U217,1)="6","abgeschlossen",IF(OR(LEFT(U217,1)="1",LEFT(U217,1)="2"),"Kündigung &amp; Abnahme",IF(OR(LEFT(U217,1)="3",LEFT(U217,1)="4"),"Wiedervermietung","Schlussabrechnung"))))</f>
        <v/>
      </c>
      <c r="U217" s="16">
        <f>IF($B217="","",IF(AY217&lt;&gt;"","6 · abgeschlossen",IF(AW217&lt;&gt;"","5 · bereit zum Abschluss",IF(AT217&lt;&gt;"","5 · Schlussabrechnung",IF(AO217&lt;&gt;"","4 · Übergabe",IF(AM217&lt;&gt;"","3 · Neuvermietung",IF(M217&lt;&gt;"","2 · Abnahme &amp; Vermarktung","1 · Erfassung")))))))</f>
        <v/>
      </c>
      <c r="V217" s="15" t="n"/>
      <c r="W217" s="20" t="n"/>
      <c r="X217" s="15" t="n"/>
      <c r="Y217" s="15" t="n"/>
      <c r="Z217" s="18" t="n"/>
      <c r="AA217" s="19">
        <f>IF(M217="","",M217-30)</f>
        <v/>
      </c>
      <c r="AB217" s="19">
        <f>IF(ISNUMBER(AJ217),AJ217+3,"")</f>
        <v/>
      </c>
      <c r="AC217" s="18" t="n"/>
      <c r="AD217" s="18" t="n"/>
      <c r="AE217" s="18" t="n"/>
      <c r="AF217" s="18" t="n"/>
      <c r="AG217" s="18" t="n"/>
      <c r="AH217" s="18" t="n"/>
      <c r="AI217" s="18" t="n"/>
      <c r="AJ217" s="18" t="n"/>
      <c r="AK217" s="18" t="n"/>
      <c r="AL217" s="18" t="n"/>
      <c r="AM217" s="18" t="n"/>
      <c r="AN217" s="18" t="n"/>
      <c r="AO217" s="18" t="n"/>
      <c r="AP217" s="18" t="n"/>
      <c r="AQ217" s="18" t="n"/>
      <c r="AR217" s="18" t="n"/>
      <c r="AS217" s="18" t="n"/>
      <c r="AT217" s="18" t="n"/>
      <c r="AU217" s="18" t="n"/>
      <c r="AV217" s="18" t="n"/>
      <c r="AW217" s="18" t="n"/>
      <c r="AX217" s="18" t="n"/>
      <c r="AY217" s="18" t="n"/>
      <c r="AZ217" s="15" t="n"/>
    </row>
    <row r="218">
      <c r="A218" s="15" t="n"/>
      <c r="B218" s="15" t="n"/>
      <c r="C218" s="15" t="n"/>
      <c r="D218" s="15" t="n"/>
      <c r="E218" s="15" t="n"/>
      <c r="F218" s="15" t="n"/>
      <c r="G218" s="16">
        <f>IF(F218="","",IFERROR(INDEX(Stammdaten!$B$5:$B$24,MATCH(F218,Stammdaten!$A$5:$A$24,0)),"unbekannt"))</f>
        <v/>
      </c>
      <c r="H218" s="16">
        <f>IF($B218="","",IF(AY218&lt;&gt;"","abgeschlossen",IF(AND(ISNUMBER(AX218),AX218&gt;=TODAY()),"zurückgestellt",IF(OR(AND(ISNUMBER(AA218),AA218&lt;TODAY(),Z218="",AJ218=""),AND(ISNUMBER(Z218),Z218&lt;TODAY(),AJ218=""),AND(ISNUMBER(AB218),AB218&lt;TODAY(),AK218=""),AND(ISNUMBER(AC218),AC218&lt;TODAY(),AO218=""),AND(ISNUMBER(AD218),AD218&lt;TODAY(),AQ218="")),"überfällig","offen"))))</f>
        <v/>
      </c>
      <c r="I218" s="16">
        <f>IF($B218="","",IF(AY218&lt;&gt;"","—",IF(AND(ISNUMBER(AA218),AA218&lt;TODAY(),Z218="",AJ218=""),"Abnahmetermin vereinbaren – Sollfrist verstrichen",IF(AND(ISNUMBER(Z218),Z218&lt;TODAY(),AJ218=""),"Wohnungsabnahme nachtragen – Termin war fällig",IF(AND(ISNUMBER(AB218),AB218&lt;TODAY(),AK218=""),"Handwerker aufbieten – Frist verstrichen",IF(AND(ISNUMBER(AC218),AC218&lt;TODAY(),AO218=""),"Vertrag retour mahnen – Frist verstrichen",IF(AND(ISNUMBER(AD218),AD218&lt;TODAY(),AQ218=""),"Schlüsselübergabe nachtragen – Termin war fällig",IF(M218="","Haftungsdatum erfassen",IF(E218="","ex-Mieter erfassen",IF(AE218="","Kündigung bestätigen / G-Rem",IF(AF218="","Werke / EGT melden",IF(AG218="","Vorbesichtigung (oder n.e.)",IF(AH218="","VMZ aktualisieren",IF(AI218="","Inserat aufschalten",IF(AND(Z218="",AJ218=""),"Abnahmetermin vereinbaren",IF(AJ218="","Wohnungsabnahme durchführen",IF(AK218="","Handwerker aufbieten",IF(AL218="","Zustimmungserklärung einholen",IF(AM218="","Instandstellungen beauftragen",IF(R218="","Nachmieter erfassen",IF(AN218="","Vertrag versenden",IF(AO218="","Vertrag retour erfassen",IF(S218="","Vermietet per erfassen",IF(AP218="","Werke / EGT über Einzug informieren",IF(AND(AD218="",AQ218=""),"Schlüsselübergabe terminieren",IF(AQ218="","Schlüsselübergabe durchführen",IF(AR218="","Reinigung veranlassen",IF(AS218="","Namensschilder bestellen",IF(AT218="","Kaution prüfen / G-Rem mutieren",IF(AU218="","Instandstellungs-Rechnung erfassen",IF(AV218="","Schlussabrechnung erstellen",IF(AW218="","Zahlungseingang kontrollieren","Fall abschliessen"))))))))))))))))))))))))))))))))</f>
        <v/>
      </c>
      <c r="J218" s="17">
        <f>IF(M218="","",IF(S218&lt;&gt;"",MAX(0,S218-M218-1),MAX(0,TODAY()-M218)))</f>
        <v/>
      </c>
      <c r="K218" s="16">
        <f>IF($B218="","",TRIM(IF(AND(L218&lt;&gt;"",M218&lt;&gt;"",M218&lt;L218),"Haftungsdatum vor Kündigung. ","")&amp;IF(AND(S218&lt;&gt;"",M218&lt;&gt;"",S218&lt;M218),"Vermietung vor Leerstandsbeginn. ","")&amp;IF(AND(Z218&lt;&gt;"",L218&lt;&gt;"",Z218&lt;L218),"WA-Termin vor Kündigung. ","")&amp;IF(COUNTIFS($B$5:$B$404,$B218,$AY$5:$AY$404,"")&gt;1,"Zweiter offener Fall zum selben Objekt. ","")&amp;IF(AND($A218&lt;&gt;"",COUNTIFS($A$5:$A$404,$A218)&gt;1),"Fall-Nr. doppelt vergeben. ","")&amp;IF(E218="","ex-Mieter fehlt. ","")&amp;IF(M218="","Haftungsdatum fehlt. ","")&amp;IF(F218="","Bewirtschafter fehlt. ","")&amp;IF(AND(AY218&lt;&gt;"",AW218=""),"Abgeschlossen trotz offener Schlussabrechnung. ","")&amp;IF(AND(AY218="",S218="",ISNUMBER(J218),J218&gt;60),"Langläufer über 60 Tage. ","")))</f>
        <v/>
      </c>
      <c r="L218" s="18" t="n"/>
      <c r="M218" s="18" t="n"/>
      <c r="N218" s="19">
        <f>IF(M218="","",M218+1)</f>
        <v/>
      </c>
      <c r="O218" s="17">
        <f>IF(OR(L218="",M218=""),"",M218-L218)</f>
        <v/>
      </c>
      <c r="P218" s="16">
        <f>IF(M218="","",YEAR(M218+1)&amp;"-"&amp;TEXT(MONTH(M218+1),"00"))</f>
        <v/>
      </c>
      <c r="Q218" s="18" t="n"/>
      <c r="R218" s="15" t="n"/>
      <c r="S218" s="18" t="n"/>
      <c r="T218" s="16">
        <f>IF(U218="","",IF(LEFT(U218,1)="6","abgeschlossen",IF(OR(LEFT(U218,1)="1",LEFT(U218,1)="2"),"Kündigung &amp; Abnahme",IF(OR(LEFT(U218,1)="3",LEFT(U218,1)="4"),"Wiedervermietung","Schlussabrechnung"))))</f>
        <v/>
      </c>
      <c r="U218" s="16">
        <f>IF($B218="","",IF(AY218&lt;&gt;"","6 · abgeschlossen",IF(AW218&lt;&gt;"","5 · bereit zum Abschluss",IF(AT218&lt;&gt;"","5 · Schlussabrechnung",IF(AO218&lt;&gt;"","4 · Übergabe",IF(AM218&lt;&gt;"","3 · Neuvermietung",IF(M218&lt;&gt;"","2 · Abnahme &amp; Vermarktung","1 · Erfassung")))))))</f>
        <v/>
      </c>
      <c r="V218" s="15" t="n"/>
      <c r="W218" s="20" t="n"/>
      <c r="X218" s="15" t="n"/>
      <c r="Y218" s="15" t="n"/>
      <c r="Z218" s="18" t="n"/>
      <c r="AA218" s="19">
        <f>IF(M218="","",M218-30)</f>
        <v/>
      </c>
      <c r="AB218" s="19">
        <f>IF(ISNUMBER(AJ218),AJ218+3,"")</f>
        <v/>
      </c>
      <c r="AC218" s="18" t="n"/>
      <c r="AD218" s="18" t="n"/>
      <c r="AE218" s="18" t="n"/>
      <c r="AF218" s="18" t="n"/>
      <c r="AG218" s="18" t="n"/>
      <c r="AH218" s="18" t="n"/>
      <c r="AI218" s="18" t="n"/>
      <c r="AJ218" s="18" t="n"/>
      <c r="AK218" s="18" t="n"/>
      <c r="AL218" s="18" t="n"/>
      <c r="AM218" s="18" t="n"/>
      <c r="AN218" s="18" t="n"/>
      <c r="AO218" s="18" t="n"/>
      <c r="AP218" s="18" t="n"/>
      <c r="AQ218" s="18" t="n"/>
      <c r="AR218" s="18" t="n"/>
      <c r="AS218" s="18" t="n"/>
      <c r="AT218" s="18" t="n"/>
      <c r="AU218" s="18" t="n"/>
      <c r="AV218" s="18" t="n"/>
      <c r="AW218" s="18" t="n"/>
      <c r="AX218" s="18" t="n"/>
      <c r="AY218" s="18" t="n"/>
      <c r="AZ218" s="15" t="n"/>
    </row>
    <row r="219">
      <c r="A219" s="15" t="n"/>
      <c r="B219" s="15" t="n"/>
      <c r="C219" s="15" t="n"/>
      <c r="D219" s="15" t="n"/>
      <c r="E219" s="15" t="n"/>
      <c r="F219" s="15" t="n"/>
      <c r="G219" s="16">
        <f>IF(F219="","",IFERROR(INDEX(Stammdaten!$B$5:$B$24,MATCH(F219,Stammdaten!$A$5:$A$24,0)),"unbekannt"))</f>
        <v/>
      </c>
      <c r="H219" s="16">
        <f>IF($B219="","",IF(AY219&lt;&gt;"","abgeschlossen",IF(AND(ISNUMBER(AX219),AX219&gt;=TODAY()),"zurückgestellt",IF(OR(AND(ISNUMBER(AA219),AA219&lt;TODAY(),Z219="",AJ219=""),AND(ISNUMBER(Z219),Z219&lt;TODAY(),AJ219=""),AND(ISNUMBER(AB219),AB219&lt;TODAY(),AK219=""),AND(ISNUMBER(AC219),AC219&lt;TODAY(),AO219=""),AND(ISNUMBER(AD219),AD219&lt;TODAY(),AQ219="")),"überfällig","offen"))))</f>
        <v/>
      </c>
      <c r="I219" s="16">
        <f>IF($B219="","",IF(AY219&lt;&gt;"","—",IF(AND(ISNUMBER(AA219),AA219&lt;TODAY(),Z219="",AJ219=""),"Abnahmetermin vereinbaren – Sollfrist verstrichen",IF(AND(ISNUMBER(Z219),Z219&lt;TODAY(),AJ219=""),"Wohnungsabnahme nachtragen – Termin war fällig",IF(AND(ISNUMBER(AB219),AB219&lt;TODAY(),AK219=""),"Handwerker aufbieten – Frist verstrichen",IF(AND(ISNUMBER(AC219),AC219&lt;TODAY(),AO219=""),"Vertrag retour mahnen – Frist verstrichen",IF(AND(ISNUMBER(AD219),AD219&lt;TODAY(),AQ219=""),"Schlüsselübergabe nachtragen – Termin war fällig",IF(M219="","Haftungsdatum erfassen",IF(E219="","ex-Mieter erfassen",IF(AE219="","Kündigung bestätigen / G-Rem",IF(AF219="","Werke / EGT melden",IF(AG219="","Vorbesichtigung (oder n.e.)",IF(AH219="","VMZ aktualisieren",IF(AI219="","Inserat aufschalten",IF(AND(Z219="",AJ219=""),"Abnahmetermin vereinbaren",IF(AJ219="","Wohnungsabnahme durchführen",IF(AK219="","Handwerker aufbieten",IF(AL219="","Zustimmungserklärung einholen",IF(AM219="","Instandstellungen beauftragen",IF(R219="","Nachmieter erfassen",IF(AN219="","Vertrag versenden",IF(AO219="","Vertrag retour erfassen",IF(S219="","Vermietet per erfassen",IF(AP219="","Werke / EGT über Einzug informieren",IF(AND(AD219="",AQ219=""),"Schlüsselübergabe terminieren",IF(AQ219="","Schlüsselübergabe durchführen",IF(AR219="","Reinigung veranlassen",IF(AS219="","Namensschilder bestellen",IF(AT219="","Kaution prüfen / G-Rem mutieren",IF(AU219="","Instandstellungs-Rechnung erfassen",IF(AV219="","Schlussabrechnung erstellen",IF(AW219="","Zahlungseingang kontrollieren","Fall abschliessen"))))))))))))))))))))))))))))))))</f>
        <v/>
      </c>
      <c r="J219" s="17">
        <f>IF(M219="","",IF(S219&lt;&gt;"",MAX(0,S219-M219-1),MAX(0,TODAY()-M219)))</f>
        <v/>
      </c>
      <c r="K219" s="16">
        <f>IF($B219="","",TRIM(IF(AND(L219&lt;&gt;"",M219&lt;&gt;"",M219&lt;L219),"Haftungsdatum vor Kündigung. ","")&amp;IF(AND(S219&lt;&gt;"",M219&lt;&gt;"",S219&lt;M219),"Vermietung vor Leerstandsbeginn. ","")&amp;IF(AND(Z219&lt;&gt;"",L219&lt;&gt;"",Z219&lt;L219),"WA-Termin vor Kündigung. ","")&amp;IF(COUNTIFS($B$5:$B$404,$B219,$AY$5:$AY$404,"")&gt;1,"Zweiter offener Fall zum selben Objekt. ","")&amp;IF(AND($A219&lt;&gt;"",COUNTIFS($A$5:$A$404,$A219)&gt;1),"Fall-Nr. doppelt vergeben. ","")&amp;IF(E219="","ex-Mieter fehlt. ","")&amp;IF(M219="","Haftungsdatum fehlt. ","")&amp;IF(F219="","Bewirtschafter fehlt. ","")&amp;IF(AND(AY219&lt;&gt;"",AW219=""),"Abgeschlossen trotz offener Schlussabrechnung. ","")&amp;IF(AND(AY219="",S219="",ISNUMBER(J219),J219&gt;60),"Langläufer über 60 Tage. ","")))</f>
        <v/>
      </c>
      <c r="L219" s="18" t="n"/>
      <c r="M219" s="18" t="n"/>
      <c r="N219" s="19">
        <f>IF(M219="","",M219+1)</f>
        <v/>
      </c>
      <c r="O219" s="17">
        <f>IF(OR(L219="",M219=""),"",M219-L219)</f>
        <v/>
      </c>
      <c r="P219" s="16">
        <f>IF(M219="","",YEAR(M219+1)&amp;"-"&amp;TEXT(MONTH(M219+1),"00"))</f>
        <v/>
      </c>
      <c r="Q219" s="18" t="n"/>
      <c r="R219" s="15" t="n"/>
      <c r="S219" s="18" t="n"/>
      <c r="T219" s="16">
        <f>IF(U219="","",IF(LEFT(U219,1)="6","abgeschlossen",IF(OR(LEFT(U219,1)="1",LEFT(U219,1)="2"),"Kündigung &amp; Abnahme",IF(OR(LEFT(U219,1)="3",LEFT(U219,1)="4"),"Wiedervermietung","Schlussabrechnung"))))</f>
        <v/>
      </c>
      <c r="U219" s="16">
        <f>IF($B219="","",IF(AY219&lt;&gt;"","6 · abgeschlossen",IF(AW219&lt;&gt;"","5 · bereit zum Abschluss",IF(AT219&lt;&gt;"","5 · Schlussabrechnung",IF(AO219&lt;&gt;"","4 · Übergabe",IF(AM219&lt;&gt;"","3 · Neuvermietung",IF(M219&lt;&gt;"","2 · Abnahme &amp; Vermarktung","1 · Erfassung")))))))</f>
        <v/>
      </c>
      <c r="V219" s="15" t="n"/>
      <c r="W219" s="20" t="n"/>
      <c r="X219" s="15" t="n"/>
      <c r="Y219" s="15" t="n"/>
      <c r="Z219" s="18" t="n"/>
      <c r="AA219" s="19">
        <f>IF(M219="","",M219-30)</f>
        <v/>
      </c>
      <c r="AB219" s="19">
        <f>IF(ISNUMBER(AJ219),AJ219+3,"")</f>
        <v/>
      </c>
      <c r="AC219" s="18" t="n"/>
      <c r="AD219" s="18" t="n"/>
      <c r="AE219" s="18" t="n"/>
      <c r="AF219" s="18" t="n"/>
      <c r="AG219" s="18" t="n"/>
      <c r="AH219" s="18" t="n"/>
      <c r="AI219" s="18" t="n"/>
      <c r="AJ219" s="18" t="n"/>
      <c r="AK219" s="18" t="n"/>
      <c r="AL219" s="18" t="n"/>
      <c r="AM219" s="18" t="n"/>
      <c r="AN219" s="18" t="n"/>
      <c r="AO219" s="18" t="n"/>
      <c r="AP219" s="18" t="n"/>
      <c r="AQ219" s="18" t="n"/>
      <c r="AR219" s="18" t="n"/>
      <c r="AS219" s="18" t="n"/>
      <c r="AT219" s="18" t="n"/>
      <c r="AU219" s="18" t="n"/>
      <c r="AV219" s="18" t="n"/>
      <c r="AW219" s="18" t="n"/>
      <c r="AX219" s="18" t="n"/>
      <c r="AY219" s="18" t="n"/>
      <c r="AZ219" s="15" t="n"/>
    </row>
    <row r="220">
      <c r="A220" s="15" t="n"/>
      <c r="B220" s="15" t="n"/>
      <c r="C220" s="15" t="n"/>
      <c r="D220" s="15" t="n"/>
      <c r="E220" s="15" t="n"/>
      <c r="F220" s="15" t="n"/>
      <c r="G220" s="16">
        <f>IF(F220="","",IFERROR(INDEX(Stammdaten!$B$5:$B$24,MATCH(F220,Stammdaten!$A$5:$A$24,0)),"unbekannt"))</f>
        <v/>
      </c>
      <c r="H220" s="16">
        <f>IF($B220="","",IF(AY220&lt;&gt;"","abgeschlossen",IF(AND(ISNUMBER(AX220),AX220&gt;=TODAY()),"zurückgestellt",IF(OR(AND(ISNUMBER(AA220),AA220&lt;TODAY(),Z220="",AJ220=""),AND(ISNUMBER(Z220),Z220&lt;TODAY(),AJ220=""),AND(ISNUMBER(AB220),AB220&lt;TODAY(),AK220=""),AND(ISNUMBER(AC220),AC220&lt;TODAY(),AO220=""),AND(ISNUMBER(AD220),AD220&lt;TODAY(),AQ220="")),"überfällig","offen"))))</f>
        <v/>
      </c>
      <c r="I220" s="16">
        <f>IF($B220="","",IF(AY220&lt;&gt;"","—",IF(AND(ISNUMBER(AA220),AA220&lt;TODAY(),Z220="",AJ220=""),"Abnahmetermin vereinbaren – Sollfrist verstrichen",IF(AND(ISNUMBER(Z220),Z220&lt;TODAY(),AJ220=""),"Wohnungsabnahme nachtragen – Termin war fällig",IF(AND(ISNUMBER(AB220),AB220&lt;TODAY(),AK220=""),"Handwerker aufbieten – Frist verstrichen",IF(AND(ISNUMBER(AC220),AC220&lt;TODAY(),AO220=""),"Vertrag retour mahnen – Frist verstrichen",IF(AND(ISNUMBER(AD220),AD220&lt;TODAY(),AQ220=""),"Schlüsselübergabe nachtragen – Termin war fällig",IF(M220="","Haftungsdatum erfassen",IF(E220="","ex-Mieter erfassen",IF(AE220="","Kündigung bestätigen / G-Rem",IF(AF220="","Werke / EGT melden",IF(AG220="","Vorbesichtigung (oder n.e.)",IF(AH220="","VMZ aktualisieren",IF(AI220="","Inserat aufschalten",IF(AND(Z220="",AJ220=""),"Abnahmetermin vereinbaren",IF(AJ220="","Wohnungsabnahme durchführen",IF(AK220="","Handwerker aufbieten",IF(AL220="","Zustimmungserklärung einholen",IF(AM220="","Instandstellungen beauftragen",IF(R220="","Nachmieter erfassen",IF(AN220="","Vertrag versenden",IF(AO220="","Vertrag retour erfassen",IF(S220="","Vermietet per erfassen",IF(AP220="","Werke / EGT über Einzug informieren",IF(AND(AD220="",AQ220=""),"Schlüsselübergabe terminieren",IF(AQ220="","Schlüsselübergabe durchführen",IF(AR220="","Reinigung veranlassen",IF(AS220="","Namensschilder bestellen",IF(AT220="","Kaution prüfen / G-Rem mutieren",IF(AU220="","Instandstellungs-Rechnung erfassen",IF(AV220="","Schlussabrechnung erstellen",IF(AW220="","Zahlungseingang kontrollieren","Fall abschliessen"))))))))))))))))))))))))))))))))</f>
        <v/>
      </c>
      <c r="J220" s="17">
        <f>IF(M220="","",IF(S220&lt;&gt;"",MAX(0,S220-M220-1),MAX(0,TODAY()-M220)))</f>
        <v/>
      </c>
      <c r="K220" s="16">
        <f>IF($B220="","",TRIM(IF(AND(L220&lt;&gt;"",M220&lt;&gt;"",M220&lt;L220),"Haftungsdatum vor Kündigung. ","")&amp;IF(AND(S220&lt;&gt;"",M220&lt;&gt;"",S220&lt;M220),"Vermietung vor Leerstandsbeginn. ","")&amp;IF(AND(Z220&lt;&gt;"",L220&lt;&gt;"",Z220&lt;L220),"WA-Termin vor Kündigung. ","")&amp;IF(COUNTIFS($B$5:$B$404,$B220,$AY$5:$AY$404,"")&gt;1,"Zweiter offener Fall zum selben Objekt. ","")&amp;IF(AND($A220&lt;&gt;"",COUNTIFS($A$5:$A$404,$A220)&gt;1),"Fall-Nr. doppelt vergeben. ","")&amp;IF(E220="","ex-Mieter fehlt. ","")&amp;IF(M220="","Haftungsdatum fehlt. ","")&amp;IF(F220="","Bewirtschafter fehlt. ","")&amp;IF(AND(AY220&lt;&gt;"",AW220=""),"Abgeschlossen trotz offener Schlussabrechnung. ","")&amp;IF(AND(AY220="",S220="",ISNUMBER(J220),J220&gt;60),"Langläufer über 60 Tage. ","")))</f>
        <v/>
      </c>
      <c r="L220" s="18" t="n"/>
      <c r="M220" s="18" t="n"/>
      <c r="N220" s="19">
        <f>IF(M220="","",M220+1)</f>
        <v/>
      </c>
      <c r="O220" s="17">
        <f>IF(OR(L220="",M220=""),"",M220-L220)</f>
        <v/>
      </c>
      <c r="P220" s="16">
        <f>IF(M220="","",YEAR(M220+1)&amp;"-"&amp;TEXT(MONTH(M220+1),"00"))</f>
        <v/>
      </c>
      <c r="Q220" s="18" t="n"/>
      <c r="R220" s="15" t="n"/>
      <c r="S220" s="18" t="n"/>
      <c r="T220" s="16">
        <f>IF(U220="","",IF(LEFT(U220,1)="6","abgeschlossen",IF(OR(LEFT(U220,1)="1",LEFT(U220,1)="2"),"Kündigung &amp; Abnahme",IF(OR(LEFT(U220,1)="3",LEFT(U220,1)="4"),"Wiedervermietung","Schlussabrechnung"))))</f>
        <v/>
      </c>
      <c r="U220" s="16">
        <f>IF($B220="","",IF(AY220&lt;&gt;"","6 · abgeschlossen",IF(AW220&lt;&gt;"","5 · bereit zum Abschluss",IF(AT220&lt;&gt;"","5 · Schlussabrechnung",IF(AO220&lt;&gt;"","4 · Übergabe",IF(AM220&lt;&gt;"","3 · Neuvermietung",IF(M220&lt;&gt;"","2 · Abnahme &amp; Vermarktung","1 · Erfassung")))))))</f>
        <v/>
      </c>
      <c r="V220" s="15" t="n"/>
      <c r="W220" s="20" t="n"/>
      <c r="X220" s="15" t="n"/>
      <c r="Y220" s="15" t="n"/>
      <c r="Z220" s="18" t="n"/>
      <c r="AA220" s="19">
        <f>IF(M220="","",M220-30)</f>
        <v/>
      </c>
      <c r="AB220" s="19">
        <f>IF(ISNUMBER(AJ220),AJ220+3,"")</f>
        <v/>
      </c>
      <c r="AC220" s="18" t="n"/>
      <c r="AD220" s="18" t="n"/>
      <c r="AE220" s="18" t="n"/>
      <c r="AF220" s="18" t="n"/>
      <c r="AG220" s="18" t="n"/>
      <c r="AH220" s="18" t="n"/>
      <c r="AI220" s="18" t="n"/>
      <c r="AJ220" s="18" t="n"/>
      <c r="AK220" s="18" t="n"/>
      <c r="AL220" s="18" t="n"/>
      <c r="AM220" s="18" t="n"/>
      <c r="AN220" s="18" t="n"/>
      <c r="AO220" s="18" t="n"/>
      <c r="AP220" s="18" t="n"/>
      <c r="AQ220" s="18" t="n"/>
      <c r="AR220" s="18" t="n"/>
      <c r="AS220" s="18" t="n"/>
      <c r="AT220" s="18" t="n"/>
      <c r="AU220" s="18" t="n"/>
      <c r="AV220" s="18" t="n"/>
      <c r="AW220" s="18" t="n"/>
      <c r="AX220" s="18" t="n"/>
      <c r="AY220" s="18" t="n"/>
      <c r="AZ220" s="15" t="n"/>
    </row>
    <row r="221">
      <c r="A221" s="15" t="n"/>
      <c r="B221" s="15" t="n"/>
      <c r="C221" s="15" t="n"/>
      <c r="D221" s="15" t="n"/>
      <c r="E221" s="15" t="n"/>
      <c r="F221" s="15" t="n"/>
      <c r="G221" s="16">
        <f>IF(F221="","",IFERROR(INDEX(Stammdaten!$B$5:$B$24,MATCH(F221,Stammdaten!$A$5:$A$24,0)),"unbekannt"))</f>
        <v/>
      </c>
      <c r="H221" s="16">
        <f>IF($B221="","",IF(AY221&lt;&gt;"","abgeschlossen",IF(AND(ISNUMBER(AX221),AX221&gt;=TODAY()),"zurückgestellt",IF(OR(AND(ISNUMBER(AA221),AA221&lt;TODAY(),Z221="",AJ221=""),AND(ISNUMBER(Z221),Z221&lt;TODAY(),AJ221=""),AND(ISNUMBER(AB221),AB221&lt;TODAY(),AK221=""),AND(ISNUMBER(AC221),AC221&lt;TODAY(),AO221=""),AND(ISNUMBER(AD221),AD221&lt;TODAY(),AQ221="")),"überfällig","offen"))))</f>
        <v/>
      </c>
      <c r="I221" s="16">
        <f>IF($B221="","",IF(AY221&lt;&gt;"","—",IF(AND(ISNUMBER(AA221),AA221&lt;TODAY(),Z221="",AJ221=""),"Abnahmetermin vereinbaren – Sollfrist verstrichen",IF(AND(ISNUMBER(Z221),Z221&lt;TODAY(),AJ221=""),"Wohnungsabnahme nachtragen – Termin war fällig",IF(AND(ISNUMBER(AB221),AB221&lt;TODAY(),AK221=""),"Handwerker aufbieten – Frist verstrichen",IF(AND(ISNUMBER(AC221),AC221&lt;TODAY(),AO221=""),"Vertrag retour mahnen – Frist verstrichen",IF(AND(ISNUMBER(AD221),AD221&lt;TODAY(),AQ221=""),"Schlüsselübergabe nachtragen – Termin war fällig",IF(M221="","Haftungsdatum erfassen",IF(E221="","ex-Mieter erfassen",IF(AE221="","Kündigung bestätigen / G-Rem",IF(AF221="","Werke / EGT melden",IF(AG221="","Vorbesichtigung (oder n.e.)",IF(AH221="","VMZ aktualisieren",IF(AI221="","Inserat aufschalten",IF(AND(Z221="",AJ221=""),"Abnahmetermin vereinbaren",IF(AJ221="","Wohnungsabnahme durchführen",IF(AK221="","Handwerker aufbieten",IF(AL221="","Zustimmungserklärung einholen",IF(AM221="","Instandstellungen beauftragen",IF(R221="","Nachmieter erfassen",IF(AN221="","Vertrag versenden",IF(AO221="","Vertrag retour erfassen",IF(S221="","Vermietet per erfassen",IF(AP221="","Werke / EGT über Einzug informieren",IF(AND(AD221="",AQ221=""),"Schlüsselübergabe terminieren",IF(AQ221="","Schlüsselübergabe durchführen",IF(AR221="","Reinigung veranlassen",IF(AS221="","Namensschilder bestellen",IF(AT221="","Kaution prüfen / G-Rem mutieren",IF(AU221="","Instandstellungs-Rechnung erfassen",IF(AV221="","Schlussabrechnung erstellen",IF(AW221="","Zahlungseingang kontrollieren","Fall abschliessen"))))))))))))))))))))))))))))))))</f>
        <v/>
      </c>
      <c r="J221" s="17">
        <f>IF(M221="","",IF(S221&lt;&gt;"",MAX(0,S221-M221-1),MAX(0,TODAY()-M221)))</f>
        <v/>
      </c>
      <c r="K221" s="16">
        <f>IF($B221="","",TRIM(IF(AND(L221&lt;&gt;"",M221&lt;&gt;"",M221&lt;L221),"Haftungsdatum vor Kündigung. ","")&amp;IF(AND(S221&lt;&gt;"",M221&lt;&gt;"",S221&lt;M221),"Vermietung vor Leerstandsbeginn. ","")&amp;IF(AND(Z221&lt;&gt;"",L221&lt;&gt;"",Z221&lt;L221),"WA-Termin vor Kündigung. ","")&amp;IF(COUNTIFS($B$5:$B$404,$B221,$AY$5:$AY$404,"")&gt;1,"Zweiter offener Fall zum selben Objekt. ","")&amp;IF(AND($A221&lt;&gt;"",COUNTIFS($A$5:$A$404,$A221)&gt;1),"Fall-Nr. doppelt vergeben. ","")&amp;IF(E221="","ex-Mieter fehlt. ","")&amp;IF(M221="","Haftungsdatum fehlt. ","")&amp;IF(F221="","Bewirtschafter fehlt. ","")&amp;IF(AND(AY221&lt;&gt;"",AW221=""),"Abgeschlossen trotz offener Schlussabrechnung. ","")&amp;IF(AND(AY221="",S221="",ISNUMBER(J221),J221&gt;60),"Langläufer über 60 Tage. ","")))</f>
        <v/>
      </c>
      <c r="L221" s="18" t="n"/>
      <c r="M221" s="18" t="n"/>
      <c r="N221" s="19">
        <f>IF(M221="","",M221+1)</f>
        <v/>
      </c>
      <c r="O221" s="17">
        <f>IF(OR(L221="",M221=""),"",M221-L221)</f>
        <v/>
      </c>
      <c r="P221" s="16">
        <f>IF(M221="","",YEAR(M221+1)&amp;"-"&amp;TEXT(MONTH(M221+1),"00"))</f>
        <v/>
      </c>
      <c r="Q221" s="18" t="n"/>
      <c r="R221" s="15" t="n"/>
      <c r="S221" s="18" t="n"/>
      <c r="T221" s="16">
        <f>IF(U221="","",IF(LEFT(U221,1)="6","abgeschlossen",IF(OR(LEFT(U221,1)="1",LEFT(U221,1)="2"),"Kündigung &amp; Abnahme",IF(OR(LEFT(U221,1)="3",LEFT(U221,1)="4"),"Wiedervermietung","Schlussabrechnung"))))</f>
        <v/>
      </c>
      <c r="U221" s="16">
        <f>IF($B221="","",IF(AY221&lt;&gt;"","6 · abgeschlossen",IF(AW221&lt;&gt;"","5 · bereit zum Abschluss",IF(AT221&lt;&gt;"","5 · Schlussabrechnung",IF(AO221&lt;&gt;"","4 · Übergabe",IF(AM221&lt;&gt;"","3 · Neuvermietung",IF(M221&lt;&gt;"","2 · Abnahme &amp; Vermarktung","1 · Erfassung")))))))</f>
        <v/>
      </c>
      <c r="V221" s="15" t="n"/>
      <c r="W221" s="20" t="n"/>
      <c r="X221" s="15" t="n"/>
      <c r="Y221" s="15" t="n"/>
      <c r="Z221" s="18" t="n"/>
      <c r="AA221" s="19">
        <f>IF(M221="","",M221-30)</f>
        <v/>
      </c>
      <c r="AB221" s="19">
        <f>IF(ISNUMBER(AJ221),AJ221+3,"")</f>
        <v/>
      </c>
      <c r="AC221" s="18" t="n"/>
      <c r="AD221" s="18" t="n"/>
      <c r="AE221" s="18" t="n"/>
      <c r="AF221" s="18" t="n"/>
      <c r="AG221" s="18" t="n"/>
      <c r="AH221" s="18" t="n"/>
      <c r="AI221" s="18" t="n"/>
      <c r="AJ221" s="18" t="n"/>
      <c r="AK221" s="18" t="n"/>
      <c r="AL221" s="18" t="n"/>
      <c r="AM221" s="18" t="n"/>
      <c r="AN221" s="18" t="n"/>
      <c r="AO221" s="18" t="n"/>
      <c r="AP221" s="18" t="n"/>
      <c r="AQ221" s="18" t="n"/>
      <c r="AR221" s="18" t="n"/>
      <c r="AS221" s="18" t="n"/>
      <c r="AT221" s="18" t="n"/>
      <c r="AU221" s="18" t="n"/>
      <c r="AV221" s="18" t="n"/>
      <c r="AW221" s="18" t="n"/>
      <c r="AX221" s="18" t="n"/>
      <c r="AY221" s="18" t="n"/>
      <c r="AZ221" s="15" t="n"/>
    </row>
    <row r="222">
      <c r="A222" s="15" t="n"/>
      <c r="B222" s="15" t="n"/>
      <c r="C222" s="15" t="n"/>
      <c r="D222" s="15" t="n"/>
      <c r="E222" s="15" t="n"/>
      <c r="F222" s="15" t="n"/>
      <c r="G222" s="16">
        <f>IF(F222="","",IFERROR(INDEX(Stammdaten!$B$5:$B$24,MATCH(F222,Stammdaten!$A$5:$A$24,0)),"unbekannt"))</f>
        <v/>
      </c>
      <c r="H222" s="16">
        <f>IF($B222="","",IF(AY222&lt;&gt;"","abgeschlossen",IF(AND(ISNUMBER(AX222),AX222&gt;=TODAY()),"zurückgestellt",IF(OR(AND(ISNUMBER(AA222),AA222&lt;TODAY(),Z222="",AJ222=""),AND(ISNUMBER(Z222),Z222&lt;TODAY(),AJ222=""),AND(ISNUMBER(AB222),AB222&lt;TODAY(),AK222=""),AND(ISNUMBER(AC222),AC222&lt;TODAY(),AO222=""),AND(ISNUMBER(AD222),AD222&lt;TODAY(),AQ222="")),"überfällig","offen"))))</f>
        <v/>
      </c>
      <c r="I222" s="16">
        <f>IF($B222="","",IF(AY222&lt;&gt;"","—",IF(AND(ISNUMBER(AA222),AA222&lt;TODAY(),Z222="",AJ222=""),"Abnahmetermin vereinbaren – Sollfrist verstrichen",IF(AND(ISNUMBER(Z222),Z222&lt;TODAY(),AJ222=""),"Wohnungsabnahme nachtragen – Termin war fällig",IF(AND(ISNUMBER(AB222),AB222&lt;TODAY(),AK222=""),"Handwerker aufbieten – Frist verstrichen",IF(AND(ISNUMBER(AC222),AC222&lt;TODAY(),AO222=""),"Vertrag retour mahnen – Frist verstrichen",IF(AND(ISNUMBER(AD222),AD222&lt;TODAY(),AQ222=""),"Schlüsselübergabe nachtragen – Termin war fällig",IF(M222="","Haftungsdatum erfassen",IF(E222="","ex-Mieter erfassen",IF(AE222="","Kündigung bestätigen / G-Rem",IF(AF222="","Werke / EGT melden",IF(AG222="","Vorbesichtigung (oder n.e.)",IF(AH222="","VMZ aktualisieren",IF(AI222="","Inserat aufschalten",IF(AND(Z222="",AJ222=""),"Abnahmetermin vereinbaren",IF(AJ222="","Wohnungsabnahme durchführen",IF(AK222="","Handwerker aufbieten",IF(AL222="","Zustimmungserklärung einholen",IF(AM222="","Instandstellungen beauftragen",IF(R222="","Nachmieter erfassen",IF(AN222="","Vertrag versenden",IF(AO222="","Vertrag retour erfassen",IF(S222="","Vermietet per erfassen",IF(AP222="","Werke / EGT über Einzug informieren",IF(AND(AD222="",AQ222=""),"Schlüsselübergabe terminieren",IF(AQ222="","Schlüsselübergabe durchführen",IF(AR222="","Reinigung veranlassen",IF(AS222="","Namensschilder bestellen",IF(AT222="","Kaution prüfen / G-Rem mutieren",IF(AU222="","Instandstellungs-Rechnung erfassen",IF(AV222="","Schlussabrechnung erstellen",IF(AW222="","Zahlungseingang kontrollieren","Fall abschliessen"))))))))))))))))))))))))))))))))</f>
        <v/>
      </c>
      <c r="J222" s="17">
        <f>IF(M222="","",IF(S222&lt;&gt;"",MAX(0,S222-M222-1),MAX(0,TODAY()-M222)))</f>
        <v/>
      </c>
      <c r="K222" s="16">
        <f>IF($B222="","",TRIM(IF(AND(L222&lt;&gt;"",M222&lt;&gt;"",M222&lt;L222),"Haftungsdatum vor Kündigung. ","")&amp;IF(AND(S222&lt;&gt;"",M222&lt;&gt;"",S222&lt;M222),"Vermietung vor Leerstandsbeginn. ","")&amp;IF(AND(Z222&lt;&gt;"",L222&lt;&gt;"",Z222&lt;L222),"WA-Termin vor Kündigung. ","")&amp;IF(COUNTIFS($B$5:$B$404,$B222,$AY$5:$AY$404,"")&gt;1,"Zweiter offener Fall zum selben Objekt. ","")&amp;IF(AND($A222&lt;&gt;"",COUNTIFS($A$5:$A$404,$A222)&gt;1),"Fall-Nr. doppelt vergeben. ","")&amp;IF(E222="","ex-Mieter fehlt. ","")&amp;IF(M222="","Haftungsdatum fehlt. ","")&amp;IF(F222="","Bewirtschafter fehlt. ","")&amp;IF(AND(AY222&lt;&gt;"",AW222=""),"Abgeschlossen trotz offener Schlussabrechnung. ","")&amp;IF(AND(AY222="",S222="",ISNUMBER(J222),J222&gt;60),"Langläufer über 60 Tage. ","")))</f>
        <v/>
      </c>
      <c r="L222" s="18" t="n"/>
      <c r="M222" s="18" t="n"/>
      <c r="N222" s="19">
        <f>IF(M222="","",M222+1)</f>
        <v/>
      </c>
      <c r="O222" s="17">
        <f>IF(OR(L222="",M222=""),"",M222-L222)</f>
        <v/>
      </c>
      <c r="P222" s="16">
        <f>IF(M222="","",YEAR(M222+1)&amp;"-"&amp;TEXT(MONTH(M222+1),"00"))</f>
        <v/>
      </c>
      <c r="Q222" s="18" t="n"/>
      <c r="R222" s="15" t="n"/>
      <c r="S222" s="18" t="n"/>
      <c r="T222" s="16">
        <f>IF(U222="","",IF(LEFT(U222,1)="6","abgeschlossen",IF(OR(LEFT(U222,1)="1",LEFT(U222,1)="2"),"Kündigung &amp; Abnahme",IF(OR(LEFT(U222,1)="3",LEFT(U222,1)="4"),"Wiedervermietung","Schlussabrechnung"))))</f>
        <v/>
      </c>
      <c r="U222" s="16">
        <f>IF($B222="","",IF(AY222&lt;&gt;"","6 · abgeschlossen",IF(AW222&lt;&gt;"","5 · bereit zum Abschluss",IF(AT222&lt;&gt;"","5 · Schlussabrechnung",IF(AO222&lt;&gt;"","4 · Übergabe",IF(AM222&lt;&gt;"","3 · Neuvermietung",IF(M222&lt;&gt;"","2 · Abnahme &amp; Vermarktung","1 · Erfassung")))))))</f>
        <v/>
      </c>
      <c r="V222" s="15" t="n"/>
      <c r="W222" s="20" t="n"/>
      <c r="X222" s="15" t="n"/>
      <c r="Y222" s="15" t="n"/>
      <c r="Z222" s="18" t="n"/>
      <c r="AA222" s="19">
        <f>IF(M222="","",M222-30)</f>
        <v/>
      </c>
      <c r="AB222" s="19">
        <f>IF(ISNUMBER(AJ222),AJ222+3,"")</f>
        <v/>
      </c>
      <c r="AC222" s="18" t="n"/>
      <c r="AD222" s="18" t="n"/>
      <c r="AE222" s="18" t="n"/>
      <c r="AF222" s="18" t="n"/>
      <c r="AG222" s="18" t="n"/>
      <c r="AH222" s="18" t="n"/>
      <c r="AI222" s="18" t="n"/>
      <c r="AJ222" s="18" t="n"/>
      <c r="AK222" s="18" t="n"/>
      <c r="AL222" s="18" t="n"/>
      <c r="AM222" s="18" t="n"/>
      <c r="AN222" s="18" t="n"/>
      <c r="AO222" s="18" t="n"/>
      <c r="AP222" s="18" t="n"/>
      <c r="AQ222" s="18" t="n"/>
      <c r="AR222" s="18" t="n"/>
      <c r="AS222" s="18" t="n"/>
      <c r="AT222" s="18" t="n"/>
      <c r="AU222" s="18" t="n"/>
      <c r="AV222" s="18" t="n"/>
      <c r="AW222" s="18" t="n"/>
      <c r="AX222" s="18" t="n"/>
      <c r="AY222" s="18" t="n"/>
      <c r="AZ222" s="15" t="n"/>
    </row>
    <row r="223">
      <c r="A223" s="15" t="n"/>
      <c r="B223" s="15" t="n"/>
      <c r="C223" s="15" t="n"/>
      <c r="D223" s="15" t="n"/>
      <c r="E223" s="15" t="n"/>
      <c r="F223" s="15" t="n"/>
      <c r="G223" s="16">
        <f>IF(F223="","",IFERROR(INDEX(Stammdaten!$B$5:$B$24,MATCH(F223,Stammdaten!$A$5:$A$24,0)),"unbekannt"))</f>
        <v/>
      </c>
      <c r="H223" s="16">
        <f>IF($B223="","",IF(AY223&lt;&gt;"","abgeschlossen",IF(AND(ISNUMBER(AX223),AX223&gt;=TODAY()),"zurückgestellt",IF(OR(AND(ISNUMBER(AA223),AA223&lt;TODAY(),Z223="",AJ223=""),AND(ISNUMBER(Z223),Z223&lt;TODAY(),AJ223=""),AND(ISNUMBER(AB223),AB223&lt;TODAY(),AK223=""),AND(ISNUMBER(AC223),AC223&lt;TODAY(),AO223=""),AND(ISNUMBER(AD223),AD223&lt;TODAY(),AQ223="")),"überfällig","offen"))))</f>
        <v/>
      </c>
      <c r="I223" s="16">
        <f>IF($B223="","",IF(AY223&lt;&gt;"","—",IF(AND(ISNUMBER(AA223),AA223&lt;TODAY(),Z223="",AJ223=""),"Abnahmetermin vereinbaren – Sollfrist verstrichen",IF(AND(ISNUMBER(Z223),Z223&lt;TODAY(),AJ223=""),"Wohnungsabnahme nachtragen – Termin war fällig",IF(AND(ISNUMBER(AB223),AB223&lt;TODAY(),AK223=""),"Handwerker aufbieten – Frist verstrichen",IF(AND(ISNUMBER(AC223),AC223&lt;TODAY(),AO223=""),"Vertrag retour mahnen – Frist verstrichen",IF(AND(ISNUMBER(AD223),AD223&lt;TODAY(),AQ223=""),"Schlüsselübergabe nachtragen – Termin war fällig",IF(M223="","Haftungsdatum erfassen",IF(E223="","ex-Mieter erfassen",IF(AE223="","Kündigung bestätigen / G-Rem",IF(AF223="","Werke / EGT melden",IF(AG223="","Vorbesichtigung (oder n.e.)",IF(AH223="","VMZ aktualisieren",IF(AI223="","Inserat aufschalten",IF(AND(Z223="",AJ223=""),"Abnahmetermin vereinbaren",IF(AJ223="","Wohnungsabnahme durchführen",IF(AK223="","Handwerker aufbieten",IF(AL223="","Zustimmungserklärung einholen",IF(AM223="","Instandstellungen beauftragen",IF(R223="","Nachmieter erfassen",IF(AN223="","Vertrag versenden",IF(AO223="","Vertrag retour erfassen",IF(S223="","Vermietet per erfassen",IF(AP223="","Werke / EGT über Einzug informieren",IF(AND(AD223="",AQ223=""),"Schlüsselübergabe terminieren",IF(AQ223="","Schlüsselübergabe durchführen",IF(AR223="","Reinigung veranlassen",IF(AS223="","Namensschilder bestellen",IF(AT223="","Kaution prüfen / G-Rem mutieren",IF(AU223="","Instandstellungs-Rechnung erfassen",IF(AV223="","Schlussabrechnung erstellen",IF(AW223="","Zahlungseingang kontrollieren","Fall abschliessen"))))))))))))))))))))))))))))))))</f>
        <v/>
      </c>
      <c r="J223" s="17">
        <f>IF(M223="","",IF(S223&lt;&gt;"",MAX(0,S223-M223-1),MAX(0,TODAY()-M223)))</f>
        <v/>
      </c>
      <c r="K223" s="16">
        <f>IF($B223="","",TRIM(IF(AND(L223&lt;&gt;"",M223&lt;&gt;"",M223&lt;L223),"Haftungsdatum vor Kündigung. ","")&amp;IF(AND(S223&lt;&gt;"",M223&lt;&gt;"",S223&lt;M223),"Vermietung vor Leerstandsbeginn. ","")&amp;IF(AND(Z223&lt;&gt;"",L223&lt;&gt;"",Z223&lt;L223),"WA-Termin vor Kündigung. ","")&amp;IF(COUNTIFS($B$5:$B$404,$B223,$AY$5:$AY$404,"")&gt;1,"Zweiter offener Fall zum selben Objekt. ","")&amp;IF(AND($A223&lt;&gt;"",COUNTIFS($A$5:$A$404,$A223)&gt;1),"Fall-Nr. doppelt vergeben. ","")&amp;IF(E223="","ex-Mieter fehlt. ","")&amp;IF(M223="","Haftungsdatum fehlt. ","")&amp;IF(F223="","Bewirtschafter fehlt. ","")&amp;IF(AND(AY223&lt;&gt;"",AW223=""),"Abgeschlossen trotz offener Schlussabrechnung. ","")&amp;IF(AND(AY223="",S223="",ISNUMBER(J223),J223&gt;60),"Langläufer über 60 Tage. ","")))</f>
        <v/>
      </c>
      <c r="L223" s="18" t="n"/>
      <c r="M223" s="18" t="n"/>
      <c r="N223" s="19">
        <f>IF(M223="","",M223+1)</f>
        <v/>
      </c>
      <c r="O223" s="17">
        <f>IF(OR(L223="",M223=""),"",M223-L223)</f>
        <v/>
      </c>
      <c r="P223" s="16">
        <f>IF(M223="","",YEAR(M223+1)&amp;"-"&amp;TEXT(MONTH(M223+1),"00"))</f>
        <v/>
      </c>
      <c r="Q223" s="18" t="n"/>
      <c r="R223" s="15" t="n"/>
      <c r="S223" s="18" t="n"/>
      <c r="T223" s="16">
        <f>IF(U223="","",IF(LEFT(U223,1)="6","abgeschlossen",IF(OR(LEFT(U223,1)="1",LEFT(U223,1)="2"),"Kündigung &amp; Abnahme",IF(OR(LEFT(U223,1)="3",LEFT(U223,1)="4"),"Wiedervermietung","Schlussabrechnung"))))</f>
        <v/>
      </c>
      <c r="U223" s="16">
        <f>IF($B223="","",IF(AY223&lt;&gt;"","6 · abgeschlossen",IF(AW223&lt;&gt;"","5 · bereit zum Abschluss",IF(AT223&lt;&gt;"","5 · Schlussabrechnung",IF(AO223&lt;&gt;"","4 · Übergabe",IF(AM223&lt;&gt;"","3 · Neuvermietung",IF(M223&lt;&gt;"","2 · Abnahme &amp; Vermarktung","1 · Erfassung")))))))</f>
        <v/>
      </c>
      <c r="V223" s="15" t="n"/>
      <c r="W223" s="20" t="n"/>
      <c r="X223" s="15" t="n"/>
      <c r="Y223" s="15" t="n"/>
      <c r="Z223" s="18" t="n"/>
      <c r="AA223" s="19">
        <f>IF(M223="","",M223-30)</f>
        <v/>
      </c>
      <c r="AB223" s="19">
        <f>IF(ISNUMBER(AJ223),AJ223+3,"")</f>
        <v/>
      </c>
      <c r="AC223" s="18" t="n"/>
      <c r="AD223" s="18" t="n"/>
      <c r="AE223" s="18" t="n"/>
      <c r="AF223" s="18" t="n"/>
      <c r="AG223" s="18" t="n"/>
      <c r="AH223" s="18" t="n"/>
      <c r="AI223" s="18" t="n"/>
      <c r="AJ223" s="18" t="n"/>
      <c r="AK223" s="18" t="n"/>
      <c r="AL223" s="18" t="n"/>
      <c r="AM223" s="18" t="n"/>
      <c r="AN223" s="18" t="n"/>
      <c r="AO223" s="18" t="n"/>
      <c r="AP223" s="18" t="n"/>
      <c r="AQ223" s="18" t="n"/>
      <c r="AR223" s="18" t="n"/>
      <c r="AS223" s="18" t="n"/>
      <c r="AT223" s="18" t="n"/>
      <c r="AU223" s="18" t="n"/>
      <c r="AV223" s="18" t="n"/>
      <c r="AW223" s="18" t="n"/>
      <c r="AX223" s="18" t="n"/>
      <c r="AY223" s="18" t="n"/>
      <c r="AZ223" s="15" t="n"/>
    </row>
    <row r="224">
      <c r="A224" s="15" t="n"/>
      <c r="B224" s="15" t="n"/>
      <c r="C224" s="15" t="n"/>
      <c r="D224" s="15" t="n"/>
      <c r="E224" s="15" t="n"/>
      <c r="F224" s="15" t="n"/>
      <c r="G224" s="16">
        <f>IF(F224="","",IFERROR(INDEX(Stammdaten!$B$5:$B$24,MATCH(F224,Stammdaten!$A$5:$A$24,0)),"unbekannt"))</f>
        <v/>
      </c>
      <c r="H224" s="16">
        <f>IF($B224="","",IF(AY224&lt;&gt;"","abgeschlossen",IF(AND(ISNUMBER(AX224),AX224&gt;=TODAY()),"zurückgestellt",IF(OR(AND(ISNUMBER(AA224),AA224&lt;TODAY(),Z224="",AJ224=""),AND(ISNUMBER(Z224),Z224&lt;TODAY(),AJ224=""),AND(ISNUMBER(AB224),AB224&lt;TODAY(),AK224=""),AND(ISNUMBER(AC224),AC224&lt;TODAY(),AO224=""),AND(ISNUMBER(AD224),AD224&lt;TODAY(),AQ224="")),"überfällig","offen"))))</f>
        <v/>
      </c>
      <c r="I224" s="16">
        <f>IF($B224="","",IF(AY224&lt;&gt;"","—",IF(AND(ISNUMBER(AA224),AA224&lt;TODAY(),Z224="",AJ224=""),"Abnahmetermin vereinbaren – Sollfrist verstrichen",IF(AND(ISNUMBER(Z224),Z224&lt;TODAY(),AJ224=""),"Wohnungsabnahme nachtragen – Termin war fällig",IF(AND(ISNUMBER(AB224),AB224&lt;TODAY(),AK224=""),"Handwerker aufbieten – Frist verstrichen",IF(AND(ISNUMBER(AC224),AC224&lt;TODAY(),AO224=""),"Vertrag retour mahnen – Frist verstrichen",IF(AND(ISNUMBER(AD224),AD224&lt;TODAY(),AQ224=""),"Schlüsselübergabe nachtragen – Termin war fällig",IF(M224="","Haftungsdatum erfassen",IF(E224="","ex-Mieter erfassen",IF(AE224="","Kündigung bestätigen / G-Rem",IF(AF224="","Werke / EGT melden",IF(AG224="","Vorbesichtigung (oder n.e.)",IF(AH224="","VMZ aktualisieren",IF(AI224="","Inserat aufschalten",IF(AND(Z224="",AJ224=""),"Abnahmetermin vereinbaren",IF(AJ224="","Wohnungsabnahme durchführen",IF(AK224="","Handwerker aufbieten",IF(AL224="","Zustimmungserklärung einholen",IF(AM224="","Instandstellungen beauftragen",IF(R224="","Nachmieter erfassen",IF(AN224="","Vertrag versenden",IF(AO224="","Vertrag retour erfassen",IF(S224="","Vermietet per erfassen",IF(AP224="","Werke / EGT über Einzug informieren",IF(AND(AD224="",AQ224=""),"Schlüsselübergabe terminieren",IF(AQ224="","Schlüsselübergabe durchführen",IF(AR224="","Reinigung veranlassen",IF(AS224="","Namensschilder bestellen",IF(AT224="","Kaution prüfen / G-Rem mutieren",IF(AU224="","Instandstellungs-Rechnung erfassen",IF(AV224="","Schlussabrechnung erstellen",IF(AW224="","Zahlungseingang kontrollieren","Fall abschliessen"))))))))))))))))))))))))))))))))</f>
        <v/>
      </c>
      <c r="J224" s="17">
        <f>IF(M224="","",IF(S224&lt;&gt;"",MAX(0,S224-M224-1),MAX(0,TODAY()-M224)))</f>
        <v/>
      </c>
      <c r="K224" s="16">
        <f>IF($B224="","",TRIM(IF(AND(L224&lt;&gt;"",M224&lt;&gt;"",M224&lt;L224),"Haftungsdatum vor Kündigung. ","")&amp;IF(AND(S224&lt;&gt;"",M224&lt;&gt;"",S224&lt;M224),"Vermietung vor Leerstandsbeginn. ","")&amp;IF(AND(Z224&lt;&gt;"",L224&lt;&gt;"",Z224&lt;L224),"WA-Termin vor Kündigung. ","")&amp;IF(COUNTIFS($B$5:$B$404,$B224,$AY$5:$AY$404,"")&gt;1,"Zweiter offener Fall zum selben Objekt. ","")&amp;IF(AND($A224&lt;&gt;"",COUNTIFS($A$5:$A$404,$A224)&gt;1),"Fall-Nr. doppelt vergeben. ","")&amp;IF(E224="","ex-Mieter fehlt. ","")&amp;IF(M224="","Haftungsdatum fehlt. ","")&amp;IF(F224="","Bewirtschafter fehlt. ","")&amp;IF(AND(AY224&lt;&gt;"",AW224=""),"Abgeschlossen trotz offener Schlussabrechnung. ","")&amp;IF(AND(AY224="",S224="",ISNUMBER(J224),J224&gt;60),"Langläufer über 60 Tage. ","")))</f>
        <v/>
      </c>
      <c r="L224" s="18" t="n"/>
      <c r="M224" s="18" t="n"/>
      <c r="N224" s="19">
        <f>IF(M224="","",M224+1)</f>
        <v/>
      </c>
      <c r="O224" s="17">
        <f>IF(OR(L224="",M224=""),"",M224-L224)</f>
        <v/>
      </c>
      <c r="P224" s="16">
        <f>IF(M224="","",YEAR(M224+1)&amp;"-"&amp;TEXT(MONTH(M224+1),"00"))</f>
        <v/>
      </c>
      <c r="Q224" s="18" t="n"/>
      <c r="R224" s="15" t="n"/>
      <c r="S224" s="18" t="n"/>
      <c r="T224" s="16">
        <f>IF(U224="","",IF(LEFT(U224,1)="6","abgeschlossen",IF(OR(LEFT(U224,1)="1",LEFT(U224,1)="2"),"Kündigung &amp; Abnahme",IF(OR(LEFT(U224,1)="3",LEFT(U224,1)="4"),"Wiedervermietung","Schlussabrechnung"))))</f>
        <v/>
      </c>
      <c r="U224" s="16">
        <f>IF($B224="","",IF(AY224&lt;&gt;"","6 · abgeschlossen",IF(AW224&lt;&gt;"","5 · bereit zum Abschluss",IF(AT224&lt;&gt;"","5 · Schlussabrechnung",IF(AO224&lt;&gt;"","4 · Übergabe",IF(AM224&lt;&gt;"","3 · Neuvermietung",IF(M224&lt;&gt;"","2 · Abnahme &amp; Vermarktung","1 · Erfassung")))))))</f>
        <v/>
      </c>
      <c r="V224" s="15" t="n"/>
      <c r="W224" s="20" t="n"/>
      <c r="X224" s="15" t="n"/>
      <c r="Y224" s="15" t="n"/>
      <c r="Z224" s="18" t="n"/>
      <c r="AA224" s="19">
        <f>IF(M224="","",M224-30)</f>
        <v/>
      </c>
      <c r="AB224" s="19">
        <f>IF(ISNUMBER(AJ224),AJ224+3,"")</f>
        <v/>
      </c>
      <c r="AC224" s="18" t="n"/>
      <c r="AD224" s="18" t="n"/>
      <c r="AE224" s="18" t="n"/>
      <c r="AF224" s="18" t="n"/>
      <c r="AG224" s="18" t="n"/>
      <c r="AH224" s="18" t="n"/>
      <c r="AI224" s="18" t="n"/>
      <c r="AJ224" s="18" t="n"/>
      <c r="AK224" s="18" t="n"/>
      <c r="AL224" s="18" t="n"/>
      <c r="AM224" s="18" t="n"/>
      <c r="AN224" s="18" t="n"/>
      <c r="AO224" s="18" t="n"/>
      <c r="AP224" s="18" t="n"/>
      <c r="AQ224" s="18" t="n"/>
      <c r="AR224" s="18" t="n"/>
      <c r="AS224" s="18" t="n"/>
      <c r="AT224" s="18" t="n"/>
      <c r="AU224" s="18" t="n"/>
      <c r="AV224" s="18" t="n"/>
      <c r="AW224" s="18" t="n"/>
      <c r="AX224" s="18" t="n"/>
      <c r="AY224" s="18" t="n"/>
      <c r="AZ224" s="15" t="n"/>
    </row>
    <row r="225">
      <c r="A225" s="15" t="n"/>
      <c r="B225" s="15" t="n"/>
      <c r="C225" s="15" t="n"/>
      <c r="D225" s="15" t="n"/>
      <c r="E225" s="15" t="n"/>
      <c r="F225" s="15" t="n"/>
      <c r="G225" s="16">
        <f>IF(F225="","",IFERROR(INDEX(Stammdaten!$B$5:$B$24,MATCH(F225,Stammdaten!$A$5:$A$24,0)),"unbekannt"))</f>
        <v/>
      </c>
      <c r="H225" s="16">
        <f>IF($B225="","",IF(AY225&lt;&gt;"","abgeschlossen",IF(AND(ISNUMBER(AX225),AX225&gt;=TODAY()),"zurückgestellt",IF(OR(AND(ISNUMBER(AA225),AA225&lt;TODAY(),Z225="",AJ225=""),AND(ISNUMBER(Z225),Z225&lt;TODAY(),AJ225=""),AND(ISNUMBER(AB225),AB225&lt;TODAY(),AK225=""),AND(ISNUMBER(AC225),AC225&lt;TODAY(),AO225=""),AND(ISNUMBER(AD225),AD225&lt;TODAY(),AQ225="")),"überfällig","offen"))))</f>
        <v/>
      </c>
      <c r="I225" s="16">
        <f>IF($B225="","",IF(AY225&lt;&gt;"","—",IF(AND(ISNUMBER(AA225),AA225&lt;TODAY(),Z225="",AJ225=""),"Abnahmetermin vereinbaren – Sollfrist verstrichen",IF(AND(ISNUMBER(Z225),Z225&lt;TODAY(),AJ225=""),"Wohnungsabnahme nachtragen – Termin war fällig",IF(AND(ISNUMBER(AB225),AB225&lt;TODAY(),AK225=""),"Handwerker aufbieten – Frist verstrichen",IF(AND(ISNUMBER(AC225),AC225&lt;TODAY(),AO225=""),"Vertrag retour mahnen – Frist verstrichen",IF(AND(ISNUMBER(AD225),AD225&lt;TODAY(),AQ225=""),"Schlüsselübergabe nachtragen – Termin war fällig",IF(M225="","Haftungsdatum erfassen",IF(E225="","ex-Mieter erfassen",IF(AE225="","Kündigung bestätigen / G-Rem",IF(AF225="","Werke / EGT melden",IF(AG225="","Vorbesichtigung (oder n.e.)",IF(AH225="","VMZ aktualisieren",IF(AI225="","Inserat aufschalten",IF(AND(Z225="",AJ225=""),"Abnahmetermin vereinbaren",IF(AJ225="","Wohnungsabnahme durchführen",IF(AK225="","Handwerker aufbieten",IF(AL225="","Zustimmungserklärung einholen",IF(AM225="","Instandstellungen beauftragen",IF(R225="","Nachmieter erfassen",IF(AN225="","Vertrag versenden",IF(AO225="","Vertrag retour erfassen",IF(S225="","Vermietet per erfassen",IF(AP225="","Werke / EGT über Einzug informieren",IF(AND(AD225="",AQ225=""),"Schlüsselübergabe terminieren",IF(AQ225="","Schlüsselübergabe durchführen",IF(AR225="","Reinigung veranlassen",IF(AS225="","Namensschilder bestellen",IF(AT225="","Kaution prüfen / G-Rem mutieren",IF(AU225="","Instandstellungs-Rechnung erfassen",IF(AV225="","Schlussabrechnung erstellen",IF(AW225="","Zahlungseingang kontrollieren","Fall abschliessen"))))))))))))))))))))))))))))))))</f>
        <v/>
      </c>
      <c r="J225" s="17">
        <f>IF(M225="","",IF(S225&lt;&gt;"",MAX(0,S225-M225-1),MAX(0,TODAY()-M225)))</f>
        <v/>
      </c>
      <c r="K225" s="16">
        <f>IF($B225="","",TRIM(IF(AND(L225&lt;&gt;"",M225&lt;&gt;"",M225&lt;L225),"Haftungsdatum vor Kündigung. ","")&amp;IF(AND(S225&lt;&gt;"",M225&lt;&gt;"",S225&lt;M225),"Vermietung vor Leerstandsbeginn. ","")&amp;IF(AND(Z225&lt;&gt;"",L225&lt;&gt;"",Z225&lt;L225),"WA-Termin vor Kündigung. ","")&amp;IF(COUNTIFS($B$5:$B$404,$B225,$AY$5:$AY$404,"")&gt;1,"Zweiter offener Fall zum selben Objekt. ","")&amp;IF(AND($A225&lt;&gt;"",COUNTIFS($A$5:$A$404,$A225)&gt;1),"Fall-Nr. doppelt vergeben. ","")&amp;IF(E225="","ex-Mieter fehlt. ","")&amp;IF(M225="","Haftungsdatum fehlt. ","")&amp;IF(F225="","Bewirtschafter fehlt. ","")&amp;IF(AND(AY225&lt;&gt;"",AW225=""),"Abgeschlossen trotz offener Schlussabrechnung. ","")&amp;IF(AND(AY225="",S225="",ISNUMBER(J225),J225&gt;60),"Langläufer über 60 Tage. ","")))</f>
        <v/>
      </c>
      <c r="L225" s="18" t="n"/>
      <c r="M225" s="18" t="n"/>
      <c r="N225" s="19">
        <f>IF(M225="","",M225+1)</f>
        <v/>
      </c>
      <c r="O225" s="17">
        <f>IF(OR(L225="",M225=""),"",M225-L225)</f>
        <v/>
      </c>
      <c r="P225" s="16">
        <f>IF(M225="","",YEAR(M225+1)&amp;"-"&amp;TEXT(MONTH(M225+1),"00"))</f>
        <v/>
      </c>
      <c r="Q225" s="18" t="n"/>
      <c r="R225" s="15" t="n"/>
      <c r="S225" s="18" t="n"/>
      <c r="T225" s="16">
        <f>IF(U225="","",IF(LEFT(U225,1)="6","abgeschlossen",IF(OR(LEFT(U225,1)="1",LEFT(U225,1)="2"),"Kündigung &amp; Abnahme",IF(OR(LEFT(U225,1)="3",LEFT(U225,1)="4"),"Wiedervermietung","Schlussabrechnung"))))</f>
        <v/>
      </c>
      <c r="U225" s="16">
        <f>IF($B225="","",IF(AY225&lt;&gt;"","6 · abgeschlossen",IF(AW225&lt;&gt;"","5 · bereit zum Abschluss",IF(AT225&lt;&gt;"","5 · Schlussabrechnung",IF(AO225&lt;&gt;"","4 · Übergabe",IF(AM225&lt;&gt;"","3 · Neuvermietung",IF(M225&lt;&gt;"","2 · Abnahme &amp; Vermarktung","1 · Erfassung")))))))</f>
        <v/>
      </c>
      <c r="V225" s="15" t="n"/>
      <c r="W225" s="20" t="n"/>
      <c r="X225" s="15" t="n"/>
      <c r="Y225" s="15" t="n"/>
      <c r="Z225" s="18" t="n"/>
      <c r="AA225" s="19">
        <f>IF(M225="","",M225-30)</f>
        <v/>
      </c>
      <c r="AB225" s="19">
        <f>IF(ISNUMBER(AJ225),AJ225+3,"")</f>
        <v/>
      </c>
      <c r="AC225" s="18" t="n"/>
      <c r="AD225" s="18" t="n"/>
      <c r="AE225" s="18" t="n"/>
      <c r="AF225" s="18" t="n"/>
      <c r="AG225" s="18" t="n"/>
      <c r="AH225" s="18" t="n"/>
      <c r="AI225" s="18" t="n"/>
      <c r="AJ225" s="18" t="n"/>
      <c r="AK225" s="18" t="n"/>
      <c r="AL225" s="18" t="n"/>
      <c r="AM225" s="18" t="n"/>
      <c r="AN225" s="18" t="n"/>
      <c r="AO225" s="18" t="n"/>
      <c r="AP225" s="18" t="n"/>
      <c r="AQ225" s="18" t="n"/>
      <c r="AR225" s="18" t="n"/>
      <c r="AS225" s="18" t="n"/>
      <c r="AT225" s="18" t="n"/>
      <c r="AU225" s="18" t="n"/>
      <c r="AV225" s="18" t="n"/>
      <c r="AW225" s="18" t="n"/>
      <c r="AX225" s="18" t="n"/>
      <c r="AY225" s="18" t="n"/>
      <c r="AZ225" s="15" t="n"/>
    </row>
    <row r="226">
      <c r="A226" s="15" t="n"/>
      <c r="B226" s="15" t="n"/>
      <c r="C226" s="15" t="n"/>
      <c r="D226" s="15" t="n"/>
      <c r="E226" s="15" t="n"/>
      <c r="F226" s="15" t="n"/>
      <c r="G226" s="16">
        <f>IF(F226="","",IFERROR(INDEX(Stammdaten!$B$5:$B$24,MATCH(F226,Stammdaten!$A$5:$A$24,0)),"unbekannt"))</f>
        <v/>
      </c>
      <c r="H226" s="16">
        <f>IF($B226="","",IF(AY226&lt;&gt;"","abgeschlossen",IF(AND(ISNUMBER(AX226),AX226&gt;=TODAY()),"zurückgestellt",IF(OR(AND(ISNUMBER(AA226),AA226&lt;TODAY(),Z226="",AJ226=""),AND(ISNUMBER(Z226),Z226&lt;TODAY(),AJ226=""),AND(ISNUMBER(AB226),AB226&lt;TODAY(),AK226=""),AND(ISNUMBER(AC226),AC226&lt;TODAY(),AO226=""),AND(ISNUMBER(AD226),AD226&lt;TODAY(),AQ226="")),"überfällig","offen"))))</f>
        <v/>
      </c>
      <c r="I226" s="16">
        <f>IF($B226="","",IF(AY226&lt;&gt;"","—",IF(AND(ISNUMBER(AA226),AA226&lt;TODAY(),Z226="",AJ226=""),"Abnahmetermin vereinbaren – Sollfrist verstrichen",IF(AND(ISNUMBER(Z226),Z226&lt;TODAY(),AJ226=""),"Wohnungsabnahme nachtragen – Termin war fällig",IF(AND(ISNUMBER(AB226),AB226&lt;TODAY(),AK226=""),"Handwerker aufbieten – Frist verstrichen",IF(AND(ISNUMBER(AC226),AC226&lt;TODAY(),AO226=""),"Vertrag retour mahnen – Frist verstrichen",IF(AND(ISNUMBER(AD226),AD226&lt;TODAY(),AQ226=""),"Schlüsselübergabe nachtragen – Termin war fällig",IF(M226="","Haftungsdatum erfassen",IF(E226="","ex-Mieter erfassen",IF(AE226="","Kündigung bestätigen / G-Rem",IF(AF226="","Werke / EGT melden",IF(AG226="","Vorbesichtigung (oder n.e.)",IF(AH226="","VMZ aktualisieren",IF(AI226="","Inserat aufschalten",IF(AND(Z226="",AJ226=""),"Abnahmetermin vereinbaren",IF(AJ226="","Wohnungsabnahme durchführen",IF(AK226="","Handwerker aufbieten",IF(AL226="","Zustimmungserklärung einholen",IF(AM226="","Instandstellungen beauftragen",IF(R226="","Nachmieter erfassen",IF(AN226="","Vertrag versenden",IF(AO226="","Vertrag retour erfassen",IF(S226="","Vermietet per erfassen",IF(AP226="","Werke / EGT über Einzug informieren",IF(AND(AD226="",AQ226=""),"Schlüsselübergabe terminieren",IF(AQ226="","Schlüsselübergabe durchführen",IF(AR226="","Reinigung veranlassen",IF(AS226="","Namensschilder bestellen",IF(AT226="","Kaution prüfen / G-Rem mutieren",IF(AU226="","Instandstellungs-Rechnung erfassen",IF(AV226="","Schlussabrechnung erstellen",IF(AW226="","Zahlungseingang kontrollieren","Fall abschliessen"))))))))))))))))))))))))))))))))</f>
        <v/>
      </c>
      <c r="J226" s="17">
        <f>IF(M226="","",IF(S226&lt;&gt;"",MAX(0,S226-M226-1),MAX(0,TODAY()-M226)))</f>
        <v/>
      </c>
      <c r="K226" s="16">
        <f>IF($B226="","",TRIM(IF(AND(L226&lt;&gt;"",M226&lt;&gt;"",M226&lt;L226),"Haftungsdatum vor Kündigung. ","")&amp;IF(AND(S226&lt;&gt;"",M226&lt;&gt;"",S226&lt;M226),"Vermietung vor Leerstandsbeginn. ","")&amp;IF(AND(Z226&lt;&gt;"",L226&lt;&gt;"",Z226&lt;L226),"WA-Termin vor Kündigung. ","")&amp;IF(COUNTIFS($B$5:$B$404,$B226,$AY$5:$AY$404,"")&gt;1,"Zweiter offener Fall zum selben Objekt. ","")&amp;IF(AND($A226&lt;&gt;"",COUNTIFS($A$5:$A$404,$A226)&gt;1),"Fall-Nr. doppelt vergeben. ","")&amp;IF(E226="","ex-Mieter fehlt. ","")&amp;IF(M226="","Haftungsdatum fehlt. ","")&amp;IF(F226="","Bewirtschafter fehlt. ","")&amp;IF(AND(AY226&lt;&gt;"",AW226=""),"Abgeschlossen trotz offener Schlussabrechnung. ","")&amp;IF(AND(AY226="",S226="",ISNUMBER(J226),J226&gt;60),"Langläufer über 60 Tage. ","")))</f>
        <v/>
      </c>
      <c r="L226" s="18" t="n"/>
      <c r="M226" s="18" t="n"/>
      <c r="N226" s="19">
        <f>IF(M226="","",M226+1)</f>
        <v/>
      </c>
      <c r="O226" s="17">
        <f>IF(OR(L226="",M226=""),"",M226-L226)</f>
        <v/>
      </c>
      <c r="P226" s="16">
        <f>IF(M226="","",YEAR(M226+1)&amp;"-"&amp;TEXT(MONTH(M226+1),"00"))</f>
        <v/>
      </c>
      <c r="Q226" s="18" t="n"/>
      <c r="R226" s="15" t="n"/>
      <c r="S226" s="18" t="n"/>
      <c r="T226" s="16">
        <f>IF(U226="","",IF(LEFT(U226,1)="6","abgeschlossen",IF(OR(LEFT(U226,1)="1",LEFT(U226,1)="2"),"Kündigung &amp; Abnahme",IF(OR(LEFT(U226,1)="3",LEFT(U226,1)="4"),"Wiedervermietung","Schlussabrechnung"))))</f>
        <v/>
      </c>
      <c r="U226" s="16">
        <f>IF($B226="","",IF(AY226&lt;&gt;"","6 · abgeschlossen",IF(AW226&lt;&gt;"","5 · bereit zum Abschluss",IF(AT226&lt;&gt;"","5 · Schlussabrechnung",IF(AO226&lt;&gt;"","4 · Übergabe",IF(AM226&lt;&gt;"","3 · Neuvermietung",IF(M226&lt;&gt;"","2 · Abnahme &amp; Vermarktung","1 · Erfassung")))))))</f>
        <v/>
      </c>
      <c r="V226" s="15" t="n"/>
      <c r="W226" s="20" t="n"/>
      <c r="X226" s="15" t="n"/>
      <c r="Y226" s="15" t="n"/>
      <c r="Z226" s="18" t="n"/>
      <c r="AA226" s="19">
        <f>IF(M226="","",M226-30)</f>
        <v/>
      </c>
      <c r="AB226" s="19">
        <f>IF(ISNUMBER(AJ226),AJ226+3,"")</f>
        <v/>
      </c>
      <c r="AC226" s="18" t="n"/>
      <c r="AD226" s="18" t="n"/>
      <c r="AE226" s="18" t="n"/>
      <c r="AF226" s="18" t="n"/>
      <c r="AG226" s="18" t="n"/>
      <c r="AH226" s="18" t="n"/>
      <c r="AI226" s="18" t="n"/>
      <c r="AJ226" s="18" t="n"/>
      <c r="AK226" s="18" t="n"/>
      <c r="AL226" s="18" t="n"/>
      <c r="AM226" s="18" t="n"/>
      <c r="AN226" s="18" t="n"/>
      <c r="AO226" s="18" t="n"/>
      <c r="AP226" s="18" t="n"/>
      <c r="AQ226" s="18" t="n"/>
      <c r="AR226" s="18" t="n"/>
      <c r="AS226" s="18" t="n"/>
      <c r="AT226" s="18" t="n"/>
      <c r="AU226" s="18" t="n"/>
      <c r="AV226" s="18" t="n"/>
      <c r="AW226" s="18" t="n"/>
      <c r="AX226" s="18" t="n"/>
      <c r="AY226" s="18" t="n"/>
      <c r="AZ226" s="15" t="n"/>
    </row>
    <row r="227">
      <c r="A227" s="15" t="n"/>
      <c r="B227" s="15" t="n"/>
      <c r="C227" s="15" t="n"/>
      <c r="D227" s="15" t="n"/>
      <c r="E227" s="15" t="n"/>
      <c r="F227" s="15" t="n"/>
      <c r="G227" s="16">
        <f>IF(F227="","",IFERROR(INDEX(Stammdaten!$B$5:$B$24,MATCH(F227,Stammdaten!$A$5:$A$24,0)),"unbekannt"))</f>
        <v/>
      </c>
      <c r="H227" s="16">
        <f>IF($B227="","",IF(AY227&lt;&gt;"","abgeschlossen",IF(AND(ISNUMBER(AX227),AX227&gt;=TODAY()),"zurückgestellt",IF(OR(AND(ISNUMBER(AA227),AA227&lt;TODAY(),Z227="",AJ227=""),AND(ISNUMBER(Z227),Z227&lt;TODAY(),AJ227=""),AND(ISNUMBER(AB227),AB227&lt;TODAY(),AK227=""),AND(ISNUMBER(AC227),AC227&lt;TODAY(),AO227=""),AND(ISNUMBER(AD227),AD227&lt;TODAY(),AQ227="")),"überfällig","offen"))))</f>
        <v/>
      </c>
      <c r="I227" s="16">
        <f>IF($B227="","",IF(AY227&lt;&gt;"","—",IF(AND(ISNUMBER(AA227),AA227&lt;TODAY(),Z227="",AJ227=""),"Abnahmetermin vereinbaren – Sollfrist verstrichen",IF(AND(ISNUMBER(Z227),Z227&lt;TODAY(),AJ227=""),"Wohnungsabnahme nachtragen – Termin war fällig",IF(AND(ISNUMBER(AB227),AB227&lt;TODAY(),AK227=""),"Handwerker aufbieten – Frist verstrichen",IF(AND(ISNUMBER(AC227),AC227&lt;TODAY(),AO227=""),"Vertrag retour mahnen – Frist verstrichen",IF(AND(ISNUMBER(AD227),AD227&lt;TODAY(),AQ227=""),"Schlüsselübergabe nachtragen – Termin war fällig",IF(M227="","Haftungsdatum erfassen",IF(E227="","ex-Mieter erfassen",IF(AE227="","Kündigung bestätigen / G-Rem",IF(AF227="","Werke / EGT melden",IF(AG227="","Vorbesichtigung (oder n.e.)",IF(AH227="","VMZ aktualisieren",IF(AI227="","Inserat aufschalten",IF(AND(Z227="",AJ227=""),"Abnahmetermin vereinbaren",IF(AJ227="","Wohnungsabnahme durchführen",IF(AK227="","Handwerker aufbieten",IF(AL227="","Zustimmungserklärung einholen",IF(AM227="","Instandstellungen beauftragen",IF(R227="","Nachmieter erfassen",IF(AN227="","Vertrag versenden",IF(AO227="","Vertrag retour erfassen",IF(S227="","Vermietet per erfassen",IF(AP227="","Werke / EGT über Einzug informieren",IF(AND(AD227="",AQ227=""),"Schlüsselübergabe terminieren",IF(AQ227="","Schlüsselübergabe durchführen",IF(AR227="","Reinigung veranlassen",IF(AS227="","Namensschilder bestellen",IF(AT227="","Kaution prüfen / G-Rem mutieren",IF(AU227="","Instandstellungs-Rechnung erfassen",IF(AV227="","Schlussabrechnung erstellen",IF(AW227="","Zahlungseingang kontrollieren","Fall abschliessen"))))))))))))))))))))))))))))))))</f>
        <v/>
      </c>
      <c r="J227" s="17">
        <f>IF(M227="","",IF(S227&lt;&gt;"",MAX(0,S227-M227-1),MAX(0,TODAY()-M227)))</f>
        <v/>
      </c>
      <c r="K227" s="16">
        <f>IF($B227="","",TRIM(IF(AND(L227&lt;&gt;"",M227&lt;&gt;"",M227&lt;L227),"Haftungsdatum vor Kündigung. ","")&amp;IF(AND(S227&lt;&gt;"",M227&lt;&gt;"",S227&lt;M227),"Vermietung vor Leerstandsbeginn. ","")&amp;IF(AND(Z227&lt;&gt;"",L227&lt;&gt;"",Z227&lt;L227),"WA-Termin vor Kündigung. ","")&amp;IF(COUNTIFS($B$5:$B$404,$B227,$AY$5:$AY$404,"")&gt;1,"Zweiter offener Fall zum selben Objekt. ","")&amp;IF(AND($A227&lt;&gt;"",COUNTIFS($A$5:$A$404,$A227)&gt;1),"Fall-Nr. doppelt vergeben. ","")&amp;IF(E227="","ex-Mieter fehlt. ","")&amp;IF(M227="","Haftungsdatum fehlt. ","")&amp;IF(F227="","Bewirtschafter fehlt. ","")&amp;IF(AND(AY227&lt;&gt;"",AW227=""),"Abgeschlossen trotz offener Schlussabrechnung. ","")&amp;IF(AND(AY227="",S227="",ISNUMBER(J227),J227&gt;60),"Langläufer über 60 Tage. ","")))</f>
        <v/>
      </c>
      <c r="L227" s="18" t="n"/>
      <c r="M227" s="18" t="n"/>
      <c r="N227" s="19">
        <f>IF(M227="","",M227+1)</f>
        <v/>
      </c>
      <c r="O227" s="17">
        <f>IF(OR(L227="",M227=""),"",M227-L227)</f>
        <v/>
      </c>
      <c r="P227" s="16">
        <f>IF(M227="","",YEAR(M227+1)&amp;"-"&amp;TEXT(MONTH(M227+1),"00"))</f>
        <v/>
      </c>
      <c r="Q227" s="18" t="n"/>
      <c r="R227" s="15" t="n"/>
      <c r="S227" s="18" t="n"/>
      <c r="T227" s="16">
        <f>IF(U227="","",IF(LEFT(U227,1)="6","abgeschlossen",IF(OR(LEFT(U227,1)="1",LEFT(U227,1)="2"),"Kündigung &amp; Abnahme",IF(OR(LEFT(U227,1)="3",LEFT(U227,1)="4"),"Wiedervermietung","Schlussabrechnung"))))</f>
        <v/>
      </c>
      <c r="U227" s="16">
        <f>IF($B227="","",IF(AY227&lt;&gt;"","6 · abgeschlossen",IF(AW227&lt;&gt;"","5 · bereit zum Abschluss",IF(AT227&lt;&gt;"","5 · Schlussabrechnung",IF(AO227&lt;&gt;"","4 · Übergabe",IF(AM227&lt;&gt;"","3 · Neuvermietung",IF(M227&lt;&gt;"","2 · Abnahme &amp; Vermarktung","1 · Erfassung")))))))</f>
        <v/>
      </c>
      <c r="V227" s="15" t="n"/>
      <c r="W227" s="20" t="n"/>
      <c r="X227" s="15" t="n"/>
      <c r="Y227" s="15" t="n"/>
      <c r="Z227" s="18" t="n"/>
      <c r="AA227" s="19">
        <f>IF(M227="","",M227-30)</f>
        <v/>
      </c>
      <c r="AB227" s="19">
        <f>IF(ISNUMBER(AJ227),AJ227+3,"")</f>
        <v/>
      </c>
      <c r="AC227" s="18" t="n"/>
      <c r="AD227" s="18" t="n"/>
      <c r="AE227" s="18" t="n"/>
      <c r="AF227" s="18" t="n"/>
      <c r="AG227" s="18" t="n"/>
      <c r="AH227" s="18" t="n"/>
      <c r="AI227" s="18" t="n"/>
      <c r="AJ227" s="18" t="n"/>
      <c r="AK227" s="18" t="n"/>
      <c r="AL227" s="18" t="n"/>
      <c r="AM227" s="18" t="n"/>
      <c r="AN227" s="18" t="n"/>
      <c r="AO227" s="18" t="n"/>
      <c r="AP227" s="18" t="n"/>
      <c r="AQ227" s="18" t="n"/>
      <c r="AR227" s="18" t="n"/>
      <c r="AS227" s="18" t="n"/>
      <c r="AT227" s="18" t="n"/>
      <c r="AU227" s="18" t="n"/>
      <c r="AV227" s="18" t="n"/>
      <c r="AW227" s="18" t="n"/>
      <c r="AX227" s="18" t="n"/>
      <c r="AY227" s="18" t="n"/>
      <c r="AZ227" s="15" t="n"/>
    </row>
    <row r="228">
      <c r="A228" s="15" t="n"/>
      <c r="B228" s="15" t="n"/>
      <c r="C228" s="15" t="n"/>
      <c r="D228" s="15" t="n"/>
      <c r="E228" s="15" t="n"/>
      <c r="F228" s="15" t="n"/>
      <c r="G228" s="16">
        <f>IF(F228="","",IFERROR(INDEX(Stammdaten!$B$5:$B$24,MATCH(F228,Stammdaten!$A$5:$A$24,0)),"unbekannt"))</f>
        <v/>
      </c>
      <c r="H228" s="16">
        <f>IF($B228="","",IF(AY228&lt;&gt;"","abgeschlossen",IF(AND(ISNUMBER(AX228),AX228&gt;=TODAY()),"zurückgestellt",IF(OR(AND(ISNUMBER(AA228),AA228&lt;TODAY(),Z228="",AJ228=""),AND(ISNUMBER(Z228),Z228&lt;TODAY(),AJ228=""),AND(ISNUMBER(AB228),AB228&lt;TODAY(),AK228=""),AND(ISNUMBER(AC228),AC228&lt;TODAY(),AO228=""),AND(ISNUMBER(AD228),AD228&lt;TODAY(),AQ228="")),"überfällig","offen"))))</f>
        <v/>
      </c>
      <c r="I228" s="16">
        <f>IF($B228="","",IF(AY228&lt;&gt;"","—",IF(AND(ISNUMBER(AA228),AA228&lt;TODAY(),Z228="",AJ228=""),"Abnahmetermin vereinbaren – Sollfrist verstrichen",IF(AND(ISNUMBER(Z228),Z228&lt;TODAY(),AJ228=""),"Wohnungsabnahme nachtragen – Termin war fällig",IF(AND(ISNUMBER(AB228),AB228&lt;TODAY(),AK228=""),"Handwerker aufbieten – Frist verstrichen",IF(AND(ISNUMBER(AC228),AC228&lt;TODAY(),AO228=""),"Vertrag retour mahnen – Frist verstrichen",IF(AND(ISNUMBER(AD228),AD228&lt;TODAY(),AQ228=""),"Schlüsselübergabe nachtragen – Termin war fällig",IF(M228="","Haftungsdatum erfassen",IF(E228="","ex-Mieter erfassen",IF(AE228="","Kündigung bestätigen / G-Rem",IF(AF228="","Werke / EGT melden",IF(AG228="","Vorbesichtigung (oder n.e.)",IF(AH228="","VMZ aktualisieren",IF(AI228="","Inserat aufschalten",IF(AND(Z228="",AJ228=""),"Abnahmetermin vereinbaren",IF(AJ228="","Wohnungsabnahme durchführen",IF(AK228="","Handwerker aufbieten",IF(AL228="","Zustimmungserklärung einholen",IF(AM228="","Instandstellungen beauftragen",IF(R228="","Nachmieter erfassen",IF(AN228="","Vertrag versenden",IF(AO228="","Vertrag retour erfassen",IF(S228="","Vermietet per erfassen",IF(AP228="","Werke / EGT über Einzug informieren",IF(AND(AD228="",AQ228=""),"Schlüsselübergabe terminieren",IF(AQ228="","Schlüsselübergabe durchführen",IF(AR228="","Reinigung veranlassen",IF(AS228="","Namensschilder bestellen",IF(AT228="","Kaution prüfen / G-Rem mutieren",IF(AU228="","Instandstellungs-Rechnung erfassen",IF(AV228="","Schlussabrechnung erstellen",IF(AW228="","Zahlungseingang kontrollieren","Fall abschliessen"))))))))))))))))))))))))))))))))</f>
        <v/>
      </c>
      <c r="J228" s="17">
        <f>IF(M228="","",IF(S228&lt;&gt;"",MAX(0,S228-M228-1),MAX(0,TODAY()-M228)))</f>
        <v/>
      </c>
      <c r="K228" s="16">
        <f>IF($B228="","",TRIM(IF(AND(L228&lt;&gt;"",M228&lt;&gt;"",M228&lt;L228),"Haftungsdatum vor Kündigung. ","")&amp;IF(AND(S228&lt;&gt;"",M228&lt;&gt;"",S228&lt;M228),"Vermietung vor Leerstandsbeginn. ","")&amp;IF(AND(Z228&lt;&gt;"",L228&lt;&gt;"",Z228&lt;L228),"WA-Termin vor Kündigung. ","")&amp;IF(COUNTIFS($B$5:$B$404,$B228,$AY$5:$AY$404,"")&gt;1,"Zweiter offener Fall zum selben Objekt. ","")&amp;IF(AND($A228&lt;&gt;"",COUNTIFS($A$5:$A$404,$A228)&gt;1),"Fall-Nr. doppelt vergeben. ","")&amp;IF(E228="","ex-Mieter fehlt. ","")&amp;IF(M228="","Haftungsdatum fehlt. ","")&amp;IF(F228="","Bewirtschafter fehlt. ","")&amp;IF(AND(AY228&lt;&gt;"",AW228=""),"Abgeschlossen trotz offener Schlussabrechnung. ","")&amp;IF(AND(AY228="",S228="",ISNUMBER(J228),J228&gt;60),"Langläufer über 60 Tage. ","")))</f>
        <v/>
      </c>
      <c r="L228" s="18" t="n"/>
      <c r="M228" s="18" t="n"/>
      <c r="N228" s="19">
        <f>IF(M228="","",M228+1)</f>
        <v/>
      </c>
      <c r="O228" s="17">
        <f>IF(OR(L228="",M228=""),"",M228-L228)</f>
        <v/>
      </c>
      <c r="P228" s="16">
        <f>IF(M228="","",YEAR(M228+1)&amp;"-"&amp;TEXT(MONTH(M228+1),"00"))</f>
        <v/>
      </c>
      <c r="Q228" s="18" t="n"/>
      <c r="R228" s="15" t="n"/>
      <c r="S228" s="18" t="n"/>
      <c r="T228" s="16">
        <f>IF(U228="","",IF(LEFT(U228,1)="6","abgeschlossen",IF(OR(LEFT(U228,1)="1",LEFT(U228,1)="2"),"Kündigung &amp; Abnahme",IF(OR(LEFT(U228,1)="3",LEFT(U228,1)="4"),"Wiedervermietung","Schlussabrechnung"))))</f>
        <v/>
      </c>
      <c r="U228" s="16">
        <f>IF($B228="","",IF(AY228&lt;&gt;"","6 · abgeschlossen",IF(AW228&lt;&gt;"","5 · bereit zum Abschluss",IF(AT228&lt;&gt;"","5 · Schlussabrechnung",IF(AO228&lt;&gt;"","4 · Übergabe",IF(AM228&lt;&gt;"","3 · Neuvermietung",IF(M228&lt;&gt;"","2 · Abnahme &amp; Vermarktung","1 · Erfassung")))))))</f>
        <v/>
      </c>
      <c r="V228" s="15" t="n"/>
      <c r="W228" s="20" t="n"/>
      <c r="X228" s="15" t="n"/>
      <c r="Y228" s="15" t="n"/>
      <c r="Z228" s="18" t="n"/>
      <c r="AA228" s="19">
        <f>IF(M228="","",M228-30)</f>
        <v/>
      </c>
      <c r="AB228" s="19">
        <f>IF(ISNUMBER(AJ228),AJ228+3,"")</f>
        <v/>
      </c>
      <c r="AC228" s="18" t="n"/>
      <c r="AD228" s="18" t="n"/>
      <c r="AE228" s="18" t="n"/>
      <c r="AF228" s="18" t="n"/>
      <c r="AG228" s="18" t="n"/>
      <c r="AH228" s="18" t="n"/>
      <c r="AI228" s="18" t="n"/>
      <c r="AJ228" s="18" t="n"/>
      <c r="AK228" s="18" t="n"/>
      <c r="AL228" s="18" t="n"/>
      <c r="AM228" s="18" t="n"/>
      <c r="AN228" s="18" t="n"/>
      <c r="AO228" s="18" t="n"/>
      <c r="AP228" s="18" t="n"/>
      <c r="AQ228" s="18" t="n"/>
      <c r="AR228" s="18" t="n"/>
      <c r="AS228" s="18" t="n"/>
      <c r="AT228" s="18" t="n"/>
      <c r="AU228" s="18" t="n"/>
      <c r="AV228" s="18" t="n"/>
      <c r="AW228" s="18" t="n"/>
      <c r="AX228" s="18" t="n"/>
      <c r="AY228" s="18" t="n"/>
      <c r="AZ228" s="15" t="n"/>
    </row>
    <row r="229">
      <c r="A229" s="15" t="n"/>
      <c r="B229" s="15" t="n"/>
      <c r="C229" s="15" t="n"/>
      <c r="D229" s="15" t="n"/>
      <c r="E229" s="15" t="n"/>
      <c r="F229" s="15" t="n"/>
      <c r="G229" s="16">
        <f>IF(F229="","",IFERROR(INDEX(Stammdaten!$B$5:$B$24,MATCH(F229,Stammdaten!$A$5:$A$24,0)),"unbekannt"))</f>
        <v/>
      </c>
      <c r="H229" s="16">
        <f>IF($B229="","",IF(AY229&lt;&gt;"","abgeschlossen",IF(AND(ISNUMBER(AX229),AX229&gt;=TODAY()),"zurückgestellt",IF(OR(AND(ISNUMBER(AA229),AA229&lt;TODAY(),Z229="",AJ229=""),AND(ISNUMBER(Z229),Z229&lt;TODAY(),AJ229=""),AND(ISNUMBER(AB229),AB229&lt;TODAY(),AK229=""),AND(ISNUMBER(AC229),AC229&lt;TODAY(),AO229=""),AND(ISNUMBER(AD229),AD229&lt;TODAY(),AQ229="")),"überfällig","offen"))))</f>
        <v/>
      </c>
      <c r="I229" s="16">
        <f>IF($B229="","",IF(AY229&lt;&gt;"","—",IF(AND(ISNUMBER(AA229),AA229&lt;TODAY(),Z229="",AJ229=""),"Abnahmetermin vereinbaren – Sollfrist verstrichen",IF(AND(ISNUMBER(Z229),Z229&lt;TODAY(),AJ229=""),"Wohnungsabnahme nachtragen – Termin war fällig",IF(AND(ISNUMBER(AB229),AB229&lt;TODAY(),AK229=""),"Handwerker aufbieten – Frist verstrichen",IF(AND(ISNUMBER(AC229),AC229&lt;TODAY(),AO229=""),"Vertrag retour mahnen – Frist verstrichen",IF(AND(ISNUMBER(AD229),AD229&lt;TODAY(),AQ229=""),"Schlüsselübergabe nachtragen – Termin war fällig",IF(M229="","Haftungsdatum erfassen",IF(E229="","ex-Mieter erfassen",IF(AE229="","Kündigung bestätigen / G-Rem",IF(AF229="","Werke / EGT melden",IF(AG229="","Vorbesichtigung (oder n.e.)",IF(AH229="","VMZ aktualisieren",IF(AI229="","Inserat aufschalten",IF(AND(Z229="",AJ229=""),"Abnahmetermin vereinbaren",IF(AJ229="","Wohnungsabnahme durchführen",IF(AK229="","Handwerker aufbieten",IF(AL229="","Zustimmungserklärung einholen",IF(AM229="","Instandstellungen beauftragen",IF(R229="","Nachmieter erfassen",IF(AN229="","Vertrag versenden",IF(AO229="","Vertrag retour erfassen",IF(S229="","Vermietet per erfassen",IF(AP229="","Werke / EGT über Einzug informieren",IF(AND(AD229="",AQ229=""),"Schlüsselübergabe terminieren",IF(AQ229="","Schlüsselübergabe durchführen",IF(AR229="","Reinigung veranlassen",IF(AS229="","Namensschilder bestellen",IF(AT229="","Kaution prüfen / G-Rem mutieren",IF(AU229="","Instandstellungs-Rechnung erfassen",IF(AV229="","Schlussabrechnung erstellen",IF(AW229="","Zahlungseingang kontrollieren","Fall abschliessen"))))))))))))))))))))))))))))))))</f>
        <v/>
      </c>
      <c r="J229" s="17">
        <f>IF(M229="","",IF(S229&lt;&gt;"",MAX(0,S229-M229-1),MAX(0,TODAY()-M229)))</f>
        <v/>
      </c>
      <c r="K229" s="16">
        <f>IF($B229="","",TRIM(IF(AND(L229&lt;&gt;"",M229&lt;&gt;"",M229&lt;L229),"Haftungsdatum vor Kündigung. ","")&amp;IF(AND(S229&lt;&gt;"",M229&lt;&gt;"",S229&lt;M229),"Vermietung vor Leerstandsbeginn. ","")&amp;IF(AND(Z229&lt;&gt;"",L229&lt;&gt;"",Z229&lt;L229),"WA-Termin vor Kündigung. ","")&amp;IF(COUNTIFS($B$5:$B$404,$B229,$AY$5:$AY$404,"")&gt;1,"Zweiter offener Fall zum selben Objekt. ","")&amp;IF(AND($A229&lt;&gt;"",COUNTIFS($A$5:$A$404,$A229)&gt;1),"Fall-Nr. doppelt vergeben. ","")&amp;IF(E229="","ex-Mieter fehlt. ","")&amp;IF(M229="","Haftungsdatum fehlt. ","")&amp;IF(F229="","Bewirtschafter fehlt. ","")&amp;IF(AND(AY229&lt;&gt;"",AW229=""),"Abgeschlossen trotz offener Schlussabrechnung. ","")&amp;IF(AND(AY229="",S229="",ISNUMBER(J229),J229&gt;60),"Langläufer über 60 Tage. ","")))</f>
        <v/>
      </c>
      <c r="L229" s="18" t="n"/>
      <c r="M229" s="18" t="n"/>
      <c r="N229" s="19">
        <f>IF(M229="","",M229+1)</f>
        <v/>
      </c>
      <c r="O229" s="17">
        <f>IF(OR(L229="",M229=""),"",M229-L229)</f>
        <v/>
      </c>
      <c r="P229" s="16">
        <f>IF(M229="","",YEAR(M229+1)&amp;"-"&amp;TEXT(MONTH(M229+1),"00"))</f>
        <v/>
      </c>
      <c r="Q229" s="18" t="n"/>
      <c r="R229" s="15" t="n"/>
      <c r="S229" s="18" t="n"/>
      <c r="T229" s="16">
        <f>IF(U229="","",IF(LEFT(U229,1)="6","abgeschlossen",IF(OR(LEFT(U229,1)="1",LEFT(U229,1)="2"),"Kündigung &amp; Abnahme",IF(OR(LEFT(U229,1)="3",LEFT(U229,1)="4"),"Wiedervermietung","Schlussabrechnung"))))</f>
        <v/>
      </c>
      <c r="U229" s="16">
        <f>IF($B229="","",IF(AY229&lt;&gt;"","6 · abgeschlossen",IF(AW229&lt;&gt;"","5 · bereit zum Abschluss",IF(AT229&lt;&gt;"","5 · Schlussabrechnung",IF(AO229&lt;&gt;"","4 · Übergabe",IF(AM229&lt;&gt;"","3 · Neuvermietung",IF(M229&lt;&gt;"","2 · Abnahme &amp; Vermarktung","1 · Erfassung")))))))</f>
        <v/>
      </c>
      <c r="V229" s="15" t="n"/>
      <c r="W229" s="20" t="n"/>
      <c r="X229" s="15" t="n"/>
      <c r="Y229" s="15" t="n"/>
      <c r="Z229" s="18" t="n"/>
      <c r="AA229" s="19">
        <f>IF(M229="","",M229-30)</f>
        <v/>
      </c>
      <c r="AB229" s="19">
        <f>IF(ISNUMBER(AJ229),AJ229+3,"")</f>
        <v/>
      </c>
      <c r="AC229" s="18" t="n"/>
      <c r="AD229" s="18" t="n"/>
      <c r="AE229" s="18" t="n"/>
      <c r="AF229" s="18" t="n"/>
      <c r="AG229" s="18" t="n"/>
      <c r="AH229" s="18" t="n"/>
      <c r="AI229" s="18" t="n"/>
      <c r="AJ229" s="18" t="n"/>
      <c r="AK229" s="18" t="n"/>
      <c r="AL229" s="18" t="n"/>
      <c r="AM229" s="18" t="n"/>
      <c r="AN229" s="18" t="n"/>
      <c r="AO229" s="18" t="n"/>
      <c r="AP229" s="18" t="n"/>
      <c r="AQ229" s="18" t="n"/>
      <c r="AR229" s="18" t="n"/>
      <c r="AS229" s="18" t="n"/>
      <c r="AT229" s="18" t="n"/>
      <c r="AU229" s="18" t="n"/>
      <c r="AV229" s="18" t="n"/>
      <c r="AW229" s="18" t="n"/>
      <c r="AX229" s="18" t="n"/>
      <c r="AY229" s="18" t="n"/>
      <c r="AZ229" s="15" t="n"/>
    </row>
    <row r="230">
      <c r="A230" s="15" t="n"/>
      <c r="B230" s="15" t="n"/>
      <c r="C230" s="15" t="n"/>
      <c r="D230" s="15" t="n"/>
      <c r="E230" s="15" t="n"/>
      <c r="F230" s="15" t="n"/>
      <c r="G230" s="16">
        <f>IF(F230="","",IFERROR(INDEX(Stammdaten!$B$5:$B$24,MATCH(F230,Stammdaten!$A$5:$A$24,0)),"unbekannt"))</f>
        <v/>
      </c>
      <c r="H230" s="16">
        <f>IF($B230="","",IF(AY230&lt;&gt;"","abgeschlossen",IF(AND(ISNUMBER(AX230),AX230&gt;=TODAY()),"zurückgestellt",IF(OR(AND(ISNUMBER(AA230),AA230&lt;TODAY(),Z230="",AJ230=""),AND(ISNUMBER(Z230),Z230&lt;TODAY(),AJ230=""),AND(ISNUMBER(AB230),AB230&lt;TODAY(),AK230=""),AND(ISNUMBER(AC230),AC230&lt;TODAY(),AO230=""),AND(ISNUMBER(AD230),AD230&lt;TODAY(),AQ230="")),"überfällig","offen"))))</f>
        <v/>
      </c>
      <c r="I230" s="16">
        <f>IF($B230="","",IF(AY230&lt;&gt;"","—",IF(AND(ISNUMBER(AA230),AA230&lt;TODAY(),Z230="",AJ230=""),"Abnahmetermin vereinbaren – Sollfrist verstrichen",IF(AND(ISNUMBER(Z230),Z230&lt;TODAY(),AJ230=""),"Wohnungsabnahme nachtragen – Termin war fällig",IF(AND(ISNUMBER(AB230),AB230&lt;TODAY(),AK230=""),"Handwerker aufbieten – Frist verstrichen",IF(AND(ISNUMBER(AC230),AC230&lt;TODAY(),AO230=""),"Vertrag retour mahnen – Frist verstrichen",IF(AND(ISNUMBER(AD230),AD230&lt;TODAY(),AQ230=""),"Schlüsselübergabe nachtragen – Termin war fällig",IF(M230="","Haftungsdatum erfassen",IF(E230="","ex-Mieter erfassen",IF(AE230="","Kündigung bestätigen / G-Rem",IF(AF230="","Werke / EGT melden",IF(AG230="","Vorbesichtigung (oder n.e.)",IF(AH230="","VMZ aktualisieren",IF(AI230="","Inserat aufschalten",IF(AND(Z230="",AJ230=""),"Abnahmetermin vereinbaren",IF(AJ230="","Wohnungsabnahme durchführen",IF(AK230="","Handwerker aufbieten",IF(AL230="","Zustimmungserklärung einholen",IF(AM230="","Instandstellungen beauftragen",IF(R230="","Nachmieter erfassen",IF(AN230="","Vertrag versenden",IF(AO230="","Vertrag retour erfassen",IF(S230="","Vermietet per erfassen",IF(AP230="","Werke / EGT über Einzug informieren",IF(AND(AD230="",AQ230=""),"Schlüsselübergabe terminieren",IF(AQ230="","Schlüsselübergabe durchführen",IF(AR230="","Reinigung veranlassen",IF(AS230="","Namensschilder bestellen",IF(AT230="","Kaution prüfen / G-Rem mutieren",IF(AU230="","Instandstellungs-Rechnung erfassen",IF(AV230="","Schlussabrechnung erstellen",IF(AW230="","Zahlungseingang kontrollieren","Fall abschliessen"))))))))))))))))))))))))))))))))</f>
        <v/>
      </c>
      <c r="J230" s="17">
        <f>IF(M230="","",IF(S230&lt;&gt;"",MAX(0,S230-M230-1),MAX(0,TODAY()-M230)))</f>
        <v/>
      </c>
      <c r="K230" s="16">
        <f>IF($B230="","",TRIM(IF(AND(L230&lt;&gt;"",M230&lt;&gt;"",M230&lt;L230),"Haftungsdatum vor Kündigung. ","")&amp;IF(AND(S230&lt;&gt;"",M230&lt;&gt;"",S230&lt;M230),"Vermietung vor Leerstandsbeginn. ","")&amp;IF(AND(Z230&lt;&gt;"",L230&lt;&gt;"",Z230&lt;L230),"WA-Termin vor Kündigung. ","")&amp;IF(COUNTIFS($B$5:$B$404,$B230,$AY$5:$AY$404,"")&gt;1,"Zweiter offener Fall zum selben Objekt. ","")&amp;IF(AND($A230&lt;&gt;"",COUNTIFS($A$5:$A$404,$A230)&gt;1),"Fall-Nr. doppelt vergeben. ","")&amp;IF(E230="","ex-Mieter fehlt. ","")&amp;IF(M230="","Haftungsdatum fehlt. ","")&amp;IF(F230="","Bewirtschafter fehlt. ","")&amp;IF(AND(AY230&lt;&gt;"",AW230=""),"Abgeschlossen trotz offener Schlussabrechnung. ","")&amp;IF(AND(AY230="",S230="",ISNUMBER(J230),J230&gt;60),"Langläufer über 60 Tage. ","")))</f>
        <v/>
      </c>
      <c r="L230" s="18" t="n"/>
      <c r="M230" s="18" t="n"/>
      <c r="N230" s="19">
        <f>IF(M230="","",M230+1)</f>
        <v/>
      </c>
      <c r="O230" s="17">
        <f>IF(OR(L230="",M230=""),"",M230-L230)</f>
        <v/>
      </c>
      <c r="P230" s="16">
        <f>IF(M230="","",YEAR(M230+1)&amp;"-"&amp;TEXT(MONTH(M230+1),"00"))</f>
        <v/>
      </c>
      <c r="Q230" s="18" t="n"/>
      <c r="R230" s="15" t="n"/>
      <c r="S230" s="18" t="n"/>
      <c r="T230" s="16">
        <f>IF(U230="","",IF(LEFT(U230,1)="6","abgeschlossen",IF(OR(LEFT(U230,1)="1",LEFT(U230,1)="2"),"Kündigung &amp; Abnahme",IF(OR(LEFT(U230,1)="3",LEFT(U230,1)="4"),"Wiedervermietung","Schlussabrechnung"))))</f>
        <v/>
      </c>
      <c r="U230" s="16">
        <f>IF($B230="","",IF(AY230&lt;&gt;"","6 · abgeschlossen",IF(AW230&lt;&gt;"","5 · bereit zum Abschluss",IF(AT230&lt;&gt;"","5 · Schlussabrechnung",IF(AO230&lt;&gt;"","4 · Übergabe",IF(AM230&lt;&gt;"","3 · Neuvermietung",IF(M230&lt;&gt;"","2 · Abnahme &amp; Vermarktung","1 · Erfassung")))))))</f>
        <v/>
      </c>
      <c r="V230" s="15" t="n"/>
      <c r="W230" s="20" t="n"/>
      <c r="X230" s="15" t="n"/>
      <c r="Y230" s="15" t="n"/>
      <c r="Z230" s="18" t="n"/>
      <c r="AA230" s="19">
        <f>IF(M230="","",M230-30)</f>
        <v/>
      </c>
      <c r="AB230" s="19">
        <f>IF(ISNUMBER(AJ230),AJ230+3,"")</f>
        <v/>
      </c>
      <c r="AC230" s="18" t="n"/>
      <c r="AD230" s="18" t="n"/>
      <c r="AE230" s="18" t="n"/>
      <c r="AF230" s="18" t="n"/>
      <c r="AG230" s="18" t="n"/>
      <c r="AH230" s="18" t="n"/>
      <c r="AI230" s="18" t="n"/>
      <c r="AJ230" s="18" t="n"/>
      <c r="AK230" s="18" t="n"/>
      <c r="AL230" s="18" t="n"/>
      <c r="AM230" s="18" t="n"/>
      <c r="AN230" s="18" t="n"/>
      <c r="AO230" s="18" t="n"/>
      <c r="AP230" s="18" t="n"/>
      <c r="AQ230" s="18" t="n"/>
      <c r="AR230" s="18" t="n"/>
      <c r="AS230" s="18" t="n"/>
      <c r="AT230" s="18" t="n"/>
      <c r="AU230" s="18" t="n"/>
      <c r="AV230" s="18" t="n"/>
      <c r="AW230" s="18" t="n"/>
      <c r="AX230" s="18" t="n"/>
      <c r="AY230" s="18" t="n"/>
      <c r="AZ230" s="15" t="n"/>
    </row>
    <row r="231">
      <c r="A231" s="15" t="n"/>
      <c r="B231" s="15" t="n"/>
      <c r="C231" s="15" t="n"/>
      <c r="D231" s="15" t="n"/>
      <c r="E231" s="15" t="n"/>
      <c r="F231" s="15" t="n"/>
      <c r="G231" s="16">
        <f>IF(F231="","",IFERROR(INDEX(Stammdaten!$B$5:$B$24,MATCH(F231,Stammdaten!$A$5:$A$24,0)),"unbekannt"))</f>
        <v/>
      </c>
      <c r="H231" s="16">
        <f>IF($B231="","",IF(AY231&lt;&gt;"","abgeschlossen",IF(AND(ISNUMBER(AX231),AX231&gt;=TODAY()),"zurückgestellt",IF(OR(AND(ISNUMBER(AA231),AA231&lt;TODAY(),Z231="",AJ231=""),AND(ISNUMBER(Z231),Z231&lt;TODAY(),AJ231=""),AND(ISNUMBER(AB231),AB231&lt;TODAY(),AK231=""),AND(ISNUMBER(AC231),AC231&lt;TODAY(),AO231=""),AND(ISNUMBER(AD231),AD231&lt;TODAY(),AQ231="")),"überfällig","offen"))))</f>
        <v/>
      </c>
      <c r="I231" s="16">
        <f>IF($B231="","",IF(AY231&lt;&gt;"","—",IF(AND(ISNUMBER(AA231),AA231&lt;TODAY(),Z231="",AJ231=""),"Abnahmetermin vereinbaren – Sollfrist verstrichen",IF(AND(ISNUMBER(Z231),Z231&lt;TODAY(),AJ231=""),"Wohnungsabnahme nachtragen – Termin war fällig",IF(AND(ISNUMBER(AB231),AB231&lt;TODAY(),AK231=""),"Handwerker aufbieten – Frist verstrichen",IF(AND(ISNUMBER(AC231),AC231&lt;TODAY(),AO231=""),"Vertrag retour mahnen – Frist verstrichen",IF(AND(ISNUMBER(AD231),AD231&lt;TODAY(),AQ231=""),"Schlüsselübergabe nachtragen – Termin war fällig",IF(M231="","Haftungsdatum erfassen",IF(E231="","ex-Mieter erfassen",IF(AE231="","Kündigung bestätigen / G-Rem",IF(AF231="","Werke / EGT melden",IF(AG231="","Vorbesichtigung (oder n.e.)",IF(AH231="","VMZ aktualisieren",IF(AI231="","Inserat aufschalten",IF(AND(Z231="",AJ231=""),"Abnahmetermin vereinbaren",IF(AJ231="","Wohnungsabnahme durchführen",IF(AK231="","Handwerker aufbieten",IF(AL231="","Zustimmungserklärung einholen",IF(AM231="","Instandstellungen beauftragen",IF(R231="","Nachmieter erfassen",IF(AN231="","Vertrag versenden",IF(AO231="","Vertrag retour erfassen",IF(S231="","Vermietet per erfassen",IF(AP231="","Werke / EGT über Einzug informieren",IF(AND(AD231="",AQ231=""),"Schlüsselübergabe terminieren",IF(AQ231="","Schlüsselübergabe durchführen",IF(AR231="","Reinigung veranlassen",IF(AS231="","Namensschilder bestellen",IF(AT231="","Kaution prüfen / G-Rem mutieren",IF(AU231="","Instandstellungs-Rechnung erfassen",IF(AV231="","Schlussabrechnung erstellen",IF(AW231="","Zahlungseingang kontrollieren","Fall abschliessen"))))))))))))))))))))))))))))))))</f>
        <v/>
      </c>
      <c r="J231" s="17">
        <f>IF(M231="","",IF(S231&lt;&gt;"",MAX(0,S231-M231-1),MAX(0,TODAY()-M231)))</f>
        <v/>
      </c>
      <c r="K231" s="16">
        <f>IF($B231="","",TRIM(IF(AND(L231&lt;&gt;"",M231&lt;&gt;"",M231&lt;L231),"Haftungsdatum vor Kündigung. ","")&amp;IF(AND(S231&lt;&gt;"",M231&lt;&gt;"",S231&lt;M231),"Vermietung vor Leerstandsbeginn. ","")&amp;IF(AND(Z231&lt;&gt;"",L231&lt;&gt;"",Z231&lt;L231),"WA-Termin vor Kündigung. ","")&amp;IF(COUNTIFS($B$5:$B$404,$B231,$AY$5:$AY$404,"")&gt;1,"Zweiter offener Fall zum selben Objekt. ","")&amp;IF(AND($A231&lt;&gt;"",COUNTIFS($A$5:$A$404,$A231)&gt;1),"Fall-Nr. doppelt vergeben. ","")&amp;IF(E231="","ex-Mieter fehlt. ","")&amp;IF(M231="","Haftungsdatum fehlt. ","")&amp;IF(F231="","Bewirtschafter fehlt. ","")&amp;IF(AND(AY231&lt;&gt;"",AW231=""),"Abgeschlossen trotz offener Schlussabrechnung. ","")&amp;IF(AND(AY231="",S231="",ISNUMBER(J231),J231&gt;60),"Langläufer über 60 Tage. ","")))</f>
        <v/>
      </c>
      <c r="L231" s="18" t="n"/>
      <c r="M231" s="18" t="n"/>
      <c r="N231" s="19">
        <f>IF(M231="","",M231+1)</f>
        <v/>
      </c>
      <c r="O231" s="17">
        <f>IF(OR(L231="",M231=""),"",M231-L231)</f>
        <v/>
      </c>
      <c r="P231" s="16">
        <f>IF(M231="","",YEAR(M231+1)&amp;"-"&amp;TEXT(MONTH(M231+1),"00"))</f>
        <v/>
      </c>
      <c r="Q231" s="18" t="n"/>
      <c r="R231" s="15" t="n"/>
      <c r="S231" s="18" t="n"/>
      <c r="T231" s="16">
        <f>IF(U231="","",IF(LEFT(U231,1)="6","abgeschlossen",IF(OR(LEFT(U231,1)="1",LEFT(U231,1)="2"),"Kündigung &amp; Abnahme",IF(OR(LEFT(U231,1)="3",LEFT(U231,1)="4"),"Wiedervermietung","Schlussabrechnung"))))</f>
        <v/>
      </c>
      <c r="U231" s="16">
        <f>IF($B231="","",IF(AY231&lt;&gt;"","6 · abgeschlossen",IF(AW231&lt;&gt;"","5 · bereit zum Abschluss",IF(AT231&lt;&gt;"","5 · Schlussabrechnung",IF(AO231&lt;&gt;"","4 · Übergabe",IF(AM231&lt;&gt;"","3 · Neuvermietung",IF(M231&lt;&gt;"","2 · Abnahme &amp; Vermarktung","1 · Erfassung")))))))</f>
        <v/>
      </c>
      <c r="V231" s="15" t="n"/>
      <c r="W231" s="20" t="n"/>
      <c r="X231" s="15" t="n"/>
      <c r="Y231" s="15" t="n"/>
      <c r="Z231" s="18" t="n"/>
      <c r="AA231" s="19">
        <f>IF(M231="","",M231-30)</f>
        <v/>
      </c>
      <c r="AB231" s="19">
        <f>IF(ISNUMBER(AJ231),AJ231+3,"")</f>
        <v/>
      </c>
      <c r="AC231" s="18" t="n"/>
      <c r="AD231" s="18" t="n"/>
      <c r="AE231" s="18" t="n"/>
      <c r="AF231" s="18" t="n"/>
      <c r="AG231" s="18" t="n"/>
      <c r="AH231" s="18" t="n"/>
      <c r="AI231" s="18" t="n"/>
      <c r="AJ231" s="18" t="n"/>
      <c r="AK231" s="18" t="n"/>
      <c r="AL231" s="18" t="n"/>
      <c r="AM231" s="18" t="n"/>
      <c r="AN231" s="18" t="n"/>
      <c r="AO231" s="18" t="n"/>
      <c r="AP231" s="18" t="n"/>
      <c r="AQ231" s="18" t="n"/>
      <c r="AR231" s="18" t="n"/>
      <c r="AS231" s="18" t="n"/>
      <c r="AT231" s="18" t="n"/>
      <c r="AU231" s="18" t="n"/>
      <c r="AV231" s="18" t="n"/>
      <c r="AW231" s="18" t="n"/>
      <c r="AX231" s="18" t="n"/>
      <c r="AY231" s="18" t="n"/>
      <c r="AZ231" s="15" t="n"/>
    </row>
    <row r="232">
      <c r="A232" s="15" t="n"/>
      <c r="B232" s="15" t="n"/>
      <c r="C232" s="15" t="n"/>
      <c r="D232" s="15" t="n"/>
      <c r="E232" s="15" t="n"/>
      <c r="F232" s="15" t="n"/>
      <c r="G232" s="16">
        <f>IF(F232="","",IFERROR(INDEX(Stammdaten!$B$5:$B$24,MATCH(F232,Stammdaten!$A$5:$A$24,0)),"unbekannt"))</f>
        <v/>
      </c>
      <c r="H232" s="16">
        <f>IF($B232="","",IF(AY232&lt;&gt;"","abgeschlossen",IF(AND(ISNUMBER(AX232),AX232&gt;=TODAY()),"zurückgestellt",IF(OR(AND(ISNUMBER(AA232),AA232&lt;TODAY(),Z232="",AJ232=""),AND(ISNUMBER(Z232),Z232&lt;TODAY(),AJ232=""),AND(ISNUMBER(AB232),AB232&lt;TODAY(),AK232=""),AND(ISNUMBER(AC232),AC232&lt;TODAY(),AO232=""),AND(ISNUMBER(AD232),AD232&lt;TODAY(),AQ232="")),"überfällig","offen"))))</f>
        <v/>
      </c>
      <c r="I232" s="16">
        <f>IF($B232="","",IF(AY232&lt;&gt;"","—",IF(AND(ISNUMBER(AA232),AA232&lt;TODAY(),Z232="",AJ232=""),"Abnahmetermin vereinbaren – Sollfrist verstrichen",IF(AND(ISNUMBER(Z232),Z232&lt;TODAY(),AJ232=""),"Wohnungsabnahme nachtragen – Termin war fällig",IF(AND(ISNUMBER(AB232),AB232&lt;TODAY(),AK232=""),"Handwerker aufbieten – Frist verstrichen",IF(AND(ISNUMBER(AC232),AC232&lt;TODAY(),AO232=""),"Vertrag retour mahnen – Frist verstrichen",IF(AND(ISNUMBER(AD232),AD232&lt;TODAY(),AQ232=""),"Schlüsselübergabe nachtragen – Termin war fällig",IF(M232="","Haftungsdatum erfassen",IF(E232="","ex-Mieter erfassen",IF(AE232="","Kündigung bestätigen / G-Rem",IF(AF232="","Werke / EGT melden",IF(AG232="","Vorbesichtigung (oder n.e.)",IF(AH232="","VMZ aktualisieren",IF(AI232="","Inserat aufschalten",IF(AND(Z232="",AJ232=""),"Abnahmetermin vereinbaren",IF(AJ232="","Wohnungsabnahme durchführen",IF(AK232="","Handwerker aufbieten",IF(AL232="","Zustimmungserklärung einholen",IF(AM232="","Instandstellungen beauftragen",IF(R232="","Nachmieter erfassen",IF(AN232="","Vertrag versenden",IF(AO232="","Vertrag retour erfassen",IF(S232="","Vermietet per erfassen",IF(AP232="","Werke / EGT über Einzug informieren",IF(AND(AD232="",AQ232=""),"Schlüsselübergabe terminieren",IF(AQ232="","Schlüsselübergabe durchführen",IF(AR232="","Reinigung veranlassen",IF(AS232="","Namensschilder bestellen",IF(AT232="","Kaution prüfen / G-Rem mutieren",IF(AU232="","Instandstellungs-Rechnung erfassen",IF(AV232="","Schlussabrechnung erstellen",IF(AW232="","Zahlungseingang kontrollieren","Fall abschliessen"))))))))))))))))))))))))))))))))</f>
        <v/>
      </c>
      <c r="J232" s="17">
        <f>IF(M232="","",IF(S232&lt;&gt;"",MAX(0,S232-M232-1),MAX(0,TODAY()-M232)))</f>
        <v/>
      </c>
      <c r="K232" s="16">
        <f>IF($B232="","",TRIM(IF(AND(L232&lt;&gt;"",M232&lt;&gt;"",M232&lt;L232),"Haftungsdatum vor Kündigung. ","")&amp;IF(AND(S232&lt;&gt;"",M232&lt;&gt;"",S232&lt;M232),"Vermietung vor Leerstandsbeginn. ","")&amp;IF(AND(Z232&lt;&gt;"",L232&lt;&gt;"",Z232&lt;L232),"WA-Termin vor Kündigung. ","")&amp;IF(COUNTIFS($B$5:$B$404,$B232,$AY$5:$AY$404,"")&gt;1,"Zweiter offener Fall zum selben Objekt. ","")&amp;IF(AND($A232&lt;&gt;"",COUNTIFS($A$5:$A$404,$A232)&gt;1),"Fall-Nr. doppelt vergeben. ","")&amp;IF(E232="","ex-Mieter fehlt. ","")&amp;IF(M232="","Haftungsdatum fehlt. ","")&amp;IF(F232="","Bewirtschafter fehlt. ","")&amp;IF(AND(AY232&lt;&gt;"",AW232=""),"Abgeschlossen trotz offener Schlussabrechnung. ","")&amp;IF(AND(AY232="",S232="",ISNUMBER(J232),J232&gt;60),"Langläufer über 60 Tage. ","")))</f>
        <v/>
      </c>
      <c r="L232" s="18" t="n"/>
      <c r="M232" s="18" t="n"/>
      <c r="N232" s="19">
        <f>IF(M232="","",M232+1)</f>
        <v/>
      </c>
      <c r="O232" s="17">
        <f>IF(OR(L232="",M232=""),"",M232-L232)</f>
        <v/>
      </c>
      <c r="P232" s="16">
        <f>IF(M232="","",YEAR(M232+1)&amp;"-"&amp;TEXT(MONTH(M232+1),"00"))</f>
        <v/>
      </c>
      <c r="Q232" s="18" t="n"/>
      <c r="R232" s="15" t="n"/>
      <c r="S232" s="18" t="n"/>
      <c r="T232" s="16">
        <f>IF(U232="","",IF(LEFT(U232,1)="6","abgeschlossen",IF(OR(LEFT(U232,1)="1",LEFT(U232,1)="2"),"Kündigung &amp; Abnahme",IF(OR(LEFT(U232,1)="3",LEFT(U232,1)="4"),"Wiedervermietung","Schlussabrechnung"))))</f>
        <v/>
      </c>
      <c r="U232" s="16">
        <f>IF($B232="","",IF(AY232&lt;&gt;"","6 · abgeschlossen",IF(AW232&lt;&gt;"","5 · bereit zum Abschluss",IF(AT232&lt;&gt;"","5 · Schlussabrechnung",IF(AO232&lt;&gt;"","4 · Übergabe",IF(AM232&lt;&gt;"","3 · Neuvermietung",IF(M232&lt;&gt;"","2 · Abnahme &amp; Vermarktung","1 · Erfassung")))))))</f>
        <v/>
      </c>
      <c r="V232" s="15" t="n"/>
      <c r="W232" s="20" t="n"/>
      <c r="X232" s="15" t="n"/>
      <c r="Y232" s="15" t="n"/>
      <c r="Z232" s="18" t="n"/>
      <c r="AA232" s="19">
        <f>IF(M232="","",M232-30)</f>
        <v/>
      </c>
      <c r="AB232" s="19">
        <f>IF(ISNUMBER(AJ232),AJ232+3,"")</f>
        <v/>
      </c>
      <c r="AC232" s="18" t="n"/>
      <c r="AD232" s="18" t="n"/>
      <c r="AE232" s="18" t="n"/>
      <c r="AF232" s="18" t="n"/>
      <c r="AG232" s="18" t="n"/>
      <c r="AH232" s="18" t="n"/>
      <c r="AI232" s="18" t="n"/>
      <c r="AJ232" s="18" t="n"/>
      <c r="AK232" s="18" t="n"/>
      <c r="AL232" s="18" t="n"/>
      <c r="AM232" s="18" t="n"/>
      <c r="AN232" s="18" t="n"/>
      <c r="AO232" s="18" t="n"/>
      <c r="AP232" s="18" t="n"/>
      <c r="AQ232" s="18" t="n"/>
      <c r="AR232" s="18" t="n"/>
      <c r="AS232" s="18" t="n"/>
      <c r="AT232" s="18" t="n"/>
      <c r="AU232" s="18" t="n"/>
      <c r="AV232" s="18" t="n"/>
      <c r="AW232" s="18" t="n"/>
      <c r="AX232" s="18" t="n"/>
      <c r="AY232" s="18" t="n"/>
      <c r="AZ232" s="15" t="n"/>
    </row>
    <row r="233">
      <c r="A233" s="15" t="n"/>
      <c r="B233" s="15" t="n"/>
      <c r="C233" s="15" t="n"/>
      <c r="D233" s="15" t="n"/>
      <c r="E233" s="15" t="n"/>
      <c r="F233" s="15" t="n"/>
      <c r="G233" s="16">
        <f>IF(F233="","",IFERROR(INDEX(Stammdaten!$B$5:$B$24,MATCH(F233,Stammdaten!$A$5:$A$24,0)),"unbekannt"))</f>
        <v/>
      </c>
      <c r="H233" s="16">
        <f>IF($B233="","",IF(AY233&lt;&gt;"","abgeschlossen",IF(AND(ISNUMBER(AX233),AX233&gt;=TODAY()),"zurückgestellt",IF(OR(AND(ISNUMBER(AA233),AA233&lt;TODAY(),Z233="",AJ233=""),AND(ISNUMBER(Z233),Z233&lt;TODAY(),AJ233=""),AND(ISNUMBER(AB233),AB233&lt;TODAY(),AK233=""),AND(ISNUMBER(AC233),AC233&lt;TODAY(),AO233=""),AND(ISNUMBER(AD233),AD233&lt;TODAY(),AQ233="")),"überfällig","offen"))))</f>
        <v/>
      </c>
      <c r="I233" s="16">
        <f>IF($B233="","",IF(AY233&lt;&gt;"","—",IF(AND(ISNUMBER(AA233),AA233&lt;TODAY(),Z233="",AJ233=""),"Abnahmetermin vereinbaren – Sollfrist verstrichen",IF(AND(ISNUMBER(Z233),Z233&lt;TODAY(),AJ233=""),"Wohnungsabnahme nachtragen – Termin war fällig",IF(AND(ISNUMBER(AB233),AB233&lt;TODAY(),AK233=""),"Handwerker aufbieten – Frist verstrichen",IF(AND(ISNUMBER(AC233),AC233&lt;TODAY(),AO233=""),"Vertrag retour mahnen – Frist verstrichen",IF(AND(ISNUMBER(AD233),AD233&lt;TODAY(),AQ233=""),"Schlüsselübergabe nachtragen – Termin war fällig",IF(M233="","Haftungsdatum erfassen",IF(E233="","ex-Mieter erfassen",IF(AE233="","Kündigung bestätigen / G-Rem",IF(AF233="","Werke / EGT melden",IF(AG233="","Vorbesichtigung (oder n.e.)",IF(AH233="","VMZ aktualisieren",IF(AI233="","Inserat aufschalten",IF(AND(Z233="",AJ233=""),"Abnahmetermin vereinbaren",IF(AJ233="","Wohnungsabnahme durchführen",IF(AK233="","Handwerker aufbieten",IF(AL233="","Zustimmungserklärung einholen",IF(AM233="","Instandstellungen beauftragen",IF(R233="","Nachmieter erfassen",IF(AN233="","Vertrag versenden",IF(AO233="","Vertrag retour erfassen",IF(S233="","Vermietet per erfassen",IF(AP233="","Werke / EGT über Einzug informieren",IF(AND(AD233="",AQ233=""),"Schlüsselübergabe terminieren",IF(AQ233="","Schlüsselübergabe durchführen",IF(AR233="","Reinigung veranlassen",IF(AS233="","Namensschilder bestellen",IF(AT233="","Kaution prüfen / G-Rem mutieren",IF(AU233="","Instandstellungs-Rechnung erfassen",IF(AV233="","Schlussabrechnung erstellen",IF(AW233="","Zahlungseingang kontrollieren","Fall abschliessen"))))))))))))))))))))))))))))))))</f>
        <v/>
      </c>
      <c r="J233" s="17">
        <f>IF(M233="","",IF(S233&lt;&gt;"",MAX(0,S233-M233-1),MAX(0,TODAY()-M233)))</f>
        <v/>
      </c>
      <c r="K233" s="16">
        <f>IF($B233="","",TRIM(IF(AND(L233&lt;&gt;"",M233&lt;&gt;"",M233&lt;L233),"Haftungsdatum vor Kündigung. ","")&amp;IF(AND(S233&lt;&gt;"",M233&lt;&gt;"",S233&lt;M233),"Vermietung vor Leerstandsbeginn. ","")&amp;IF(AND(Z233&lt;&gt;"",L233&lt;&gt;"",Z233&lt;L233),"WA-Termin vor Kündigung. ","")&amp;IF(COUNTIFS($B$5:$B$404,$B233,$AY$5:$AY$404,"")&gt;1,"Zweiter offener Fall zum selben Objekt. ","")&amp;IF(AND($A233&lt;&gt;"",COUNTIFS($A$5:$A$404,$A233)&gt;1),"Fall-Nr. doppelt vergeben. ","")&amp;IF(E233="","ex-Mieter fehlt. ","")&amp;IF(M233="","Haftungsdatum fehlt. ","")&amp;IF(F233="","Bewirtschafter fehlt. ","")&amp;IF(AND(AY233&lt;&gt;"",AW233=""),"Abgeschlossen trotz offener Schlussabrechnung. ","")&amp;IF(AND(AY233="",S233="",ISNUMBER(J233),J233&gt;60),"Langläufer über 60 Tage. ","")))</f>
        <v/>
      </c>
      <c r="L233" s="18" t="n"/>
      <c r="M233" s="18" t="n"/>
      <c r="N233" s="19">
        <f>IF(M233="","",M233+1)</f>
        <v/>
      </c>
      <c r="O233" s="17">
        <f>IF(OR(L233="",M233=""),"",M233-L233)</f>
        <v/>
      </c>
      <c r="P233" s="16">
        <f>IF(M233="","",YEAR(M233+1)&amp;"-"&amp;TEXT(MONTH(M233+1),"00"))</f>
        <v/>
      </c>
      <c r="Q233" s="18" t="n"/>
      <c r="R233" s="15" t="n"/>
      <c r="S233" s="18" t="n"/>
      <c r="T233" s="16">
        <f>IF(U233="","",IF(LEFT(U233,1)="6","abgeschlossen",IF(OR(LEFT(U233,1)="1",LEFT(U233,1)="2"),"Kündigung &amp; Abnahme",IF(OR(LEFT(U233,1)="3",LEFT(U233,1)="4"),"Wiedervermietung","Schlussabrechnung"))))</f>
        <v/>
      </c>
      <c r="U233" s="16">
        <f>IF($B233="","",IF(AY233&lt;&gt;"","6 · abgeschlossen",IF(AW233&lt;&gt;"","5 · bereit zum Abschluss",IF(AT233&lt;&gt;"","5 · Schlussabrechnung",IF(AO233&lt;&gt;"","4 · Übergabe",IF(AM233&lt;&gt;"","3 · Neuvermietung",IF(M233&lt;&gt;"","2 · Abnahme &amp; Vermarktung","1 · Erfassung")))))))</f>
        <v/>
      </c>
      <c r="V233" s="15" t="n"/>
      <c r="W233" s="20" t="n"/>
      <c r="X233" s="15" t="n"/>
      <c r="Y233" s="15" t="n"/>
      <c r="Z233" s="18" t="n"/>
      <c r="AA233" s="19">
        <f>IF(M233="","",M233-30)</f>
        <v/>
      </c>
      <c r="AB233" s="19">
        <f>IF(ISNUMBER(AJ233),AJ233+3,"")</f>
        <v/>
      </c>
      <c r="AC233" s="18" t="n"/>
      <c r="AD233" s="18" t="n"/>
      <c r="AE233" s="18" t="n"/>
      <c r="AF233" s="18" t="n"/>
      <c r="AG233" s="18" t="n"/>
      <c r="AH233" s="18" t="n"/>
      <c r="AI233" s="18" t="n"/>
      <c r="AJ233" s="18" t="n"/>
      <c r="AK233" s="18" t="n"/>
      <c r="AL233" s="18" t="n"/>
      <c r="AM233" s="18" t="n"/>
      <c r="AN233" s="18" t="n"/>
      <c r="AO233" s="18" t="n"/>
      <c r="AP233" s="18" t="n"/>
      <c r="AQ233" s="18" t="n"/>
      <c r="AR233" s="18" t="n"/>
      <c r="AS233" s="18" t="n"/>
      <c r="AT233" s="18" t="n"/>
      <c r="AU233" s="18" t="n"/>
      <c r="AV233" s="18" t="n"/>
      <c r="AW233" s="18" t="n"/>
      <c r="AX233" s="18" t="n"/>
      <c r="AY233" s="18" t="n"/>
      <c r="AZ233" s="15" t="n"/>
    </row>
    <row r="234">
      <c r="A234" s="15" t="n"/>
      <c r="B234" s="15" t="n"/>
      <c r="C234" s="15" t="n"/>
      <c r="D234" s="15" t="n"/>
      <c r="E234" s="15" t="n"/>
      <c r="F234" s="15" t="n"/>
      <c r="G234" s="16">
        <f>IF(F234="","",IFERROR(INDEX(Stammdaten!$B$5:$B$24,MATCH(F234,Stammdaten!$A$5:$A$24,0)),"unbekannt"))</f>
        <v/>
      </c>
      <c r="H234" s="16">
        <f>IF($B234="","",IF(AY234&lt;&gt;"","abgeschlossen",IF(AND(ISNUMBER(AX234),AX234&gt;=TODAY()),"zurückgestellt",IF(OR(AND(ISNUMBER(AA234),AA234&lt;TODAY(),Z234="",AJ234=""),AND(ISNUMBER(Z234),Z234&lt;TODAY(),AJ234=""),AND(ISNUMBER(AB234),AB234&lt;TODAY(),AK234=""),AND(ISNUMBER(AC234),AC234&lt;TODAY(),AO234=""),AND(ISNUMBER(AD234),AD234&lt;TODAY(),AQ234="")),"überfällig","offen"))))</f>
        <v/>
      </c>
      <c r="I234" s="16">
        <f>IF($B234="","",IF(AY234&lt;&gt;"","—",IF(AND(ISNUMBER(AA234),AA234&lt;TODAY(),Z234="",AJ234=""),"Abnahmetermin vereinbaren – Sollfrist verstrichen",IF(AND(ISNUMBER(Z234),Z234&lt;TODAY(),AJ234=""),"Wohnungsabnahme nachtragen – Termin war fällig",IF(AND(ISNUMBER(AB234),AB234&lt;TODAY(),AK234=""),"Handwerker aufbieten – Frist verstrichen",IF(AND(ISNUMBER(AC234),AC234&lt;TODAY(),AO234=""),"Vertrag retour mahnen – Frist verstrichen",IF(AND(ISNUMBER(AD234),AD234&lt;TODAY(),AQ234=""),"Schlüsselübergabe nachtragen – Termin war fällig",IF(M234="","Haftungsdatum erfassen",IF(E234="","ex-Mieter erfassen",IF(AE234="","Kündigung bestätigen / G-Rem",IF(AF234="","Werke / EGT melden",IF(AG234="","Vorbesichtigung (oder n.e.)",IF(AH234="","VMZ aktualisieren",IF(AI234="","Inserat aufschalten",IF(AND(Z234="",AJ234=""),"Abnahmetermin vereinbaren",IF(AJ234="","Wohnungsabnahme durchführen",IF(AK234="","Handwerker aufbieten",IF(AL234="","Zustimmungserklärung einholen",IF(AM234="","Instandstellungen beauftragen",IF(R234="","Nachmieter erfassen",IF(AN234="","Vertrag versenden",IF(AO234="","Vertrag retour erfassen",IF(S234="","Vermietet per erfassen",IF(AP234="","Werke / EGT über Einzug informieren",IF(AND(AD234="",AQ234=""),"Schlüsselübergabe terminieren",IF(AQ234="","Schlüsselübergabe durchführen",IF(AR234="","Reinigung veranlassen",IF(AS234="","Namensschilder bestellen",IF(AT234="","Kaution prüfen / G-Rem mutieren",IF(AU234="","Instandstellungs-Rechnung erfassen",IF(AV234="","Schlussabrechnung erstellen",IF(AW234="","Zahlungseingang kontrollieren","Fall abschliessen"))))))))))))))))))))))))))))))))</f>
        <v/>
      </c>
      <c r="J234" s="17">
        <f>IF(M234="","",IF(S234&lt;&gt;"",MAX(0,S234-M234-1),MAX(0,TODAY()-M234)))</f>
        <v/>
      </c>
      <c r="K234" s="16">
        <f>IF($B234="","",TRIM(IF(AND(L234&lt;&gt;"",M234&lt;&gt;"",M234&lt;L234),"Haftungsdatum vor Kündigung. ","")&amp;IF(AND(S234&lt;&gt;"",M234&lt;&gt;"",S234&lt;M234),"Vermietung vor Leerstandsbeginn. ","")&amp;IF(AND(Z234&lt;&gt;"",L234&lt;&gt;"",Z234&lt;L234),"WA-Termin vor Kündigung. ","")&amp;IF(COUNTIFS($B$5:$B$404,$B234,$AY$5:$AY$404,"")&gt;1,"Zweiter offener Fall zum selben Objekt. ","")&amp;IF(AND($A234&lt;&gt;"",COUNTIFS($A$5:$A$404,$A234)&gt;1),"Fall-Nr. doppelt vergeben. ","")&amp;IF(E234="","ex-Mieter fehlt. ","")&amp;IF(M234="","Haftungsdatum fehlt. ","")&amp;IF(F234="","Bewirtschafter fehlt. ","")&amp;IF(AND(AY234&lt;&gt;"",AW234=""),"Abgeschlossen trotz offener Schlussabrechnung. ","")&amp;IF(AND(AY234="",S234="",ISNUMBER(J234),J234&gt;60),"Langläufer über 60 Tage. ","")))</f>
        <v/>
      </c>
      <c r="L234" s="18" t="n"/>
      <c r="M234" s="18" t="n"/>
      <c r="N234" s="19">
        <f>IF(M234="","",M234+1)</f>
        <v/>
      </c>
      <c r="O234" s="17">
        <f>IF(OR(L234="",M234=""),"",M234-L234)</f>
        <v/>
      </c>
      <c r="P234" s="16">
        <f>IF(M234="","",YEAR(M234+1)&amp;"-"&amp;TEXT(MONTH(M234+1),"00"))</f>
        <v/>
      </c>
      <c r="Q234" s="18" t="n"/>
      <c r="R234" s="15" t="n"/>
      <c r="S234" s="18" t="n"/>
      <c r="T234" s="16">
        <f>IF(U234="","",IF(LEFT(U234,1)="6","abgeschlossen",IF(OR(LEFT(U234,1)="1",LEFT(U234,1)="2"),"Kündigung &amp; Abnahme",IF(OR(LEFT(U234,1)="3",LEFT(U234,1)="4"),"Wiedervermietung","Schlussabrechnung"))))</f>
        <v/>
      </c>
      <c r="U234" s="16">
        <f>IF($B234="","",IF(AY234&lt;&gt;"","6 · abgeschlossen",IF(AW234&lt;&gt;"","5 · bereit zum Abschluss",IF(AT234&lt;&gt;"","5 · Schlussabrechnung",IF(AO234&lt;&gt;"","4 · Übergabe",IF(AM234&lt;&gt;"","3 · Neuvermietung",IF(M234&lt;&gt;"","2 · Abnahme &amp; Vermarktung","1 · Erfassung")))))))</f>
        <v/>
      </c>
      <c r="V234" s="15" t="n"/>
      <c r="W234" s="20" t="n"/>
      <c r="X234" s="15" t="n"/>
      <c r="Y234" s="15" t="n"/>
      <c r="Z234" s="18" t="n"/>
      <c r="AA234" s="19">
        <f>IF(M234="","",M234-30)</f>
        <v/>
      </c>
      <c r="AB234" s="19">
        <f>IF(ISNUMBER(AJ234),AJ234+3,"")</f>
        <v/>
      </c>
      <c r="AC234" s="18" t="n"/>
      <c r="AD234" s="18" t="n"/>
      <c r="AE234" s="18" t="n"/>
      <c r="AF234" s="18" t="n"/>
      <c r="AG234" s="18" t="n"/>
      <c r="AH234" s="18" t="n"/>
      <c r="AI234" s="18" t="n"/>
      <c r="AJ234" s="18" t="n"/>
      <c r="AK234" s="18" t="n"/>
      <c r="AL234" s="18" t="n"/>
      <c r="AM234" s="18" t="n"/>
      <c r="AN234" s="18" t="n"/>
      <c r="AO234" s="18" t="n"/>
      <c r="AP234" s="18" t="n"/>
      <c r="AQ234" s="18" t="n"/>
      <c r="AR234" s="18" t="n"/>
      <c r="AS234" s="18" t="n"/>
      <c r="AT234" s="18" t="n"/>
      <c r="AU234" s="18" t="n"/>
      <c r="AV234" s="18" t="n"/>
      <c r="AW234" s="18" t="n"/>
      <c r="AX234" s="18" t="n"/>
      <c r="AY234" s="18" t="n"/>
      <c r="AZ234" s="15" t="n"/>
    </row>
    <row r="235">
      <c r="A235" s="15" t="n"/>
      <c r="B235" s="15" t="n"/>
      <c r="C235" s="15" t="n"/>
      <c r="D235" s="15" t="n"/>
      <c r="E235" s="15" t="n"/>
      <c r="F235" s="15" t="n"/>
      <c r="G235" s="16">
        <f>IF(F235="","",IFERROR(INDEX(Stammdaten!$B$5:$B$24,MATCH(F235,Stammdaten!$A$5:$A$24,0)),"unbekannt"))</f>
        <v/>
      </c>
      <c r="H235" s="16">
        <f>IF($B235="","",IF(AY235&lt;&gt;"","abgeschlossen",IF(AND(ISNUMBER(AX235),AX235&gt;=TODAY()),"zurückgestellt",IF(OR(AND(ISNUMBER(AA235),AA235&lt;TODAY(),Z235="",AJ235=""),AND(ISNUMBER(Z235),Z235&lt;TODAY(),AJ235=""),AND(ISNUMBER(AB235),AB235&lt;TODAY(),AK235=""),AND(ISNUMBER(AC235),AC235&lt;TODAY(),AO235=""),AND(ISNUMBER(AD235),AD235&lt;TODAY(),AQ235="")),"überfällig","offen"))))</f>
        <v/>
      </c>
      <c r="I235" s="16">
        <f>IF($B235="","",IF(AY235&lt;&gt;"","—",IF(AND(ISNUMBER(AA235),AA235&lt;TODAY(),Z235="",AJ235=""),"Abnahmetermin vereinbaren – Sollfrist verstrichen",IF(AND(ISNUMBER(Z235),Z235&lt;TODAY(),AJ235=""),"Wohnungsabnahme nachtragen – Termin war fällig",IF(AND(ISNUMBER(AB235),AB235&lt;TODAY(),AK235=""),"Handwerker aufbieten – Frist verstrichen",IF(AND(ISNUMBER(AC235),AC235&lt;TODAY(),AO235=""),"Vertrag retour mahnen – Frist verstrichen",IF(AND(ISNUMBER(AD235),AD235&lt;TODAY(),AQ235=""),"Schlüsselübergabe nachtragen – Termin war fällig",IF(M235="","Haftungsdatum erfassen",IF(E235="","ex-Mieter erfassen",IF(AE235="","Kündigung bestätigen / G-Rem",IF(AF235="","Werke / EGT melden",IF(AG235="","Vorbesichtigung (oder n.e.)",IF(AH235="","VMZ aktualisieren",IF(AI235="","Inserat aufschalten",IF(AND(Z235="",AJ235=""),"Abnahmetermin vereinbaren",IF(AJ235="","Wohnungsabnahme durchführen",IF(AK235="","Handwerker aufbieten",IF(AL235="","Zustimmungserklärung einholen",IF(AM235="","Instandstellungen beauftragen",IF(R235="","Nachmieter erfassen",IF(AN235="","Vertrag versenden",IF(AO235="","Vertrag retour erfassen",IF(S235="","Vermietet per erfassen",IF(AP235="","Werke / EGT über Einzug informieren",IF(AND(AD235="",AQ235=""),"Schlüsselübergabe terminieren",IF(AQ235="","Schlüsselübergabe durchführen",IF(AR235="","Reinigung veranlassen",IF(AS235="","Namensschilder bestellen",IF(AT235="","Kaution prüfen / G-Rem mutieren",IF(AU235="","Instandstellungs-Rechnung erfassen",IF(AV235="","Schlussabrechnung erstellen",IF(AW235="","Zahlungseingang kontrollieren","Fall abschliessen"))))))))))))))))))))))))))))))))</f>
        <v/>
      </c>
      <c r="J235" s="17">
        <f>IF(M235="","",IF(S235&lt;&gt;"",MAX(0,S235-M235-1),MAX(0,TODAY()-M235)))</f>
        <v/>
      </c>
      <c r="K235" s="16">
        <f>IF($B235="","",TRIM(IF(AND(L235&lt;&gt;"",M235&lt;&gt;"",M235&lt;L235),"Haftungsdatum vor Kündigung. ","")&amp;IF(AND(S235&lt;&gt;"",M235&lt;&gt;"",S235&lt;M235),"Vermietung vor Leerstandsbeginn. ","")&amp;IF(AND(Z235&lt;&gt;"",L235&lt;&gt;"",Z235&lt;L235),"WA-Termin vor Kündigung. ","")&amp;IF(COUNTIFS($B$5:$B$404,$B235,$AY$5:$AY$404,"")&gt;1,"Zweiter offener Fall zum selben Objekt. ","")&amp;IF(AND($A235&lt;&gt;"",COUNTIFS($A$5:$A$404,$A235)&gt;1),"Fall-Nr. doppelt vergeben. ","")&amp;IF(E235="","ex-Mieter fehlt. ","")&amp;IF(M235="","Haftungsdatum fehlt. ","")&amp;IF(F235="","Bewirtschafter fehlt. ","")&amp;IF(AND(AY235&lt;&gt;"",AW235=""),"Abgeschlossen trotz offener Schlussabrechnung. ","")&amp;IF(AND(AY235="",S235="",ISNUMBER(J235),J235&gt;60),"Langläufer über 60 Tage. ","")))</f>
        <v/>
      </c>
      <c r="L235" s="18" t="n"/>
      <c r="M235" s="18" t="n"/>
      <c r="N235" s="19">
        <f>IF(M235="","",M235+1)</f>
        <v/>
      </c>
      <c r="O235" s="17">
        <f>IF(OR(L235="",M235=""),"",M235-L235)</f>
        <v/>
      </c>
      <c r="P235" s="16">
        <f>IF(M235="","",YEAR(M235+1)&amp;"-"&amp;TEXT(MONTH(M235+1),"00"))</f>
        <v/>
      </c>
      <c r="Q235" s="18" t="n"/>
      <c r="R235" s="15" t="n"/>
      <c r="S235" s="18" t="n"/>
      <c r="T235" s="16">
        <f>IF(U235="","",IF(LEFT(U235,1)="6","abgeschlossen",IF(OR(LEFT(U235,1)="1",LEFT(U235,1)="2"),"Kündigung &amp; Abnahme",IF(OR(LEFT(U235,1)="3",LEFT(U235,1)="4"),"Wiedervermietung","Schlussabrechnung"))))</f>
        <v/>
      </c>
      <c r="U235" s="16">
        <f>IF($B235="","",IF(AY235&lt;&gt;"","6 · abgeschlossen",IF(AW235&lt;&gt;"","5 · bereit zum Abschluss",IF(AT235&lt;&gt;"","5 · Schlussabrechnung",IF(AO235&lt;&gt;"","4 · Übergabe",IF(AM235&lt;&gt;"","3 · Neuvermietung",IF(M235&lt;&gt;"","2 · Abnahme &amp; Vermarktung","1 · Erfassung")))))))</f>
        <v/>
      </c>
      <c r="V235" s="15" t="n"/>
      <c r="W235" s="20" t="n"/>
      <c r="X235" s="15" t="n"/>
      <c r="Y235" s="15" t="n"/>
      <c r="Z235" s="18" t="n"/>
      <c r="AA235" s="19">
        <f>IF(M235="","",M235-30)</f>
        <v/>
      </c>
      <c r="AB235" s="19">
        <f>IF(ISNUMBER(AJ235),AJ235+3,"")</f>
        <v/>
      </c>
      <c r="AC235" s="18" t="n"/>
      <c r="AD235" s="18" t="n"/>
      <c r="AE235" s="18" t="n"/>
      <c r="AF235" s="18" t="n"/>
      <c r="AG235" s="18" t="n"/>
      <c r="AH235" s="18" t="n"/>
      <c r="AI235" s="18" t="n"/>
      <c r="AJ235" s="18" t="n"/>
      <c r="AK235" s="18" t="n"/>
      <c r="AL235" s="18" t="n"/>
      <c r="AM235" s="18" t="n"/>
      <c r="AN235" s="18" t="n"/>
      <c r="AO235" s="18" t="n"/>
      <c r="AP235" s="18" t="n"/>
      <c r="AQ235" s="18" t="n"/>
      <c r="AR235" s="18" t="n"/>
      <c r="AS235" s="18" t="n"/>
      <c r="AT235" s="18" t="n"/>
      <c r="AU235" s="18" t="n"/>
      <c r="AV235" s="18" t="n"/>
      <c r="AW235" s="18" t="n"/>
      <c r="AX235" s="18" t="n"/>
      <c r="AY235" s="18" t="n"/>
      <c r="AZ235" s="15" t="n"/>
    </row>
    <row r="236">
      <c r="A236" s="15" t="n"/>
      <c r="B236" s="15" t="n"/>
      <c r="C236" s="15" t="n"/>
      <c r="D236" s="15" t="n"/>
      <c r="E236" s="15" t="n"/>
      <c r="F236" s="15" t="n"/>
      <c r="G236" s="16">
        <f>IF(F236="","",IFERROR(INDEX(Stammdaten!$B$5:$B$24,MATCH(F236,Stammdaten!$A$5:$A$24,0)),"unbekannt"))</f>
        <v/>
      </c>
      <c r="H236" s="16">
        <f>IF($B236="","",IF(AY236&lt;&gt;"","abgeschlossen",IF(AND(ISNUMBER(AX236),AX236&gt;=TODAY()),"zurückgestellt",IF(OR(AND(ISNUMBER(AA236),AA236&lt;TODAY(),Z236="",AJ236=""),AND(ISNUMBER(Z236),Z236&lt;TODAY(),AJ236=""),AND(ISNUMBER(AB236),AB236&lt;TODAY(),AK236=""),AND(ISNUMBER(AC236),AC236&lt;TODAY(),AO236=""),AND(ISNUMBER(AD236),AD236&lt;TODAY(),AQ236="")),"überfällig","offen"))))</f>
        <v/>
      </c>
      <c r="I236" s="16">
        <f>IF($B236="","",IF(AY236&lt;&gt;"","—",IF(AND(ISNUMBER(AA236),AA236&lt;TODAY(),Z236="",AJ236=""),"Abnahmetermin vereinbaren – Sollfrist verstrichen",IF(AND(ISNUMBER(Z236),Z236&lt;TODAY(),AJ236=""),"Wohnungsabnahme nachtragen – Termin war fällig",IF(AND(ISNUMBER(AB236),AB236&lt;TODAY(),AK236=""),"Handwerker aufbieten – Frist verstrichen",IF(AND(ISNUMBER(AC236),AC236&lt;TODAY(),AO236=""),"Vertrag retour mahnen – Frist verstrichen",IF(AND(ISNUMBER(AD236),AD236&lt;TODAY(),AQ236=""),"Schlüsselübergabe nachtragen – Termin war fällig",IF(M236="","Haftungsdatum erfassen",IF(E236="","ex-Mieter erfassen",IF(AE236="","Kündigung bestätigen / G-Rem",IF(AF236="","Werke / EGT melden",IF(AG236="","Vorbesichtigung (oder n.e.)",IF(AH236="","VMZ aktualisieren",IF(AI236="","Inserat aufschalten",IF(AND(Z236="",AJ236=""),"Abnahmetermin vereinbaren",IF(AJ236="","Wohnungsabnahme durchführen",IF(AK236="","Handwerker aufbieten",IF(AL236="","Zustimmungserklärung einholen",IF(AM236="","Instandstellungen beauftragen",IF(R236="","Nachmieter erfassen",IF(AN236="","Vertrag versenden",IF(AO236="","Vertrag retour erfassen",IF(S236="","Vermietet per erfassen",IF(AP236="","Werke / EGT über Einzug informieren",IF(AND(AD236="",AQ236=""),"Schlüsselübergabe terminieren",IF(AQ236="","Schlüsselübergabe durchführen",IF(AR236="","Reinigung veranlassen",IF(AS236="","Namensschilder bestellen",IF(AT236="","Kaution prüfen / G-Rem mutieren",IF(AU236="","Instandstellungs-Rechnung erfassen",IF(AV236="","Schlussabrechnung erstellen",IF(AW236="","Zahlungseingang kontrollieren","Fall abschliessen"))))))))))))))))))))))))))))))))</f>
        <v/>
      </c>
      <c r="J236" s="17">
        <f>IF(M236="","",IF(S236&lt;&gt;"",MAX(0,S236-M236-1),MAX(0,TODAY()-M236)))</f>
        <v/>
      </c>
      <c r="K236" s="16">
        <f>IF($B236="","",TRIM(IF(AND(L236&lt;&gt;"",M236&lt;&gt;"",M236&lt;L236),"Haftungsdatum vor Kündigung. ","")&amp;IF(AND(S236&lt;&gt;"",M236&lt;&gt;"",S236&lt;M236),"Vermietung vor Leerstandsbeginn. ","")&amp;IF(AND(Z236&lt;&gt;"",L236&lt;&gt;"",Z236&lt;L236),"WA-Termin vor Kündigung. ","")&amp;IF(COUNTIFS($B$5:$B$404,$B236,$AY$5:$AY$404,"")&gt;1,"Zweiter offener Fall zum selben Objekt. ","")&amp;IF(AND($A236&lt;&gt;"",COUNTIFS($A$5:$A$404,$A236)&gt;1),"Fall-Nr. doppelt vergeben. ","")&amp;IF(E236="","ex-Mieter fehlt. ","")&amp;IF(M236="","Haftungsdatum fehlt. ","")&amp;IF(F236="","Bewirtschafter fehlt. ","")&amp;IF(AND(AY236&lt;&gt;"",AW236=""),"Abgeschlossen trotz offener Schlussabrechnung. ","")&amp;IF(AND(AY236="",S236="",ISNUMBER(J236),J236&gt;60),"Langläufer über 60 Tage. ","")))</f>
        <v/>
      </c>
      <c r="L236" s="18" t="n"/>
      <c r="M236" s="18" t="n"/>
      <c r="N236" s="19">
        <f>IF(M236="","",M236+1)</f>
        <v/>
      </c>
      <c r="O236" s="17">
        <f>IF(OR(L236="",M236=""),"",M236-L236)</f>
        <v/>
      </c>
      <c r="P236" s="16">
        <f>IF(M236="","",YEAR(M236+1)&amp;"-"&amp;TEXT(MONTH(M236+1),"00"))</f>
        <v/>
      </c>
      <c r="Q236" s="18" t="n"/>
      <c r="R236" s="15" t="n"/>
      <c r="S236" s="18" t="n"/>
      <c r="T236" s="16">
        <f>IF(U236="","",IF(LEFT(U236,1)="6","abgeschlossen",IF(OR(LEFT(U236,1)="1",LEFT(U236,1)="2"),"Kündigung &amp; Abnahme",IF(OR(LEFT(U236,1)="3",LEFT(U236,1)="4"),"Wiedervermietung","Schlussabrechnung"))))</f>
        <v/>
      </c>
      <c r="U236" s="16">
        <f>IF($B236="","",IF(AY236&lt;&gt;"","6 · abgeschlossen",IF(AW236&lt;&gt;"","5 · bereit zum Abschluss",IF(AT236&lt;&gt;"","5 · Schlussabrechnung",IF(AO236&lt;&gt;"","4 · Übergabe",IF(AM236&lt;&gt;"","3 · Neuvermietung",IF(M236&lt;&gt;"","2 · Abnahme &amp; Vermarktung","1 · Erfassung")))))))</f>
        <v/>
      </c>
      <c r="V236" s="15" t="n"/>
      <c r="W236" s="20" t="n"/>
      <c r="X236" s="15" t="n"/>
      <c r="Y236" s="15" t="n"/>
      <c r="Z236" s="18" t="n"/>
      <c r="AA236" s="19">
        <f>IF(M236="","",M236-30)</f>
        <v/>
      </c>
      <c r="AB236" s="19">
        <f>IF(ISNUMBER(AJ236),AJ236+3,"")</f>
        <v/>
      </c>
      <c r="AC236" s="18" t="n"/>
      <c r="AD236" s="18" t="n"/>
      <c r="AE236" s="18" t="n"/>
      <c r="AF236" s="18" t="n"/>
      <c r="AG236" s="18" t="n"/>
      <c r="AH236" s="18" t="n"/>
      <c r="AI236" s="18" t="n"/>
      <c r="AJ236" s="18" t="n"/>
      <c r="AK236" s="18" t="n"/>
      <c r="AL236" s="18" t="n"/>
      <c r="AM236" s="18" t="n"/>
      <c r="AN236" s="18" t="n"/>
      <c r="AO236" s="18" t="n"/>
      <c r="AP236" s="18" t="n"/>
      <c r="AQ236" s="18" t="n"/>
      <c r="AR236" s="18" t="n"/>
      <c r="AS236" s="18" t="n"/>
      <c r="AT236" s="18" t="n"/>
      <c r="AU236" s="18" t="n"/>
      <c r="AV236" s="18" t="n"/>
      <c r="AW236" s="18" t="n"/>
      <c r="AX236" s="18" t="n"/>
      <c r="AY236" s="18" t="n"/>
      <c r="AZ236" s="15" t="n"/>
    </row>
    <row r="237">
      <c r="A237" s="15" t="n"/>
      <c r="B237" s="15" t="n"/>
      <c r="C237" s="15" t="n"/>
      <c r="D237" s="15" t="n"/>
      <c r="E237" s="15" t="n"/>
      <c r="F237" s="15" t="n"/>
      <c r="G237" s="16">
        <f>IF(F237="","",IFERROR(INDEX(Stammdaten!$B$5:$B$24,MATCH(F237,Stammdaten!$A$5:$A$24,0)),"unbekannt"))</f>
        <v/>
      </c>
      <c r="H237" s="16">
        <f>IF($B237="","",IF(AY237&lt;&gt;"","abgeschlossen",IF(AND(ISNUMBER(AX237),AX237&gt;=TODAY()),"zurückgestellt",IF(OR(AND(ISNUMBER(AA237),AA237&lt;TODAY(),Z237="",AJ237=""),AND(ISNUMBER(Z237),Z237&lt;TODAY(),AJ237=""),AND(ISNUMBER(AB237),AB237&lt;TODAY(),AK237=""),AND(ISNUMBER(AC237),AC237&lt;TODAY(),AO237=""),AND(ISNUMBER(AD237),AD237&lt;TODAY(),AQ237="")),"überfällig","offen"))))</f>
        <v/>
      </c>
      <c r="I237" s="16">
        <f>IF($B237="","",IF(AY237&lt;&gt;"","—",IF(AND(ISNUMBER(AA237),AA237&lt;TODAY(),Z237="",AJ237=""),"Abnahmetermin vereinbaren – Sollfrist verstrichen",IF(AND(ISNUMBER(Z237),Z237&lt;TODAY(),AJ237=""),"Wohnungsabnahme nachtragen – Termin war fällig",IF(AND(ISNUMBER(AB237),AB237&lt;TODAY(),AK237=""),"Handwerker aufbieten – Frist verstrichen",IF(AND(ISNUMBER(AC237),AC237&lt;TODAY(),AO237=""),"Vertrag retour mahnen – Frist verstrichen",IF(AND(ISNUMBER(AD237),AD237&lt;TODAY(),AQ237=""),"Schlüsselübergabe nachtragen – Termin war fällig",IF(M237="","Haftungsdatum erfassen",IF(E237="","ex-Mieter erfassen",IF(AE237="","Kündigung bestätigen / G-Rem",IF(AF237="","Werke / EGT melden",IF(AG237="","Vorbesichtigung (oder n.e.)",IF(AH237="","VMZ aktualisieren",IF(AI237="","Inserat aufschalten",IF(AND(Z237="",AJ237=""),"Abnahmetermin vereinbaren",IF(AJ237="","Wohnungsabnahme durchführen",IF(AK237="","Handwerker aufbieten",IF(AL237="","Zustimmungserklärung einholen",IF(AM237="","Instandstellungen beauftragen",IF(R237="","Nachmieter erfassen",IF(AN237="","Vertrag versenden",IF(AO237="","Vertrag retour erfassen",IF(S237="","Vermietet per erfassen",IF(AP237="","Werke / EGT über Einzug informieren",IF(AND(AD237="",AQ237=""),"Schlüsselübergabe terminieren",IF(AQ237="","Schlüsselübergabe durchführen",IF(AR237="","Reinigung veranlassen",IF(AS237="","Namensschilder bestellen",IF(AT237="","Kaution prüfen / G-Rem mutieren",IF(AU237="","Instandstellungs-Rechnung erfassen",IF(AV237="","Schlussabrechnung erstellen",IF(AW237="","Zahlungseingang kontrollieren","Fall abschliessen"))))))))))))))))))))))))))))))))</f>
        <v/>
      </c>
      <c r="J237" s="17">
        <f>IF(M237="","",IF(S237&lt;&gt;"",MAX(0,S237-M237-1),MAX(0,TODAY()-M237)))</f>
        <v/>
      </c>
      <c r="K237" s="16">
        <f>IF($B237="","",TRIM(IF(AND(L237&lt;&gt;"",M237&lt;&gt;"",M237&lt;L237),"Haftungsdatum vor Kündigung. ","")&amp;IF(AND(S237&lt;&gt;"",M237&lt;&gt;"",S237&lt;M237),"Vermietung vor Leerstandsbeginn. ","")&amp;IF(AND(Z237&lt;&gt;"",L237&lt;&gt;"",Z237&lt;L237),"WA-Termin vor Kündigung. ","")&amp;IF(COUNTIFS($B$5:$B$404,$B237,$AY$5:$AY$404,"")&gt;1,"Zweiter offener Fall zum selben Objekt. ","")&amp;IF(AND($A237&lt;&gt;"",COUNTIFS($A$5:$A$404,$A237)&gt;1),"Fall-Nr. doppelt vergeben. ","")&amp;IF(E237="","ex-Mieter fehlt. ","")&amp;IF(M237="","Haftungsdatum fehlt. ","")&amp;IF(F237="","Bewirtschafter fehlt. ","")&amp;IF(AND(AY237&lt;&gt;"",AW237=""),"Abgeschlossen trotz offener Schlussabrechnung. ","")&amp;IF(AND(AY237="",S237="",ISNUMBER(J237),J237&gt;60),"Langläufer über 60 Tage. ","")))</f>
        <v/>
      </c>
      <c r="L237" s="18" t="n"/>
      <c r="M237" s="18" t="n"/>
      <c r="N237" s="19">
        <f>IF(M237="","",M237+1)</f>
        <v/>
      </c>
      <c r="O237" s="17">
        <f>IF(OR(L237="",M237=""),"",M237-L237)</f>
        <v/>
      </c>
      <c r="P237" s="16">
        <f>IF(M237="","",YEAR(M237+1)&amp;"-"&amp;TEXT(MONTH(M237+1),"00"))</f>
        <v/>
      </c>
      <c r="Q237" s="18" t="n"/>
      <c r="R237" s="15" t="n"/>
      <c r="S237" s="18" t="n"/>
      <c r="T237" s="16">
        <f>IF(U237="","",IF(LEFT(U237,1)="6","abgeschlossen",IF(OR(LEFT(U237,1)="1",LEFT(U237,1)="2"),"Kündigung &amp; Abnahme",IF(OR(LEFT(U237,1)="3",LEFT(U237,1)="4"),"Wiedervermietung","Schlussabrechnung"))))</f>
        <v/>
      </c>
      <c r="U237" s="16">
        <f>IF($B237="","",IF(AY237&lt;&gt;"","6 · abgeschlossen",IF(AW237&lt;&gt;"","5 · bereit zum Abschluss",IF(AT237&lt;&gt;"","5 · Schlussabrechnung",IF(AO237&lt;&gt;"","4 · Übergabe",IF(AM237&lt;&gt;"","3 · Neuvermietung",IF(M237&lt;&gt;"","2 · Abnahme &amp; Vermarktung","1 · Erfassung")))))))</f>
        <v/>
      </c>
      <c r="V237" s="15" t="n"/>
      <c r="W237" s="20" t="n"/>
      <c r="X237" s="15" t="n"/>
      <c r="Y237" s="15" t="n"/>
      <c r="Z237" s="18" t="n"/>
      <c r="AA237" s="19">
        <f>IF(M237="","",M237-30)</f>
        <v/>
      </c>
      <c r="AB237" s="19">
        <f>IF(ISNUMBER(AJ237),AJ237+3,"")</f>
        <v/>
      </c>
      <c r="AC237" s="18" t="n"/>
      <c r="AD237" s="18" t="n"/>
      <c r="AE237" s="18" t="n"/>
      <c r="AF237" s="18" t="n"/>
      <c r="AG237" s="18" t="n"/>
      <c r="AH237" s="18" t="n"/>
      <c r="AI237" s="18" t="n"/>
      <c r="AJ237" s="18" t="n"/>
      <c r="AK237" s="18" t="n"/>
      <c r="AL237" s="18" t="n"/>
      <c r="AM237" s="18" t="n"/>
      <c r="AN237" s="18" t="n"/>
      <c r="AO237" s="18" t="n"/>
      <c r="AP237" s="18" t="n"/>
      <c r="AQ237" s="18" t="n"/>
      <c r="AR237" s="18" t="n"/>
      <c r="AS237" s="18" t="n"/>
      <c r="AT237" s="18" t="n"/>
      <c r="AU237" s="18" t="n"/>
      <c r="AV237" s="18" t="n"/>
      <c r="AW237" s="18" t="n"/>
      <c r="AX237" s="18" t="n"/>
      <c r="AY237" s="18" t="n"/>
      <c r="AZ237" s="15" t="n"/>
    </row>
    <row r="238">
      <c r="A238" s="15" t="n"/>
      <c r="B238" s="15" t="n"/>
      <c r="C238" s="15" t="n"/>
      <c r="D238" s="15" t="n"/>
      <c r="E238" s="15" t="n"/>
      <c r="F238" s="15" t="n"/>
      <c r="G238" s="16">
        <f>IF(F238="","",IFERROR(INDEX(Stammdaten!$B$5:$B$24,MATCH(F238,Stammdaten!$A$5:$A$24,0)),"unbekannt"))</f>
        <v/>
      </c>
      <c r="H238" s="16">
        <f>IF($B238="","",IF(AY238&lt;&gt;"","abgeschlossen",IF(AND(ISNUMBER(AX238),AX238&gt;=TODAY()),"zurückgestellt",IF(OR(AND(ISNUMBER(AA238),AA238&lt;TODAY(),Z238="",AJ238=""),AND(ISNUMBER(Z238),Z238&lt;TODAY(),AJ238=""),AND(ISNUMBER(AB238),AB238&lt;TODAY(),AK238=""),AND(ISNUMBER(AC238),AC238&lt;TODAY(),AO238=""),AND(ISNUMBER(AD238),AD238&lt;TODAY(),AQ238="")),"überfällig","offen"))))</f>
        <v/>
      </c>
      <c r="I238" s="16">
        <f>IF($B238="","",IF(AY238&lt;&gt;"","—",IF(AND(ISNUMBER(AA238),AA238&lt;TODAY(),Z238="",AJ238=""),"Abnahmetermin vereinbaren – Sollfrist verstrichen",IF(AND(ISNUMBER(Z238),Z238&lt;TODAY(),AJ238=""),"Wohnungsabnahme nachtragen – Termin war fällig",IF(AND(ISNUMBER(AB238),AB238&lt;TODAY(),AK238=""),"Handwerker aufbieten – Frist verstrichen",IF(AND(ISNUMBER(AC238),AC238&lt;TODAY(),AO238=""),"Vertrag retour mahnen – Frist verstrichen",IF(AND(ISNUMBER(AD238),AD238&lt;TODAY(),AQ238=""),"Schlüsselübergabe nachtragen – Termin war fällig",IF(M238="","Haftungsdatum erfassen",IF(E238="","ex-Mieter erfassen",IF(AE238="","Kündigung bestätigen / G-Rem",IF(AF238="","Werke / EGT melden",IF(AG238="","Vorbesichtigung (oder n.e.)",IF(AH238="","VMZ aktualisieren",IF(AI238="","Inserat aufschalten",IF(AND(Z238="",AJ238=""),"Abnahmetermin vereinbaren",IF(AJ238="","Wohnungsabnahme durchführen",IF(AK238="","Handwerker aufbieten",IF(AL238="","Zustimmungserklärung einholen",IF(AM238="","Instandstellungen beauftragen",IF(R238="","Nachmieter erfassen",IF(AN238="","Vertrag versenden",IF(AO238="","Vertrag retour erfassen",IF(S238="","Vermietet per erfassen",IF(AP238="","Werke / EGT über Einzug informieren",IF(AND(AD238="",AQ238=""),"Schlüsselübergabe terminieren",IF(AQ238="","Schlüsselübergabe durchführen",IF(AR238="","Reinigung veranlassen",IF(AS238="","Namensschilder bestellen",IF(AT238="","Kaution prüfen / G-Rem mutieren",IF(AU238="","Instandstellungs-Rechnung erfassen",IF(AV238="","Schlussabrechnung erstellen",IF(AW238="","Zahlungseingang kontrollieren","Fall abschliessen"))))))))))))))))))))))))))))))))</f>
        <v/>
      </c>
      <c r="J238" s="17">
        <f>IF(M238="","",IF(S238&lt;&gt;"",MAX(0,S238-M238-1),MAX(0,TODAY()-M238)))</f>
        <v/>
      </c>
      <c r="K238" s="16">
        <f>IF($B238="","",TRIM(IF(AND(L238&lt;&gt;"",M238&lt;&gt;"",M238&lt;L238),"Haftungsdatum vor Kündigung. ","")&amp;IF(AND(S238&lt;&gt;"",M238&lt;&gt;"",S238&lt;M238),"Vermietung vor Leerstandsbeginn. ","")&amp;IF(AND(Z238&lt;&gt;"",L238&lt;&gt;"",Z238&lt;L238),"WA-Termin vor Kündigung. ","")&amp;IF(COUNTIFS($B$5:$B$404,$B238,$AY$5:$AY$404,"")&gt;1,"Zweiter offener Fall zum selben Objekt. ","")&amp;IF(AND($A238&lt;&gt;"",COUNTIFS($A$5:$A$404,$A238)&gt;1),"Fall-Nr. doppelt vergeben. ","")&amp;IF(E238="","ex-Mieter fehlt. ","")&amp;IF(M238="","Haftungsdatum fehlt. ","")&amp;IF(F238="","Bewirtschafter fehlt. ","")&amp;IF(AND(AY238&lt;&gt;"",AW238=""),"Abgeschlossen trotz offener Schlussabrechnung. ","")&amp;IF(AND(AY238="",S238="",ISNUMBER(J238),J238&gt;60),"Langläufer über 60 Tage. ","")))</f>
        <v/>
      </c>
      <c r="L238" s="18" t="n"/>
      <c r="M238" s="18" t="n"/>
      <c r="N238" s="19">
        <f>IF(M238="","",M238+1)</f>
        <v/>
      </c>
      <c r="O238" s="17">
        <f>IF(OR(L238="",M238=""),"",M238-L238)</f>
        <v/>
      </c>
      <c r="P238" s="16">
        <f>IF(M238="","",YEAR(M238+1)&amp;"-"&amp;TEXT(MONTH(M238+1),"00"))</f>
        <v/>
      </c>
      <c r="Q238" s="18" t="n"/>
      <c r="R238" s="15" t="n"/>
      <c r="S238" s="18" t="n"/>
      <c r="T238" s="16">
        <f>IF(U238="","",IF(LEFT(U238,1)="6","abgeschlossen",IF(OR(LEFT(U238,1)="1",LEFT(U238,1)="2"),"Kündigung &amp; Abnahme",IF(OR(LEFT(U238,1)="3",LEFT(U238,1)="4"),"Wiedervermietung","Schlussabrechnung"))))</f>
        <v/>
      </c>
      <c r="U238" s="16">
        <f>IF($B238="","",IF(AY238&lt;&gt;"","6 · abgeschlossen",IF(AW238&lt;&gt;"","5 · bereit zum Abschluss",IF(AT238&lt;&gt;"","5 · Schlussabrechnung",IF(AO238&lt;&gt;"","4 · Übergabe",IF(AM238&lt;&gt;"","3 · Neuvermietung",IF(M238&lt;&gt;"","2 · Abnahme &amp; Vermarktung","1 · Erfassung")))))))</f>
        <v/>
      </c>
      <c r="V238" s="15" t="n"/>
      <c r="W238" s="20" t="n"/>
      <c r="X238" s="15" t="n"/>
      <c r="Y238" s="15" t="n"/>
      <c r="Z238" s="18" t="n"/>
      <c r="AA238" s="19">
        <f>IF(M238="","",M238-30)</f>
        <v/>
      </c>
      <c r="AB238" s="19">
        <f>IF(ISNUMBER(AJ238),AJ238+3,"")</f>
        <v/>
      </c>
      <c r="AC238" s="18" t="n"/>
      <c r="AD238" s="18" t="n"/>
      <c r="AE238" s="18" t="n"/>
      <c r="AF238" s="18" t="n"/>
      <c r="AG238" s="18" t="n"/>
      <c r="AH238" s="18" t="n"/>
      <c r="AI238" s="18" t="n"/>
      <c r="AJ238" s="18" t="n"/>
      <c r="AK238" s="18" t="n"/>
      <c r="AL238" s="18" t="n"/>
      <c r="AM238" s="18" t="n"/>
      <c r="AN238" s="18" t="n"/>
      <c r="AO238" s="18" t="n"/>
      <c r="AP238" s="18" t="n"/>
      <c r="AQ238" s="18" t="n"/>
      <c r="AR238" s="18" t="n"/>
      <c r="AS238" s="18" t="n"/>
      <c r="AT238" s="18" t="n"/>
      <c r="AU238" s="18" t="n"/>
      <c r="AV238" s="18" t="n"/>
      <c r="AW238" s="18" t="n"/>
      <c r="AX238" s="18" t="n"/>
      <c r="AY238" s="18" t="n"/>
      <c r="AZ238" s="15" t="n"/>
    </row>
    <row r="239">
      <c r="A239" s="15" t="n"/>
      <c r="B239" s="15" t="n"/>
      <c r="C239" s="15" t="n"/>
      <c r="D239" s="15" t="n"/>
      <c r="E239" s="15" t="n"/>
      <c r="F239" s="15" t="n"/>
      <c r="G239" s="16">
        <f>IF(F239="","",IFERROR(INDEX(Stammdaten!$B$5:$B$24,MATCH(F239,Stammdaten!$A$5:$A$24,0)),"unbekannt"))</f>
        <v/>
      </c>
      <c r="H239" s="16">
        <f>IF($B239="","",IF(AY239&lt;&gt;"","abgeschlossen",IF(AND(ISNUMBER(AX239),AX239&gt;=TODAY()),"zurückgestellt",IF(OR(AND(ISNUMBER(AA239),AA239&lt;TODAY(),Z239="",AJ239=""),AND(ISNUMBER(Z239),Z239&lt;TODAY(),AJ239=""),AND(ISNUMBER(AB239),AB239&lt;TODAY(),AK239=""),AND(ISNUMBER(AC239),AC239&lt;TODAY(),AO239=""),AND(ISNUMBER(AD239),AD239&lt;TODAY(),AQ239="")),"überfällig","offen"))))</f>
        <v/>
      </c>
      <c r="I239" s="16">
        <f>IF($B239="","",IF(AY239&lt;&gt;"","—",IF(AND(ISNUMBER(AA239),AA239&lt;TODAY(),Z239="",AJ239=""),"Abnahmetermin vereinbaren – Sollfrist verstrichen",IF(AND(ISNUMBER(Z239),Z239&lt;TODAY(),AJ239=""),"Wohnungsabnahme nachtragen – Termin war fällig",IF(AND(ISNUMBER(AB239),AB239&lt;TODAY(),AK239=""),"Handwerker aufbieten – Frist verstrichen",IF(AND(ISNUMBER(AC239),AC239&lt;TODAY(),AO239=""),"Vertrag retour mahnen – Frist verstrichen",IF(AND(ISNUMBER(AD239),AD239&lt;TODAY(),AQ239=""),"Schlüsselübergabe nachtragen – Termin war fällig",IF(M239="","Haftungsdatum erfassen",IF(E239="","ex-Mieter erfassen",IF(AE239="","Kündigung bestätigen / G-Rem",IF(AF239="","Werke / EGT melden",IF(AG239="","Vorbesichtigung (oder n.e.)",IF(AH239="","VMZ aktualisieren",IF(AI239="","Inserat aufschalten",IF(AND(Z239="",AJ239=""),"Abnahmetermin vereinbaren",IF(AJ239="","Wohnungsabnahme durchführen",IF(AK239="","Handwerker aufbieten",IF(AL239="","Zustimmungserklärung einholen",IF(AM239="","Instandstellungen beauftragen",IF(R239="","Nachmieter erfassen",IF(AN239="","Vertrag versenden",IF(AO239="","Vertrag retour erfassen",IF(S239="","Vermietet per erfassen",IF(AP239="","Werke / EGT über Einzug informieren",IF(AND(AD239="",AQ239=""),"Schlüsselübergabe terminieren",IF(AQ239="","Schlüsselübergabe durchführen",IF(AR239="","Reinigung veranlassen",IF(AS239="","Namensschilder bestellen",IF(AT239="","Kaution prüfen / G-Rem mutieren",IF(AU239="","Instandstellungs-Rechnung erfassen",IF(AV239="","Schlussabrechnung erstellen",IF(AW239="","Zahlungseingang kontrollieren","Fall abschliessen"))))))))))))))))))))))))))))))))</f>
        <v/>
      </c>
      <c r="J239" s="17">
        <f>IF(M239="","",IF(S239&lt;&gt;"",MAX(0,S239-M239-1),MAX(0,TODAY()-M239)))</f>
        <v/>
      </c>
      <c r="K239" s="16">
        <f>IF($B239="","",TRIM(IF(AND(L239&lt;&gt;"",M239&lt;&gt;"",M239&lt;L239),"Haftungsdatum vor Kündigung. ","")&amp;IF(AND(S239&lt;&gt;"",M239&lt;&gt;"",S239&lt;M239),"Vermietung vor Leerstandsbeginn. ","")&amp;IF(AND(Z239&lt;&gt;"",L239&lt;&gt;"",Z239&lt;L239),"WA-Termin vor Kündigung. ","")&amp;IF(COUNTIFS($B$5:$B$404,$B239,$AY$5:$AY$404,"")&gt;1,"Zweiter offener Fall zum selben Objekt. ","")&amp;IF(AND($A239&lt;&gt;"",COUNTIFS($A$5:$A$404,$A239)&gt;1),"Fall-Nr. doppelt vergeben. ","")&amp;IF(E239="","ex-Mieter fehlt. ","")&amp;IF(M239="","Haftungsdatum fehlt. ","")&amp;IF(F239="","Bewirtschafter fehlt. ","")&amp;IF(AND(AY239&lt;&gt;"",AW239=""),"Abgeschlossen trotz offener Schlussabrechnung. ","")&amp;IF(AND(AY239="",S239="",ISNUMBER(J239),J239&gt;60),"Langläufer über 60 Tage. ","")))</f>
        <v/>
      </c>
      <c r="L239" s="18" t="n"/>
      <c r="M239" s="18" t="n"/>
      <c r="N239" s="19">
        <f>IF(M239="","",M239+1)</f>
        <v/>
      </c>
      <c r="O239" s="17">
        <f>IF(OR(L239="",M239=""),"",M239-L239)</f>
        <v/>
      </c>
      <c r="P239" s="16">
        <f>IF(M239="","",YEAR(M239+1)&amp;"-"&amp;TEXT(MONTH(M239+1),"00"))</f>
        <v/>
      </c>
      <c r="Q239" s="18" t="n"/>
      <c r="R239" s="15" t="n"/>
      <c r="S239" s="18" t="n"/>
      <c r="T239" s="16">
        <f>IF(U239="","",IF(LEFT(U239,1)="6","abgeschlossen",IF(OR(LEFT(U239,1)="1",LEFT(U239,1)="2"),"Kündigung &amp; Abnahme",IF(OR(LEFT(U239,1)="3",LEFT(U239,1)="4"),"Wiedervermietung","Schlussabrechnung"))))</f>
        <v/>
      </c>
      <c r="U239" s="16">
        <f>IF($B239="","",IF(AY239&lt;&gt;"","6 · abgeschlossen",IF(AW239&lt;&gt;"","5 · bereit zum Abschluss",IF(AT239&lt;&gt;"","5 · Schlussabrechnung",IF(AO239&lt;&gt;"","4 · Übergabe",IF(AM239&lt;&gt;"","3 · Neuvermietung",IF(M239&lt;&gt;"","2 · Abnahme &amp; Vermarktung","1 · Erfassung")))))))</f>
        <v/>
      </c>
      <c r="V239" s="15" t="n"/>
      <c r="W239" s="20" t="n"/>
      <c r="X239" s="15" t="n"/>
      <c r="Y239" s="15" t="n"/>
      <c r="Z239" s="18" t="n"/>
      <c r="AA239" s="19">
        <f>IF(M239="","",M239-30)</f>
        <v/>
      </c>
      <c r="AB239" s="19">
        <f>IF(ISNUMBER(AJ239),AJ239+3,"")</f>
        <v/>
      </c>
      <c r="AC239" s="18" t="n"/>
      <c r="AD239" s="18" t="n"/>
      <c r="AE239" s="18" t="n"/>
      <c r="AF239" s="18" t="n"/>
      <c r="AG239" s="18" t="n"/>
      <c r="AH239" s="18" t="n"/>
      <c r="AI239" s="18" t="n"/>
      <c r="AJ239" s="18" t="n"/>
      <c r="AK239" s="18" t="n"/>
      <c r="AL239" s="18" t="n"/>
      <c r="AM239" s="18" t="n"/>
      <c r="AN239" s="18" t="n"/>
      <c r="AO239" s="18" t="n"/>
      <c r="AP239" s="18" t="n"/>
      <c r="AQ239" s="18" t="n"/>
      <c r="AR239" s="18" t="n"/>
      <c r="AS239" s="18" t="n"/>
      <c r="AT239" s="18" t="n"/>
      <c r="AU239" s="18" t="n"/>
      <c r="AV239" s="18" t="n"/>
      <c r="AW239" s="18" t="n"/>
      <c r="AX239" s="18" t="n"/>
      <c r="AY239" s="18" t="n"/>
      <c r="AZ239" s="15" t="n"/>
    </row>
    <row r="240">
      <c r="A240" s="15" t="n"/>
      <c r="B240" s="15" t="n"/>
      <c r="C240" s="15" t="n"/>
      <c r="D240" s="15" t="n"/>
      <c r="E240" s="15" t="n"/>
      <c r="F240" s="15" t="n"/>
      <c r="G240" s="16">
        <f>IF(F240="","",IFERROR(INDEX(Stammdaten!$B$5:$B$24,MATCH(F240,Stammdaten!$A$5:$A$24,0)),"unbekannt"))</f>
        <v/>
      </c>
      <c r="H240" s="16">
        <f>IF($B240="","",IF(AY240&lt;&gt;"","abgeschlossen",IF(AND(ISNUMBER(AX240),AX240&gt;=TODAY()),"zurückgestellt",IF(OR(AND(ISNUMBER(AA240),AA240&lt;TODAY(),Z240="",AJ240=""),AND(ISNUMBER(Z240),Z240&lt;TODAY(),AJ240=""),AND(ISNUMBER(AB240),AB240&lt;TODAY(),AK240=""),AND(ISNUMBER(AC240),AC240&lt;TODAY(),AO240=""),AND(ISNUMBER(AD240),AD240&lt;TODAY(),AQ240="")),"überfällig","offen"))))</f>
        <v/>
      </c>
      <c r="I240" s="16">
        <f>IF($B240="","",IF(AY240&lt;&gt;"","—",IF(AND(ISNUMBER(AA240),AA240&lt;TODAY(),Z240="",AJ240=""),"Abnahmetermin vereinbaren – Sollfrist verstrichen",IF(AND(ISNUMBER(Z240),Z240&lt;TODAY(),AJ240=""),"Wohnungsabnahme nachtragen – Termin war fällig",IF(AND(ISNUMBER(AB240),AB240&lt;TODAY(),AK240=""),"Handwerker aufbieten – Frist verstrichen",IF(AND(ISNUMBER(AC240),AC240&lt;TODAY(),AO240=""),"Vertrag retour mahnen – Frist verstrichen",IF(AND(ISNUMBER(AD240),AD240&lt;TODAY(),AQ240=""),"Schlüsselübergabe nachtragen – Termin war fällig",IF(M240="","Haftungsdatum erfassen",IF(E240="","ex-Mieter erfassen",IF(AE240="","Kündigung bestätigen / G-Rem",IF(AF240="","Werke / EGT melden",IF(AG240="","Vorbesichtigung (oder n.e.)",IF(AH240="","VMZ aktualisieren",IF(AI240="","Inserat aufschalten",IF(AND(Z240="",AJ240=""),"Abnahmetermin vereinbaren",IF(AJ240="","Wohnungsabnahme durchführen",IF(AK240="","Handwerker aufbieten",IF(AL240="","Zustimmungserklärung einholen",IF(AM240="","Instandstellungen beauftragen",IF(R240="","Nachmieter erfassen",IF(AN240="","Vertrag versenden",IF(AO240="","Vertrag retour erfassen",IF(S240="","Vermietet per erfassen",IF(AP240="","Werke / EGT über Einzug informieren",IF(AND(AD240="",AQ240=""),"Schlüsselübergabe terminieren",IF(AQ240="","Schlüsselübergabe durchführen",IF(AR240="","Reinigung veranlassen",IF(AS240="","Namensschilder bestellen",IF(AT240="","Kaution prüfen / G-Rem mutieren",IF(AU240="","Instandstellungs-Rechnung erfassen",IF(AV240="","Schlussabrechnung erstellen",IF(AW240="","Zahlungseingang kontrollieren","Fall abschliessen"))))))))))))))))))))))))))))))))</f>
        <v/>
      </c>
      <c r="J240" s="17">
        <f>IF(M240="","",IF(S240&lt;&gt;"",MAX(0,S240-M240-1),MAX(0,TODAY()-M240)))</f>
        <v/>
      </c>
      <c r="K240" s="16">
        <f>IF($B240="","",TRIM(IF(AND(L240&lt;&gt;"",M240&lt;&gt;"",M240&lt;L240),"Haftungsdatum vor Kündigung. ","")&amp;IF(AND(S240&lt;&gt;"",M240&lt;&gt;"",S240&lt;M240),"Vermietung vor Leerstandsbeginn. ","")&amp;IF(AND(Z240&lt;&gt;"",L240&lt;&gt;"",Z240&lt;L240),"WA-Termin vor Kündigung. ","")&amp;IF(COUNTIFS($B$5:$B$404,$B240,$AY$5:$AY$404,"")&gt;1,"Zweiter offener Fall zum selben Objekt. ","")&amp;IF(AND($A240&lt;&gt;"",COUNTIFS($A$5:$A$404,$A240)&gt;1),"Fall-Nr. doppelt vergeben. ","")&amp;IF(E240="","ex-Mieter fehlt. ","")&amp;IF(M240="","Haftungsdatum fehlt. ","")&amp;IF(F240="","Bewirtschafter fehlt. ","")&amp;IF(AND(AY240&lt;&gt;"",AW240=""),"Abgeschlossen trotz offener Schlussabrechnung. ","")&amp;IF(AND(AY240="",S240="",ISNUMBER(J240),J240&gt;60),"Langläufer über 60 Tage. ","")))</f>
        <v/>
      </c>
      <c r="L240" s="18" t="n"/>
      <c r="M240" s="18" t="n"/>
      <c r="N240" s="19">
        <f>IF(M240="","",M240+1)</f>
        <v/>
      </c>
      <c r="O240" s="17">
        <f>IF(OR(L240="",M240=""),"",M240-L240)</f>
        <v/>
      </c>
      <c r="P240" s="16">
        <f>IF(M240="","",YEAR(M240+1)&amp;"-"&amp;TEXT(MONTH(M240+1),"00"))</f>
        <v/>
      </c>
      <c r="Q240" s="18" t="n"/>
      <c r="R240" s="15" t="n"/>
      <c r="S240" s="18" t="n"/>
      <c r="T240" s="16">
        <f>IF(U240="","",IF(LEFT(U240,1)="6","abgeschlossen",IF(OR(LEFT(U240,1)="1",LEFT(U240,1)="2"),"Kündigung &amp; Abnahme",IF(OR(LEFT(U240,1)="3",LEFT(U240,1)="4"),"Wiedervermietung","Schlussabrechnung"))))</f>
        <v/>
      </c>
      <c r="U240" s="16">
        <f>IF($B240="","",IF(AY240&lt;&gt;"","6 · abgeschlossen",IF(AW240&lt;&gt;"","5 · bereit zum Abschluss",IF(AT240&lt;&gt;"","5 · Schlussabrechnung",IF(AO240&lt;&gt;"","4 · Übergabe",IF(AM240&lt;&gt;"","3 · Neuvermietung",IF(M240&lt;&gt;"","2 · Abnahme &amp; Vermarktung","1 · Erfassung")))))))</f>
        <v/>
      </c>
      <c r="V240" s="15" t="n"/>
      <c r="W240" s="20" t="n"/>
      <c r="X240" s="15" t="n"/>
      <c r="Y240" s="15" t="n"/>
      <c r="Z240" s="18" t="n"/>
      <c r="AA240" s="19">
        <f>IF(M240="","",M240-30)</f>
        <v/>
      </c>
      <c r="AB240" s="19">
        <f>IF(ISNUMBER(AJ240),AJ240+3,"")</f>
        <v/>
      </c>
      <c r="AC240" s="18" t="n"/>
      <c r="AD240" s="18" t="n"/>
      <c r="AE240" s="18" t="n"/>
      <c r="AF240" s="18" t="n"/>
      <c r="AG240" s="18" t="n"/>
      <c r="AH240" s="18" t="n"/>
      <c r="AI240" s="18" t="n"/>
      <c r="AJ240" s="18" t="n"/>
      <c r="AK240" s="18" t="n"/>
      <c r="AL240" s="18" t="n"/>
      <c r="AM240" s="18" t="n"/>
      <c r="AN240" s="18" t="n"/>
      <c r="AO240" s="18" t="n"/>
      <c r="AP240" s="18" t="n"/>
      <c r="AQ240" s="18" t="n"/>
      <c r="AR240" s="18" t="n"/>
      <c r="AS240" s="18" t="n"/>
      <c r="AT240" s="18" t="n"/>
      <c r="AU240" s="18" t="n"/>
      <c r="AV240" s="18" t="n"/>
      <c r="AW240" s="18" t="n"/>
      <c r="AX240" s="18" t="n"/>
      <c r="AY240" s="18" t="n"/>
      <c r="AZ240" s="15" t="n"/>
    </row>
    <row r="241">
      <c r="A241" s="15" t="n"/>
      <c r="B241" s="15" t="n"/>
      <c r="C241" s="15" t="n"/>
      <c r="D241" s="15" t="n"/>
      <c r="E241" s="15" t="n"/>
      <c r="F241" s="15" t="n"/>
      <c r="G241" s="16">
        <f>IF(F241="","",IFERROR(INDEX(Stammdaten!$B$5:$B$24,MATCH(F241,Stammdaten!$A$5:$A$24,0)),"unbekannt"))</f>
        <v/>
      </c>
      <c r="H241" s="16">
        <f>IF($B241="","",IF(AY241&lt;&gt;"","abgeschlossen",IF(AND(ISNUMBER(AX241),AX241&gt;=TODAY()),"zurückgestellt",IF(OR(AND(ISNUMBER(AA241),AA241&lt;TODAY(),Z241="",AJ241=""),AND(ISNUMBER(Z241),Z241&lt;TODAY(),AJ241=""),AND(ISNUMBER(AB241),AB241&lt;TODAY(),AK241=""),AND(ISNUMBER(AC241),AC241&lt;TODAY(),AO241=""),AND(ISNUMBER(AD241),AD241&lt;TODAY(),AQ241="")),"überfällig","offen"))))</f>
        <v/>
      </c>
      <c r="I241" s="16">
        <f>IF($B241="","",IF(AY241&lt;&gt;"","—",IF(AND(ISNUMBER(AA241),AA241&lt;TODAY(),Z241="",AJ241=""),"Abnahmetermin vereinbaren – Sollfrist verstrichen",IF(AND(ISNUMBER(Z241),Z241&lt;TODAY(),AJ241=""),"Wohnungsabnahme nachtragen – Termin war fällig",IF(AND(ISNUMBER(AB241),AB241&lt;TODAY(),AK241=""),"Handwerker aufbieten – Frist verstrichen",IF(AND(ISNUMBER(AC241),AC241&lt;TODAY(),AO241=""),"Vertrag retour mahnen – Frist verstrichen",IF(AND(ISNUMBER(AD241),AD241&lt;TODAY(),AQ241=""),"Schlüsselübergabe nachtragen – Termin war fällig",IF(M241="","Haftungsdatum erfassen",IF(E241="","ex-Mieter erfassen",IF(AE241="","Kündigung bestätigen / G-Rem",IF(AF241="","Werke / EGT melden",IF(AG241="","Vorbesichtigung (oder n.e.)",IF(AH241="","VMZ aktualisieren",IF(AI241="","Inserat aufschalten",IF(AND(Z241="",AJ241=""),"Abnahmetermin vereinbaren",IF(AJ241="","Wohnungsabnahme durchführen",IF(AK241="","Handwerker aufbieten",IF(AL241="","Zustimmungserklärung einholen",IF(AM241="","Instandstellungen beauftragen",IF(R241="","Nachmieter erfassen",IF(AN241="","Vertrag versenden",IF(AO241="","Vertrag retour erfassen",IF(S241="","Vermietet per erfassen",IF(AP241="","Werke / EGT über Einzug informieren",IF(AND(AD241="",AQ241=""),"Schlüsselübergabe terminieren",IF(AQ241="","Schlüsselübergabe durchführen",IF(AR241="","Reinigung veranlassen",IF(AS241="","Namensschilder bestellen",IF(AT241="","Kaution prüfen / G-Rem mutieren",IF(AU241="","Instandstellungs-Rechnung erfassen",IF(AV241="","Schlussabrechnung erstellen",IF(AW241="","Zahlungseingang kontrollieren","Fall abschliessen"))))))))))))))))))))))))))))))))</f>
        <v/>
      </c>
      <c r="J241" s="17">
        <f>IF(M241="","",IF(S241&lt;&gt;"",MAX(0,S241-M241-1),MAX(0,TODAY()-M241)))</f>
        <v/>
      </c>
      <c r="K241" s="16">
        <f>IF($B241="","",TRIM(IF(AND(L241&lt;&gt;"",M241&lt;&gt;"",M241&lt;L241),"Haftungsdatum vor Kündigung. ","")&amp;IF(AND(S241&lt;&gt;"",M241&lt;&gt;"",S241&lt;M241),"Vermietung vor Leerstandsbeginn. ","")&amp;IF(AND(Z241&lt;&gt;"",L241&lt;&gt;"",Z241&lt;L241),"WA-Termin vor Kündigung. ","")&amp;IF(COUNTIFS($B$5:$B$404,$B241,$AY$5:$AY$404,"")&gt;1,"Zweiter offener Fall zum selben Objekt. ","")&amp;IF(AND($A241&lt;&gt;"",COUNTIFS($A$5:$A$404,$A241)&gt;1),"Fall-Nr. doppelt vergeben. ","")&amp;IF(E241="","ex-Mieter fehlt. ","")&amp;IF(M241="","Haftungsdatum fehlt. ","")&amp;IF(F241="","Bewirtschafter fehlt. ","")&amp;IF(AND(AY241&lt;&gt;"",AW241=""),"Abgeschlossen trotz offener Schlussabrechnung. ","")&amp;IF(AND(AY241="",S241="",ISNUMBER(J241),J241&gt;60),"Langläufer über 60 Tage. ","")))</f>
        <v/>
      </c>
      <c r="L241" s="18" t="n"/>
      <c r="M241" s="18" t="n"/>
      <c r="N241" s="19">
        <f>IF(M241="","",M241+1)</f>
        <v/>
      </c>
      <c r="O241" s="17">
        <f>IF(OR(L241="",M241=""),"",M241-L241)</f>
        <v/>
      </c>
      <c r="P241" s="16">
        <f>IF(M241="","",YEAR(M241+1)&amp;"-"&amp;TEXT(MONTH(M241+1),"00"))</f>
        <v/>
      </c>
      <c r="Q241" s="18" t="n"/>
      <c r="R241" s="15" t="n"/>
      <c r="S241" s="18" t="n"/>
      <c r="T241" s="16">
        <f>IF(U241="","",IF(LEFT(U241,1)="6","abgeschlossen",IF(OR(LEFT(U241,1)="1",LEFT(U241,1)="2"),"Kündigung &amp; Abnahme",IF(OR(LEFT(U241,1)="3",LEFT(U241,1)="4"),"Wiedervermietung","Schlussabrechnung"))))</f>
        <v/>
      </c>
      <c r="U241" s="16">
        <f>IF($B241="","",IF(AY241&lt;&gt;"","6 · abgeschlossen",IF(AW241&lt;&gt;"","5 · bereit zum Abschluss",IF(AT241&lt;&gt;"","5 · Schlussabrechnung",IF(AO241&lt;&gt;"","4 · Übergabe",IF(AM241&lt;&gt;"","3 · Neuvermietung",IF(M241&lt;&gt;"","2 · Abnahme &amp; Vermarktung","1 · Erfassung")))))))</f>
        <v/>
      </c>
      <c r="V241" s="15" t="n"/>
      <c r="W241" s="20" t="n"/>
      <c r="X241" s="15" t="n"/>
      <c r="Y241" s="15" t="n"/>
      <c r="Z241" s="18" t="n"/>
      <c r="AA241" s="19">
        <f>IF(M241="","",M241-30)</f>
        <v/>
      </c>
      <c r="AB241" s="19">
        <f>IF(ISNUMBER(AJ241),AJ241+3,"")</f>
        <v/>
      </c>
      <c r="AC241" s="18" t="n"/>
      <c r="AD241" s="18" t="n"/>
      <c r="AE241" s="18" t="n"/>
      <c r="AF241" s="18" t="n"/>
      <c r="AG241" s="18" t="n"/>
      <c r="AH241" s="18" t="n"/>
      <c r="AI241" s="18" t="n"/>
      <c r="AJ241" s="18" t="n"/>
      <c r="AK241" s="18" t="n"/>
      <c r="AL241" s="18" t="n"/>
      <c r="AM241" s="18" t="n"/>
      <c r="AN241" s="18" t="n"/>
      <c r="AO241" s="18" t="n"/>
      <c r="AP241" s="18" t="n"/>
      <c r="AQ241" s="18" t="n"/>
      <c r="AR241" s="18" t="n"/>
      <c r="AS241" s="18" t="n"/>
      <c r="AT241" s="18" t="n"/>
      <c r="AU241" s="18" t="n"/>
      <c r="AV241" s="18" t="n"/>
      <c r="AW241" s="18" t="n"/>
      <c r="AX241" s="18" t="n"/>
      <c r="AY241" s="18" t="n"/>
      <c r="AZ241" s="15" t="n"/>
    </row>
    <row r="242">
      <c r="A242" s="15" t="n"/>
      <c r="B242" s="15" t="n"/>
      <c r="C242" s="15" t="n"/>
      <c r="D242" s="15" t="n"/>
      <c r="E242" s="15" t="n"/>
      <c r="F242" s="15" t="n"/>
      <c r="G242" s="16">
        <f>IF(F242="","",IFERROR(INDEX(Stammdaten!$B$5:$B$24,MATCH(F242,Stammdaten!$A$5:$A$24,0)),"unbekannt"))</f>
        <v/>
      </c>
      <c r="H242" s="16">
        <f>IF($B242="","",IF(AY242&lt;&gt;"","abgeschlossen",IF(AND(ISNUMBER(AX242),AX242&gt;=TODAY()),"zurückgestellt",IF(OR(AND(ISNUMBER(AA242),AA242&lt;TODAY(),Z242="",AJ242=""),AND(ISNUMBER(Z242),Z242&lt;TODAY(),AJ242=""),AND(ISNUMBER(AB242),AB242&lt;TODAY(),AK242=""),AND(ISNUMBER(AC242),AC242&lt;TODAY(),AO242=""),AND(ISNUMBER(AD242),AD242&lt;TODAY(),AQ242="")),"überfällig","offen"))))</f>
        <v/>
      </c>
      <c r="I242" s="16">
        <f>IF($B242="","",IF(AY242&lt;&gt;"","—",IF(AND(ISNUMBER(AA242),AA242&lt;TODAY(),Z242="",AJ242=""),"Abnahmetermin vereinbaren – Sollfrist verstrichen",IF(AND(ISNUMBER(Z242),Z242&lt;TODAY(),AJ242=""),"Wohnungsabnahme nachtragen – Termin war fällig",IF(AND(ISNUMBER(AB242),AB242&lt;TODAY(),AK242=""),"Handwerker aufbieten – Frist verstrichen",IF(AND(ISNUMBER(AC242),AC242&lt;TODAY(),AO242=""),"Vertrag retour mahnen – Frist verstrichen",IF(AND(ISNUMBER(AD242),AD242&lt;TODAY(),AQ242=""),"Schlüsselübergabe nachtragen – Termin war fällig",IF(M242="","Haftungsdatum erfassen",IF(E242="","ex-Mieter erfassen",IF(AE242="","Kündigung bestätigen / G-Rem",IF(AF242="","Werke / EGT melden",IF(AG242="","Vorbesichtigung (oder n.e.)",IF(AH242="","VMZ aktualisieren",IF(AI242="","Inserat aufschalten",IF(AND(Z242="",AJ242=""),"Abnahmetermin vereinbaren",IF(AJ242="","Wohnungsabnahme durchführen",IF(AK242="","Handwerker aufbieten",IF(AL242="","Zustimmungserklärung einholen",IF(AM242="","Instandstellungen beauftragen",IF(R242="","Nachmieter erfassen",IF(AN242="","Vertrag versenden",IF(AO242="","Vertrag retour erfassen",IF(S242="","Vermietet per erfassen",IF(AP242="","Werke / EGT über Einzug informieren",IF(AND(AD242="",AQ242=""),"Schlüsselübergabe terminieren",IF(AQ242="","Schlüsselübergabe durchführen",IF(AR242="","Reinigung veranlassen",IF(AS242="","Namensschilder bestellen",IF(AT242="","Kaution prüfen / G-Rem mutieren",IF(AU242="","Instandstellungs-Rechnung erfassen",IF(AV242="","Schlussabrechnung erstellen",IF(AW242="","Zahlungseingang kontrollieren","Fall abschliessen"))))))))))))))))))))))))))))))))</f>
        <v/>
      </c>
      <c r="J242" s="17">
        <f>IF(M242="","",IF(S242&lt;&gt;"",MAX(0,S242-M242-1),MAX(0,TODAY()-M242)))</f>
        <v/>
      </c>
      <c r="K242" s="16">
        <f>IF($B242="","",TRIM(IF(AND(L242&lt;&gt;"",M242&lt;&gt;"",M242&lt;L242),"Haftungsdatum vor Kündigung. ","")&amp;IF(AND(S242&lt;&gt;"",M242&lt;&gt;"",S242&lt;M242),"Vermietung vor Leerstandsbeginn. ","")&amp;IF(AND(Z242&lt;&gt;"",L242&lt;&gt;"",Z242&lt;L242),"WA-Termin vor Kündigung. ","")&amp;IF(COUNTIFS($B$5:$B$404,$B242,$AY$5:$AY$404,"")&gt;1,"Zweiter offener Fall zum selben Objekt. ","")&amp;IF(AND($A242&lt;&gt;"",COUNTIFS($A$5:$A$404,$A242)&gt;1),"Fall-Nr. doppelt vergeben. ","")&amp;IF(E242="","ex-Mieter fehlt. ","")&amp;IF(M242="","Haftungsdatum fehlt. ","")&amp;IF(F242="","Bewirtschafter fehlt. ","")&amp;IF(AND(AY242&lt;&gt;"",AW242=""),"Abgeschlossen trotz offener Schlussabrechnung. ","")&amp;IF(AND(AY242="",S242="",ISNUMBER(J242),J242&gt;60),"Langläufer über 60 Tage. ","")))</f>
        <v/>
      </c>
      <c r="L242" s="18" t="n"/>
      <c r="M242" s="18" t="n"/>
      <c r="N242" s="19">
        <f>IF(M242="","",M242+1)</f>
        <v/>
      </c>
      <c r="O242" s="17">
        <f>IF(OR(L242="",M242=""),"",M242-L242)</f>
        <v/>
      </c>
      <c r="P242" s="16">
        <f>IF(M242="","",YEAR(M242+1)&amp;"-"&amp;TEXT(MONTH(M242+1),"00"))</f>
        <v/>
      </c>
      <c r="Q242" s="18" t="n"/>
      <c r="R242" s="15" t="n"/>
      <c r="S242" s="18" t="n"/>
      <c r="T242" s="16">
        <f>IF(U242="","",IF(LEFT(U242,1)="6","abgeschlossen",IF(OR(LEFT(U242,1)="1",LEFT(U242,1)="2"),"Kündigung &amp; Abnahme",IF(OR(LEFT(U242,1)="3",LEFT(U242,1)="4"),"Wiedervermietung","Schlussabrechnung"))))</f>
        <v/>
      </c>
      <c r="U242" s="16">
        <f>IF($B242="","",IF(AY242&lt;&gt;"","6 · abgeschlossen",IF(AW242&lt;&gt;"","5 · bereit zum Abschluss",IF(AT242&lt;&gt;"","5 · Schlussabrechnung",IF(AO242&lt;&gt;"","4 · Übergabe",IF(AM242&lt;&gt;"","3 · Neuvermietung",IF(M242&lt;&gt;"","2 · Abnahme &amp; Vermarktung","1 · Erfassung")))))))</f>
        <v/>
      </c>
      <c r="V242" s="15" t="n"/>
      <c r="W242" s="20" t="n"/>
      <c r="X242" s="15" t="n"/>
      <c r="Y242" s="15" t="n"/>
      <c r="Z242" s="18" t="n"/>
      <c r="AA242" s="19">
        <f>IF(M242="","",M242-30)</f>
        <v/>
      </c>
      <c r="AB242" s="19">
        <f>IF(ISNUMBER(AJ242),AJ242+3,"")</f>
        <v/>
      </c>
      <c r="AC242" s="18" t="n"/>
      <c r="AD242" s="18" t="n"/>
      <c r="AE242" s="18" t="n"/>
      <c r="AF242" s="18" t="n"/>
      <c r="AG242" s="18" t="n"/>
      <c r="AH242" s="18" t="n"/>
      <c r="AI242" s="18" t="n"/>
      <c r="AJ242" s="18" t="n"/>
      <c r="AK242" s="18" t="n"/>
      <c r="AL242" s="18" t="n"/>
      <c r="AM242" s="18" t="n"/>
      <c r="AN242" s="18" t="n"/>
      <c r="AO242" s="18" t="n"/>
      <c r="AP242" s="18" t="n"/>
      <c r="AQ242" s="18" t="n"/>
      <c r="AR242" s="18" t="n"/>
      <c r="AS242" s="18" t="n"/>
      <c r="AT242" s="18" t="n"/>
      <c r="AU242" s="18" t="n"/>
      <c r="AV242" s="18" t="n"/>
      <c r="AW242" s="18" t="n"/>
      <c r="AX242" s="18" t="n"/>
      <c r="AY242" s="18" t="n"/>
      <c r="AZ242" s="15" t="n"/>
    </row>
    <row r="243">
      <c r="A243" s="15" t="n"/>
      <c r="B243" s="15" t="n"/>
      <c r="C243" s="15" t="n"/>
      <c r="D243" s="15" t="n"/>
      <c r="E243" s="15" t="n"/>
      <c r="F243" s="15" t="n"/>
      <c r="G243" s="16">
        <f>IF(F243="","",IFERROR(INDEX(Stammdaten!$B$5:$B$24,MATCH(F243,Stammdaten!$A$5:$A$24,0)),"unbekannt"))</f>
        <v/>
      </c>
      <c r="H243" s="16">
        <f>IF($B243="","",IF(AY243&lt;&gt;"","abgeschlossen",IF(AND(ISNUMBER(AX243),AX243&gt;=TODAY()),"zurückgestellt",IF(OR(AND(ISNUMBER(AA243),AA243&lt;TODAY(),Z243="",AJ243=""),AND(ISNUMBER(Z243),Z243&lt;TODAY(),AJ243=""),AND(ISNUMBER(AB243),AB243&lt;TODAY(),AK243=""),AND(ISNUMBER(AC243),AC243&lt;TODAY(),AO243=""),AND(ISNUMBER(AD243),AD243&lt;TODAY(),AQ243="")),"überfällig","offen"))))</f>
        <v/>
      </c>
      <c r="I243" s="16">
        <f>IF($B243="","",IF(AY243&lt;&gt;"","—",IF(AND(ISNUMBER(AA243),AA243&lt;TODAY(),Z243="",AJ243=""),"Abnahmetermin vereinbaren – Sollfrist verstrichen",IF(AND(ISNUMBER(Z243),Z243&lt;TODAY(),AJ243=""),"Wohnungsabnahme nachtragen – Termin war fällig",IF(AND(ISNUMBER(AB243),AB243&lt;TODAY(),AK243=""),"Handwerker aufbieten – Frist verstrichen",IF(AND(ISNUMBER(AC243),AC243&lt;TODAY(),AO243=""),"Vertrag retour mahnen – Frist verstrichen",IF(AND(ISNUMBER(AD243),AD243&lt;TODAY(),AQ243=""),"Schlüsselübergabe nachtragen – Termin war fällig",IF(M243="","Haftungsdatum erfassen",IF(E243="","ex-Mieter erfassen",IF(AE243="","Kündigung bestätigen / G-Rem",IF(AF243="","Werke / EGT melden",IF(AG243="","Vorbesichtigung (oder n.e.)",IF(AH243="","VMZ aktualisieren",IF(AI243="","Inserat aufschalten",IF(AND(Z243="",AJ243=""),"Abnahmetermin vereinbaren",IF(AJ243="","Wohnungsabnahme durchführen",IF(AK243="","Handwerker aufbieten",IF(AL243="","Zustimmungserklärung einholen",IF(AM243="","Instandstellungen beauftragen",IF(R243="","Nachmieter erfassen",IF(AN243="","Vertrag versenden",IF(AO243="","Vertrag retour erfassen",IF(S243="","Vermietet per erfassen",IF(AP243="","Werke / EGT über Einzug informieren",IF(AND(AD243="",AQ243=""),"Schlüsselübergabe terminieren",IF(AQ243="","Schlüsselübergabe durchführen",IF(AR243="","Reinigung veranlassen",IF(AS243="","Namensschilder bestellen",IF(AT243="","Kaution prüfen / G-Rem mutieren",IF(AU243="","Instandstellungs-Rechnung erfassen",IF(AV243="","Schlussabrechnung erstellen",IF(AW243="","Zahlungseingang kontrollieren","Fall abschliessen"))))))))))))))))))))))))))))))))</f>
        <v/>
      </c>
      <c r="J243" s="17">
        <f>IF(M243="","",IF(S243&lt;&gt;"",MAX(0,S243-M243-1),MAX(0,TODAY()-M243)))</f>
        <v/>
      </c>
      <c r="K243" s="16">
        <f>IF($B243="","",TRIM(IF(AND(L243&lt;&gt;"",M243&lt;&gt;"",M243&lt;L243),"Haftungsdatum vor Kündigung. ","")&amp;IF(AND(S243&lt;&gt;"",M243&lt;&gt;"",S243&lt;M243),"Vermietung vor Leerstandsbeginn. ","")&amp;IF(AND(Z243&lt;&gt;"",L243&lt;&gt;"",Z243&lt;L243),"WA-Termin vor Kündigung. ","")&amp;IF(COUNTIFS($B$5:$B$404,$B243,$AY$5:$AY$404,"")&gt;1,"Zweiter offener Fall zum selben Objekt. ","")&amp;IF(AND($A243&lt;&gt;"",COUNTIFS($A$5:$A$404,$A243)&gt;1),"Fall-Nr. doppelt vergeben. ","")&amp;IF(E243="","ex-Mieter fehlt. ","")&amp;IF(M243="","Haftungsdatum fehlt. ","")&amp;IF(F243="","Bewirtschafter fehlt. ","")&amp;IF(AND(AY243&lt;&gt;"",AW243=""),"Abgeschlossen trotz offener Schlussabrechnung. ","")&amp;IF(AND(AY243="",S243="",ISNUMBER(J243),J243&gt;60),"Langläufer über 60 Tage. ","")))</f>
        <v/>
      </c>
      <c r="L243" s="18" t="n"/>
      <c r="M243" s="18" t="n"/>
      <c r="N243" s="19">
        <f>IF(M243="","",M243+1)</f>
        <v/>
      </c>
      <c r="O243" s="17">
        <f>IF(OR(L243="",M243=""),"",M243-L243)</f>
        <v/>
      </c>
      <c r="P243" s="16">
        <f>IF(M243="","",YEAR(M243+1)&amp;"-"&amp;TEXT(MONTH(M243+1),"00"))</f>
        <v/>
      </c>
      <c r="Q243" s="18" t="n"/>
      <c r="R243" s="15" t="n"/>
      <c r="S243" s="18" t="n"/>
      <c r="T243" s="16">
        <f>IF(U243="","",IF(LEFT(U243,1)="6","abgeschlossen",IF(OR(LEFT(U243,1)="1",LEFT(U243,1)="2"),"Kündigung &amp; Abnahme",IF(OR(LEFT(U243,1)="3",LEFT(U243,1)="4"),"Wiedervermietung","Schlussabrechnung"))))</f>
        <v/>
      </c>
      <c r="U243" s="16">
        <f>IF($B243="","",IF(AY243&lt;&gt;"","6 · abgeschlossen",IF(AW243&lt;&gt;"","5 · bereit zum Abschluss",IF(AT243&lt;&gt;"","5 · Schlussabrechnung",IF(AO243&lt;&gt;"","4 · Übergabe",IF(AM243&lt;&gt;"","3 · Neuvermietung",IF(M243&lt;&gt;"","2 · Abnahme &amp; Vermarktung","1 · Erfassung")))))))</f>
        <v/>
      </c>
      <c r="V243" s="15" t="n"/>
      <c r="W243" s="20" t="n"/>
      <c r="X243" s="15" t="n"/>
      <c r="Y243" s="15" t="n"/>
      <c r="Z243" s="18" t="n"/>
      <c r="AA243" s="19">
        <f>IF(M243="","",M243-30)</f>
        <v/>
      </c>
      <c r="AB243" s="19">
        <f>IF(ISNUMBER(AJ243),AJ243+3,"")</f>
        <v/>
      </c>
      <c r="AC243" s="18" t="n"/>
      <c r="AD243" s="18" t="n"/>
      <c r="AE243" s="18" t="n"/>
      <c r="AF243" s="18" t="n"/>
      <c r="AG243" s="18" t="n"/>
      <c r="AH243" s="18" t="n"/>
      <c r="AI243" s="18" t="n"/>
      <c r="AJ243" s="18" t="n"/>
      <c r="AK243" s="18" t="n"/>
      <c r="AL243" s="18" t="n"/>
      <c r="AM243" s="18" t="n"/>
      <c r="AN243" s="18" t="n"/>
      <c r="AO243" s="18" t="n"/>
      <c r="AP243" s="18" t="n"/>
      <c r="AQ243" s="18" t="n"/>
      <c r="AR243" s="18" t="n"/>
      <c r="AS243" s="18" t="n"/>
      <c r="AT243" s="18" t="n"/>
      <c r="AU243" s="18" t="n"/>
      <c r="AV243" s="18" t="n"/>
      <c r="AW243" s="18" t="n"/>
      <c r="AX243" s="18" t="n"/>
      <c r="AY243" s="18" t="n"/>
      <c r="AZ243" s="15" t="n"/>
    </row>
    <row r="244">
      <c r="A244" s="15" t="n"/>
      <c r="B244" s="15" t="n"/>
      <c r="C244" s="15" t="n"/>
      <c r="D244" s="15" t="n"/>
      <c r="E244" s="15" t="n"/>
      <c r="F244" s="15" t="n"/>
      <c r="G244" s="16">
        <f>IF(F244="","",IFERROR(INDEX(Stammdaten!$B$5:$B$24,MATCH(F244,Stammdaten!$A$5:$A$24,0)),"unbekannt"))</f>
        <v/>
      </c>
      <c r="H244" s="16">
        <f>IF($B244="","",IF(AY244&lt;&gt;"","abgeschlossen",IF(AND(ISNUMBER(AX244),AX244&gt;=TODAY()),"zurückgestellt",IF(OR(AND(ISNUMBER(AA244),AA244&lt;TODAY(),Z244="",AJ244=""),AND(ISNUMBER(Z244),Z244&lt;TODAY(),AJ244=""),AND(ISNUMBER(AB244),AB244&lt;TODAY(),AK244=""),AND(ISNUMBER(AC244),AC244&lt;TODAY(),AO244=""),AND(ISNUMBER(AD244),AD244&lt;TODAY(),AQ244="")),"überfällig","offen"))))</f>
        <v/>
      </c>
      <c r="I244" s="16">
        <f>IF($B244="","",IF(AY244&lt;&gt;"","—",IF(AND(ISNUMBER(AA244),AA244&lt;TODAY(),Z244="",AJ244=""),"Abnahmetermin vereinbaren – Sollfrist verstrichen",IF(AND(ISNUMBER(Z244),Z244&lt;TODAY(),AJ244=""),"Wohnungsabnahme nachtragen – Termin war fällig",IF(AND(ISNUMBER(AB244),AB244&lt;TODAY(),AK244=""),"Handwerker aufbieten – Frist verstrichen",IF(AND(ISNUMBER(AC244),AC244&lt;TODAY(),AO244=""),"Vertrag retour mahnen – Frist verstrichen",IF(AND(ISNUMBER(AD244),AD244&lt;TODAY(),AQ244=""),"Schlüsselübergabe nachtragen – Termin war fällig",IF(M244="","Haftungsdatum erfassen",IF(E244="","ex-Mieter erfassen",IF(AE244="","Kündigung bestätigen / G-Rem",IF(AF244="","Werke / EGT melden",IF(AG244="","Vorbesichtigung (oder n.e.)",IF(AH244="","VMZ aktualisieren",IF(AI244="","Inserat aufschalten",IF(AND(Z244="",AJ244=""),"Abnahmetermin vereinbaren",IF(AJ244="","Wohnungsabnahme durchführen",IF(AK244="","Handwerker aufbieten",IF(AL244="","Zustimmungserklärung einholen",IF(AM244="","Instandstellungen beauftragen",IF(R244="","Nachmieter erfassen",IF(AN244="","Vertrag versenden",IF(AO244="","Vertrag retour erfassen",IF(S244="","Vermietet per erfassen",IF(AP244="","Werke / EGT über Einzug informieren",IF(AND(AD244="",AQ244=""),"Schlüsselübergabe terminieren",IF(AQ244="","Schlüsselübergabe durchführen",IF(AR244="","Reinigung veranlassen",IF(AS244="","Namensschilder bestellen",IF(AT244="","Kaution prüfen / G-Rem mutieren",IF(AU244="","Instandstellungs-Rechnung erfassen",IF(AV244="","Schlussabrechnung erstellen",IF(AW244="","Zahlungseingang kontrollieren","Fall abschliessen"))))))))))))))))))))))))))))))))</f>
        <v/>
      </c>
      <c r="J244" s="17">
        <f>IF(M244="","",IF(S244&lt;&gt;"",MAX(0,S244-M244-1),MAX(0,TODAY()-M244)))</f>
        <v/>
      </c>
      <c r="K244" s="16">
        <f>IF($B244="","",TRIM(IF(AND(L244&lt;&gt;"",M244&lt;&gt;"",M244&lt;L244),"Haftungsdatum vor Kündigung. ","")&amp;IF(AND(S244&lt;&gt;"",M244&lt;&gt;"",S244&lt;M244),"Vermietung vor Leerstandsbeginn. ","")&amp;IF(AND(Z244&lt;&gt;"",L244&lt;&gt;"",Z244&lt;L244),"WA-Termin vor Kündigung. ","")&amp;IF(COUNTIFS($B$5:$B$404,$B244,$AY$5:$AY$404,"")&gt;1,"Zweiter offener Fall zum selben Objekt. ","")&amp;IF(AND($A244&lt;&gt;"",COUNTIFS($A$5:$A$404,$A244)&gt;1),"Fall-Nr. doppelt vergeben. ","")&amp;IF(E244="","ex-Mieter fehlt. ","")&amp;IF(M244="","Haftungsdatum fehlt. ","")&amp;IF(F244="","Bewirtschafter fehlt. ","")&amp;IF(AND(AY244&lt;&gt;"",AW244=""),"Abgeschlossen trotz offener Schlussabrechnung. ","")&amp;IF(AND(AY244="",S244="",ISNUMBER(J244),J244&gt;60),"Langläufer über 60 Tage. ","")))</f>
        <v/>
      </c>
      <c r="L244" s="18" t="n"/>
      <c r="M244" s="18" t="n"/>
      <c r="N244" s="19">
        <f>IF(M244="","",M244+1)</f>
        <v/>
      </c>
      <c r="O244" s="17">
        <f>IF(OR(L244="",M244=""),"",M244-L244)</f>
        <v/>
      </c>
      <c r="P244" s="16">
        <f>IF(M244="","",YEAR(M244+1)&amp;"-"&amp;TEXT(MONTH(M244+1),"00"))</f>
        <v/>
      </c>
      <c r="Q244" s="18" t="n"/>
      <c r="R244" s="15" t="n"/>
      <c r="S244" s="18" t="n"/>
      <c r="T244" s="16">
        <f>IF(U244="","",IF(LEFT(U244,1)="6","abgeschlossen",IF(OR(LEFT(U244,1)="1",LEFT(U244,1)="2"),"Kündigung &amp; Abnahme",IF(OR(LEFT(U244,1)="3",LEFT(U244,1)="4"),"Wiedervermietung","Schlussabrechnung"))))</f>
        <v/>
      </c>
      <c r="U244" s="16">
        <f>IF($B244="","",IF(AY244&lt;&gt;"","6 · abgeschlossen",IF(AW244&lt;&gt;"","5 · bereit zum Abschluss",IF(AT244&lt;&gt;"","5 · Schlussabrechnung",IF(AO244&lt;&gt;"","4 · Übergabe",IF(AM244&lt;&gt;"","3 · Neuvermietung",IF(M244&lt;&gt;"","2 · Abnahme &amp; Vermarktung","1 · Erfassung")))))))</f>
        <v/>
      </c>
      <c r="V244" s="15" t="n"/>
      <c r="W244" s="20" t="n"/>
      <c r="X244" s="15" t="n"/>
      <c r="Y244" s="15" t="n"/>
      <c r="Z244" s="18" t="n"/>
      <c r="AA244" s="19">
        <f>IF(M244="","",M244-30)</f>
        <v/>
      </c>
      <c r="AB244" s="19">
        <f>IF(ISNUMBER(AJ244),AJ244+3,"")</f>
        <v/>
      </c>
      <c r="AC244" s="18" t="n"/>
      <c r="AD244" s="18" t="n"/>
      <c r="AE244" s="18" t="n"/>
      <c r="AF244" s="18" t="n"/>
      <c r="AG244" s="18" t="n"/>
      <c r="AH244" s="18" t="n"/>
      <c r="AI244" s="18" t="n"/>
      <c r="AJ244" s="18" t="n"/>
      <c r="AK244" s="18" t="n"/>
      <c r="AL244" s="18" t="n"/>
      <c r="AM244" s="18" t="n"/>
      <c r="AN244" s="18" t="n"/>
      <c r="AO244" s="18" t="n"/>
      <c r="AP244" s="18" t="n"/>
      <c r="AQ244" s="18" t="n"/>
      <c r="AR244" s="18" t="n"/>
      <c r="AS244" s="18" t="n"/>
      <c r="AT244" s="18" t="n"/>
      <c r="AU244" s="18" t="n"/>
      <c r="AV244" s="18" t="n"/>
      <c r="AW244" s="18" t="n"/>
      <c r="AX244" s="18" t="n"/>
      <c r="AY244" s="18" t="n"/>
      <c r="AZ244" s="15" t="n"/>
    </row>
    <row r="245">
      <c r="A245" s="15" t="n"/>
      <c r="B245" s="15" t="n"/>
      <c r="C245" s="15" t="n"/>
      <c r="D245" s="15" t="n"/>
      <c r="E245" s="15" t="n"/>
      <c r="F245" s="15" t="n"/>
      <c r="G245" s="16">
        <f>IF(F245="","",IFERROR(INDEX(Stammdaten!$B$5:$B$24,MATCH(F245,Stammdaten!$A$5:$A$24,0)),"unbekannt"))</f>
        <v/>
      </c>
      <c r="H245" s="16">
        <f>IF($B245="","",IF(AY245&lt;&gt;"","abgeschlossen",IF(AND(ISNUMBER(AX245),AX245&gt;=TODAY()),"zurückgestellt",IF(OR(AND(ISNUMBER(AA245),AA245&lt;TODAY(),Z245="",AJ245=""),AND(ISNUMBER(Z245),Z245&lt;TODAY(),AJ245=""),AND(ISNUMBER(AB245),AB245&lt;TODAY(),AK245=""),AND(ISNUMBER(AC245),AC245&lt;TODAY(),AO245=""),AND(ISNUMBER(AD245),AD245&lt;TODAY(),AQ245="")),"überfällig","offen"))))</f>
        <v/>
      </c>
      <c r="I245" s="16">
        <f>IF($B245="","",IF(AY245&lt;&gt;"","—",IF(AND(ISNUMBER(AA245),AA245&lt;TODAY(),Z245="",AJ245=""),"Abnahmetermin vereinbaren – Sollfrist verstrichen",IF(AND(ISNUMBER(Z245),Z245&lt;TODAY(),AJ245=""),"Wohnungsabnahme nachtragen – Termin war fällig",IF(AND(ISNUMBER(AB245),AB245&lt;TODAY(),AK245=""),"Handwerker aufbieten – Frist verstrichen",IF(AND(ISNUMBER(AC245),AC245&lt;TODAY(),AO245=""),"Vertrag retour mahnen – Frist verstrichen",IF(AND(ISNUMBER(AD245),AD245&lt;TODAY(),AQ245=""),"Schlüsselübergabe nachtragen – Termin war fällig",IF(M245="","Haftungsdatum erfassen",IF(E245="","ex-Mieter erfassen",IF(AE245="","Kündigung bestätigen / G-Rem",IF(AF245="","Werke / EGT melden",IF(AG245="","Vorbesichtigung (oder n.e.)",IF(AH245="","VMZ aktualisieren",IF(AI245="","Inserat aufschalten",IF(AND(Z245="",AJ245=""),"Abnahmetermin vereinbaren",IF(AJ245="","Wohnungsabnahme durchführen",IF(AK245="","Handwerker aufbieten",IF(AL245="","Zustimmungserklärung einholen",IF(AM245="","Instandstellungen beauftragen",IF(R245="","Nachmieter erfassen",IF(AN245="","Vertrag versenden",IF(AO245="","Vertrag retour erfassen",IF(S245="","Vermietet per erfassen",IF(AP245="","Werke / EGT über Einzug informieren",IF(AND(AD245="",AQ245=""),"Schlüsselübergabe terminieren",IF(AQ245="","Schlüsselübergabe durchführen",IF(AR245="","Reinigung veranlassen",IF(AS245="","Namensschilder bestellen",IF(AT245="","Kaution prüfen / G-Rem mutieren",IF(AU245="","Instandstellungs-Rechnung erfassen",IF(AV245="","Schlussabrechnung erstellen",IF(AW245="","Zahlungseingang kontrollieren","Fall abschliessen"))))))))))))))))))))))))))))))))</f>
        <v/>
      </c>
      <c r="J245" s="17">
        <f>IF(M245="","",IF(S245&lt;&gt;"",MAX(0,S245-M245-1),MAX(0,TODAY()-M245)))</f>
        <v/>
      </c>
      <c r="K245" s="16">
        <f>IF($B245="","",TRIM(IF(AND(L245&lt;&gt;"",M245&lt;&gt;"",M245&lt;L245),"Haftungsdatum vor Kündigung. ","")&amp;IF(AND(S245&lt;&gt;"",M245&lt;&gt;"",S245&lt;M245),"Vermietung vor Leerstandsbeginn. ","")&amp;IF(AND(Z245&lt;&gt;"",L245&lt;&gt;"",Z245&lt;L245),"WA-Termin vor Kündigung. ","")&amp;IF(COUNTIFS($B$5:$B$404,$B245,$AY$5:$AY$404,"")&gt;1,"Zweiter offener Fall zum selben Objekt. ","")&amp;IF(AND($A245&lt;&gt;"",COUNTIFS($A$5:$A$404,$A245)&gt;1),"Fall-Nr. doppelt vergeben. ","")&amp;IF(E245="","ex-Mieter fehlt. ","")&amp;IF(M245="","Haftungsdatum fehlt. ","")&amp;IF(F245="","Bewirtschafter fehlt. ","")&amp;IF(AND(AY245&lt;&gt;"",AW245=""),"Abgeschlossen trotz offener Schlussabrechnung. ","")&amp;IF(AND(AY245="",S245="",ISNUMBER(J245),J245&gt;60),"Langläufer über 60 Tage. ","")))</f>
        <v/>
      </c>
      <c r="L245" s="18" t="n"/>
      <c r="M245" s="18" t="n"/>
      <c r="N245" s="19">
        <f>IF(M245="","",M245+1)</f>
        <v/>
      </c>
      <c r="O245" s="17">
        <f>IF(OR(L245="",M245=""),"",M245-L245)</f>
        <v/>
      </c>
      <c r="P245" s="16">
        <f>IF(M245="","",YEAR(M245+1)&amp;"-"&amp;TEXT(MONTH(M245+1),"00"))</f>
        <v/>
      </c>
      <c r="Q245" s="18" t="n"/>
      <c r="R245" s="15" t="n"/>
      <c r="S245" s="18" t="n"/>
      <c r="T245" s="16">
        <f>IF(U245="","",IF(LEFT(U245,1)="6","abgeschlossen",IF(OR(LEFT(U245,1)="1",LEFT(U245,1)="2"),"Kündigung &amp; Abnahme",IF(OR(LEFT(U245,1)="3",LEFT(U245,1)="4"),"Wiedervermietung","Schlussabrechnung"))))</f>
        <v/>
      </c>
      <c r="U245" s="16">
        <f>IF($B245="","",IF(AY245&lt;&gt;"","6 · abgeschlossen",IF(AW245&lt;&gt;"","5 · bereit zum Abschluss",IF(AT245&lt;&gt;"","5 · Schlussabrechnung",IF(AO245&lt;&gt;"","4 · Übergabe",IF(AM245&lt;&gt;"","3 · Neuvermietung",IF(M245&lt;&gt;"","2 · Abnahme &amp; Vermarktung","1 · Erfassung")))))))</f>
        <v/>
      </c>
      <c r="V245" s="15" t="n"/>
      <c r="W245" s="20" t="n"/>
      <c r="X245" s="15" t="n"/>
      <c r="Y245" s="15" t="n"/>
      <c r="Z245" s="18" t="n"/>
      <c r="AA245" s="19">
        <f>IF(M245="","",M245-30)</f>
        <v/>
      </c>
      <c r="AB245" s="19">
        <f>IF(ISNUMBER(AJ245),AJ245+3,"")</f>
        <v/>
      </c>
      <c r="AC245" s="18" t="n"/>
      <c r="AD245" s="18" t="n"/>
      <c r="AE245" s="18" t="n"/>
      <c r="AF245" s="18" t="n"/>
      <c r="AG245" s="18" t="n"/>
      <c r="AH245" s="18" t="n"/>
      <c r="AI245" s="18" t="n"/>
      <c r="AJ245" s="18" t="n"/>
      <c r="AK245" s="18" t="n"/>
      <c r="AL245" s="18" t="n"/>
      <c r="AM245" s="18" t="n"/>
      <c r="AN245" s="18" t="n"/>
      <c r="AO245" s="18" t="n"/>
      <c r="AP245" s="18" t="n"/>
      <c r="AQ245" s="18" t="n"/>
      <c r="AR245" s="18" t="n"/>
      <c r="AS245" s="18" t="n"/>
      <c r="AT245" s="18" t="n"/>
      <c r="AU245" s="18" t="n"/>
      <c r="AV245" s="18" t="n"/>
      <c r="AW245" s="18" t="n"/>
      <c r="AX245" s="18" t="n"/>
      <c r="AY245" s="18" t="n"/>
      <c r="AZ245" s="15" t="n"/>
    </row>
    <row r="246">
      <c r="A246" s="15" t="n"/>
      <c r="B246" s="15" t="n"/>
      <c r="C246" s="15" t="n"/>
      <c r="D246" s="15" t="n"/>
      <c r="E246" s="15" t="n"/>
      <c r="F246" s="15" t="n"/>
      <c r="G246" s="16">
        <f>IF(F246="","",IFERROR(INDEX(Stammdaten!$B$5:$B$24,MATCH(F246,Stammdaten!$A$5:$A$24,0)),"unbekannt"))</f>
        <v/>
      </c>
      <c r="H246" s="16">
        <f>IF($B246="","",IF(AY246&lt;&gt;"","abgeschlossen",IF(AND(ISNUMBER(AX246),AX246&gt;=TODAY()),"zurückgestellt",IF(OR(AND(ISNUMBER(AA246),AA246&lt;TODAY(),Z246="",AJ246=""),AND(ISNUMBER(Z246),Z246&lt;TODAY(),AJ246=""),AND(ISNUMBER(AB246),AB246&lt;TODAY(),AK246=""),AND(ISNUMBER(AC246),AC246&lt;TODAY(),AO246=""),AND(ISNUMBER(AD246),AD246&lt;TODAY(),AQ246="")),"überfällig","offen"))))</f>
        <v/>
      </c>
      <c r="I246" s="16">
        <f>IF($B246="","",IF(AY246&lt;&gt;"","—",IF(AND(ISNUMBER(AA246),AA246&lt;TODAY(),Z246="",AJ246=""),"Abnahmetermin vereinbaren – Sollfrist verstrichen",IF(AND(ISNUMBER(Z246),Z246&lt;TODAY(),AJ246=""),"Wohnungsabnahme nachtragen – Termin war fällig",IF(AND(ISNUMBER(AB246),AB246&lt;TODAY(),AK246=""),"Handwerker aufbieten – Frist verstrichen",IF(AND(ISNUMBER(AC246),AC246&lt;TODAY(),AO246=""),"Vertrag retour mahnen – Frist verstrichen",IF(AND(ISNUMBER(AD246),AD246&lt;TODAY(),AQ246=""),"Schlüsselübergabe nachtragen – Termin war fällig",IF(M246="","Haftungsdatum erfassen",IF(E246="","ex-Mieter erfassen",IF(AE246="","Kündigung bestätigen / G-Rem",IF(AF246="","Werke / EGT melden",IF(AG246="","Vorbesichtigung (oder n.e.)",IF(AH246="","VMZ aktualisieren",IF(AI246="","Inserat aufschalten",IF(AND(Z246="",AJ246=""),"Abnahmetermin vereinbaren",IF(AJ246="","Wohnungsabnahme durchführen",IF(AK246="","Handwerker aufbieten",IF(AL246="","Zustimmungserklärung einholen",IF(AM246="","Instandstellungen beauftragen",IF(R246="","Nachmieter erfassen",IF(AN246="","Vertrag versenden",IF(AO246="","Vertrag retour erfassen",IF(S246="","Vermietet per erfassen",IF(AP246="","Werke / EGT über Einzug informieren",IF(AND(AD246="",AQ246=""),"Schlüsselübergabe terminieren",IF(AQ246="","Schlüsselübergabe durchführen",IF(AR246="","Reinigung veranlassen",IF(AS246="","Namensschilder bestellen",IF(AT246="","Kaution prüfen / G-Rem mutieren",IF(AU246="","Instandstellungs-Rechnung erfassen",IF(AV246="","Schlussabrechnung erstellen",IF(AW246="","Zahlungseingang kontrollieren","Fall abschliessen"))))))))))))))))))))))))))))))))</f>
        <v/>
      </c>
      <c r="J246" s="17">
        <f>IF(M246="","",IF(S246&lt;&gt;"",MAX(0,S246-M246-1),MAX(0,TODAY()-M246)))</f>
        <v/>
      </c>
      <c r="K246" s="16">
        <f>IF($B246="","",TRIM(IF(AND(L246&lt;&gt;"",M246&lt;&gt;"",M246&lt;L246),"Haftungsdatum vor Kündigung. ","")&amp;IF(AND(S246&lt;&gt;"",M246&lt;&gt;"",S246&lt;M246),"Vermietung vor Leerstandsbeginn. ","")&amp;IF(AND(Z246&lt;&gt;"",L246&lt;&gt;"",Z246&lt;L246),"WA-Termin vor Kündigung. ","")&amp;IF(COUNTIFS($B$5:$B$404,$B246,$AY$5:$AY$404,"")&gt;1,"Zweiter offener Fall zum selben Objekt. ","")&amp;IF(AND($A246&lt;&gt;"",COUNTIFS($A$5:$A$404,$A246)&gt;1),"Fall-Nr. doppelt vergeben. ","")&amp;IF(E246="","ex-Mieter fehlt. ","")&amp;IF(M246="","Haftungsdatum fehlt. ","")&amp;IF(F246="","Bewirtschafter fehlt. ","")&amp;IF(AND(AY246&lt;&gt;"",AW246=""),"Abgeschlossen trotz offener Schlussabrechnung. ","")&amp;IF(AND(AY246="",S246="",ISNUMBER(J246),J246&gt;60),"Langläufer über 60 Tage. ","")))</f>
        <v/>
      </c>
      <c r="L246" s="18" t="n"/>
      <c r="M246" s="18" t="n"/>
      <c r="N246" s="19">
        <f>IF(M246="","",M246+1)</f>
        <v/>
      </c>
      <c r="O246" s="17">
        <f>IF(OR(L246="",M246=""),"",M246-L246)</f>
        <v/>
      </c>
      <c r="P246" s="16">
        <f>IF(M246="","",YEAR(M246+1)&amp;"-"&amp;TEXT(MONTH(M246+1),"00"))</f>
        <v/>
      </c>
      <c r="Q246" s="18" t="n"/>
      <c r="R246" s="15" t="n"/>
      <c r="S246" s="18" t="n"/>
      <c r="T246" s="16">
        <f>IF(U246="","",IF(LEFT(U246,1)="6","abgeschlossen",IF(OR(LEFT(U246,1)="1",LEFT(U246,1)="2"),"Kündigung &amp; Abnahme",IF(OR(LEFT(U246,1)="3",LEFT(U246,1)="4"),"Wiedervermietung","Schlussabrechnung"))))</f>
        <v/>
      </c>
      <c r="U246" s="16">
        <f>IF($B246="","",IF(AY246&lt;&gt;"","6 · abgeschlossen",IF(AW246&lt;&gt;"","5 · bereit zum Abschluss",IF(AT246&lt;&gt;"","5 · Schlussabrechnung",IF(AO246&lt;&gt;"","4 · Übergabe",IF(AM246&lt;&gt;"","3 · Neuvermietung",IF(M246&lt;&gt;"","2 · Abnahme &amp; Vermarktung","1 · Erfassung")))))))</f>
        <v/>
      </c>
      <c r="V246" s="15" t="n"/>
      <c r="W246" s="20" t="n"/>
      <c r="X246" s="15" t="n"/>
      <c r="Y246" s="15" t="n"/>
      <c r="Z246" s="18" t="n"/>
      <c r="AA246" s="19">
        <f>IF(M246="","",M246-30)</f>
        <v/>
      </c>
      <c r="AB246" s="19">
        <f>IF(ISNUMBER(AJ246),AJ246+3,"")</f>
        <v/>
      </c>
      <c r="AC246" s="18" t="n"/>
      <c r="AD246" s="18" t="n"/>
      <c r="AE246" s="18" t="n"/>
      <c r="AF246" s="18" t="n"/>
      <c r="AG246" s="18" t="n"/>
      <c r="AH246" s="18" t="n"/>
      <c r="AI246" s="18" t="n"/>
      <c r="AJ246" s="18" t="n"/>
      <c r="AK246" s="18" t="n"/>
      <c r="AL246" s="18" t="n"/>
      <c r="AM246" s="18" t="n"/>
      <c r="AN246" s="18" t="n"/>
      <c r="AO246" s="18" t="n"/>
      <c r="AP246" s="18" t="n"/>
      <c r="AQ246" s="18" t="n"/>
      <c r="AR246" s="18" t="n"/>
      <c r="AS246" s="18" t="n"/>
      <c r="AT246" s="18" t="n"/>
      <c r="AU246" s="18" t="n"/>
      <c r="AV246" s="18" t="n"/>
      <c r="AW246" s="18" t="n"/>
      <c r="AX246" s="18" t="n"/>
      <c r="AY246" s="18" t="n"/>
      <c r="AZ246" s="15" t="n"/>
    </row>
    <row r="247">
      <c r="A247" s="15" t="n"/>
      <c r="B247" s="15" t="n"/>
      <c r="C247" s="15" t="n"/>
      <c r="D247" s="15" t="n"/>
      <c r="E247" s="15" t="n"/>
      <c r="F247" s="15" t="n"/>
      <c r="G247" s="16">
        <f>IF(F247="","",IFERROR(INDEX(Stammdaten!$B$5:$B$24,MATCH(F247,Stammdaten!$A$5:$A$24,0)),"unbekannt"))</f>
        <v/>
      </c>
      <c r="H247" s="16">
        <f>IF($B247="","",IF(AY247&lt;&gt;"","abgeschlossen",IF(AND(ISNUMBER(AX247),AX247&gt;=TODAY()),"zurückgestellt",IF(OR(AND(ISNUMBER(AA247),AA247&lt;TODAY(),Z247="",AJ247=""),AND(ISNUMBER(Z247),Z247&lt;TODAY(),AJ247=""),AND(ISNUMBER(AB247),AB247&lt;TODAY(),AK247=""),AND(ISNUMBER(AC247),AC247&lt;TODAY(),AO247=""),AND(ISNUMBER(AD247),AD247&lt;TODAY(),AQ247="")),"überfällig","offen"))))</f>
        <v/>
      </c>
      <c r="I247" s="16">
        <f>IF($B247="","",IF(AY247&lt;&gt;"","—",IF(AND(ISNUMBER(AA247),AA247&lt;TODAY(),Z247="",AJ247=""),"Abnahmetermin vereinbaren – Sollfrist verstrichen",IF(AND(ISNUMBER(Z247),Z247&lt;TODAY(),AJ247=""),"Wohnungsabnahme nachtragen – Termin war fällig",IF(AND(ISNUMBER(AB247),AB247&lt;TODAY(),AK247=""),"Handwerker aufbieten – Frist verstrichen",IF(AND(ISNUMBER(AC247),AC247&lt;TODAY(),AO247=""),"Vertrag retour mahnen – Frist verstrichen",IF(AND(ISNUMBER(AD247),AD247&lt;TODAY(),AQ247=""),"Schlüsselübergabe nachtragen – Termin war fällig",IF(M247="","Haftungsdatum erfassen",IF(E247="","ex-Mieter erfassen",IF(AE247="","Kündigung bestätigen / G-Rem",IF(AF247="","Werke / EGT melden",IF(AG247="","Vorbesichtigung (oder n.e.)",IF(AH247="","VMZ aktualisieren",IF(AI247="","Inserat aufschalten",IF(AND(Z247="",AJ247=""),"Abnahmetermin vereinbaren",IF(AJ247="","Wohnungsabnahme durchführen",IF(AK247="","Handwerker aufbieten",IF(AL247="","Zustimmungserklärung einholen",IF(AM247="","Instandstellungen beauftragen",IF(R247="","Nachmieter erfassen",IF(AN247="","Vertrag versenden",IF(AO247="","Vertrag retour erfassen",IF(S247="","Vermietet per erfassen",IF(AP247="","Werke / EGT über Einzug informieren",IF(AND(AD247="",AQ247=""),"Schlüsselübergabe terminieren",IF(AQ247="","Schlüsselübergabe durchführen",IF(AR247="","Reinigung veranlassen",IF(AS247="","Namensschilder bestellen",IF(AT247="","Kaution prüfen / G-Rem mutieren",IF(AU247="","Instandstellungs-Rechnung erfassen",IF(AV247="","Schlussabrechnung erstellen",IF(AW247="","Zahlungseingang kontrollieren","Fall abschliessen"))))))))))))))))))))))))))))))))</f>
        <v/>
      </c>
      <c r="J247" s="17">
        <f>IF(M247="","",IF(S247&lt;&gt;"",MAX(0,S247-M247-1),MAX(0,TODAY()-M247)))</f>
        <v/>
      </c>
      <c r="K247" s="16">
        <f>IF($B247="","",TRIM(IF(AND(L247&lt;&gt;"",M247&lt;&gt;"",M247&lt;L247),"Haftungsdatum vor Kündigung. ","")&amp;IF(AND(S247&lt;&gt;"",M247&lt;&gt;"",S247&lt;M247),"Vermietung vor Leerstandsbeginn. ","")&amp;IF(AND(Z247&lt;&gt;"",L247&lt;&gt;"",Z247&lt;L247),"WA-Termin vor Kündigung. ","")&amp;IF(COUNTIFS($B$5:$B$404,$B247,$AY$5:$AY$404,"")&gt;1,"Zweiter offener Fall zum selben Objekt. ","")&amp;IF(AND($A247&lt;&gt;"",COUNTIFS($A$5:$A$404,$A247)&gt;1),"Fall-Nr. doppelt vergeben. ","")&amp;IF(E247="","ex-Mieter fehlt. ","")&amp;IF(M247="","Haftungsdatum fehlt. ","")&amp;IF(F247="","Bewirtschafter fehlt. ","")&amp;IF(AND(AY247&lt;&gt;"",AW247=""),"Abgeschlossen trotz offener Schlussabrechnung. ","")&amp;IF(AND(AY247="",S247="",ISNUMBER(J247),J247&gt;60),"Langläufer über 60 Tage. ","")))</f>
        <v/>
      </c>
      <c r="L247" s="18" t="n"/>
      <c r="M247" s="18" t="n"/>
      <c r="N247" s="19">
        <f>IF(M247="","",M247+1)</f>
        <v/>
      </c>
      <c r="O247" s="17">
        <f>IF(OR(L247="",M247=""),"",M247-L247)</f>
        <v/>
      </c>
      <c r="P247" s="16">
        <f>IF(M247="","",YEAR(M247+1)&amp;"-"&amp;TEXT(MONTH(M247+1),"00"))</f>
        <v/>
      </c>
      <c r="Q247" s="18" t="n"/>
      <c r="R247" s="15" t="n"/>
      <c r="S247" s="18" t="n"/>
      <c r="T247" s="16">
        <f>IF(U247="","",IF(LEFT(U247,1)="6","abgeschlossen",IF(OR(LEFT(U247,1)="1",LEFT(U247,1)="2"),"Kündigung &amp; Abnahme",IF(OR(LEFT(U247,1)="3",LEFT(U247,1)="4"),"Wiedervermietung","Schlussabrechnung"))))</f>
        <v/>
      </c>
      <c r="U247" s="16">
        <f>IF($B247="","",IF(AY247&lt;&gt;"","6 · abgeschlossen",IF(AW247&lt;&gt;"","5 · bereit zum Abschluss",IF(AT247&lt;&gt;"","5 · Schlussabrechnung",IF(AO247&lt;&gt;"","4 · Übergabe",IF(AM247&lt;&gt;"","3 · Neuvermietung",IF(M247&lt;&gt;"","2 · Abnahme &amp; Vermarktung","1 · Erfassung")))))))</f>
        <v/>
      </c>
      <c r="V247" s="15" t="n"/>
      <c r="W247" s="20" t="n"/>
      <c r="X247" s="15" t="n"/>
      <c r="Y247" s="15" t="n"/>
      <c r="Z247" s="18" t="n"/>
      <c r="AA247" s="19">
        <f>IF(M247="","",M247-30)</f>
        <v/>
      </c>
      <c r="AB247" s="19">
        <f>IF(ISNUMBER(AJ247),AJ247+3,"")</f>
        <v/>
      </c>
      <c r="AC247" s="18" t="n"/>
      <c r="AD247" s="18" t="n"/>
      <c r="AE247" s="18" t="n"/>
      <c r="AF247" s="18" t="n"/>
      <c r="AG247" s="18" t="n"/>
      <c r="AH247" s="18" t="n"/>
      <c r="AI247" s="18" t="n"/>
      <c r="AJ247" s="18" t="n"/>
      <c r="AK247" s="18" t="n"/>
      <c r="AL247" s="18" t="n"/>
      <c r="AM247" s="18" t="n"/>
      <c r="AN247" s="18" t="n"/>
      <c r="AO247" s="18" t="n"/>
      <c r="AP247" s="18" t="n"/>
      <c r="AQ247" s="18" t="n"/>
      <c r="AR247" s="18" t="n"/>
      <c r="AS247" s="18" t="n"/>
      <c r="AT247" s="18" t="n"/>
      <c r="AU247" s="18" t="n"/>
      <c r="AV247" s="18" t="n"/>
      <c r="AW247" s="18" t="n"/>
      <c r="AX247" s="18" t="n"/>
      <c r="AY247" s="18" t="n"/>
      <c r="AZ247" s="15" t="n"/>
    </row>
    <row r="248">
      <c r="A248" s="15" t="n"/>
      <c r="B248" s="15" t="n"/>
      <c r="C248" s="15" t="n"/>
      <c r="D248" s="15" t="n"/>
      <c r="E248" s="15" t="n"/>
      <c r="F248" s="15" t="n"/>
      <c r="G248" s="16">
        <f>IF(F248="","",IFERROR(INDEX(Stammdaten!$B$5:$B$24,MATCH(F248,Stammdaten!$A$5:$A$24,0)),"unbekannt"))</f>
        <v/>
      </c>
      <c r="H248" s="16">
        <f>IF($B248="","",IF(AY248&lt;&gt;"","abgeschlossen",IF(AND(ISNUMBER(AX248),AX248&gt;=TODAY()),"zurückgestellt",IF(OR(AND(ISNUMBER(AA248),AA248&lt;TODAY(),Z248="",AJ248=""),AND(ISNUMBER(Z248),Z248&lt;TODAY(),AJ248=""),AND(ISNUMBER(AB248),AB248&lt;TODAY(),AK248=""),AND(ISNUMBER(AC248),AC248&lt;TODAY(),AO248=""),AND(ISNUMBER(AD248),AD248&lt;TODAY(),AQ248="")),"überfällig","offen"))))</f>
        <v/>
      </c>
      <c r="I248" s="16">
        <f>IF($B248="","",IF(AY248&lt;&gt;"","—",IF(AND(ISNUMBER(AA248),AA248&lt;TODAY(),Z248="",AJ248=""),"Abnahmetermin vereinbaren – Sollfrist verstrichen",IF(AND(ISNUMBER(Z248),Z248&lt;TODAY(),AJ248=""),"Wohnungsabnahme nachtragen – Termin war fällig",IF(AND(ISNUMBER(AB248),AB248&lt;TODAY(),AK248=""),"Handwerker aufbieten – Frist verstrichen",IF(AND(ISNUMBER(AC248),AC248&lt;TODAY(),AO248=""),"Vertrag retour mahnen – Frist verstrichen",IF(AND(ISNUMBER(AD248),AD248&lt;TODAY(),AQ248=""),"Schlüsselübergabe nachtragen – Termin war fällig",IF(M248="","Haftungsdatum erfassen",IF(E248="","ex-Mieter erfassen",IF(AE248="","Kündigung bestätigen / G-Rem",IF(AF248="","Werke / EGT melden",IF(AG248="","Vorbesichtigung (oder n.e.)",IF(AH248="","VMZ aktualisieren",IF(AI248="","Inserat aufschalten",IF(AND(Z248="",AJ248=""),"Abnahmetermin vereinbaren",IF(AJ248="","Wohnungsabnahme durchführen",IF(AK248="","Handwerker aufbieten",IF(AL248="","Zustimmungserklärung einholen",IF(AM248="","Instandstellungen beauftragen",IF(R248="","Nachmieter erfassen",IF(AN248="","Vertrag versenden",IF(AO248="","Vertrag retour erfassen",IF(S248="","Vermietet per erfassen",IF(AP248="","Werke / EGT über Einzug informieren",IF(AND(AD248="",AQ248=""),"Schlüsselübergabe terminieren",IF(AQ248="","Schlüsselübergabe durchführen",IF(AR248="","Reinigung veranlassen",IF(AS248="","Namensschilder bestellen",IF(AT248="","Kaution prüfen / G-Rem mutieren",IF(AU248="","Instandstellungs-Rechnung erfassen",IF(AV248="","Schlussabrechnung erstellen",IF(AW248="","Zahlungseingang kontrollieren","Fall abschliessen"))))))))))))))))))))))))))))))))</f>
        <v/>
      </c>
      <c r="J248" s="17">
        <f>IF(M248="","",IF(S248&lt;&gt;"",MAX(0,S248-M248-1),MAX(0,TODAY()-M248)))</f>
        <v/>
      </c>
      <c r="K248" s="16">
        <f>IF($B248="","",TRIM(IF(AND(L248&lt;&gt;"",M248&lt;&gt;"",M248&lt;L248),"Haftungsdatum vor Kündigung. ","")&amp;IF(AND(S248&lt;&gt;"",M248&lt;&gt;"",S248&lt;M248),"Vermietung vor Leerstandsbeginn. ","")&amp;IF(AND(Z248&lt;&gt;"",L248&lt;&gt;"",Z248&lt;L248),"WA-Termin vor Kündigung. ","")&amp;IF(COUNTIFS($B$5:$B$404,$B248,$AY$5:$AY$404,"")&gt;1,"Zweiter offener Fall zum selben Objekt. ","")&amp;IF(AND($A248&lt;&gt;"",COUNTIFS($A$5:$A$404,$A248)&gt;1),"Fall-Nr. doppelt vergeben. ","")&amp;IF(E248="","ex-Mieter fehlt. ","")&amp;IF(M248="","Haftungsdatum fehlt. ","")&amp;IF(F248="","Bewirtschafter fehlt. ","")&amp;IF(AND(AY248&lt;&gt;"",AW248=""),"Abgeschlossen trotz offener Schlussabrechnung. ","")&amp;IF(AND(AY248="",S248="",ISNUMBER(J248),J248&gt;60),"Langläufer über 60 Tage. ","")))</f>
        <v/>
      </c>
      <c r="L248" s="18" t="n"/>
      <c r="M248" s="18" t="n"/>
      <c r="N248" s="19">
        <f>IF(M248="","",M248+1)</f>
        <v/>
      </c>
      <c r="O248" s="17">
        <f>IF(OR(L248="",M248=""),"",M248-L248)</f>
        <v/>
      </c>
      <c r="P248" s="16">
        <f>IF(M248="","",YEAR(M248+1)&amp;"-"&amp;TEXT(MONTH(M248+1),"00"))</f>
        <v/>
      </c>
      <c r="Q248" s="18" t="n"/>
      <c r="R248" s="15" t="n"/>
      <c r="S248" s="18" t="n"/>
      <c r="T248" s="16">
        <f>IF(U248="","",IF(LEFT(U248,1)="6","abgeschlossen",IF(OR(LEFT(U248,1)="1",LEFT(U248,1)="2"),"Kündigung &amp; Abnahme",IF(OR(LEFT(U248,1)="3",LEFT(U248,1)="4"),"Wiedervermietung","Schlussabrechnung"))))</f>
        <v/>
      </c>
      <c r="U248" s="16">
        <f>IF($B248="","",IF(AY248&lt;&gt;"","6 · abgeschlossen",IF(AW248&lt;&gt;"","5 · bereit zum Abschluss",IF(AT248&lt;&gt;"","5 · Schlussabrechnung",IF(AO248&lt;&gt;"","4 · Übergabe",IF(AM248&lt;&gt;"","3 · Neuvermietung",IF(M248&lt;&gt;"","2 · Abnahme &amp; Vermarktung","1 · Erfassung")))))))</f>
        <v/>
      </c>
      <c r="V248" s="15" t="n"/>
      <c r="W248" s="20" t="n"/>
      <c r="X248" s="15" t="n"/>
      <c r="Y248" s="15" t="n"/>
      <c r="Z248" s="18" t="n"/>
      <c r="AA248" s="19">
        <f>IF(M248="","",M248-30)</f>
        <v/>
      </c>
      <c r="AB248" s="19">
        <f>IF(ISNUMBER(AJ248),AJ248+3,"")</f>
        <v/>
      </c>
      <c r="AC248" s="18" t="n"/>
      <c r="AD248" s="18" t="n"/>
      <c r="AE248" s="18" t="n"/>
      <c r="AF248" s="18" t="n"/>
      <c r="AG248" s="18" t="n"/>
      <c r="AH248" s="18" t="n"/>
      <c r="AI248" s="18" t="n"/>
      <c r="AJ248" s="18" t="n"/>
      <c r="AK248" s="18" t="n"/>
      <c r="AL248" s="18" t="n"/>
      <c r="AM248" s="18" t="n"/>
      <c r="AN248" s="18" t="n"/>
      <c r="AO248" s="18" t="n"/>
      <c r="AP248" s="18" t="n"/>
      <c r="AQ248" s="18" t="n"/>
      <c r="AR248" s="18" t="n"/>
      <c r="AS248" s="18" t="n"/>
      <c r="AT248" s="18" t="n"/>
      <c r="AU248" s="18" t="n"/>
      <c r="AV248" s="18" t="n"/>
      <c r="AW248" s="18" t="n"/>
      <c r="AX248" s="18" t="n"/>
      <c r="AY248" s="18" t="n"/>
      <c r="AZ248" s="15" t="n"/>
    </row>
    <row r="249">
      <c r="A249" s="15" t="n"/>
      <c r="B249" s="15" t="n"/>
      <c r="C249" s="15" t="n"/>
      <c r="D249" s="15" t="n"/>
      <c r="E249" s="15" t="n"/>
      <c r="F249" s="15" t="n"/>
      <c r="G249" s="16">
        <f>IF(F249="","",IFERROR(INDEX(Stammdaten!$B$5:$B$24,MATCH(F249,Stammdaten!$A$5:$A$24,0)),"unbekannt"))</f>
        <v/>
      </c>
      <c r="H249" s="16">
        <f>IF($B249="","",IF(AY249&lt;&gt;"","abgeschlossen",IF(AND(ISNUMBER(AX249),AX249&gt;=TODAY()),"zurückgestellt",IF(OR(AND(ISNUMBER(AA249),AA249&lt;TODAY(),Z249="",AJ249=""),AND(ISNUMBER(Z249),Z249&lt;TODAY(),AJ249=""),AND(ISNUMBER(AB249),AB249&lt;TODAY(),AK249=""),AND(ISNUMBER(AC249),AC249&lt;TODAY(),AO249=""),AND(ISNUMBER(AD249),AD249&lt;TODAY(),AQ249="")),"überfällig","offen"))))</f>
        <v/>
      </c>
      <c r="I249" s="16">
        <f>IF($B249="","",IF(AY249&lt;&gt;"","—",IF(AND(ISNUMBER(AA249),AA249&lt;TODAY(),Z249="",AJ249=""),"Abnahmetermin vereinbaren – Sollfrist verstrichen",IF(AND(ISNUMBER(Z249),Z249&lt;TODAY(),AJ249=""),"Wohnungsabnahme nachtragen – Termin war fällig",IF(AND(ISNUMBER(AB249),AB249&lt;TODAY(),AK249=""),"Handwerker aufbieten – Frist verstrichen",IF(AND(ISNUMBER(AC249),AC249&lt;TODAY(),AO249=""),"Vertrag retour mahnen – Frist verstrichen",IF(AND(ISNUMBER(AD249),AD249&lt;TODAY(),AQ249=""),"Schlüsselübergabe nachtragen – Termin war fällig",IF(M249="","Haftungsdatum erfassen",IF(E249="","ex-Mieter erfassen",IF(AE249="","Kündigung bestätigen / G-Rem",IF(AF249="","Werke / EGT melden",IF(AG249="","Vorbesichtigung (oder n.e.)",IF(AH249="","VMZ aktualisieren",IF(AI249="","Inserat aufschalten",IF(AND(Z249="",AJ249=""),"Abnahmetermin vereinbaren",IF(AJ249="","Wohnungsabnahme durchführen",IF(AK249="","Handwerker aufbieten",IF(AL249="","Zustimmungserklärung einholen",IF(AM249="","Instandstellungen beauftragen",IF(R249="","Nachmieter erfassen",IF(AN249="","Vertrag versenden",IF(AO249="","Vertrag retour erfassen",IF(S249="","Vermietet per erfassen",IF(AP249="","Werke / EGT über Einzug informieren",IF(AND(AD249="",AQ249=""),"Schlüsselübergabe terminieren",IF(AQ249="","Schlüsselübergabe durchführen",IF(AR249="","Reinigung veranlassen",IF(AS249="","Namensschilder bestellen",IF(AT249="","Kaution prüfen / G-Rem mutieren",IF(AU249="","Instandstellungs-Rechnung erfassen",IF(AV249="","Schlussabrechnung erstellen",IF(AW249="","Zahlungseingang kontrollieren","Fall abschliessen"))))))))))))))))))))))))))))))))</f>
        <v/>
      </c>
      <c r="J249" s="17">
        <f>IF(M249="","",IF(S249&lt;&gt;"",MAX(0,S249-M249-1),MAX(0,TODAY()-M249)))</f>
        <v/>
      </c>
      <c r="K249" s="16">
        <f>IF($B249="","",TRIM(IF(AND(L249&lt;&gt;"",M249&lt;&gt;"",M249&lt;L249),"Haftungsdatum vor Kündigung. ","")&amp;IF(AND(S249&lt;&gt;"",M249&lt;&gt;"",S249&lt;M249),"Vermietung vor Leerstandsbeginn. ","")&amp;IF(AND(Z249&lt;&gt;"",L249&lt;&gt;"",Z249&lt;L249),"WA-Termin vor Kündigung. ","")&amp;IF(COUNTIFS($B$5:$B$404,$B249,$AY$5:$AY$404,"")&gt;1,"Zweiter offener Fall zum selben Objekt. ","")&amp;IF(AND($A249&lt;&gt;"",COUNTIFS($A$5:$A$404,$A249)&gt;1),"Fall-Nr. doppelt vergeben. ","")&amp;IF(E249="","ex-Mieter fehlt. ","")&amp;IF(M249="","Haftungsdatum fehlt. ","")&amp;IF(F249="","Bewirtschafter fehlt. ","")&amp;IF(AND(AY249&lt;&gt;"",AW249=""),"Abgeschlossen trotz offener Schlussabrechnung. ","")&amp;IF(AND(AY249="",S249="",ISNUMBER(J249),J249&gt;60),"Langläufer über 60 Tage. ","")))</f>
        <v/>
      </c>
      <c r="L249" s="18" t="n"/>
      <c r="M249" s="18" t="n"/>
      <c r="N249" s="19">
        <f>IF(M249="","",M249+1)</f>
        <v/>
      </c>
      <c r="O249" s="17">
        <f>IF(OR(L249="",M249=""),"",M249-L249)</f>
        <v/>
      </c>
      <c r="P249" s="16">
        <f>IF(M249="","",YEAR(M249+1)&amp;"-"&amp;TEXT(MONTH(M249+1),"00"))</f>
        <v/>
      </c>
      <c r="Q249" s="18" t="n"/>
      <c r="R249" s="15" t="n"/>
      <c r="S249" s="18" t="n"/>
      <c r="T249" s="16">
        <f>IF(U249="","",IF(LEFT(U249,1)="6","abgeschlossen",IF(OR(LEFT(U249,1)="1",LEFT(U249,1)="2"),"Kündigung &amp; Abnahme",IF(OR(LEFT(U249,1)="3",LEFT(U249,1)="4"),"Wiedervermietung","Schlussabrechnung"))))</f>
        <v/>
      </c>
      <c r="U249" s="16">
        <f>IF($B249="","",IF(AY249&lt;&gt;"","6 · abgeschlossen",IF(AW249&lt;&gt;"","5 · bereit zum Abschluss",IF(AT249&lt;&gt;"","5 · Schlussabrechnung",IF(AO249&lt;&gt;"","4 · Übergabe",IF(AM249&lt;&gt;"","3 · Neuvermietung",IF(M249&lt;&gt;"","2 · Abnahme &amp; Vermarktung","1 · Erfassung")))))))</f>
        <v/>
      </c>
      <c r="V249" s="15" t="n"/>
      <c r="W249" s="20" t="n"/>
      <c r="X249" s="15" t="n"/>
      <c r="Y249" s="15" t="n"/>
      <c r="Z249" s="18" t="n"/>
      <c r="AA249" s="19">
        <f>IF(M249="","",M249-30)</f>
        <v/>
      </c>
      <c r="AB249" s="19">
        <f>IF(ISNUMBER(AJ249),AJ249+3,"")</f>
        <v/>
      </c>
      <c r="AC249" s="18" t="n"/>
      <c r="AD249" s="18" t="n"/>
      <c r="AE249" s="18" t="n"/>
      <c r="AF249" s="18" t="n"/>
      <c r="AG249" s="18" t="n"/>
      <c r="AH249" s="18" t="n"/>
      <c r="AI249" s="18" t="n"/>
      <c r="AJ249" s="18" t="n"/>
      <c r="AK249" s="18" t="n"/>
      <c r="AL249" s="18" t="n"/>
      <c r="AM249" s="18" t="n"/>
      <c r="AN249" s="18" t="n"/>
      <c r="AO249" s="18" t="n"/>
      <c r="AP249" s="18" t="n"/>
      <c r="AQ249" s="18" t="n"/>
      <c r="AR249" s="18" t="n"/>
      <c r="AS249" s="18" t="n"/>
      <c r="AT249" s="18" t="n"/>
      <c r="AU249" s="18" t="n"/>
      <c r="AV249" s="18" t="n"/>
      <c r="AW249" s="18" t="n"/>
      <c r="AX249" s="18" t="n"/>
      <c r="AY249" s="18" t="n"/>
      <c r="AZ249" s="15" t="n"/>
    </row>
    <row r="250">
      <c r="A250" s="15" t="n"/>
      <c r="B250" s="15" t="n"/>
      <c r="C250" s="15" t="n"/>
      <c r="D250" s="15" t="n"/>
      <c r="E250" s="15" t="n"/>
      <c r="F250" s="15" t="n"/>
      <c r="G250" s="16">
        <f>IF(F250="","",IFERROR(INDEX(Stammdaten!$B$5:$B$24,MATCH(F250,Stammdaten!$A$5:$A$24,0)),"unbekannt"))</f>
        <v/>
      </c>
      <c r="H250" s="16">
        <f>IF($B250="","",IF(AY250&lt;&gt;"","abgeschlossen",IF(AND(ISNUMBER(AX250),AX250&gt;=TODAY()),"zurückgestellt",IF(OR(AND(ISNUMBER(AA250),AA250&lt;TODAY(),Z250="",AJ250=""),AND(ISNUMBER(Z250),Z250&lt;TODAY(),AJ250=""),AND(ISNUMBER(AB250),AB250&lt;TODAY(),AK250=""),AND(ISNUMBER(AC250),AC250&lt;TODAY(),AO250=""),AND(ISNUMBER(AD250),AD250&lt;TODAY(),AQ250="")),"überfällig","offen"))))</f>
        <v/>
      </c>
      <c r="I250" s="16">
        <f>IF($B250="","",IF(AY250&lt;&gt;"","—",IF(AND(ISNUMBER(AA250),AA250&lt;TODAY(),Z250="",AJ250=""),"Abnahmetermin vereinbaren – Sollfrist verstrichen",IF(AND(ISNUMBER(Z250),Z250&lt;TODAY(),AJ250=""),"Wohnungsabnahme nachtragen – Termin war fällig",IF(AND(ISNUMBER(AB250),AB250&lt;TODAY(),AK250=""),"Handwerker aufbieten – Frist verstrichen",IF(AND(ISNUMBER(AC250),AC250&lt;TODAY(),AO250=""),"Vertrag retour mahnen – Frist verstrichen",IF(AND(ISNUMBER(AD250),AD250&lt;TODAY(),AQ250=""),"Schlüsselübergabe nachtragen – Termin war fällig",IF(M250="","Haftungsdatum erfassen",IF(E250="","ex-Mieter erfassen",IF(AE250="","Kündigung bestätigen / G-Rem",IF(AF250="","Werke / EGT melden",IF(AG250="","Vorbesichtigung (oder n.e.)",IF(AH250="","VMZ aktualisieren",IF(AI250="","Inserat aufschalten",IF(AND(Z250="",AJ250=""),"Abnahmetermin vereinbaren",IF(AJ250="","Wohnungsabnahme durchführen",IF(AK250="","Handwerker aufbieten",IF(AL250="","Zustimmungserklärung einholen",IF(AM250="","Instandstellungen beauftragen",IF(R250="","Nachmieter erfassen",IF(AN250="","Vertrag versenden",IF(AO250="","Vertrag retour erfassen",IF(S250="","Vermietet per erfassen",IF(AP250="","Werke / EGT über Einzug informieren",IF(AND(AD250="",AQ250=""),"Schlüsselübergabe terminieren",IF(AQ250="","Schlüsselübergabe durchführen",IF(AR250="","Reinigung veranlassen",IF(AS250="","Namensschilder bestellen",IF(AT250="","Kaution prüfen / G-Rem mutieren",IF(AU250="","Instandstellungs-Rechnung erfassen",IF(AV250="","Schlussabrechnung erstellen",IF(AW250="","Zahlungseingang kontrollieren","Fall abschliessen"))))))))))))))))))))))))))))))))</f>
        <v/>
      </c>
      <c r="J250" s="17">
        <f>IF(M250="","",IF(S250&lt;&gt;"",MAX(0,S250-M250-1),MAX(0,TODAY()-M250)))</f>
        <v/>
      </c>
      <c r="K250" s="16">
        <f>IF($B250="","",TRIM(IF(AND(L250&lt;&gt;"",M250&lt;&gt;"",M250&lt;L250),"Haftungsdatum vor Kündigung. ","")&amp;IF(AND(S250&lt;&gt;"",M250&lt;&gt;"",S250&lt;M250),"Vermietung vor Leerstandsbeginn. ","")&amp;IF(AND(Z250&lt;&gt;"",L250&lt;&gt;"",Z250&lt;L250),"WA-Termin vor Kündigung. ","")&amp;IF(COUNTIFS($B$5:$B$404,$B250,$AY$5:$AY$404,"")&gt;1,"Zweiter offener Fall zum selben Objekt. ","")&amp;IF(AND($A250&lt;&gt;"",COUNTIFS($A$5:$A$404,$A250)&gt;1),"Fall-Nr. doppelt vergeben. ","")&amp;IF(E250="","ex-Mieter fehlt. ","")&amp;IF(M250="","Haftungsdatum fehlt. ","")&amp;IF(F250="","Bewirtschafter fehlt. ","")&amp;IF(AND(AY250&lt;&gt;"",AW250=""),"Abgeschlossen trotz offener Schlussabrechnung. ","")&amp;IF(AND(AY250="",S250="",ISNUMBER(J250),J250&gt;60),"Langläufer über 60 Tage. ","")))</f>
        <v/>
      </c>
      <c r="L250" s="18" t="n"/>
      <c r="M250" s="18" t="n"/>
      <c r="N250" s="19">
        <f>IF(M250="","",M250+1)</f>
        <v/>
      </c>
      <c r="O250" s="17">
        <f>IF(OR(L250="",M250=""),"",M250-L250)</f>
        <v/>
      </c>
      <c r="P250" s="16">
        <f>IF(M250="","",YEAR(M250+1)&amp;"-"&amp;TEXT(MONTH(M250+1),"00"))</f>
        <v/>
      </c>
      <c r="Q250" s="18" t="n"/>
      <c r="R250" s="15" t="n"/>
      <c r="S250" s="18" t="n"/>
      <c r="T250" s="16">
        <f>IF(U250="","",IF(LEFT(U250,1)="6","abgeschlossen",IF(OR(LEFT(U250,1)="1",LEFT(U250,1)="2"),"Kündigung &amp; Abnahme",IF(OR(LEFT(U250,1)="3",LEFT(U250,1)="4"),"Wiedervermietung","Schlussabrechnung"))))</f>
        <v/>
      </c>
      <c r="U250" s="16">
        <f>IF($B250="","",IF(AY250&lt;&gt;"","6 · abgeschlossen",IF(AW250&lt;&gt;"","5 · bereit zum Abschluss",IF(AT250&lt;&gt;"","5 · Schlussabrechnung",IF(AO250&lt;&gt;"","4 · Übergabe",IF(AM250&lt;&gt;"","3 · Neuvermietung",IF(M250&lt;&gt;"","2 · Abnahme &amp; Vermarktung","1 · Erfassung")))))))</f>
        <v/>
      </c>
      <c r="V250" s="15" t="n"/>
      <c r="W250" s="20" t="n"/>
      <c r="X250" s="15" t="n"/>
      <c r="Y250" s="15" t="n"/>
      <c r="Z250" s="18" t="n"/>
      <c r="AA250" s="19">
        <f>IF(M250="","",M250-30)</f>
        <v/>
      </c>
      <c r="AB250" s="19">
        <f>IF(ISNUMBER(AJ250),AJ250+3,"")</f>
        <v/>
      </c>
      <c r="AC250" s="18" t="n"/>
      <c r="AD250" s="18" t="n"/>
      <c r="AE250" s="18" t="n"/>
      <c r="AF250" s="18" t="n"/>
      <c r="AG250" s="18" t="n"/>
      <c r="AH250" s="18" t="n"/>
      <c r="AI250" s="18" t="n"/>
      <c r="AJ250" s="18" t="n"/>
      <c r="AK250" s="18" t="n"/>
      <c r="AL250" s="18" t="n"/>
      <c r="AM250" s="18" t="n"/>
      <c r="AN250" s="18" t="n"/>
      <c r="AO250" s="18" t="n"/>
      <c r="AP250" s="18" t="n"/>
      <c r="AQ250" s="18" t="n"/>
      <c r="AR250" s="18" t="n"/>
      <c r="AS250" s="18" t="n"/>
      <c r="AT250" s="18" t="n"/>
      <c r="AU250" s="18" t="n"/>
      <c r="AV250" s="18" t="n"/>
      <c r="AW250" s="18" t="n"/>
      <c r="AX250" s="18" t="n"/>
      <c r="AY250" s="18" t="n"/>
      <c r="AZ250" s="15" t="n"/>
    </row>
    <row r="251">
      <c r="A251" s="15" t="n"/>
      <c r="B251" s="15" t="n"/>
      <c r="C251" s="15" t="n"/>
      <c r="D251" s="15" t="n"/>
      <c r="E251" s="15" t="n"/>
      <c r="F251" s="15" t="n"/>
      <c r="G251" s="16">
        <f>IF(F251="","",IFERROR(INDEX(Stammdaten!$B$5:$B$24,MATCH(F251,Stammdaten!$A$5:$A$24,0)),"unbekannt"))</f>
        <v/>
      </c>
      <c r="H251" s="16">
        <f>IF($B251="","",IF(AY251&lt;&gt;"","abgeschlossen",IF(AND(ISNUMBER(AX251),AX251&gt;=TODAY()),"zurückgestellt",IF(OR(AND(ISNUMBER(AA251),AA251&lt;TODAY(),Z251="",AJ251=""),AND(ISNUMBER(Z251),Z251&lt;TODAY(),AJ251=""),AND(ISNUMBER(AB251),AB251&lt;TODAY(),AK251=""),AND(ISNUMBER(AC251),AC251&lt;TODAY(),AO251=""),AND(ISNUMBER(AD251),AD251&lt;TODAY(),AQ251="")),"überfällig","offen"))))</f>
        <v/>
      </c>
      <c r="I251" s="16">
        <f>IF($B251="","",IF(AY251&lt;&gt;"","—",IF(AND(ISNUMBER(AA251),AA251&lt;TODAY(),Z251="",AJ251=""),"Abnahmetermin vereinbaren – Sollfrist verstrichen",IF(AND(ISNUMBER(Z251),Z251&lt;TODAY(),AJ251=""),"Wohnungsabnahme nachtragen – Termin war fällig",IF(AND(ISNUMBER(AB251),AB251&lt;TODAY(),AK251=""),"Handwerker aufbieten – Frist verstrichen",IF(AND(ISNUMBER(AC251),AC251&lt;TODAY(),AO251=""),"Vertrag retour mahnen – Frist verstrichen",IF(AND(ISNUMBER(AD251),AD251&lt;TODAY(),AQ251=""),"Schlüsselübergabe nachtragen – Termin war fällig",IF(M251="","Haftungsdatum erfassen",IF(E251="","ex-Mieter erfassen",IF(AE251="","Kündigung bestätigen / G-Rem",IF(AF251="","Werke / EGT melden",IF(AG251="","Vorbesichtigung (oder n.e.)",IF(AH251="","VMZ aktualisieren",IF(AI251="","Inserat aufschalten",IF(AND(Z251="",AJ251=""),"Abnahmetermin vereinbaren",IF(AJ251="","Wohnungsabnahme durchführen",IF(AK251="","Handwerker aufbieten",IF(AL251="","Zustimmungserklärung einholen",IF(AM251="","Instandstellungen beauftragen",IF(R251="","Nachmieter erfassen",IF(AN251="","Vertrag versenden",IF(AO251="","Vertrag retour erfassen",IF(S251="","Vermietet per erfassen",IF(AP251="","Werke / EGT über Einzug informieren",IF(AND(AD251="",AQ251=""),"Schlüsselübergabe terminieren",IF(AQ251="","Schlüsselübergabe durchführen",IF(AR251="","Reinigung veranlassen",IF(AS251="","Namensschilder bestellen",IF(AT251="","Kaution prüfen / G-Rem mutieren",IF(AU251="","Instandstellungs-Rechnung erfassen",IF(AV251="","Schlussabrechnung erstellen",IF(AW251="","Zahlungseingang kontrollieren","Fall abschliessen"))))))))))))))))))))))))))))))))</f>
        <v/>
      </c>
      <c r="J251" s="17">
        <f>IF(M251="","",IF(S251&lt;&gt;"",MAX(0,S251-M251-1),MAX(0,TODAY()-M251)))</f>
        <v/>
      </c>
      <c r="K251" s="16">
        <f>IF($B251="","",TRIM(IF(AND(L251&lt;&gt;"",M251&lt;&gt;"",M251&lt;L251),"Haftungsdatum vor Kündigung. ","")&amp;IF(AND(S251&lt;&gt;"",M251&lt;&gt;"",S251&lt;M251),"Vermietung vor Leerstandsbeginn. ","")&amp;IF(AND(Z251&lt;&gt;"",L251&lt;&gt;"",Z251&lt;L251),"WA-Termin vor Kündigung. ","")&amp;IF(COUNTIFS($B$5:$B$404,$B251,$AY$5:$AY$404,"")&gt;1,"Zweiter offener Fall zum selben Objekt. ","")&amp;IF(AND($A251&lt;&gt;"",COUNTIFS($A$5:$A$404,$A251)&gt;1),"Fall-Nr. doppelt vergeben. ","")&amp;IF(E251="","ex-Mieter fehlt. ","")&amp;IF(M251="","Haftungsdatum fehlt. ","")&amp;IF(F251="","Bewirtschafter fehlt. ","")&amp;IF(AND(AY251&lt;&gt;"",AW251=""),"Abgeschlossen trotz offener Schlussabrechnung. ","")&amp;IF(AND(AY251="",S251="",ISNUMBER(J251),J251&gt;60),"Langläufer über 60 Tage. ","")))</f>
        <v/>
      </c>
      <c r="L251" s="18" t="n"/>
      <c r="M251" s="18" t="n"/>
      <c r="N251" s="19">
        <f>IF(M251="","",M251+1)</f>
        <v/>
      </c>
      <c r="O251" s="17">
        <f>IF(OR(L251="",M251=""),"",M251-L251)</f>
        <v/>
      </c>
      <c r="P251" s="16">
        <f>IF(M251="","",YEAR(M251+1)&amp;"-"&amp;TEXT(MONTH(M251+1),"00"))</f>
        <v/>
      </c>
      <c r="Q251" s="18" t="n"/>
      <c r="R251" s="15" t="n"/>
      <c r="S251" s="18" t="n"/>
      <c r="T251" s="16">
        <f>IF(U251="","",IF(LEFT(U251,1)="6","abgeschlossen",IF(OR(LEFT(U251,1)="1",LEFT(U251,1)="2"),"Kündigung &amp; Abnahme",IF(OR(LEFT(U251,1)="3",LEFT(U251,1)="4"),"Wiedervermietung","Schlussabrechnung"))))</f>
        <v/>
      </c>
      <c r="U251" s="16">
        <f>IF($B251="","",IF(AY251&lt;&gt;"","6 · abgeschlossen",IF(AW251&lt;&gt;"","5 · bereit zum Abschluss",IF(AT251&lt;&gt;"","5 · Schlussabrechnung",IF(AO251&lt;&gt;"","4 · Übergabe",IF(AM251&lt;&gt;"","3 · Neuvermietung",IF(M251&lt;&gt;"","2 · Abnahme &amp; Vermarktung","1 · Erfassung")))))))</f>
        <v/>
      </c>
      <c r="V251" s="15" t="n"/>
      <c r="W251" s="20" t="n"/>
      <c r="X251" s="15" t="n"/>
      <c r="Y251" s="15" t="n"/>
      <c r="Z251" s="18" t="n"/>
      <c r="AA251" s="19">
        <f>IF(M251="","",M251-30)</f>
        <v/>
      </c>
      <c r="AB251" s="19">
        <f>IF(ISNUMBER(AJ251),AJ251+3,"")</f>
        <v/>
      </c>
      <c r="AC251" s="18" t="n"/>
      <c r="AD251" s="18" t="n"/>
      <c r="AE251" s="18" t="n"/>
      <c r="AF251" s="18" t="n"/>
      <c r="AG251" s="18" t="n"/>
      <c r="AH251" s="18" t="n"/>
      <c r="AI251" s="18" t="n"/>
      <c r="AJ251" s="18" t="n"/>
      <c r="AK251" s="18" t="n"/>
      <c r="AL251" s="18" t="n"/>
      <c r="AM251" s="18" t="n"/>
      <c r="AN251" s="18" t="n"/>
      <c r="AO251" s="18" t="n"/>
      <c r="AP251" s="18" t="n"/>
      <c r="AQ251" s="18" t="n"/>
      <c r="AR251" s="18" t="n"/>
      <c r="AS251" s="18" t="n"/>
      <c r="AT251" s="18" t="n"/>
      <c r="AU251" s="18" t="n"/>
      <c r="AV251" s="18" t="n"/>
      <c r="AW251" s="18" t="n"/>
      <c r="AX251" s="18" t="n"/>
      <c r="AY251" s="18" t="n"/>
      <c r="AZ251" s="15" t="n"/>
    </row>
    <row r="252">
      <c r="A252" s="15" t="n"/>
      <c r="B252" s="15" t="n"/>
      <c r="C252" s="15" t="n"/>
      <c r="D252" s="15" t="n"/>
      <c r="E252" s="15" t="n"/>
      <c r="F252" s="15" t="n"/>
      <c r="G252" s="16">
        <f>IF(F252="","",IFERROR(INDEX(Stammdaten!$B$5:$B$24,MATCH(F252,Stammdaten!$A$5:$A$24,0)),"unbekannt"))</f>
        <v/>
      </c>
      <c r="H252" s="16">
        <f>IF($B252="","",IF(AY252&lt;&gt;"","abgeschlossen",IF(AND(ISNUMBER(AX252),AX252&gt;=TODAY()),"zurückgestellt",IF(OR(AND(ISNUMBER(AA252),AA252&lt;TODAY(),Z252="",AJ252=""),AND(ISNUMBER(Z252),Z252&lt;TODAY(),AJ252=""),AND(ISNUMBER(AB252),AB252&lt;TODAY(),AK252=""),AND(ISNUMBER(AC252),AC252&lt;TODAY(),AO252=""),AND(ISNUMBER(AD252),AD252&lt;TODAY(),AQ252="")),"überfällig","offen"))))</f>
        <v/>
      </c>
      <c r="I252" s="16">
        <f>IF($B252="","",IF(AY252&lt;&gt;"","—",IF(AND(ISNUMBER(AA252),AA252&lt;TODAY(),Z252="",AJ252=""),"Abnahmetermin vereinbaren – Sollfrist verstrichen",IF(AND(ISNUMBER(Z252),Z252&lt;TODAY(),AJ252=""),"Wohnungsabnahme nachtragen – Termin war fällig",IF(AND(ISNUMBER(AB252),AB252&lt;TODAY(),AK252=""),"Handwerker aufbieten – Frist verstrichen",IF(AND(ISNUMBER(AC252),AC252&lt;TODAY(),AO252=""),"Vertrag retour mahnen – Frist verstrichen",IF(AND(ISNUMBER(AD252),AD252&lt;TODAY(),AQ252=""),"Schlüsselübergabe nachtragen – Termin war fällig",IF(M252="","Haftungsdatum erfassen",IF(E252="","ex-Mieter erfassen",IF(AE252="","Kündigung bestätigen / G-Rem",IF(AF252="","Werke / EGT melden",IF(AG252="","Vorbesichtigung (oder n.e.)",IF(AH252="","VMZ aktualisieren",IF(AI252="","Inserat aufschalten",IF(AND(Z252="",AJ252=""),"Abnahmetermin vereinbaren",IF(AJ252="","Wohnungsabnahme durchführen",IF(AK252="","Handwerker aufbieten",IF(AL252="","Zustimmungserklärung einholen",IF(AM252="","Instandstellungen beauftragen",IF(R252="","Nachmieter erfassen",IF(AN252="","Vertrag versenden",IF(AO252="","Vertrag retour erfassen",IF(S252="","Vermietet per erfassen",IF(AP252="","Werke / EGT über Einzug informieren",IF(AND(AD252="",AQ252=""),"Schlüsselübergabe terminieren",IF(AQ252="","Schlüsselübergabe durchführen",IF(AR252="","Reinigung veranlassen",IF(AS252="","Namensschilder bestellen",IF(AT252="","Kaution prüfen / G-Rem mutieren",IF(AU252="","Instandstellungs-Rechnung erfassen",IF(AV252="","Schlussabrechnung erstellen",IF(AW252="","Zahlungseingang kontrollieren","Fall abschliessen"))))))))))))))))))))))))))))))))</f>
        <v/>
      </c>
      <c r="J252" s="17">
        <f>IF(M252="","",IF(S252&lt;&gt;"",MAX(0,S252-M252-1),MAX(0,TODAY()-M252)))</f>
        <v/>
      </c>
      <c r="K252" s="16">
        <f>IF($B252="","",TRIM(IF(AND(L252&lt;&gt;"",M252&lt;&gt;"",M252&lt;L252),"Haftungsdatum vor Kündigung. ","")&amp;IF(AND(S252&lt;&gt;"",M252&lt;&gt;"",S252&lt;M252),"Vermietung vor Leerstandsbeginn. ","")&amp;IF(AND(Z252&lt;&gt;"",L252&lt;&gt;"",Z252&lt;L252),"WA-Termin vor Kündigung. ","")&amp;IF(COUNTIFS($B$5:$B$404,$B252,$AY$5:$AY$404,"")&gt;1,"Zweiter offener Fall zum selben Objekt. ","")&amp;IF(AND($A252&lt;&gt;"",COUNTIFS($A$5:$A$404,$A252)&gt;1),"Fall-Nr. doppelt vergeben. ","")&amp;IF(E252="","ex-Mieter fehlt. ","")&amp;IF(M252="","Haftungsdatum fehlt. ","")&amp;IF(F252="","Bewirtschafter fehlt. ","")&amp;IF(AND(AY252&lt;&gt;"",AW252=""),"Abgeschlossen trotz offener Schlussabrechnung. ","")&amp;IF(AND(AY252="",S252="",ISNUMBER(J252),J252&gt;60),"Langläufer über 60 Tage. ","")))</f>
        <v/>
      </c>
      <c r="L252" s="18" t="n"/>
      <c r="M252" s="18" t="n"/>
      <c r="N252" s="19">
        <f>IF(M252="","",M252+1)</f>
        <v/>
      </c>
      <c r="O252" s="17">
        <f>IF(OR(L252="",M252=""),"",M252-L252)</f>
        <v/>
      </c>
      <c r="P252" s="16">
        <f>IF(M252="","",YEAR(M252+1)&amp;"-"&amp;TEXT(MONTH(M252+1),"00"))</f>
        <v/>
      </c>
      <c r="Q252" s="18" t="n"/>
      <c r="R252" s="15" t="n"/>
      <c r="S252" s="18" t="n"/>
      <c r="T252" s="16">
        <f>IF(U252="","",IF(LEFT(U252,1)="6","abgeschlossen",IF(OR(LEFT(U252,1)="1",LEFT(U252,1)="2"),"Kündigung &amp; Abnahme",IF(OR(LEFT(U252,1)="3",LEFT(U252,1)="4"),"Wiedervermietung","Schlussabrechnung"))))</f>
        <v/>
      </c>
      <c r="U252" s="16">
        <f>IF($B252="","",IF(AY252&lt;&gt;"","6 · abgeschlossen",IF(AW252&lt;&gt;"","5 · bereit zum Abschluss",IF(AT252&lt;&gt;"","5 · Schlussabrechnung",IF(AO252&lt;&gt;"","4 · Übergabe",IF(AM252&lt;&gt;"","3 · Neuvermietung",IF(M252&lt;&gt;"","2 · Abnahme &amp; Vermarktung","1 · Erfassung")))))))</f>
        <v/>
      </c>
      <c r="V252" s="15" t="n"/>
      <c r="W252" s="20" t="n"/>
      <c r="X252" s="15" t="n"/>
      <c r="Y252" s="15" t="n"/>
      <c r="Z252" s="18" t="n"/>
      <c r="AA252" s="19">
        <f>IF(M252="","",M252-30)</f>
        <v/>
      </c>
      <c r="AB252" s="19">
        <f>IF(ISNUMBER(AJ252),AJ252+3,"")</f>
        <v/>
      </c>
      <c r="AC252" s="18" t="n"/>
      <c r="AD252" s="18" t="n"/>
      <c r="AE252" s="18" t="n"/>
      <c r="AF252" s="18" t="n"/>
      <c r="AG252" s="18" t="n"/>
      <c r="AH252" s="18" t="n"/>
      <c r="AI252" s="18" t="n"/>
      <c r="AJ252" s="18" t="n"/>
      <c r="AK252" s="18" t="n"/>
      <c r="AL252" s="18" t="n"/>
      <c r="AM252" s="18" t="n"/>
      <c r="AN252" s="18" t="n"/>
      <c r="AO252" s="18" t="n"/>
      <c r="AP252" s="18" t="n"/>
      <c r="AQ252" s="18" t="n"/>
      <c r="AR252" s="18" t="n"/>
      <c r="AS252" s="18" t="n"/>
      <c r="AT252" s="18" t="n"/>
      <c r="AU252" s="18" t="n"/>
      <c r="AV252" s="18" t="n"/>
      <c r="AW252" s="18" t="n"/>
      <c r="AX252" s="18" t="n"/>
      <c r="AY252" s="18" t="n"/>
      <c r="AZ252" s="15" t="n"/>
    </row>
    <row r="253">
      <c r="A253" s="15" t="n"/>
      <c r="B253" s="15" t="n"/>
      <c r="C253" s="15" t="n"/>
      <c r="D253" s="15" t="n"/>
      <c r="E253" s="15" t="n"/>
      <c r="F253" s="15" t="n"/>
      <c r="G253" s="16">
        <f>IF(F253="","",IFERROR(INDEX(Stammdaten!$B$5:$B$24,MATCH(F253,Stammdaten!$A$5:$A$24,0)),"unbekannt"))</f>
        <v/>
      </c>
      <c r="H253" s="16">
        <f>IF($B253="","",IF(AY253&lt;&gt;"","abgeschlossen",IF(AND(ISNUMBER(AX253),AX253&gt;=TODAY()),"zurückgestellt",IF(OR(AND(ISNUMBER(AA253),AA253&lt;TODAY(),Z253="",AJ253=""),AND(ISNUMBER(Z253),Z253&lt;TODAY(),AJ253=""),AND(ISNUMBER(AB253),AB253&lt;TODAY(),AK253=""),AND(ISNUMBER(AC253),AC253&lt;TODAY(),AO253=""),AND(ISNUMBER(AD253),AD253&lt;TODAY(),AQ253="")),"überfällig","offen"))))</f>
        <v/>
      </c>
      <c r="I253" s="16">
        <f>IF($B253="","",IF(AY253&lt;&gt;"","—",IF(AND(ISNUMBER(AA253),AA253&lt;TODAY(),Z253="",AJ253=""),"Abnahmetermin vereinbaren – Sollfrist verstrichen",IF(AND(ISNUMBER(Z253),Z253&lt;TODAY(),AJ253=""),"Wohnungsabnahme nachtragen – Termin war fällig",IF(AND(ISNUMBER(AB253),AB253&lt;TODAY(),AK253=""),"Handwerker aufbieten – Frist verstrichen",IF(AND(ISNUMBER(AC253),AC253&lt;TODAY(),AO253=""),"Vertrag retour mahnen – Frist verstrichen",IF(AND(ISNUMBER(AD253),AD253&lt;TODAY(),AQ253=""),"Schlüsselübergabe nachtragen – Termin war fällig",IF(M253="","Haftungsdatum erfassen",IF(E253="","ex-Mieter erfassen",IF(AE253="","Kündigung bestätigen / G-Rem",IF(AF253="","Werke / EGT melden",IF(AG253="","Vorbesichtigung (oder n.e.)",IF(AH253="","VMZ aktualisieren",IF(AI253="","Inserat aufschalten",IF(AND(Z253="",AJ253=""),"Abnahmetermin vereinbaren",IF(AJ253="","Wohnungsabnahme durchführen",IF(AK253="","Handwerker aufbieten",IF(AL253="","Zustimmungserklärung einholen",IF(AM253="","Instandstellungen beauftragen",IF(R253="","Nachmieter erfassen",IF(AN253="","Vertrag versenden",IF(AO253="","Vertrag retour erfassen",IF(S253="","Vermietet per erfassen",IF(AP253="","Werke / EGT über Einzug informieren",IF(AND(AD253="",AQ253=""),"Schlüsselübergabe terminieren",IF(AQ253="","Schlüsselübergabe durchführen",IF(AR253="","Reinigung veranlassen",IF(AS253="","Namensschilder bestellen",IF(AT253="","Kaution prüfen / G-Rem mutieren",IF(AU253="","Instandstellungs-Rechnung erfassen",IF(AV253="","Schlussabrechnung erstellen",IF(AW253="","Zahlungseingang kontrollieren","Fall abschliessen"))))))))))))))))))))))))))))))))</f>
        <v/>
      </c>
      <c r="J253" s="17">
        <f>IF(M253="","",IF(S253&lt;&gt;"",MAX(0,S253-M253-1),MAX(0,TODAY()-M253)))</f>
        <v/>
      </c>
      <c r="K253" s="16">
        <f>IF($B253="","",TRIM(IF(AND(L253&lt;&gt;"",M253&lt;&gt;"",M253&lt;L253),"Haftungsdatum vor Kündigung. ","")&amp;IF(AND(S253&lt;&gt;"",M253&lt;&gt;"",S253&lt;M253),"Vermietung vor Leerstandsbeginn. ","")&amp;IF(AND(Z253&lt;&gt;"",L253&lt;&gt;"",Z253&lt;L253),"WA-Termin vor Kündigung. ","")&amp;IF(COUNTIFS($B$5:$B$404,$B253,$AY$5:$AY$404,"")&gt;1,"Zweiter offener Fall zum selben Objekt. ","")&amp;IF(AND($A253&lt;&gt;"",COUNTIFS($A$5:$A$404,$A253)&gt;1),"Fall-Nr. doppelt vergeben. ","")&amp;IF(E253="","ex-Mieter fehlt. ","")&amp;IF(M253="","Haftungsdatum fehlt. ","")&amp;IF(F253="","Bewirtschafter fehlt. ","")&amp;IF(AND(AY253&lt;&gt;"",AW253=""),"Abgeschlossen trotz offener Schlussabrechnung. ","")&amp;IF(AND(AY253="",S253="",ISNUMBER(J253),J253&gt;60),"Langläufer über 60 Tage. ","")))</f>
        <v/>
      </c>
      <c r="L253" s="18" t="n"/>
      <c r="M253" s="18" t="n"/>
      <c r="N253" s="19">
        <f>IF(M253="","",M253+1)</f>
        <v/>
      </c>
      <c r="O253" s="17">
        <f>IF(OR(L253="",M253=""),"",M253-L253)</f>
        <v/>
      </c>
      <c r="P253" s="16">
        <f>IF(M253="","",YEAR(M253+1)&amp;"-"&amp;TEXT(MONTH(M253+1),"00"))</f>
        <v/>
      </c>
      <c r="Q253" s="18" t="n"/>
      <c r="R253" s="15" t="n"/>
      <c r="S253" s="18" t="n"/>
      <c r="T253" s="16">
        <f>IF(U253="","",IF(LEFT(U253,1)="6","abgeschlossen",IF(OR(LEFT(U253,1)="1",LEFT(U253,1)="2"),"Kündigung &amp; Abnahme",IF(OR(LEFT(U253,1)="3",LEFT(U253,1)="4"),"Wiedervermietung","Schlussabrechnung"))))</f>
        <v/>
      </c>
      <c r="U253" s="16">
        <f>IF($B253="","",IF(AY253&lt;&gt;"","6 · abgeschlossen",IF(AW253&lt;&gt;"","5 · bereit zum Abschluss",IF(AT253&lt;&gt;"","5 · Schlussabrechnung",IF(AO253&lt;&gt;"","4 · Übergabe",IF(AM253&lt;&gt;"","3 · Neuvermietung",IF(M253&lt;&gt;"","2 · Abnahme &amp; Vermarktung","1 · Erfassung")))))))</f>
        <v/>
      </c>
      <c r="V253" s="15" t="n"/>
      <c r="W253" s="20" t="n"/>
      <c r="X253" s="15" t="n"/>
      <c r="Y253" s="15" t="n"/>
      <c r="Z253" s="18" t="n"/>
      <c r="AA253" s="19">
        <f>IF(M253="","",M253-30)</f>
        <v/>
      </c>
      <c r="AB253" s="19">
        <f>IF(ISNUMBER(AJ253),AJ253+3,"")</f>
        <v/>
      </c>
      <c r="AC253" s="18" t="n"/>
      <c r="AD253" s="18" t="n"/>
      <c r="AE253" s="18" t="n"/>
      <c r="AF253" s="18" t="n"/>
      <c r="AG253" s="18" t="n"/>
      <c r="AH253" s="18" t="n"/>
      <c r="AI253" s="18" t="n"/>
      <c r="AJ253" s="18" t="n"/>
      <c r="AK253" s="18" t="n"/>
      <c r="AL253" s="18" t="n"/>
      <c r="AM253" s="18" t="n"/>
      <c r="AN253" s="18" t="n"/>
      <c r="AO253" s="18" t="n"/>
      <c r="AP253" s="18" t="n"/>
      <c r="AQ253" s="18" t="n"/>
      <c r="AR253" s="18" t="n"/>
      <c r="AS253" s="18" t="n"/>
      <c r="AT253" s="18" t="n"/>
      <c r="AU253" s="18" t="n"/>
      <c r="AV253" s="18" t="n"/>
      <c r="AW253" s="18" t="n"/>
      <c r="AX253" s="18" t="n"/>
      <c r="AY253" s="18" t="n"/>
      <c r="AZ253" s="15" t="n"/>
    </row>
    <row r="254">
      <c r="A254" s="15" t="n"/>
      <c r="B254" s="15" t="n"/>
      <c r="C254" s="15" t="n"/>
      <c r="D254" s="15" t="n"/>
      <c r="E254" s="15" t="n"/>
      <c r="F254" s="15" t="n"/>
      <c r="G254" s="16">
        <f>IF(F254="","",IFERROR(INDEX(Stammdaten!$B$5:$B$24,MATCH(F254,Stammdaten!$A$5:$A$24,0)),"unbekannt"))</f>
        <v/>
      </c>
      <c r="H254" s="16">
        <f>IF($B254="","",IF(AY254&lt;&gt;"","abgeschlossen",IF(AND(ISNUMBER(AX254),AX254&gt;=TODAY()),"zurückgestellt",IF(OR(AND(ISNUMBER(AA254),AA254&lt;TODAY(),Z254="",AJ254=""),AND(ISNUMBER(Z254),Z254&lt;TODAY(),AJ254=""),AND(ISNUMBER(AB254),AB254&lt;TODAY(),AK254=""),AND(ISNUMBER(AC254),AC254&lt;TODAY(),AO254=""),AND(ISNUMBER(AD254),AD254&lt;TODAY(),AQ254="")),"überfällig","offen"))))</f>
        <v/>
      </c>
      <c r="I254" s="16">
        <f>IF($B254="","",IF(AY254&lt;&gt;"","—",IF(AND(ISNUMBER(AA254),AA254&lt;TODAY(),Z254="",AJ254=""),"Abnahmetermin vereinbaren – Sollfrist verstrichen",IF(AND(ISNUMBER(Z254),Z254&lt;TODAY(),AJ254=""),"Wohnungsabnahme nachtragen – Termin war fällig",IF(AND(ISNUMBER(AB254),AB254&lt;TODAY(),AK254=""),"Handwerker aufbieten – Frist verstrichen",IF(AND(ISNUMBER(AC254),AC254&lt;TODAY(),AO254=""),"Vertrag retour mahnen – Frist verstrichen",IF(AND(ISNUMBER(AD254),AD254&lt;TODAY(),AQ254=""),"Schlüsselübergabe nachtragen – Termin war fällig",IF(M254="","Haftungsdatum erfassen",IF(E254="","ex-Mieter erfassen",IF(AE254="","Kündigung bestätigen / G-Rem",IF(AF254="","Werke / EGT melden",IF(AG254="","Vorbesichtigung (oder n.e.)",IF(AH254="","VMZ aktualisieren",IF(AI254="","Inserat aufschalten",IF(AND(Z254="",AJ254=""),"Abnahmetermin vereinbaren",IF(AJ254="","Wohnungsabnahme durchführen",IF(AK254="","Handwerker aufbieten",IF(AL254="","Zustimmungserklärung einholen",IF(AM254="","Instandstellungen beauftragen",IF(R254="","Nachmieter erfassen",IF(AN254="","Vertrag versenden",IF(AO254="","Vertrag retour erfassen",IF(S254="","Vermietet per erfassen",IF(AP254="","Werke / EGT über Einzug informieren",IF(AND(AD254="",AQ254=""),"Schlüsselübergabe terminieren",IF(AQ254="","Schlüsselübergabe durchführen",IF(AR254="","Reinigung veranlassen",IF(AS254="","Namensschilder bestellen",IF(AT254="","Kaution prüfen / G-Rem mutieren",IF(AU254="","Instandstellungs-Rechnung erfassen",IF(AV254="","Schlussabrechnung erstellen",IF(AW254="","Zahlungseingang kontrollieren","Fall abschliessen"))))))))))))))))))))))))))))))))</f>
        <v/>
      </c>
      <c r="J254" s="17">
        <f>IF(M254="","",IF(S254&lt;&gt;"",MAX(0,S254-M254-1),MAX(0,TODAY()-M254)))</f>
        <v/>
      </c>
      <c r="K254" s="16">
        <f>IF($B254="","",TRIM(IF(AND(L254&lt;&gt;"",M254&lt;&gt;"",M254&lt;L254),"Haftungsdatum vor Kündigung. ","")&amp;IF(AND(S254&lt;&gt;"",M254&lt;&gt;"",S254&lt;M254),"Vermietung vor Leerstandsbeginn. ","")&amp;IF(AND(Z254&lt;&gt;"",L254&lt;&gt;"",Z254&lt;L254),"WA-Termin vor Kündigung. ","")&amp;IF(COUNTIFS($B$5:$B$404,$B254,$AY$5:$AY$404,"")&gt;1,"Zweiter offener Fall zum selben Objekt. ","")&amp;IF(AND($A254&lt;&gt;"",COUNTIFS($A$5:$A$404,$A254)&gt;1),"Fall-Nr. doppelt vergeben. ","")&amp;IF(E254="","ex-Mieter fehlt. ","")&amp;IF(M254="","Haftungsdatum fehlt. ","")&amp;IF(F254="","Bewirtschafter fehlt. ","")&amp;IF(AND(AY254&lt;&gt;"",AW254=""),"Abgeschlossen trotz offener Schlussabrechnung. ","")&amp;IF(AND(AY254="",S254="",ISNUMBER(J254),J254&gt;60),"Langläufer über 60 Tage. ","")))</f>
        <v/>
      </c>
      <c r="L254" s="18" t="n"/>
      <c r="M254" s="18" t="n"/>
      <c r="N254" s="19">
        <f>IF(M254="","",M254+1)</f>
        <v/>
      </c>
      <c r="O254" s="17">
        <f>IF(OR(L254="",M254=""),"",M254-L254)</f>
        <v/>
      </c>
      <c r="P254" s="16">
        <f>IF(M254="","",YEAR(M254+1)&amp;"-"&amp;TEXT(MONTH(M254+1),"00"))</f>
        <v/>
      </c>
      <c r="Q254" s="18" t="n"/>
      <c r="R254" s="15" t="n"/>
      <c r="S254" s="18" t="n"/>
      <c r="T254" s="16">
        <f>IF(U254="","",IF(LEFT(U254,1)="6","abgeschlossen",IF(OR(LEFT(U254,1)="1",LEFT(U254,1)="2"),"Kündigung &amp; Abnahme",IF(OR(LEFT(U254,1)="3",LEFT(U254,1)="4"),"Wiedervermietung","Schlussabrechnung"))))</f>
        <v/>
      </c>
      <c r="U254" s="16">
        <f>IF($B254="","",IF(AY254&lt;&gt;"","6 · abgeschlossen",IF(AW254&lt;&gt;"","5 · bereit zum Abschluss",IF(AT254&lt;&gt;"","5 · Schlussabrechnung",IF(AO254&lt;&gt;"","4 · Übergabe",IF(AM254&lt;&gt;"","3 · Neuvermietung",IF(M254&lt;&gt;"","2 · Abnahme &amp; Vermarktung","1 · Erfassung")))))))</f>
        <v/>
      </c>
      <c r="V254" s="15" t="n"/>
      <c r="W254" s="20" t="n"/>
      <c r="X254" s="15" t="n"/>
      <c r="Y254" s="15" t="n"/>
      <c r="Z254" s="18" t="n"/>
      <c r="AA254" s="19">
        <f>IF(M254="","",M254-30)</f>
        <v/>
      </c>
      <c r="AB254" s="19">
        <f>IF(ISNUMBER(AJ254),AJ254+3,"")</f>
        <v/>
      </c>
      <c r="AC254" s="18" t="n"/>
      <c r="AD254" s="18" t="n"/>
      <c r="AE254" s="18" t="n"/>
      <c r="AF254" s="18" t="n"/>
      <c r="AG254" s="18" t="n"/>
      <c r="AH254" s="18" t="n"/>
      <c r="AI254" s="18" t="n"/>
      <c r="AJ254" s="18" t="n"/>
      <c r="AK254" s="18" t="n"/>
      <c r="AL254" s="18" t="n"/>
      <c r="AM254" s="18" t="n"/>
      <c r="AN254" s="18" t="n"/>
      <c r="AO254" s="18" t="n"/>
      <c r="AP254" s="18" t="n"/>
      <c r="AQ254" s="18" t="n"/>
      <c r="AR254" s="18" t="n"/>
      <c r="AS254" s="18" t="n"/>
      <c r="AT254" s="18" t="n"/>
      <c r="AU254" s="18" t="n"/>
      <c r="AV254" s="18" t="n"/>
      <c r="AW254" s="18" t="n"/>
      <c r="AX254" s="18" t="n"/>
      <c r="AY254" s="18" t="n"/>
      <c r="AZ254" s="15" t="n"/>
    </row>
    <row r="255">
      <c r="A255" s="15" t="n"/>
      <c r="B255" s="15" t="n"/>
      <c r="C255" s="15" t="n"/>
      <c r="D255" s="15" t="n"/>
      <c r="E255" s="15" t="n"/>
      <c r="F255" s="15" t="n"/>
      <c r="G255" s="16">
        <f>IF(F255="","",IFERROR(INDEX(Stammdaten!$B$5:$B$24,MATCH(F255,Stammdaten!$A$5:$A$24,0)),"unbekannt"))</f>
        <v/>
      </c>
      <c r="H255" s="16">
        <f>IF($B255="","",IF(AY255&lt;&gt;"","abgeschlossen",IF(AND(ISNUMBER(AX255),AX255&gt;=TODAY()),"zurückgestellt",IF(OR(AND(ISNUMBER(AA255),AA255&lt;TODAY(),Z255="",AJ255=""),AND(ISNUMBER(Z255),Z255&lt;TODAY(),AJ255=""),AND(ISNUMBER(AB255),AB255&lt;TODAY(),AK255=""),AND(ISNUMBER(AC255),AC255&lt;TODAY(),AO255=""),AND(ISNUMBER(AD255),AD255&lt;TODAY(),AQ255="")),"überfällig","offen"))))</f>
        <v/>
      </c>
      <c r="I255" s="16">
        <f>IF($B255="","",IF(AY255&lt;&gt;"","—",IF(AND(ISNUMBER(AA255),AA255&lt;TODAY(),Z255="",AJ255=""),"Abnahmetermin vereinbaren – Sollfrist verstrichen",IF(AND(ISNUMBER(Z255),Z255&lt;TODAY(),AJ255=""),"Wohnungsabnahme nachtragen – Termin war fällig",IF(AND(ISNUMBER(AB255),AB255&lt;TODAY(),AK255=""),"Handwerker aufbieten – Frist verstrichen",IF(AND(ISNUMBER(AC255),AC255&lt;TODAY(),AO255=""),"Vertrag retour mahnen – Frist verstrichen",IF(AND(ISNUMBER(AD255),AD255&lt;TODAY(),AQ255=""),"Schlüsselübergabe nachtragen – Termin war fällig",IF(M255="","Haftungsdatum erfassen",IF(E255="","ex-Mieter erfassen",IF(AE255="","Kündigung bestätigen / G-Rem",IF(AF255="","Werke / EGT melden",IF(AG255="","Vorbesichtigung (oder n.e.)",IF(AH255="","VMZ aktualisieren",IF(AI255="","Inserat aufschalten",IF(AND(Z255="",AJ255=""),"Abnahmetermin vereinbaren",IF(AJ255="","Wohnungsabnahme durchführen",IF(AK255="","Handwerker aufbieten",IF(AL255="","Zustimmungserklärung einholen",IF(AM255="","Instandstellungen beauftragen",IF(R255="","Nachmieter erfassen",IF(AN255="","Vertrag versenden",IF(AO255="","Vertrag retour erfassen",IF(S255="","Vermietet per erfassen",IF(AP255="","Werke / EGT über Einzug informieren",IF(AND(AD255="",AQ255=""),"Schlüsselübergabe terminieren",IF(AQ255="","Schlüsselübergabe durchführen",IF(AR255="","Reinigung veranlassen",IF(AS255="","Namensschilder bestellen",IF(AT255="","Kaution prüfen / G-Rem mutieren",IF(AU255="","Instandstellungs-Rechnung erfassen",IF(AV255="","Schlussabrechnung erstellen",IF(AW255="","Zahlungseingang kontrollieren","Fall abschliessen"))))))))))))))))))))))))))))))))</f>
        <v/>
      </c>
      <c r="J255" s="17">
        <f>IF(M255="","",IF(S255&lt;&gt;"",MAX(0,S255-M255-1),MAX(0,TODAY()-M255)))</f>
        <v/>
      </c>
      <c r="K255" s="16">
        <f>IF($B255="","",TRIM(IF(AND(L255&lt;&gt;"",M255&lt;&gt;"",M255&lt;L255),"Haftungsdatum vor Kündigung. ","")&amp;IF(AND(S255&lt;&gt;"",M255&lt;&gt;"",S255&lt;M255),"Vermietung vor Leerstandsbeginn. ","")&amp;IF(AND(Z255&lt;&gt;"",L255&lt;&gt;"",Z255&lt;L255),"WA-Termin vor Kündigung. ","")&amp;IF(COUNTIFS($B$5:$B$404,$B255,$AY$5:$AY$404,"")&gt;1,"Zweiter offener Fall zum selben Objekt. ","")&amp;IF(AND($A255&lt;&gt;"",COUNTIFS($A$5:$A$404,$A255)&gt;1),"Fall-Nr. doppelt vergeben. ","")&amp;IF(E255="","ex-Mieter fehlt. ","")&amp;IF(M255="","Haftungsdatum fehlt. ","")&amp;IF(F255="","Bewirtschafter fehlt. ","")&amp;IF(AND(AY255&lt;&gt;"",AW255=""),"Abgeschlossen trotz offener Schlussabrechnung. ","")&amp;IF(AND(AY255="",S255="",ISNUMBER(J255),J255&gt;60),"Langläufer über 60 Tage. ","")))</f>
        <v/>
      </c>
      <c r="L255" s="18" t="n"/>
      <c r="M255" s="18" t="n"/>
      <c r="N255" s="19">
        <f>IF(M255="","",M255+1)</f>
        <v/>
      </c>
      <c r="O255" s="17">
        <f>IF(OR(L255="",M255=""),"",M255-L255)</f>
        <v/>
      </c>
      <c r="P255" s="16">
        <f>IF(M255="","",YEAR(M255+1)&amp;"-"&amp;TEXT(MONTH(M255+1),"00"))</f>
        <v/>
      </c>
      <c r="Q255" s="18" t="n"/>
      <c r="R255" s="15" t="n"/>
      <c r="S255" s="18" t="n"/>
      <c r="T255" s="16">
        <f>IF(U255="","",IF(LEFT(U255,1)="6","abgeschlossen",IF(OR(LEFT(U255,1)="1",LEFT(U255,1)="2"),"Kündigung &amp; Abnahme",IF(OR(LEFT(U255,1)="3",LEFT(U255,1)="4"),"Wiedervermietung","Schlussabrechnung"))))</f>
        <v/>
      </c>
      <c r="U255" s="16">
        <f>IF($B255="","",IF(AY255&lt;&gt;"","6 · abgeschlossen",IF(AW255&lt;&gt;"","5 · bereit zum Abschluss",IF(AT255&lt;&gt;"","5 · Schlussabrechnung",IF(AO255&lt;&gt;"","4 · Übergabe",IF(AM255&lt;&gt;"","3 · Neuvermietung",IF(M255&lt;&gt;"","2 · Abnahme &amp; Vermarktung","1 · Erfassung")))))))</f>
        <v/>
      </c>
      <c r="V255" s="15" t="n"/>
      <c r="W255" s="20" t="n"/>
      <c r="X255" s="15" t="n"/>
      <c r="Y255" s="15" t="n"/>
      <c r="Z255" s="18" t="n"/>
      <c r="AA255" s="19">
        <f>IF(M255="","",M255-30)</f>
        <v/>
      </c>
      <c r="AB255" s="19">
        <f>IF(ISNUMBER(AJ255),AJ255+3,"")</f>
        <v/>
      </c>
      <c r="AC255" s="18" t="n"/>
      <c r="AD255" s="18" t="n"/>
      <c r="AE255" s="18" t="n"/>
      <c r="AF255" s="18" t="n"/>
      <c r="AG255" s="18" t="n"/>
      <c r="AH255" s="18" t="n"/>
      <c r="AI255" s="18" t="n"/>
      <c r="AJ255" s="18" t="n"/>
      <c r="AK255" s="18" t="n"/>
      <c r="AL255" s="18" t="n"/>
      <c r="AM255" s="18" t="n"/>
      <c r="AN255" s="18" t="n"/>
      <c r="AO255" s="18" t="n"/>
      <c r="AP255" s="18" t="n"/>
      <c r="AQ255" s="18" t="n"/>
      <c r="AR255" s="18" t="n"/>
      <c r="AS255" s="18" t="n"/>
      <c r="AT255" s="18" t="n"/>
      <c r="AU255" s="18" t="n"/>
      <c r="AV255" s="18" t="n"/>
      <c r="AW255" s="18" t="n"/>
      <c r="AX255" s="18" t="n"/>
      <c r="AY255" s="18" t="n"/>
      <c r="AZ255" s="15" t="n"/>
    </row>
    <row r="256">
      <c r="A256" s="15" t="n"/>
      <c r="B256" s="15" t="n"/>
      <c r="C256" s="15" t="n"/>
      <c r="D256" s="15" t="n"/>
      <c r="E256" s="15" t="n"/>
      <c r="F256" s="15" t="n"/>
      <c r="G256" s="16">
        <f>IF(F256="","",IFERROR(INDEX(Stammdaten!$B$5:$B$24,MATCH(F256,Stammdaten!$A$5:$A$24,0)),"unbekannt"))</f>
        <v/>
      </c>
      <c r="H256" s="16">
        <f>IF($B256="","",IF(AY256&lt;&gt;"","abgeschlossen",IF(AND(ISNUMBER(AX256),AX256&gt;=TODAY()),"zurückgestellt",IF(OR(AND(ISNUMBER(AA256),AA256&lt;TODAY(),Z256="",AJ256=""),AND(ISNUMBER(Z256),Z256&lt;TODAY(),AJ256=""),AND(ISNUMBER(AB256),AB256&lt;TODAY(),AK256=""),AND(ISNUMBER(AC256),AC256&lt;TODAY(),AO256=""),AND(ISNUMBER(AD256),AD256&lt;TODAY(),AQ256="")),"überfällig","offen"))))</f>
        <v/>
      </c>
      <c r="I256" s="16">
        <f>IF($B256="","",IF(AY256&lt;&gt;"","—",IF(AND(ISNUMBER(AA256),AA256&lt;TODAY(),Z256="",AJ256=""),"Abnahmetermin vereinbaren – Sollfrist verstrichen",IF(AND(ISNUMBER(Z256),Z256&lt;TODAY(),AJ256=""),"Wohnungsabnahme nachtragen – Termin war fällig",IF(AND(ISNUMBER(AB256),AB256&lt;TODAY(),AK256=""),"Handwerker aufbieten – Frist verstrichen",IF(AND(ISNUMBER(AC256),AC256&lt;TODAY(),AO256=""),"Vertrag retour mahnen – Frist verstrichen",IF(AND(ISNUMBER(AD256),AD256&lt;TODAY(),AQ256=""),"Schlüsselübergabe nachtragen – Termin war fällig",IF(M256="","Haftungsdatum erfassen",IF(E256="","ex-Mieter erfassen",IF(AE256="","Kündigung bestätigen / G-Rem",IF(AF256="","Werke / EGT melden",IF(AG256="","Vorbesichtigung (oder n.e.)",IF(AH256="","VMZ aktualisieren",IF(AI256="","Inserat aufschalten",IF(AND(Z256="",AJ256=""),"Abnahmetermin vereinbaren",IF(AJ256="","Wohnungsabnahme durchführen",IF(AK256="","Handwerker aufbieten",IF(AL256="","Zustimmungserklärung einholen",IF(AM256="","Instandstellungen beauftragen",IF(R256="","Nachmieter erfassen",IF(AN256="","Vertrag versenden",IF(AO256="","Vertrag retour erfassen",IF(S256="","Vermietet per erfassen",IF(AP256="","Werke / EGT über Einzug informieren",IF(AND(AD256="",AQ256=""),"Schlüsselübergabe terminieren",IF(AQ256="","Schlüsselübergabe durchführen",IF(AR256="","Reinigung veranlassen",IF(AS256="","Namensschilder bestellen",IF(AT256="","Kaution prüfen / G-Rem mutieren",IF(AU256="","Instandstellungs-Rechnung erfassen",IF(AV256="","Schlussabrechnung erstellen",IF(AW256="","Zahlungseingang kontrollieren","Fall abschliessen"))))))))))))))))))))))))))))))))</f>
        <v/>
      </c>
      <c r="J256" s="17">
        <f>IF(M256="","",IF(S256&lt;&gt;"",MAX(0,S256-M256-1),MAX(0,TODAY()-M256)))</f>
        <v/>
      </c>
      <c r="K256" s="16">
        <f>IF($B256="","",TRIM(IF(AND(L256&lt;&gt;"",M256&lt;&gt;"",M256&lt;L256),"Haftungsdatum vor Kündigung. ","")&amp;IF(AND(S256&lt;&gt;"",M256&lt;&gt;"",S256&lt;M256),"Vermietung vor Leerstandsbeginn. ","")&amp;IF(AND(Z256&lt;&gt;"",L256&lt;&gt;"",Z256&lt;L256),"WA-Termin vor Kündigung. ","")&amp;IF(COUNTIFS($B$5:$B$404,$B256,$AY$5:$AY$404,"")&gt;1,"Zweiter offener Fall zum selben Objekt. ","")&amp;IF(AND($A256&lt;&gt;"",COUNTIFS($A$5:$A$404,$A256)&gt;1),"Fall-Nr. doppelt vergeben. ","")&amp;IF(E256="","ex-Mieter fehlt. ","")&amp;IF(M256="","Haftungsdatum fehlt. ","")&amp;IF(F256="","Bewirtschafter fehlt. ","")&amp;IF(AND(AY256&lt;&gt;"",AW256=""),"Abgeschlossen trotz offener Schlussabrechnung. ","")&amp;IF(AND(AY256="",S256="",ISNUMBER(J256),J256&gt;60),"Langläufer über 60 Tage. ","")))</f>
        <v/>
      </c>
      <c r="L256" s="18" t="n"/>
      <c r="M256" s="18" t="n"/>
      <c r="N256" s="19">
        <f>IF(M256="","",M256+1)</f>
        <v/>
      </c>
      <c r="O256" s="17">
        <f>IF(OR(L256="",M256=""),"",M256-L256)</f>
        <v/>
      </c>
      <c r="P256" s="16">
        <f>IF(M256="","",YEAR(M256+1)&amp;"-"&amp;TEXT(MONTH(M256+1),"00"))</f>
        <v/>
      </c>
      <c r="Q256" s="18" t="n"/>
      <c r="R256" s="15" t="n"/>
      <c r="S256" s="18" t="n"/>
      <c r="T256" s="16">
        <f>IF(U256="","",IF(LEFT(U256,1)="6","abgeschlossen",IF(OR(LEFT(U256,1)="1",LEFT(U256,1)="2"),"Kündigung &amp; Abnahme",IF(OR(LEFT(U256,1)="3",LEFT(U256,1)="4"),"Wiedervermietung","Schlussabrechnung"))))</f>
        <v/>
      </c>
      <c r="U256" s="16">
        <f>IF($B256="","",IF(AY256&lt;&gt;"","6 · abgeschlossen",IF(AW256&lt;&gt;"","5 · bereit zum Abschluss",IF(AT256&lt;&gt;"","5 · Schlussabrechnung",IF(AO256&lt;&gt;"","4 · Übergabe",IF(AM256&lt;&gt;"","3 · Neuvermietung",IF(M256&lt;&gt;"","2 · Abnahme &amp; Vermarktung","1 · Erfassung")))))))</f>
        <v/>
      </c>
      <c r="V256" s="15" t="n"/>
      <c r="W256" s="20" t="n"/>
      <c r="X256" s="15" t="n"/>
      <c r="Y256" s="15" t="n"/>
      <c r="Z256" s="18" t="n"/>
      <c r="AA256" s="19">
        <f>IF(M256="","",M256-30)</f>
        <v/>
      </c>
      <c r="AB256" s="19">
        <f>IF(ISNUMBER(AJ256),AJ256+3,"")</f>
        <v/>
      </c>
      <c r="AC256" s="18" t="n"/>
      <c r="AD256" s="18" t="n"/>
      <c r="AE256" s="18" t="n"/>
      <c r="AF256" s="18" t="n"/>
      <c r="AG256" s="18" t="n"/>
      <c r="AH256" s="18" t="n"/>
      <c r="AI256" s="18" t="n"/>
      <c r="AJ256" s="18" t="n"/>
      <c r="AK256" s="18" t="n"/>
      <c r="AL256" s="18" t="n"/>
      <c r="AM256" s="18" t="n"/>
      <c r="AN256" s="18" t="n"/>
      <c r="AO256" s="18" t="n"/>
      <c r="AP256" s="18" t="n"/>
      <c r="AQ256" s="18" t="n"/>
      <c r="AR256" s="18" t="n"/>
      <c r="AS256" s="18" t="n"/>
      <c r="AT256" s="18" t="n"/>
      <c r="AU256" s="18" t="n"/>
      <c r="AV256" s="18" t="n"/>
      <c r="AW256" s="18" t="n"/>
      <c r="AX256" s="18" t="n"/>
      <c r="AY256" s="18" t="n"/>
      <c r="AZ256" s="15" t="n"/>
    </row>
    <row r="257">
      <c r="A257" s="15" t="n"/>
      <c r="B257" s="15" t="n"/>
      <c r="C257" s="15" t="n"/>
      <c r="D257" s="15" t="n"/>
      <c r="E257" s="15" t="n"/>
      <c r="F257" s="15" t="n"/>
      <c r="G257" s="16">
        <f>IF(F257="","",IFERROR(INDEX(Stammdaten!$B$5:$B$24,MATCH(F257,Stammdaten!$A$5:$A$24,0)),"unbekannt"))</f>
        <v/>
      </c>
      <c r="H257" s="16">
        <f>IF($B257="","",IF(AY257&lt;&gt;"","abgeschlossen",IF(AND(ISNUMBER(AX257),AX257&gt;=TODAY()),"zurückgestellt",IF(OR(AND(ISNUMBER(AA257),AA257&lt;TODAY(),Z257="",AJ257=""),AND(ISNUMBER(Z257),Z257&lt;TODAY(),AJ257=""),AND(ISNUMBER(AB257),AB257&lt;TODAY(),AK257=""),AND(ISNUMBER(AC257),AC257&lt;TODAY(),AO257=""),AND(ISNUMBER(AD257),AD257&lt;TODAY(),AQ257="")),"überfällig","offen"))))</f>
        <v/>
      </c>
      <c r="I257" s="16">
        <f>IF($B257="","",IF(AY257&lt;&gt;"","—",IF(AND(ISNUMBER(AA257),AA257&lt;TODAY(),Z257="",AJ257=""),"Abnahmetermin vereinbaren – Sollfrist verstrichen",IF(AND(ISNUMBER(Z257),Z257&lt;TODAY(),AJ257=""),"Wohnungsabnahme nachtragen – Termin war fällig",IF(AND(ISNUMBER(AB257),AB257&lt;TODAY(),AK257=""),"Handwerker aufbieten – Frist verstrichen",IF(AND(ISNUMBER(AC257),AC257&lt;TODAY(),AO257=""),"Vertrag retour mahnen – Frist verstrichen",IF(AND(ISNUMBER(AD257),AD257&lt;TODAY(),AQ257=""),"Schlüsselübergabe nachtragen – Termin war fällig",IF(M257="","Haftungsdatum erfassen",IF(E257="","ex-Mieter erfassen",IF(AE257="","Kündigung bestätigen / G-Rem",IF(AF257="","Werke / EGT melden",IF(AG257="","Vorbesichtigung (oder n.e.)",IF(AH257="","VMZ aktualisieren",IF(AI257="","Inserat aufschalten",IF(AND(Z257="",AJ257=""),"Abnahmetermin vereinbaren",IF(AJ257="","Wohnungsabnahme durchführen",IF(AK257="","Handwerker aufbieten",IF(AL257="","Zustimmungserklärung einholen",IF(AM257="","Instandstellungen beauftragen",IF(R257="","Nachmieter erfassen",IF(AN257="","Vertrag versenden",IF(AO257="","Vertrag retour erfassen",IF(S257="","Vermietet per erfassen",IF(AP257="","Werke / EGT über Einzug informieren",IF(AND(AD257="",AQ257=""),"Schlüsselübergabe terminieren",IF(AQ257="","Schlüsselübergabe durchführen",IF(AR257="","Reinigung veranlassen",IF(AS257="","Namensschilder bestellen",IF(AT257="","Kaution prüfen / G-Rem mutieren",IF(AU257="","Instandstellungs-Rechnung erfassen",IF(AV257="","Schlussabrechnung erstellen",IF(AW257="","Zahlungseingang kontrollieren","Fall abschliessen"))))))))))))))))))))))))))))))))</f>
        <v/>
      </c>
      <c r="J257" s="17">
        <f>IF(M257="","",IF(S257&lt;&gt;"",MAX(0,S257-M257-1),MAX(0,TODAY()-M257)))</f>
        <v/>
      </c>
      <c r="K257" s="16">
        <f>IF($B257="","",TRIM(IF(AND(L257&lt;&gt;"",M257&lt;&gt;"",M257&lt;L257),"Haftungsdatum vor Kündigung. ","")&amp;IF(AND(S257&lt;&gt;"",M257&lt;&gt;"",S257&lt;M257),"Vermietung vor Leerstandsbeginn. ","")&amp;IF(AND(Z257&lt;&gt;"",L257&lt;&gt;"",Z257&lt;L257),"WA-Termin vor Kündigung. ","")&amp;IF(COUNTIFS($B$5:$B$404,$B257,$AY$5:$AY$404,"")&gt;1,"Zweiter offener Fall zum selben Objekt. ","")&amp;IF(AND($A257&lt;&gt;"",COUNTIFS($A$5:$A$404,$A257)&gt;1),"Fall-Nr. doppelt vergeben. ","")&amp;IF(E257="","ex-Mieter fehlt. ","")&amp;IF(M257="","Haftungsdatum fehlt. ","")&amp;IF(F257="","Bewirtschafter fehlt. ","")&amp;IF(AND(AY257&lt;&gt;"",AW257=""),"Abgeschlossen trotz offener Schlussabrechnung. ","")&amp;IF(AND(AY257="",S257="",ISNUMBER(J257),J257&gt;60),"Langläufer über 60 Tage. ","")))</f>
        <v/>
      </c>
      <c r="L257" s="18" t="n"/>
      <c r="M257" s="18" t="n"/>
      <c r="N257" s="19">
        <f>IF(M257="","",M257+1)</f>
        <v/>
      </c>
      <c r="O257" s="17">
        <f>IF(OR(L257="",M257=""),"",M257-L257)</f>
        <v/>
      </c>
      <c r="P257" s="16">
        <f>IF(M257="","",YEAR(M257+1)&amp;"-"&amp;TEXT(MONTH(M257+1),"00"))</f>
        <v/>
      </c>
      <c r="Q257" s="18" t="n"/>
      <c r="R257" s="15" t="n"/>
      <c r="S257" s="18" t="n"/>
      <c r="T257" s="16">
        <f>IF(U257="","",IF(LEFT(U257,1)="6","abgeschlossen",IF(OR(LEFT(U257,1)="1",LEFT(U257,1)="2"),"Kündigung &amp; Abnahme",IF(OR(LEFT(U257,1)="3",LEFT(U257,1)="4"),"Wiedervermietung","Schlussabrechnung"))))</f>
        <v/>
      </c>
      <c r="U257" s="16">
        <f>IF($B257="","",IF(AY257&lt;&gt;"","6 · abgeschlossen",IF(AW257&lt;&gt;"","5 · bereit zum Abschluss",IF(AT257&lt;&gt;"","5 · Schlussabrechnung",IF(AO257&lt;&gt;"","4 · Übergabe",IF(AM257&lt;&gt;"","3 · Neuvermietung",IF(M257&lt;&gt;"","2 · Abnahme &amp; Vermarktung","1 · Erfassung")))))))</f>
        <v/>
      </c>
      <c r="V257" s="15" t="n"/>
      <c r="W257" s="20" t="n"/>
      <c r="X257" s="15" t="n"/>
      <c r="Y257" s="15" t="n"/>
      <c r="Z257" s="18" t="n"/>
      <c r="AA257" s="19">
        <f>IF(M257="","",M257-30)</f>
        <v/>
      </c>
      <c r="AB257" s="19">
        <f>IF(ISNUMBER(AJ257),AJ257+3,"")</f>
        <v/>
      </c>
      <c r="AC257" s="18" t="n"/>
      <c r="AD257" s="18" t="n"/>
      <c r="AE257" s="18" t="n"/>
      <c r="AF257" s="18" t="n"/>
      <c r="AG257" s="18" t="n"/>
      <c r="AH257" s="18" t="n"/>
      <c r="AI257" s="18" t="n"/>
      <c r="AJ257" s="18" t="n"/>
      <c r="AK257" s="18" t="n"/>
      <c r="AL257" s="18" t="n"/>
      <c r="AM257" s="18" t="n"/>
      <c r="AN257" s="18" t="n"/>
      <c r="AO257" s="18" t="n"/>
      <c r="AP257" s="18" t="n"/>
      <c r="AQ257" s="18" t="n"/>
      <c r="AR257" s="18" t="n"/>
      <c r="AS257" s="18" t="n"/>
      <c r="AT257" s="18" t="n"/>
      <c r="AU257" s="18" t="n"/>
      <c r="AV257" s="18" t="n"/>
      <c r="AW257" s="18" t="n"/>
      <c r="AX257" s="18" t="n"/>
      <c r="AY257" s="18" t="n"/>
      <c r="AZ257" s="15" t="n"/>
    </row>
    <row r="258">
      <c r="A258" s="15" t="n"/>
      <c r="B258" s="15" t="n"/>
      <c r="C258" s="15" t="n"/>
      <c r="D258" s="15" t="n"/>
      <c r="E258" s="15" t="n"/>
      <c r="F258" s="15" t="n"/>
      <c r="G258" s="16">
        <f>IF(F258="","",IFERROR(INDEX(Stammdaten!$B$5:$B$24,MATCH(F258,Stammdaten!$A$5:$A$24,0)),"unbekannt"))</f>
        <v/>
      </c>
      <c r="H258" s="16">
        <f>IF($B258="","",IF(AY258&lt;&gt;"","abgeschlossen",IF(AND(ISNUMBER(AX258),AX258&gt;=TODAY()),"zurückgestellt",IF(OR(AND(ISNUMBER(AA258),AA258&lt;TODAY(),Z258="",AJ258=""),AND(ISNUMBER(Z258),Z258&lt;TODAY(),AJ258=""),AND(ISNUMBER(AB258),AB258&lt;TODAY(),AK258=""),AND(ISNUMBER(AC258),AC258&lt;TODAY(),AO258=""),AND(ISNUMBER(AD258),AD258&lt;TODAY(),AQ258="")),"überfällig","offen"))))</f>
        <v/>
      </c>
      <c r="I258" s="16">
        <f>IF($B258="","",IF(AY258&lt;&gt;"","—",IF(AND(ISNUMBER(AA258),AA258&lt;TODAY(),Z258="",AJ258=""),"Abnahmetermin vereinbaren – Sollfrist verstrichen",IF(AND(ISNUMBER(Z258),Z258&lt;TODAY(),AJ258=""),"Wohnungsabnahme nachtragen – Termin war fällig",IF(AND(ISNUMBER(AB258),AB258&lt;TODAY(),AK258=""),"Handwerker aufbieten – Frist verstrichen",IF(AND(ISNUMBER(AC258),AC258&lt;TODAY(),AO258=""),"Vertrag retour mahnen – Frist verstrichen",IF(AND(ISNUMBER(AD258),AD258&lt;TODAY(),AQ258=""),"Schlüsselübergabe nachtragen – Termin war fällig",IF(M258="","Haftungsdatum erfassen",IF(E258="","ex-Mieter erfassen",IF(AE258="","Kündigung bestätigen / G-Rem",IF(AF258="","Werke / EGT melden",IF(AG258="","Vorbesichtigung (oder n.e.)",IF(AH258="","VMZ aktualisieren",IF(AI258="","Inserat aufschalten",IF(AND(Z258="",AJ258=""),"Abnahmetermin vereinbaren",IF(AJ258="","Wohnungsabnahme durchführen",IF(AK258="","Handwerker aufbieten",IF(AL258="","Zustimmungserklärung einholen",IF(AM258="","Instandstellungen beauftragen",IF(R258="","Nachmieter erfassen",IF(AN258="","Vertrag versenden",IF(AO258="","Vertrag retour erfassen",IF(S258="","Vermietet per erfassen",IF(AP258="","Werke / EGT über Einzug informieren",IF(AND(AD258="",AQ258=""),"Schlüsselübergabe terminieren",IF(AQ258="","Schlüsselübergabe durchführen",IF(AR258="","Reinigung veranlassen",IF(AS258="","Namensschilder bestellen",IF(AT258="","Kaution prüfen / G-Rem mutieren",IF(AU258="","Instandstellungs-Rechnung erfassen",IF(AV258="","Schlussabrechnung erstellen",IF(AW258="","Zahlungseingang kontrollieren","Fall abschliessen"))))))))))))))))))))))))))))))))</f>
        <v/>
      </c>
      <c r="J258" s="17">
        <f>IF(M258="","",IF(S258&lt;&gt;"",MAX(0,S258-M258-1),MAX(0,TODAY()-M258)))</f>
        <v/>
      </c>
      <c r="K258" s="16">
        <f>IF($B258="","",TRIM(IF(AND(L258&lt;&gt;"",M258&lt;&gt;"",M258&lt;L258),"Haftungsdatum vor Kündigung. ","")&amp;IF(AND(S258&lt;&gt;"",M258&lt;&gt;"",S258&lt;M258),"Vermietung vor Leerstandsbeginn. ","")&amp;IF(AND(Z258&lt;&gt;"",L258&lt;&gt;"",Z258&lt;L258),"WA-Termin vor Kündigung. ","")&amp;IF(COUNTIFS($B$5:$B$404,$B258,$AY$5:$AY$404,"")&gt;1,"Zweiter offener Fall zum selben Objekt. ","")&amp;IF(AND($A258&lt;&gt;"",COUNTIFS($A$5:$A$404,$A258)&gt;1),"Fall-Nr. doppelt vergeben. ","")&amp;IF(E258="","ex-Mieter fehlt. ","")&amp;IF(M258="","Haftungsdatum fehlt. ","")&amp;IF(F258="","Bewirtschafter fehlt. ","")&amp;IF(AND(AY258&lt;&gt;"",AW258=""),"Abgeschlossen trotz offener Schlussabrechnung. ","")&amp;IF(AND(AY258="",S258="",ISNUMBER(J258),J258&gt;60),"Langläufer über 60 Tage. ","")))</f>
        <v/>
      </c>
      <c r="L258" s="18" t="n"/>
      <c r="M258" s="18" t="n"/>
      <c r="N258" s="19">
        <f>IF(M258="","",M258+1)</f>
        <v/>
      </c>
      <c r="O258" s="17">
        <f>IF(OR(L258="",M258=""),"",M258-L258)</f>
        <v/>
      </c>
      <c r="P258" s="16">
        <f>IF(M258="","",YEAR(M258+1)&amp;"-"&amp;TEXT(MONTH(M258+1),"00"))</f>
        <v/>
      </c>
      <c r="Q258" s="18" t="n"/>
      <c r="R258" s="15" t="n"/>
      <c r="S258" s="18" t="n"/>
      <c r="T258" s="16">
        <f>IF(U258="","",IF(LEFT(U258,1)="6","abgeschlossen",IF(OR(LEFT(U258,1)="1",LEFT(U258,1)="2"),"Kündigung &amp; Abnahme",IF(OR(LEFT(U258,1)="3",LEFT(U258,1)="4"),"Wiedervermietung","Schlussabrechnung"))))</f>
        <v/>
      </c>
      <c r="U258" s="16">
        <f>IF($B258="","",IF(AY258&lt;&gt;"","6 · abgeschlossen",IF(AW258&lt;&gt;"","5 · bereit zum Abschluss",IF(AT258&lt;&gt;"","5 · Schlussabrechnung",IF(AO258&lt;&gt;"","4 · Übergabe",IF(AM258&lt;&gt;"","3 · Neuvermietung",IF(M258&lt;&gt;"","2 · Abnahme &amp; Vermarktung","1 · Erfassung")))))))</f>
        <v/>
      </c>
      <c r="V258" s="15" t="n"/>
      <c r="W258" s="20" t="n"/>
      <c r="X258" s="15" t="n"/>
      <c r="Y258" s="15" t="n"/>
      <c r="Z258" s="18" t="n"/>
      <c r="AA258" s="19">
        <f>IF(M258="","",M258-30)</f>
        <v/>
      </c>
      <c r="AB258" s="19">
        <f>IF(ISNUMBER(AJ258),AJ258+3,"")</f>
        <v/>
      </c>
      <c r="AC258" s="18" t="n"/>
      <c r="AD258" s="18" t="n"/>
      <c r="AE258" s="18" t="n"/>
      <c r="AF258" s="18" t="n"/>
      <c r="AG258" s="18" t="n"/>
      <c r="AH258" s="18" t="n"/>
      <c r="AI258" s="18" t="n"/>
      <c r="AJ258" s="18" t="n"/>
      <c r="AK258" s="18" t="n"/>
      <c r="AL258" s="18" t="n"/>
      <c r="AM258" s="18" t="n"/>
      <c r="AN258" s="18" t="n"/>
      <c r="AO258" s="18" t="n"/>
      <c r="AP258" s="18" t="n"/>
      <c r="AQ258" s="18" t="n"/>
      <c r="AR258" s="18" t="n"/>
      <c r="AS258" s="18" t="n"/>
      <c r="AT258" s="18" t="n"/>
      <c r="AU258" s="18" t="n"/>
      <c r="AV258" s="18" t="n"/>
      <c r="AW258" s="18" t="n"/>
      <c r="AX258" s="18" t="n"/>
      <c r="AY258" s="18" t="n"/>
      <c r="AZ258" s="15" t="n"/>
    </row>
    <row r="259">
      <c r="A259" s="15" t="n"/>
      <c r="B259" s="15" t="n"/>
      <c r="C259" s="15" t="n"/>
      <c r="D259" s="15" t="n"/>
      <c r="E259" s="15" t="n"/>
      <c r="F259" s="15" t="n"/>
      <c r="G259" s="16">
        <f>IF(F259="","",IFERROR(INDEX(Stammdaten!$B$5:$B$24,MATCH(F259,Stammdaten!$A$5:$A$24,0)),"unbekannt"))</f>
        <v/>
      </c>
      <c r="H259" s="16">
        <f>IF($B259="","",IF(AY259&lt;&gt;"","abgeschlossen",IF(AND(ISNUMBER(AX259),AX259&gt;=TODAY()),"zurückgestellt",IF(OR(AND(ISNUMBER(AA259),AA259&lt;TODAY(),Z259="",AJ259=""),AND(ISNUMBER(Z259),Z259&lt;TODAY(),AJ259=""),AND(ISNUMBER(AB259),AB259&lt;TODAY(),AK259=""),AND(ISNUMBER(AC259),AC259&lt;TODAY(),AO259=""),AND(ISNUMBER(AD259),AD259&lt;TODAY(),AQ259="")),"überfällig","offen"))))</f>
        <v/>
      </c>
      <c r="I259" s="16">
        <f>IF($B259="","",IF(AY259&lt;&gt;"","—",IF(AND(ISNUMBER(AA259),AA259&lt;TODAY(),Z259="",AJ259=""),"Abnahmetermin vereinbaren – Sollfrist verstrichen",IF(AND(ISNUMBER(Z259),Z259&lt;TODAY(),AJ259=""),"Wohnungsabnahme nachtragen – Termin war fällig",IF(AND(ISNUMBER(AB259),AB259&lt;TODAY(),AK259=""),"Handwerker aufbieten – Frist verstrichen",IF(AND(ISNUMBER(AC259),AC259&lt;TODAY(),AO259=""),"Vertrag retour mahnen – Frist verstrichen",IF(AND(ISNUMBER(AD259),AD259&lt;TODAY(),AQ259=""),"Schlüsselübergabe nachtragen – Termin war fällig",IF(M259="","Haftungsdatum erfassen",IF(E259="","ex-Mieter erfassen",IF(AE259="","Kündigung bestätigen / G-Rem",IF(AF259="","Werke / EGT melden",IF(AG259="","Vorbesichtigung (oder n.e.)",IF(AH259="","VMZ aktualisieren",IF(AI259="","Inserat aufschalten",IF(AND(Z259="",AJ259=""),"Abnahmetermin vereinbaren",IF(AJ259="","Wohnungsabnahme durchführen",IF(AK259="","Handwerker aufbieten",IF(AL259="","Zustimmungserklärung einholen",IF(AM259="","Instandstellungen beauftragen",IF(R259="","Nachmieter erfassen",IF(AN259="","Vertrag versenden",IF(AO259="","Vertrag retour erfassen",IF(S259="","Vermietet per erfassen",IF(AP259="","Werke / EGT über Einzug informieren",IF(AND(AD259="",AQ259=""),"Schlüsselübergabe terminieren",IF(AQ259="","Schlüsselübergabe durchführen",IF(AR259="","Reinigung veranlassen",IF(AS259="","Namensschilder bestellen",IF(AT259="","Kaution prüfen / G-Rem mutieren",IF(AU259="","Instandstellungs-Rechnung erfassen",IF(AV259="","Schlussabrechnung erstellen",IF(AW259="","Zahlungseingang kontrollieren","Fall abschliessen"))))))))))))))))))))))))))))))))</f>
        <v/>
      </c>
      <c r="J259" s="17">
        <f>IF(M259="","",IF(S259&lt;&gt;"",MAX(0,S259-M259-1),MAX(0,TODAY()-M259)))</f>
        <v/>
      </c>
      <c r="K259" s="16">
        <f>IF($B259="","",TRIM(IF(AND(L259&lt;&gt;"",M259&lt;&gt;"",M259&lt;L259),"Haftungsdatum vor Kündigung. ","")&amp;IF(AND(S259&lt;&gt;"",M259&lt;&gt;"",S259&lt;M259),"Vermietung vor Leerstandsbeginn. ","")&amp;IF(AND(Z259&lt;&gt;"",L259&lt;&gt;"",Z259&lt;L259),"WA-Termin vor Kündigung. ","")&amp;IF(COUNTIFS($B$5:$B$404,$B259,$AY$5:$AY$404,"")&gt;1,"Zweiter offener Fall zum selben Objekt. ","")&amp;IF(AND($A259&lt;&gt;"",COUNTIFS($A$5:$A$404,$A259)&gt;1),"Fall-Nr. doppelt vergeben. ","")&amp;IF(E259="","ex-Mieter fehlt. ","")&amp;IF(M259="","Haftungsdatum fehlt. ","")&amp;IF(F259="","Bewirtschafter fehlt. ","")&amp;IF(AND(AY259&lt;&gt;"",AW259=""),"Abgeschlossen trotz offener Schlussabrechnung. ","")&amp;IF(AND(AY259="",S259="",ISNUMBER(J259),J259&gt;60),"Langläufer über 60 Tage. ","")))</f>
        <v/>
      </c>
      <c r="L259" s="18" t="n"/>
      <c r="M259" s="18" t="n"/>
      <c r="N259" s="19">
        <f>IF(M259="","",M259+1)</f>
        <v/>
      </c>
      <c r="O259" s="17">
        <f>IF(OR(L259="",M259=""),"",M259-L259)</f>
        <v/>
      </c>
      <c r="P259" s="16">
        <f>IF(M259="","",YEAR(M259+1)&amp;"-"&amp;TEXT(MONTH(M259+1),"00"))</f>
        <v/>
      </c>
      <c r="Q259" s="18" t="n"/>
      <c r="R259" s="15" t="n"/>
      <c r="S259" s="18" t="n"/>
      <c r="T259" s="16">
        <f>IF(U259="","",IF(LEFT(U259,1)="6","abgeschlossen",IF(OR(LEFT(U259,1)="1",LEFT(U259,1)="2"),"Kündigung &amp; Abnahme",IF(OR(LEFT(U259,1)="3",LEFT(U259,1)="4"),"Wiedervermietung","Schlussabrechnung"))))</f>
        <v/>
      </c>
      <c r="U259" s="16">
        <f>IF($B259="","",IF(AY259&lt;&gt;"","6 · abgeschlossen",IF(AW259&lt;&gt;"","5 · bereit zum Abschluss",IF(AT259&lt;&gt;"","5 · Schlussabrechnung",IF(AO259&lt;&gt;"","4 · Übergabe",IF(AM259&lt;&gt;"","3 · Neuvermietung",IF(M259&lt;&gt;"","2 · Abnahme &amp; Vermarktung","1 · Erfassung")))))))</f>
        <v/>
      </c>
      <c r="V259" s="15" t="n"/>
      <c r="W259" s="20" t="n"/>
      <c r="X259" s="15" t="n"/>
      <c r="Y259" s="15" t="n"/>
      <c r="Z259" s="18" t="n"/>
      <c r="AA259" s="19">
        <f>IF(M259="","",M259-30)</f>
        <v/>
      </c>
      <c r="AB259" s="19">
        <f>IF(ISNUMBER(AJ259),AJ259+3,"")</f>
        <v/>
      </c>
      <c r="AC259" s="18" t="n"/>
      <c r="AD259" s="18" t="n"/>
      <c r="AE259" s="18" t="n"/>
      <c r="AF259" s="18" t="n"/>
      <c r="AG259" s="18" t="n"/>
      <c r="AH259" s="18" t="n"/>
      <c r="AI259" s="18" t="n"/>
      <c r="AJ259" s="18" t="n"/>
      <c r="AK259" s="18" t="n"/>
      <c r="AL259" s="18" t="n"/>
      <c r="AM259" s="18" t="n"/>
      <c r="AN259" s="18" t="n"/>
      <c r="AO259" s="18" t="n"/>
      <c r="AP259" s="18" t="n"/>
      <c r="AQ259" s="18" t="n"/>
      <c r="AR259" s="18" t="n"/>
      <c r="AS259" s="18" t="n"/>
      <c r="AT259" s="18" t="n"/>
      <c r="AU259" s="18" t="n"/>
      <c r="AV259" s="18" t="n"/>
      <c r="AW259" s="18" t="n"/>
      <c r="AX259" s="18" t="n"/>
      <c r="AY259" s="18" t="n"/>
      <c r="AZ259" s="15" t="n"/>
    </row>
    <row r="260">
      <c r="A260" s="15" t="n"/>
      <c r="B260" s="15" t="n"/>
      <c r="C260" s="15" t="n"/>
      <c r="D260" s="15" t="n"/>
      <c r="E260" s="15" t="n"/>
      <c r="F260" s="15" t="n"/>
      <c r="G260" s="16">
        <f>IF(F260="","",IFERROR(INDEX(Stammdaten!$B$5:$B$24,MATCH(F260,Stammdaten!$A$5:$A$24,0)),"unbekannt"))</f>
        <v/>
      </c>
      <c r="H260" s="16">
        <f>IF($B260="","",IF(AY260&lt;&gt;"","abgeschlossen",IF(AND(ISNUMBER(AX260),AX260&gt;=TODAY()),"zurückgestellt",IF(OR(AND(ISNUMBER(AA260),AA260&lt;TODAY(),Z260="",AJ260=""),AND(ISNUMBER(Z260),Z260&lt;TODAY(),AJ260=""),AND(ISNUMBER(AB260),AB260&lt;TODAY(),AK260=""),AND(ISNUMBER(AC260),AC260&lt;TODAY(),AO260=""),AND(ISNUMBER(AD260),AD260&lt;TODAY(),AQ260="")),"überfällig","offen"))))</f>
        <v/>
      </c>
      <c r="I260" s="16">
        <f>IF($B260="","",IF(AY260&lt;&gt;"","—",IF(AND(ISNUMBER(AA260),AA260&lt;TODAY(),Z260="",AJ260=""),"Abnahmetermin vereinbaren – Sollfrist verstrichen",IF(AND(ISNUMBER(Z260),Z260&lt;TODAY(),AJ260=""),"Wohnungsabnahme nachtragen – Termin war fällig",IF(AND(ISNUMBER(AB260),AB260&lt;TODAY(),AK260=""),"Handwerker aufbieten – Frist verstrichen",IF(AND(ISNUMBER(AC260),AC260&lt;TODAY(),AO260=""),"Vertrag retour mahnen – Frist verstrichen",IF(AND(ISNUMBER(AD260),AD260&lt;TODAY(),AQ260=""),"Schlüsselübergabe nachtragen – Termin war fällig",IF(M260="","Haftungsdatum erfassen",IF(E260="","ex-Mieter erfassen",IF(AE260="","Kündigung bestätigen / G-Rem",IF(AF260="","Werke / EGT melden",IF(AG260="","Vorbesichtigung (oder n.e.)",IF(AH260="","VMZ aktualisieren",IF(AI260="","Inserat aufschalten",IF(AND(Z260="",AJ260=""),"Abnahmetermin vereinbaren",IF(AJ260="","Wohnungsabnahme durchführen",IF(AK260="","Handwerker aufbieten",IF(AL260="","Zustimmungserklärung einholen",IF(AM260="","Instandstellungen beauftragen",IF(R260="","Nachmieter erfassen",IF(AN260="","Vertrag versenden",IF(AO260="","Vertrag retour erfassen",IF(S260="","Vermietet per erfassen",IF(AP260="","Werke / EGT über Einzug informieren",IF(AND(AD260="",AQ260=""),"Schlüsselübergabe terminieren",IF(AQ260="","Schlüsselübergabe durchführen",IF(AR260="","Reinigung veranlassen",IF(AS260="","Namensschilder bestellen",IF(AT260="","Kaution prüfen / G-Rem mutieren",IF(AU260="","Instandstellungs-Rechnung erfassen",IF(AV260="","Schlussabrechnung erstellen",IF(AW260="","Zahlungseingang kontrollieren","Fall abschliessen"))))))))))))))))))))))))))))))))</f>
        <v/>
      </c>
      <c r="J260" s="17">
        <f>IF(M260="","",IF(S260&lt;&gt;"",MAX(0,S260-M260-1),MAX(0,TODAY()-M260)))</f>
        <v/>
      </c>
      <c r="K260" s="16">
        <f>IF($B260="","",TRIM(IF(AND(L260&lt;&gt;"",M260&lt;&gt;"",M260&lt;L260),"Haftungsdatum vor Kündigung. ","")&amp;IF(AND(S260&lt;&gt;"",M260&lt;&gt;"",S260&lt;M260),"Vermietung vor Leerstandsbeginn. ","")&amp;IF(AND(Z260&lt;&gt;"",L260&lt;&gt;"",Z260&lt;L260),"WA-Termin vor Kündigung. ","")&amp;IF(COUNTIFS($B$5:$B$404,$B260,$AY$5:$AY$404,"")&gt;1,"Zweiter offener Fall zum selben Objekt. ","")&amp;IF(AND($A260&lt;&gt;"",COUNTIFS($A$5:$A$404,$A260)&gt;1),"Fall-Nr. doppelt vergeben. ","")&amp;IF(E260="","ex-Mieter fehlt. ","")&amp;IF(M260="","Haftungsdatum fehlt. ","")&amp;IF(F260="","Bewirtschafter fehlt. ","")&amp;IF(AND(AY260&lt;&gt;"",AW260=""),"Abgeschlossen trotz offener Schlussabrechnung. ","")&amp;IF(AND(AY260="",S260="",ISNUMBER(J260),J260&gt;60),"Langläufer über 60 Tage. ","")))</f>
        <v/>
      </c>
      <c r="L260" s="18" t="n"/>
      <c r="M260" s="18" t="n"/>
      <c r="N260" s="19">
        <f>IF(M260="","",M260+1)</f>
        <v/>
      </c>
      <c r="O260" s="17">
        <f>IF(OR(L260="",M260=""),"",M260-L260)</f>
        <v/>
      </c>
      <c r="P260" s="16">
        <f>IF(M260="","",YEAR(M260+1)&amp;"-"&amp;TEXT(MONTH(M260+1),"00"))</f>
        <v/>
      </c>
      <c r="Q260" s="18" t="n"/>
      <c r="R260" s="15" t="n"/>
      <c r="S260" s="18" t="n"/>
      <c r="T260" s="16">
        <f>IF(U260="","",IF(LEFT(U260,1)="6","abgeschlossen",IF(OR(LEFT(U260,1)="1",LEFT(U260,1)="2"),"Kündigung &amp; Abnahme",IF(OR(LEFT(U260,1)="3",LEFT(U260,1)="4"),"Wiedervermietung","Schlussabrechnung"))))</f>
        <v/>
      </c>
      <c r="U260" s="16">
        <f>IF($B260="","",IF(AY260&lt;&gt;"","6 · abgeschlossen",IF(AW260&lt;&gt;"","5 · bereit zum Abschluss",IF(AT260&lt;&gt;"","5 · Schlussabrechnung",IF(AO260&lt;&gt;"","4 · Übergabe",IF(AM260&lt;&gt;"","3 · Neuvermietung",IF(M260&lt;&gt;"","2 · Abnahme &amp; Vermarktung","1 · Erfassung")))))))</f>
        <v/>
      </c>
      <c r="V260" s="15" t="n"/>
      <c r="W260" s="20" t="n"/>
      <c r="X260" s="15" t="n"/>
      <c r="Y260" s="15" t="n"/>
      <c r="Z260" s="18" t="n"/>
      <c r="AA260" s="19">
        <f>IF(M260="","",M260-30)</f>
        <v/>
      </c>
      <c r="AB260" s="19">
        <f>IF(ISNUMBER(AJ260),AJ260+3,"")</f>
        <v/>
      </c>
      <c r="AC260" s="18" t="n"/>
      <c r="AD260" s="18" t="n"/>
      <c r="AE260" s="18" t="n"/>
      <c r="AF260" s="18" t="n"/>
      <c r="AG260" s="18" t="n"/>
      <c r="AH260" s="18" t="n"/>
      <c r="AI260" s="18" t="n"/>
      <c r="AJ260" s="18" t="n"/>
      <c r="AK260" s="18" t="n"/>
      <c r="AL260" s="18" t="n"/>
      <c r="AM260" s="18" t="n"/>
      <c r="AN260" s="18" t="n"/>
      <c r="AO260" s="18" t="n"/>
      <c r="AP260" s="18" t="n"/>
      <c r="AQ260" s="18" t="n"/>
      <c r="AR260" s="18" t="n"/>
      <c r="AS260" s="18" t="n"/>
      <c r="AT260" s="18" t="n"/>
      <c r="AU260" s="18" t="n"/>
      <c r="AV260" s="18" t="n"/>
      <c r="AW260" s="18" t="n"/>
      <c r="AX260" s="18" t="n"/>
      <c r="AY260" s="18" t="n"/>
      <c r="AZ260" s="15" t="n"/>
    </row>
    <row r="261">
      <c r="A261" s="15" t="n"/>
      <c r="B261" s="15" t="n"/>
      <c r="C261" s="15" t="n"/>
      <c r="D261" s="15" t="n"/>
      <c r="E261" s="15" t="n"/>
      <c r="F261" s="15" t="n"/>
      <c r="G261" s="16">
        <f>IF(F261="","",IFERROR(INDEX(Stammdaten!$B$5:$B$24,MATCH(F261,Stammdaten!$A$5:$A$24,0)),"unbekannt"))</f>
        <v/>
      </c>
      <c r="H261" s="16">
        <f>IF($B261="","",IF(AY261&lt;&gt;"","abgeschlossen",IF(AND(ISNUMBER(AX261),AX261&gt;=TODAY()),"zurückgestellt",IF(OR(AND(ISNUMBER(AA261),AA261&lt;TODAY(),Z261="",AJ261=""),AND(ISNUMBER(Z261),Z261&lt;TODAY(),AJ261=""),AND(ISNUMBER(AB261),AB261&lt;TODAY(),AK261=""),AND(ISNUMBER(AC261),AC261&lt;TODAY(),AO261=""),AND(ISNUMBER(AD261),AD261&lt;TODAY(),AQ261="")),"überfällig","offen"))))</f>
        <v/>
      </c>
      <c r="I261" s="16">
        <f>IF($B261="","",IF(AY261&lt;&gt;"","—",IF(AND(ISNUMBER(AA261),AA261&lt;TODAY(),Z261="",AJ261=""),"Abnahmetermin vereinbaren – Sollfrist verstrichen",IF(AND(ISNUMBER(Z261),Z261&lt;TODAY(),AJ261=""),"Wohnungsabnahme nachtragen – Termin war fällig",IF(AND(ISNUMBER(AB261),AB261&lt;TODAY(),AK261=""),"Handwerker aufbieten – Frist verstrichen",IF(AND(ISNUMBER(AC261),AC261&lt;TODAY(),AO261=""),"Vertrag retour mahnen – Frist verstrichen",IF(AND(ISNUMBER(AD261),AD261&lt;TODAY(),AQ261=""),"Schlüsselübergabe nachtragen – Termin war fällig",IF(M261="","Haftungsdatum erfassen",IF(E261="","ex-Mieter erfassen",IF(AE261="","Kündigung bestätigen / G-Rem",IF(AF261="","Werke / EGT melden",IF(AG261="","Vorbesichtigung (oder n.e.)",IF(AH261="","VMZ aktualisieren",IF(AI261="","Inserat aufschalten",IF(AND(Z261="",AJ261=""),"Abnahmetermin vereinbaren",IF(AJ261="","Wohnungsabnahme durchführen",IF(AK261="","Handwerker aufbieten",IF(AL261="","Zustimmungserklärung einholen",IF(AM261="","Instandstellungen beauftragen",IF(R261="","Nachmieter erfassen",IF(AN261="","Vertrag versenden",IF(AO261="","Vertrag retour erfassen",IF(S261="","Vermietet per erfassen",IF(AP261="","Werke / EGT über Einzug informieren",IF(AND(AD261="",AQ261=""),"Schlüsselübergabe terminieren",IF(AQ261="","Schlüsselübergabe durchführen",IF(AR261="","Reinigung veranlassen",IF(AS261="","Namensschilder bestellen",IF(AT261="","Kaution prüfen / G-Rem mutieren",IF(AU261="","Instandstellungs-Rechnung erfassen",IF(AV261="","Schlussabrechnung erstellen",IF(AW261="","Zahlungseingang kontrollieren","Fall abschliessen"))))))))))))))))))))))))))))))))</f>
        <v/>
      </c>
      <c r="J261" s="17">
        <f>IF(M261="","",IF(S261&lt;&gt;"",MAX(0,S261-M261-1),MAX(0,TODAY()-M261)))</f>
        <v/>
      </c>
      <c r="K261" s="16">
        <f>IF($B261="","",TRIM(IF(AND(L261&lt;&gt;"",M261&lt;&gt;"",M261&lt;L261),"Haftungsdatum vor Kündigung. ","")&amp;IF(AND(S261&lt;&gt;"",M261&lt;&gt;"",S261&lt;M261),"Vermietung vor Leerstandsbeginn. ","")&amp;IF(AND(Z261&lt;&gt;"",L261&lt;&gt;"",Z261&lt;L261),"WA-Termin vor Kündigung. ","")&amp;IF(COUNTIFS($B$5:$B$404,$B261,$AY$5:$AY$404,"")&gt;1,"Zweiter offener Fall zum selben Objekt. ","")&amp;IF(AND($A261&lt;&gt;"",COUNTIFS($A$5:$A$404,$A261)&gt;1),"Fall-Nr. doppelt vergeben. ","")&amp;IF(E261="","ex-Mieter fehlt. ","")&amp;IF(M261="","Haftungsdatum fehlt. ","")&amp;IF(F261="","Bewirtschafter fehlt. ","")&amp;IF(AND(AY261&lt;&gt;"",AW261=""),"Abgeschlossen trotz offener Schlussabrechnung. ","")&amp;IF(AND(AY261="",S261="",ISNUMBER(J261),J261&gt;60),"Langläufer über 60 Tage. ","")))</f>
        <v/>
      </c>
      <c r="L261" s="18" t="n"/>
      <c r="M261" s="18" t="n"/>
      <c r="N261" s="19">
        <f>IF(M261="","",M261+1)</f>
        <v/>
      </c>
      <c r="O261" s="17">
        <f>IF(OR(L261="",M261=""),"",M261-L261)</f>
        <v/>
      </c>
      <c r="P261" s="16">
        <f>IF(M261="","",YEAR(M261+1)&amp;"-"&amp;TEXT(MONTH(M261+1),"00"))</f>
        <v/>
      </c>
      <c r="Q261" s="18" t="n"/>
      <c r="R261" s="15" t="n"/>
      <c r="S261" s="18" t="n"/>
      <c r="T261" s="16">
        <f>IF(U261="","",IF(LEFT(U261,1)="6","abgeschlossen",IF(OR(LEFT(U261,1)="1",LEFT(U261,1)="2"),"Kündigung &amp; Abnahme",IF(OR(LEFT(U261,1)="3",LEFT(U261,1)="4"),"Wiedervermietung","Schlussabrechnung"))))</f>
        <v/>
      </c>
      <c r="U261" s="16">
        <f>IF($B261="","",IF(AY261&lt;&gt;"","6 · abgeschlossen",IF(AW261&lt;&gt;"","5 · bereit zum Abschluss",IF(AT261&lt;&gt;"","5 · Schlussabrechnung",IF(AO261&lt;&gt;"","4 · Übergabe",IF(AM261&lt;&gt;"","3 · Neuvermietung",IF(M261&lt;&gt;"","2 · Abnahme &amp; Vermarktung","1 · Erfassung")))))))</f>
        <v/>
      </c>
      <c r="V261" s="15" t="n"/>
      <c r="W261" s="20" t="n"/>
      <c r="X261" s="15" t="n"/>
      <c r="Y261" s="15" t="n"/>
      <c r="Z261" s="18" t="n"/>
      <c r="AA261" s="19">
        <f>IF(M261="","",M261-30)</f>
        <v/>
      </c>
      <c r="AB261" s="19">
        <f>IF(ISNUMBER(AJ261),AJ261+3,"")</f>
        <v/>
      </c>
      <c r="AC261" s="18" t="n"/>
      <c r="AD261" s="18" t="n"/>
      <c r="AE261" s="18" t="n"/>
      <c r="AF261" s="18" t="n"/>
      <c r="AG261" s="18" t="n"/>
      <c r="AH261" s="18" t="n"/>
      <c r="AI261" s="18" t="n"/>
      <c r="AJ261" s="18" t="n"/>
      <c r="AK261" s="18" t="n"/>
      <c r="AL261" s="18" t="n"/>
      <c r="AM261" s="18" t="n"/>
      <c r="AN261" s="18" t="n"/>
      <c r="AO261" s="18" t="n"/>
      <c r="AP261" s="18" t="n"/>
      <c r="AQ261" s="18" t="n"/>
      <c r="AR261" s="18" t="n"/>
      <c r="AS261" s="18" t="n"/>
      <c r="AT261" s="18" t="n"/>
      <c r="AU261" s="18" t="n"/>
      <c r="AV261" s="18" t="n"/>
      <c r="AW261" s="18" t="n"/>
      <c r="AX261" s="18" t="n"/>
      <c r="AY261" s="18" t="n"/>
      <c r="AZ261" s="15" t="n"/>
    </row>
    <row r="262">
      <c r="A262" s="15" t="n"/>
      <c r="B262" s="15" t="n"/>
      <c r="C262" s="15" t="n"/>
      <c r="D262" s="15" t="n"/>
      <c r="E262" s="15" t="n"/>
      <c r="F262" s="15" t="n"/>
      <c r="G262" s="16">
        <f>IF(F262="","",IFERROR(INDEX(Stammdaten!$B$5:$B$24,MATCH(F262,Stammdaten!$A$5:$A$24,0)),"unbekannt"))</f>
        <v/>
      </c>
      <c r="H262" s="16">
        <f>IF($B262="","",IF(AY262&lt;&gt;"","abgeschlossen",IF(AND(ISNUMBER(AX262),AX262&gt;=TODAY()),"zurückgestellt",IF(OR(AND(ISNUMBER(AA262),AA262&lt;TODAY(),Z262="",AJ262=""),AND(ISNUMBER(Z262),Z262&lt;TODAY(),AJ262=""),AND(ISNUMBER(AB262),AB262&lt;TODAY(),AK262=""),AND(ISNUMBER(AC262),AC262&lt;TODAY(),AO262=""),AND(ISNUMBER(AD262),AD262&lt;TODAY(),AQ262="")),"überfällig","offen"))))</f>
        <v/>
      </c>
      <c r="I262" s="16">
        <f>IF($B262="","",IF(AY262&lt;&gt;"","—",IF(AND(ISNUMBER(AA262),AA262&lt;TODAY(),Z262="",AJ262=""),"Abnahmetermin vereinbaren – Sollfrist verstrichen",IF(AND(ISNUMBER(Z262),Z262&lt;TODAY(),AJ262=""),"Wohnungsabnahme nachtragen – Termin war fällig",IF(AND(ISNUMBER(AB262),AB262&lt;TODAY(),AK262=""),"Handwerker aufbieten – Frist verstrichen",IF(AND(ISNUMBER(AC262),AC262&lt;TODAY(),AO262=""),"Vertrag retour mahnen – Frist verstrichen",IF(AND(ISNUMBER(AD262),AD262&lt;TODAY(),AQ262=""),"Schlüsselübergabe nachtragen – Termin war fällig",IF(M262="","Haftungsdatum erfassen",IF(E262="","ex-Mieter erfassen",IF(AE262="","Kündigung bestätigen / G-Rem",IF(AF262="","Werke / EGT melden",IF(AG262="","Vorbesichtigung (oder n.e.)",IF(AH262="","VMZ aktualisieren",IF(AI262="","Inserat aufschalten",IF(AND(Z262="",AJ262=""),"Abnahmetermin vereinbaren",IF(AJ262="","Wohnungsabnahme durchführen",IF(AK262="","Handwerker aufbieten",IF(AL262="","Zustimmungserklärung einholen",IF(AM262="","Instandstellungen beauftragen",IF(R262="","Nachmieter erfassen",IF(AN262="","Vertrag versenden",IF(AO262="","Vertrag retour erfassen",IF(S262="","Vermietet per erfassen",IF(AP262="","Werke / EGT über Einzug informieren",IF(AND(AD262="",AQ262=""),"Schlüsselübergabe terminieren",IF(AQ262="","Schlüsselübergabe durchführen",IF(AR262="","Reinigung veranlassen",IF(AS262="","Namensschilder bestellen",IF(AT262="","Kaution prüfen / G-Rem mutieren",IF(AU262="","Instandstellungs-Rechnung erfassen",IF(AV262="","Schlussabrechnung erstellen",IF(AW262="","Zahlungseingang kontrollieren","Fall abschliessen"))))))))))))))))))))))))))))))))</f>
        <v/>
      </c>
      <c r="J262" s="17">
        <f>IF(M262="","",IF(S262&lt;&gt;"",MAX(0,S262-M262-1),MAX(0,TODAY()-M262)))</f>
        <v/>
      </c>
      <c r="K262" s="16">
        <f>IF($B262="","",TRIM(IF(AND(L262&lt;&gt;"",M262&lt;&gt;"",M262&lt;L262),"Haftungsdatum vor Kündigung. ","")&amp;IF(AND(S262&lt;&gt;"",M262&lt;&gt;"",S262&lt;M262),"Vermietung vor Leerstandsbeginn. ","")&amp;IF(AND(Z262&lt;&gt;"",L262&lt;&gt;"",Z262&lt;L262),"WA-Termin vor Kündigung. ","")&amp;IF(COUNTIFS($B$5:$B$404,$B262,$AY$5:$AY$404,"")&gt;1,"Zweiter offener Fall zum selben Objekt. ","")&amp;IF(AND($A262&lt;&gt;"",COUNTIFS($A$5:$A$404,$A262)&gt;1),"Fall-Nr. doppelt vergeben. ","")&amp;IF(E262="","ex-Mieter fehlt. ","")&amp;IF(M262="","Haftungsdatum fehlt. ","")&amp;IF(F262="","Bewirtschafter fehlt. ","")&amp;IF(AND(AY262&lt;&gt;"",AW262=""),"Abgeschlossen trotz offener Schlussabrechnung. ","")&amp;IF(AND(AY262="",S262="",ISNUMBER(J262),J262&gt;60),"Langläufer über 60 Tage. ","")))</f>
        <v/>
      </c>
      <c r="L262" s="18" t="n"/>
      <c r="M262" s="18" t="n"/>
      <c r="N262" s="19">
        <f>IF(M262="","",M262+1)</f>
        <v/>
      </c>
      <c r="O262" s="17">
        <f>IF(OR(L262="",M262=""),"",M262-L262)</f>
        <v/>
      </c>
      <c r="P262" s="16">
        <f>IF(M262="","",YEAR(M262+1)&amp;"-"&amp;TEXT(MONTH(M262+1),"00"))</f>
        <v/>
      </c>
      <c r="Q262" s="18" t="n"/>
      <c r="R262" s="15" t="n"/>
      <c r="S262" s="18" t="n"/>
      <c r="T262" s="16">
        <f>IF(U262="","",IF(LEFT(U262,1)="6","abgeschlossen",IF(OR(LEFT(U262,1)="1",LEFT(U262,1)="2"),"Kündigung &amp; Abnahme",IF(OR(LEFT(U262,1)="3",LEFT(U262,1)="4"),"Wiedervermietung","Schlussabrechnung"))))</f>
        <v/>
      </c>
      <c r="U262" s="16">
        <f>IF($B262="","",IF(AY262&lt;&gt;"","6 · abgeschlossen",IF(AW262&lt;&gt;"","5 · bereit zum Abschluss",IF(AT262&lt;&gt;"","5 · Schlussabrechnung",IF(AO262&lt;&gt;"","4 · Übergabe",IF(AM262&lt;&gt;"","3 · Neuvermietung",IF(M262&lt;&gt;"","2 · Abnahme &amp; Vermarktung","1 · Erfassung")))))))</f>
        <v/>
      </c>
      <c r="V262" s="15" t="n"/>
      <c r="W262" s="20" t="n"/>
      <c r="X262" s="15" t="n"/>
      <c r="Y262" s="15" t="n"/>
      <c r="Z262" s="18" t="n"/>
      <c r="AA262" s="19">
        <f>IF(M262="","",M262-30)</f>
        <v/>
      </c>
      <c r="AB262" s="19">
        <f>IF(ISNUMBER(AJ262),AJ262+3,"")</f>
        <v/>
      </c>
      <c r="AC262" s="18" t="n"/>
      <c r="AD262" s="18" t="n"/>
      <c r="AE262" s="18" t="n"/>
      <c r="AF262" s="18" t="n"/>
      <c r="AG262" s="18" t="n"/>
      <c r="AH262" s="18" t="n"/>
      <c r="AI262" s="18" t="n"/>
      <c r="AJ262" s="18" t="n"/>
      <c r="AK262" s="18" t="n"/>
      <c r="AL262" s="18" t="n"/>
      <c r="AM262" s="18" t="n"/>
      <c r="AN262" s="18" t="n"/>
      <c r="AO262" s="18" t="n"/>
      <c r="AP262" s="18" t="n"/>
      <c r="AQ262" s="18" t="n"/>
      <c r="AR262" s="18" t="n"/>
      <c r="AS262" s="18" t="n"/>
      <c r="AT262" s="18" t="n"/>
      <c r="AU262" s="18" t="n"/>
      <c r="AV262" s="18" t="n"/>
      <c r="AW262" s="18" t="n"/>
      <c r="AX262" s="18" t="n"/>
      <c r="AY262" s="18" t="n"/>
      <c r="AZ262" s="15" t="n"/>
    </row>
    <row r="263">
      <c r="A263" s="15" t="n"/>
      <c r="B263" s="15" t="n"/>
      <c r="C263" s="15" t="n"/>
      <c r="D263" s="15" t="n"/>
      <c r="E263" s="15" t="n"/>
      <c r="F263" s="15" t="n"/>
      <c r="G263" s="16">
        <f>IF(F263="","",IFERROR(INDEX(Stammdaten!$B$5:$B$24,MATCH(F263,Stammdaten!$A$5:$A$24,0)),"unbekannt"))</f>
        <v/>
      </c>
      <c r="H263" s="16">
        <f>IF($B263="","",IF(AY263&lt;&gt;"","abgeschlossen",IF(AND(ISNUMBER(AX263),AX263&gt;=TODAY()),"zurückgestellt",IF(OR(AND(ISNUMBER(AA263),AA263&lt;TODAY(),Z263="",AJ263=""),AND(ISNUMBER(Z263),Z263&lt;TODAY(),AJ263=""),AND(ISNUMBER(AB263),AB263&lt;TODAY(),AK263=""),AND(ISNUMBER(AC263),AC263&lt;TODAY(),AO263=""),AND(ISNUMBER(AD263),AD263&lt;TODAY(),AQ263="")),"überfällig","offen"))))</f>
        <v/>
      </c>
      <c r="I263" s="16">
        <f>IF($B263="","",IF(AY263&lt;&gt;"","—",IF(AND(ISNUMBER(AA263),AA263&lt;TODAY(),Z263="",AJ263=""),"Abnahmetermin vereinbaren – Sollfrist verstrichen",IF(AND(ISNUMBER(Z263),Z263&lt;TODAY(),AJ263=""),"Wohnungsabnahme nachtragen – Termin war fällig",IF(AND(ISNUMBER(AB263),AB263&lt;TODAY(),AK263=""),"Handwerker aufbieten – Frist verstrichen",IF(AND(ISNUMBER(AC263),AC263&lt;TODAY(),AO263=""),"Vertrag retour mahnen – Frist verstrichen",IF(AND(ISNUMBER(AD263),AD263&lt;TODAY(),AQ263=""),"Schlüsselübergabe nachtragen – Termin war fällig",IF(M263="","Haftungsdatum erfassen",IF(E263="","ex-Mieter erfassen",IF(AE263="","Kündigung bestätigen / G-Rem",IF(AF263="","Werke / EGT melden",IF(AG263="","Vorbesichtigung (oder n.e.)",IF(AH263="","VMZ aktualisieren",IF(AI263="","Inserat aufschalten",IF(AND(Z263="",AJ263=""),"Abnahmetermin vereinbaren",IF(AJ263="","Wohnungsabnahme durchführen",IF(AK263="","Handwerker aufbieten",IF(AL263="","Zustimmungserklärung einholen",IF(AM263="","Instandstellungen beauftragen",IF(R263="","Nachmieter erfassen",IF(AN263="","Vertrag versenden",IF(AO263="","Vertrag retour erfassen",IF(S263="","Vermietet per erfassen",IF(AP263="","Werke / EGT über Einzug informieren",IF(AND(AD263="",AQ263=""),"Schlüsselübergabe terminieren",IF(AQ263="","Schlüsselübergabe durchführen",IF(AR263="","Reinigung veranlassen",IF(AS263="","Namensschilder bestellen",IF(AT263="","Kaution prüfen / G-Rem mutieren",IF(AU263="","Instandstellungs-Rechnung erfassen",IF(AV263="","Schlussabrechnung erstellen",IF(AW263="","Zahlungseingang kontrollieren","Fall abschliessen"))))))))))))))))))))))))))))))))</f>
        <v/>
      </c>
      <c r="J263" s="17">
        <f>IF(M263="","",IF(S263&lt;&gt;"",MAX(0,S263-M263-1),MAX(0,TODAY()-M263)))</f>
        <v/>
      </c>
      <c r="K263" s="16">
        <f>IF($B263="","",TRIM(IF(AND(L263&lt;&gt;"",M263&lt;&gt;"",M263&lt;L263),"Haftungsdatum vor Kündigung. ","")&amp;IF(AND(S263&lt;&gt;"",M263&lt;&gt;"",S263&lt;M263),"Vermietung vor Leerstandsbeginn. ","")&amp;IF(AND(Z263&lt;&gt;"",L263&lt;&gt;"",Z263&lt;L263),"WA-Termin vor Kündigung. ","")&amp;IF(COUNTIFS($B$5:$B$404,$B263,$AY$5:$AY$404,"")&gt;1,"Zweiter offener Fall zum selben Objekt. ","")&amp;IF(AND($A263&lt;&gt;"",COUNTIFS($A$5:$A$404,$A263)&gt;1),"Fall-Nr. doppelt vergeben. ","")&amp;IF(E263="","ex-Mieter fehlt. ","")&amp;IF(M263="","Haftungsdatum fehlt. ","")&amp;IF(F263="","Bewirtschafter fehlt. ","")&amp;IF(AND(AY263&lt;&gt;"",AW263=""),"Abgeschlossen trotz offener Schlussabrechnung. ","")&amp;IF(AND(AY263="",S263="",ISNUMBER(J263),J263&gt;60),"Langläufer über 60 Tage. ","")))</f>
        <v/>
      </c>
      <c r="L263" s="18" t="n"/>
      <c r="M263" s="18" t="n"/>
      <c r="N263" s="19">
        <f>IF(M263="","",M263+1)</f>
        <v/>
      </c>
      <c r="O263" s="17">
        <f>IF(OR(L263="",M263=""),"",M263-L263)</f>
        <v/>
      </c>
      <c r="P263" s="16">
        <f>IF(M263="","",YEAR(M263+1)&amp;"-"&amp;TEXT(MONTH(M263+1),"00"))</f>
        <v/>
      </c>
      <c r="Q263" s="18" t="n"/>
      <c r="R263" s="15" t="n"/>
      <c r="S263" s="18" t="n"/>
      <c r="T263" s="16">
        <f>IF(U263="","",IF(LEFT(U263,1)="6","abgeschlossen",IF(OR(LEFT(U263,1)="1",LEFT(U263,1)="2"),"Kündigung &amp; Abnahme",IF(OR(LEFT(U263,1)="3",LEFT(U263,1)="4"),"Wiedervermietung","Schlussabrechnung"))))</f>
        <v/>
      </c>
      <c r="U263" s="16">
        <f>IF($B263="","",IF(AY263&lt;&gt;"","6 · abgeschlossen",IF(AW263&lt;&gt;"","5 · bereit zum Abschluss",IF(AT263&lt;&gt;"","5 · Schlussabrechnung",IF(AO263&lt;&gt;"","4 · Übergabe",IF(AM263&lt;&gt;"","3 · Neuvermietung",IF(M263&lt;&gt;"","2 · Abnahme &amp; Vermarktung","1 · Erfassung")))))))</f>
        <v/>
      </c>
      <c r="V263" s="15" t="n"/>
      <c r="W263" s="20" t="n"/>
      <c r="X263" s="15" t="n"/>
      <c r="Y263" s="15" t="n"/>
      <c r="Z263" s="18" t="n"/>
      <c r="AA263" s="19">
        <f>IF(M263="","",M263-30)</f>
        <v/>
      </c>
      <c r="AB263" s="19">
        <f>IF(ISNUMBER(AJ263),AJ263+3,"")</f>
        <v/>
      </c>
      <c r="AC263" s="18" t="n"/>
      <c r="AD263" s="18" t="n"/>
      <c r="AE263" s="18" t="n"/>
      <c r="AF263" s="18" t="n"/>
      <c r="AG263" s="18" t="n"/>
      <c r="AH263" s="18" t="n"/>
      <c r="AI263" s="18" t="n"/>
      <c r="AJ263" s="18" t="n"/>
      <c r="AK263" s="18" t="n"/>
      <c r="AL263" s="18" t="n"/>
      <c r="AM263" s="18" t="n"/>
      <c r="AN263" s="18" t="n"/>
      <c r="AO263" s="18" t="n"/>
      <c r="AP263" s="18" t="n"/>
      <c r="AQ263" s="18" t="n"/>
      <c r="AR263" s="18" t="n"/>
      <c r="AS263" s="18" t="n"/>
      <c r="AT263" s="18" t="n"/>
      <c r="AU263" s="18" t="n"/>
      <c r="AV263" s="18" t="n"/>
      <c r="AW263" s="18" t="n"/>
      <c r="AX263" s="18" t="n"/>
      <c r="AY263" s="18" t="n"/>
      <c r="AZ263" s="15" t="n"/>
    </row>
    <row r="264">
      <c r="A264" s="15" t="n"/>
      <c r="B264" s="15" t="n"/>
      <c r="C264" s="15" t="n"/>
      <c r="D264" s="15" t="n"/>
      <c r="E264" s="15" t="n"/>
      <c r="F264" s="15" t="n"/>
      <c r="G264" s="16">
        <f>IF(F264="","",IFERROR(INDEX(Stammdaten!$B$5:$B$24,MATCH(F264,Stammdaten!$A$5:$A$24,0)),"unbekannt"))</f>
        <v/>
      </c>
      <c r="H264" s="16">
        <f>IF($B264="","",IF(AY264&lt;&gt;"","abgeschlossen",IF(AND(ISNUMBER(AX264),AX264&gt;=TODAY()),"zurückgestellt",IF(OR(AND(ISNUMBER(AA264),AA264&lt;TODAY(),Z264="",AJ264=""),AND(ISNUMBER(Z264),Z264&lt;TODAY(),AJ264=""),AND(ISNUMBER(AB264),AB264&lt;TODAY(),AK264=""),AND(ISNUMBER(AC264),AC264&lt;TODAY(),AO264=""),AND(ISNUMBER(AD264),AD264&lt;TODAY(),AQ264="")),"überfällig","offen"))))</f>
        <v/>
      </c>
      <c r="I264" s="16">
        <f>IF($B264="","",IF(AY264&lt;&gt;"","—",IF(AND(ISNUMBER(AA264),AA264&lt;TODAY(),Z264="",AJ264=""),"Abnahmetermin vereinbaren – Sollfrist verstrichen",IF(AND(ISNUMBER(Z264),Z264&lt;TODAY(),AJ264=""),"Wohnungsabnahme nachtragen – Termin war fällig",IF(AND(ISNUMBER(AB264),AB264&lt;TODAY(),AK264=""),"Handwerker aufbieten – Frist verstrichen",IF(AND(ISNUMBER(AC264),AC264&lt;TODAY(),AO264=""),"Vertrag retour mahnen – Frist verstrichen",IF(AND(ISNUMBER(AD264),AD264&lt;TODAY(),AQ264=""),"Schlüsselübergabe nachtragen – Termin war fällig",IF(M264="","Haftungsdatum erfassen",IF(E264="","ex-Mieter erfassen",IF(AE264="","Kündigung bestätigen / G-Rem",IF(AF264="","Werke / EGT melden",IF(AG264="","Vorbesichtigung (oder n.e.)",IF(AH264="","VMZ aktualisieren",IF(AI264="","Inserat aufschalten",IF(AND(Z264="",AJ264=""),"Abnahmetermin vereinbaren",IF(AJ264="","Wohnungsabnahme durchführen",IF(AK264="","Handwerker aufbieten",IF(AL264="","Zustimmungserklärung einholen",IF(AM264="","Instandstellungen beauftragen",IF(R264="","Nachmieter erfassen",IF(AN264="","Vertrag versenden",IF(AO264="","Vertrag retour erfassen",IF(S264="","Vermietet per erfassen",IF(AP264="","Werke / EGT über Einzug informieren",IF(AND(AD264="",AQ264=""),"Schlüsselübergabe terminieren",IF(AQ264="","Schlüsselübergabe durchführen",IF(AR264="","Reinigung veranlassen",IF(AS264="","Namensschilder bestellen",IF(AT264="","Kaution prüfen / G-Rem mutieren",IF(AU264="","Instandstellungs-Rechnung erfassen",IF(AV264="","Schlussabrechnung erstellen",IF(AW264="","Zahlungseingang kontrollieren","Fall abschliessen"))))))))))))))))))))))))))))))))</f>
        <v/>
      </c>
      <c r="J264" s="17">
        <f>IF(M264="","",IF(S264&lt;&gt;"",MAX(0,S264-M264-1),MAX(0,TODAY()-M264)))</f>
        <v/>
      </c>
      <c r="K264" s="16">
        <f>IF($B264="","",TRIM(IF(AND(L264&lt;&gt;"",M264&lt;&gt;"",M264&lt;L264),"Haftungsdatum vor Kündigung. ","")&amp;IF(AND(S264&lt;&gt;"",M264&lt;&gt;"",S264&lt;M264),"Vermietung vor Leerstandsbeginn. ","")&amp;IF(AND(Z264&lt;&gt;"",L264&lt;&gt;"",Z264&lt;L264),"WA-Termin vor Kündigung. ","")&amp;IF(COUNTIFS($B$5:$B$404,$B264,$AY$5:$AY$404,"")&gt;1,"Zweiter offener Fall zum selben Objekt. ","")&amp;IF(AND($A264&lt;&gt;"",COUNTIFS($A$5:$A$404,$A264)&gt;1),"Fall-Nr. doppelt vergeben. ","")&amp;IF(E264="","ex-Mieter fehlt. ","")&amp;IF(M264="","Haftungsdatum fehlt. ","")&amp;IF(F264="","Bewirtschafter fehlt. ","")&amp;IF(AND(AY264&lt;&gt;"",AW264=""),"Abgeschlossen trotz offener Schlussabrechnung. ","")&amp;IF(AND(AY264="",S264="",ISNUMBER(J264),J264&gt;60),"Langläufer über 60 Tage. ","")))</f>
        <v/>
      </c>
      <c r="L264" s="18" t="n"/>
      <c r="M264" s="18" t="n"/>
      <c r="N264" s="19">
        <f>IF(M264="","",M264+1)</f>
        <v/>
      </c>
      <c r="O264" s="17">
        <f>IF(OR(L264="",M264=""),"",M264-L264)</f>
        <v/>
      </c>
      <c r="P264" s="16">
        <f>IF(M264="","",YEAR(M264+1)&amp;"-"&amp;TEXT(MONTH(M264+1),"00"))</f>
        <v/>
      </c>
      <c r="Q264" s="18" t="n"/>
      <c r="R264" s="15" t="n"/>
      <c r="S264" s="18" t="n"/>
      <c r="T264" s="16">
        <f>IF(U264="","",IF(LEFT(U264,1)="6","abgeschlossen",IF(OR(LEFT(U264,1)="1",LEFT(U264,1)="2"),"Kündigung &amp; Abnahme",IF(OR(LEFT(U264,1)="3",LEFT(U264,1)="4"),"Wiedervermietung","Schlussabrechnung"))))</f>
        <v/>
      </c>
      <c r="U264" s="16">
        <f>IF($B264="","",IF(AY264&lt;&gt;"","6 · abgeschlossen",IF(AW264&lt;&gt;"","5 · bereit zum Abschluss",IF(AT264&lt;&gt;"","5 · Schlussabrechnung",IF(AO264&lt;&gt;"","4 · Übergabe",IF(AM264&lt;&gt;"","3 · Neuvermietung",IF(M264&lt;&gt;"","2 · Abnahme &amp; Vermarktung","1 · Erfassung")))))))</f>
        <v/>
      </c>
      <c r="V264" s="15" t="n"/>
      <c r="W264" s="20" t="n"/>
      <c r="X264" s="15" t="n"/>
      <c r="Y264" s="15" t="n"/>
      <c r="Z264" s="18" t="n"/>
      <c r="AA264" s="19">
        <f>IF(M264="","",M264-30)</f>
        <v/>
      </c>
      <c r="AB264" s="19">
        <f>IF(ISNUMBER(AJ264),AJ264+3,"")</f>
        <v/>
      </c>
      <c r="AC264" s="18" t="n"/>
      <c r="AD264" s="18" t="n"/>
      <c r="AE264" s="18" t="n"/>
      <c r="AF264" s="18" t="n"/>
      <c r="AG264" s="18" t="n"/>
      <c r="AH264" s="18" t="n"/>
      <c r="AI264" s="18" t="n"/>
      <c r="AJ264" s="18" t="n"/>
      <c r="AK264" s="18" t="n"/>
      <c r="AL264" s="18" t="n"/>
      <c r="AM264" s="18" t="n"/>
      <c r="AN264" s="18" t="n"/>
      <c r="AO264" s="18" t="n"/>
      <c r="AP264" s="18" t="n"/>
      <c r="AQ264" s="18" t="n"/>
      <c r="AR264" s="18" t="n"/>
      <c r="AS264" s="18" t="n"/>
      <c r="AT264" s="18" t="n"/>
      <c r="AU264" s="18" t="n"/>
      <c r="AV264" s="18" t="n"/>
      <c r="AW264" s="18" t="n"/>
      <c r="AX264" s="18" t="n"/>
      <c r="AY264" s="18" t="n"/>
      <c r="AZ264" s="15" t="n"/>
    </row>
    <row r="265">
      <c r="A265" s="15" t="n"/>
      <c r="B265" s="15" t="n"/>
      <c r="C265" s="15" t="n"/>
      <c r="D265" s="15" t="n"/>
      <c r="E265" s="15" t="n"/>
      <c r="F265" s="15" t="n"/>
      <c r="G265" s="16">
        <f>IF(F265="","",IFERROR(INDEX(Stammdaten!$B$5:$B$24,MATCH(F265,Stammdaten!$A$5:$A$24,0)),"unbekannt"))</f>
        <v/>
      </c>
      <c r="H265" s="16">
        <f>IF($B265="","",IF(AY265&lt;&gt;"","abgeschlossen",IF(AND(ISNUMBER(AX265),AX265&gt;=TODAY()),"zurückgestellt",IF(OR(AND(ISNUMBER(AA265),AA265&lt;TODAY(),Z265="",AJ265=""),AND(ISNUMBER(Z265),Z265&lt;TODAY(),AJ265=""),AND(ISNUMBER(AB265),AB265&lt;TODAY(),AK265=""),AND(ISNUMBER(AC265),AC265&lt;TODAY(),AO265=""),AND(ISNUMBER(AD265),AD265&lt;TODAY(),AQ265="")),"überfällig","offen"))))</f>
        <v/>
      </c>
      <c r="I265" s="16">
        <f>IF($B265="","",IF(AY265&lt;&gt;"","—",IF(AND(ISNUMBER(AA265),AA265&lt;TODAY(),Z265="",AJ265=""),"Abnahmetermin vereinbaren – Sollfrist verstrichen",IF(AND(ISNUMBER(Z265),Z265&lt;TODAY(),AJ265=""),"Wohnungsabnahme nachtragen – Termin war fällig",IF(AND(ISNUMBER(AB265),AB265&lt;TODAY(),AK265=""),"Handwerker aufbieten – Frist verstrichen",IF(AND(ISNUMBER(AC265),AC265&lt;TODAY(),AO265=""),"Vertrag retour mahnen – Frist verstrichen",IF(AND(ISNUMBER(AD265),AD265&lt;TODAY(),AQ265=""),"Schlüsselübergabe nachtragen – Termin war fällig",IF(M265="","Haftungsdatum erfassen",IF(E265="","ex-Mieter erfassen",IF(AE265="","Kündigung bestätigen / G-Rem",IF(AF265="","Werke / EGT melden",IF(AG265="","Vorbesichtigung (oder n.e.)",IF(AH265="","VMZ aktualisieren",IF(AI265="","Inserat aufschalten",IF(AND(Z265="",AJ265=""),"Abnahmetermin vereinbaren",IF(AJ265="","Wohnungsabnahme durchführen",IF(AK265="","Handwerker aufbieten",IF(AL265="","Zustimmungserklärung einholen",IF(AM265="","Instandstellungen beauftragen",IF(R265="","Nachmieter erfassen",IF(AN265="","Vertrag versenden",IF(AO265="","Vertrag retour erfassen",IF(S265="","Vermietet per erfassen",IF(AP265="","Werke / EGT über Einzug informieren",IF(AND(AD265="",AQ265=""),"Schlüsselübergabe terminieren",IF(AQ265="","Schlüsselübergabe durchführen",IF(AR265="","Reinigung veranlassen",IF(AS265="","Namensschilder bestellen",IF(AT265="","Kaution prüfen / G-Rem mutieren",IF(AU265="","Instandstellungs-Rechnung erfassen",IF(AV265="","Schlussabrechnung erstellen",IF(AW265="","Zahlungseingang kontrollieren","Fall abschliessen"))))))))))))))))))))))))))))))))</f>
        <v/>
      </c>
      <c r="J265" s="17">
        <f>IF(M265="","",IF(S265&lt;&gt;"",MAX(0,S265-M265-1),MAX(0,TODAY()-M265)))</f>
        <v/>
      </c>
      <c r="K265" s="16">
        <f>IF($B265="","",TRIM(IF(AND(L265&lt;&gt;"",M265&lt;&gt;"",M265&lt;L265),"Haftungsdatum vor Kündigung. ","")&amp;IF(AND(S265&lt;&gt;"",M265&lt;&gt;"",S265&lt;M265),"Vermietung vor Leerstandsbeginn. ","")&amp;IF(AND(Z265&lt;&gt;"",L265&lt;&gt;"",Z265&lt;L265),"WA-Termin vor Kündigung. ","")&amp;IF(COUNTIFS($B$5:$B$404,$B265,$AY$5:$AY$404,"")&gt;1,"Zweiter offener Fall zum selben Objekt. ","")&amp;IF(AND($A265&lt;&gt;"",COUNTIFS($A$5:$A$404,$A265)&gt;1),"Fall-Nr. doppelt vergeben. ","")&amp;IF(E265="","ex-Mieter fehlt. ","")&amp;IF(M265="","Haftungsdatum fehlt. ","")&amp;IF(F265="","Bewirtschafter fehlt. ","")&amp;IF(AND(AY265&lt;&gt;"",AW265=""),"Abgeschlossen trotz offener Schlussabrechnung. ","")&amp;IF(AND(AY265="",S265="",ISNUMBER(J265),J265&gt;60),"Langläufer über 60 Tage. ","")))</f>
        <v/>
      </c>
      <c r="L265" s="18" t="n"/>
      <c r="M265" s="18" t="n"/>
      <c r="N265" s="19">
        <f>IF(M265="","",M265+1)</f>
        <v/>
      </c>
      <c r="O265" s="17">
        <f>IF(OR(L265="",M265=""),"",M265-L265)</f>
        <v/>
      </c>
      <c r="P265" s="16">
        <f>IF(M265="","",YEAR(M265+1)&amp;"-"&amp;TEXT(MONTH(M265+1),"00"))</f>
        <v/>
      </c>
      <c r="Q265" s="18" t="n"/>
      <c r="R265" s="15" t="n"/>
      <c r="S265" s="18" t="n"/>
      <c r="T265" s="16">
        <f>IF(U265="","",IF(LEFT(U265,1)="6","abgeschlossen",IF(OR(LEFT(U265,1)="1",LEFT(U265,1)="2"),"Kündigung &amp; Abnahme",IF(OR(LEFT(U265,1)="3",LEFT(U265,1)="4"),"Wiedervermietung","Schlussabrechnung"))))</f>
        <v/>
      </c>
      <c r="U265" s="16">
        <f>IF($B265="","",IF(AY265&lt;&gt;"","6 · abgeschlossen",IF(AW265&lt;&gt;"","5 · bereit zum Abschluss",IF(AT265&lt;&gt;"","5 · Schlussabrechnung",IF(AO265&lt;&gt;"","4 · Übergabe",IF(AM265&lt;&gt;"","3 · Neuvermietung",IF(M265&lt;&gt;"","2 · Abnahme &amp; Vermarktung","1 · Erfassung")))))))</f>
        <v/>
      </c>
      <c r="V265" s="15" t="n"/>
      <c r="W265" s="20" t="n"/>
      <c r="X265" s="15" t="n"/>
      <c r="Y265" s="15" t="n"/>
      <c r="Z265" s="18" t="n"/>
      <c r="AA265" s="19">
        <f>IF(M265="","",M265-30)</f>
        <v/>
      </c>
      <c r="AB265" s="19">
        <f>IF(ISNUMBER(AJ265),AJ265+3,"")</f>
        <v/>
      </c>
      <c r="AC265" s="18" t="n"/>
      <c r="AD265" s="18" t="n"/>
      <c r="AE265" s="18" t="n"/>
      <c r="AF265" s="18" t="n"/>
      <c r="AG265" s="18" t="n"/>
      <c r="AH265" s="18" t="n"/>
      <c r="AI265" s="18" t="n"/>
      <c r="AJ265" s="18" t="n"/>
      <c r="AK265" s="18" t="n"/>
      <c r="AL265" s="18" t="n"/>
      <c r="AM265" s="18" t="n"/>
      <c r="AN265" s="18" t="n"/>
      <c r="AO265" s="18" t="n"/>
      <c r="AP265" s="18" t="n"/>
      <c r="AQ265" s="18" t="n"/>
      <c r="AR265" s="18" t="n"/>
      <c r="AS265" s="18" t="n"/>
      <c r="AT265" s="18" t="n"/>
      <c r="AU265" s="18" t="n"/>
      <c r="AV265" s="18" t="n"/>
      <c r="AW265" s="18" t="n"/>
      <c r="AX265" s="18" t="n"/>
      <c r="AY265" s="18" t="n"/>
      <c r="AZ265" s="15" t="n"/>
    </row>
    <row r="266">
      <c r="A266" s="15" t="n"/>
      <c r="B266" s="15" t="n"/>
      <c r="C266" s="15" t="n"/>
      <c r="D266" s="15" t="n"/>
      <c r="E266" s="15" t="n"/>
      <c r="F266" s="15" t="n"/>
      <c r="G266" s="16">
        <f>IF(F266="","",IFERROR(INDEX(Stammdaten!$B$5:$B$24,MATCH(F266,Stammdaten!$A$5:$A$24,0)),"unbekannt"))</f>
        <v/>
      </c>
      <c r="H266" s="16">
        <f>IF($B266="","",IF(AY266&lt;&gt;"","abgeschlossen",IF(AND(ISNUMBER(AX266),AX266&gt;=TODAY()),"zurückgestellt",IF(OR(AND(ISNUMBER(AA266),AA266&lt;TODAY(),Z266="",AJ266=""),AND(ISNUMBER(Z266),Z266&lt;TODAY(),AJ266=""),AND(ISNUMBER(AB266),AB266&lt;TODAY(),AK266=""),AND(ISNUMBER(AC266),AC266&lt;TODAY(),AO266=""),AND(ISNUMBER(AD266),AD266&lt;TODAY(),AQ266="")),"überfällig","offen"))))</f>
        <v/>
      </c>
      <c r="I266" s="16">
        <f>IF($B266="","",IF(AY266&lt;&gt;"","—",IF(AND(ISNUMBER(AA266),AA266&lt;TODAY(),Z266="",AJ266=""),"Abnahmetermin vereinbaren – Sollfrist verstrichen",IF(AND(ISNUMBER(Z266),Z266&lt;TODAY(),AJ266=""),"Wohnungsabnahme nachtragen – Termin war fällig",IF(AND(ISNUMBER(AB266),AB266&lt;TODAY(),AK266=""),"Handwerker aufbieten – Frist verstrichen",IF(AND(ISNUMBER(AC266),AC266&lt;TODAY(),AO266=""),"Vertrag retour mahnen – Frist verstrichen",IF(AND(ISNUMBER(AD266),AD266&lt;TODAY(),AQ266=""),"Schlüsselübergabe nachtragen – Termin war fällig",IF(M266="","Haftungsdatum erfassen",IF(E266="","ex-Mieter erfassen",IF(AE266="","Kündigung bestätigen / G-Rem",IF(AF266="","Werke / EGT melden",IF(AG266="","Vorbesichtigung (oder n.e.)",IF(AH266="","VMZ aktualisieren",IF(AI266="","Inserat aufschalten",IF(AND(Z266="",AJ266=""),"Abnahmetermin vereinbaren",IF(AJ266="","Wohnungsabnahme durchführen",IF(AK266="","Handwerker aufbieten",IF(AL266="","Zustimmungserklärung einholen",IF(AM266="","Instandstellungen beauftragen",IF(R266="","Nachmieter erfassen",IF(AN266="","Vertrag versenden",IF(AO266="","Vertrag retour erfassen",IF(S266="","Vermietet per erfassen",IF(AP266="","Werke / EGT über Einzug informieren",IF(AND(AD266="",AQ266=""),"Schlüsselübergabe terminieren",IF(AQ266="","Schlüsselübergabe durchführen",IF(AR266="","Reinigung veranlassen",IF(AS266="","Namensschilder bestellen",IF(AT266="","Kaution prüfen / G-Rem mutieren",IF(AU266="","Instandstellungs-Rechnung erfassen",IF(AV266="","Schlussabrechnung erstellen",IF(AW266="","Zahlungseingang kontrollieren","Fall abschliessen"))))))))))))))))))))))))))))))))</f>
        <v/>
      </c>
      <c r="J266" s="17">
        <f>IF(M266="","",IF(S266&lt;&gt;"",MAX(0,S266-M266-1),MAX(0,TODAY()-M266)))</f>
        <v/>
      </c>
      <c r="K266" s="16">
        <f>IF($B266="","",TRIM(IF(AND(L266&lt;&gt;"",M266&lt;&gt;"",M266&lt;L266),"Haftungsdatum vor Kündigung. ","")&amp;IF(AND(S266&lt;&gt;"",M266&lt;&gt;"",S266&lt;M266),"Vermietung vor Leerstandsbeginn. ","")&amp;IF(AND(Z266&lt;&gt;"",L266&lt;&gt;"",Z266&lt;L266),"WA-Termin vor Kündigung. ","")&amp;IF(COUNTIFS($B$5:$B$404,$B266,$AY$5:$AY$404,"")&gt;1,"Zweiter offener Fall zum selben Objekt. ","")&amp;IF(AND($A266&lt;&gt;"",COUNTIFS($A$5:$A$404,$A266)&gt;1),"Fall-Nr. doppelt vergeben. ","")&amp;IF(E266="","ex-Mieter fehlt. ","")&amp;IF(M266="","Haftungsdatum fehlt. ","")&amp;IF(F266="","Bewirtschafter fehlt. ","")&amp;IF(AND(AY266&lt;&gt;"",AW266=""),"Abgeschlossen trotz offener Schlussabrechnung. ","")&amp;IF(AND(AY266="",S266="",ISNUMBER(J266),J266&gt;60),"Langläufer über 60 Tage. ","")))</f>
        <v/>
      </c>
      <c r="L266" s="18" t="n"/>
      <c r="M266" s="18" t="n"/>
      <c r="N266" s="19">
        <f>IF(M266="","",M266+1)</f>
        <v/>
      </c>
      <c r="O266" s="17">
        <f>IF(OR(L266="",M266=""),"",M266-L266)</f>
        <v/>
      </c>
      <c r="P266" s="16">
        <f>IF(M266="","",YEAR(M266+1)&amp;"-"&amp;TEXT(MONTH(M266+1),"00"))</f>
        <v/>
      </c>
      <c r="Q266" s="18" t="n"/>
      <c r="R266" s="15" t="n"/>
      <c r="S266" s="18" t="n"/>
      <c r="T266" s="16">
        <f>IF(U266="","",IF(LEFT(U266,1)="6","abgeschlossen",IF(OR(LEFT(U266,1)="1",LEFT(U266,1)="2"),"Kündigung &amp; Abnahme",IF(OR(LEFT(U266,1)="3",LEFT(U266,1)="4"),"Wiedervermietung","Schlussabrechnung"))))</f>
        <v/>
      </c>
      <c r="U266" s="16">
        <f>IF($B266="","",IF(AY266&lt;&gt;"","6 · abgeschlossen",IF(AW266&lt;&gt;"","5 · bereit zum Abschluss",IF(AT266&lt;&gt;"","5 · Schlussabrechnung",IF(AO266&lt;&gt;"","4 · Übergabe",IF(AM266&lt;&gt;"","3 · Neuvermietung",IF(M266&lt;&gt;"","2 · Abnahme &amp; Vermarktung","1 · Erfassung")))))))</f>
        <v/>
      </c>
      <c r="V266" s="15" t="n"/>
      <c r="W266" s="20" t="n"/>
      <c r="X266" s="15" t="n"/>
      <c r="Y266" s="15" t="n"/>
      <c r="Z266" s="18" t="n"/>
      <c r="AA266" s="19">
        <f>IF(M266="","",M266-30)</f>
        <v/>
      </c>
      <c r="AB266" s="19">
        <f>IF(ISNUMBER(AJ266),AJ266+3,"")</f>
        <v/>
      </c>
      <c r="AC266" s="18" t="n"/>
      <c r="AD266" s="18" t="n"/>
      <c r="AE266" s="18" t="n"/>
      <c r="AF266" s="18" t="n"/>
      <c r="AG266" s="18" t="n"/>
      <c r="AH266" s="18" t="n"/>
      <c r="AI266" s="18" t="n"/>
      <c r="AJ266" s="18" t="n"/>
      <c r="AK266" s="18" t="n"/>
      <c r="AL266" s="18" t="n"/>
      <c r="AM266" s="18" t="n"/>
      <c r="AN266" s="18" t="n"/>
      <c r="AO266" s="18" t="n"/>
      <c r="AP266" s="18" t="n"/>
      <c r="AQ266" s="18" t="n"/>
      <c r="AR266" s="18" t="n"/>
      <c r="AS266" s="18" t="n"/>
      <c r="AT266" s="18" t="n"/>
      <c r="AU266" s="18" t="n"/>
      <c r="AV266" s="18" t="n"/>
      <c r="AW266" s="18" t="n"/>
      <c r="AX266" s="18" t="n"/>
      <c r="AY266" s="18" t="n"/>
      <c r="AZ266" s="15" t="n"/>
    </row>
    <row r="267">
      <c r="A267" s="15" t="n"/>
      <c r="B267" s="15" t="n"/>
      <c r="C267" s="15" t="n"/>
      <c r="D267" s="15" t="n"/>
      <c r="E267" s="15" t="n"/>
      <c r="F267" s="15" t="n"/>
      <c r="G267" s="16">
        <f>IF(F267="","",IFERROR(INDEX(Stammdaten!$B$5:$B$24,MATCH(F267,Stammdaten!$A$5:$A$24,0)),"unbekannt"))</f>
        <v/>
      </c>
      <c r="H267" s="16">
        <f>IF($B267="","",IF(AY267&lt;&gt;"","abgeschlossen",IF(AND(ISNUMBER(AX267),AX267&gt;=TODAY()),"zurückgestellt",IF(OR(AND(ISNUMBER(AA267),AA267&lt;TODAY(),Z267="",AJ267=""),AND(ISNUMBER(Z267),Z267&lt;TODAY(),AJ267=""),AND(ISNUMBER(AB267),AB267&lt;TODAY(),AK267=""),AND(ISNUMBER(AC267),AC267&lt;TODAY(),AO267=""),AND(ISNUMBER(AD267),AD267&lt;TODAY(),AQ267="")),"überfällig","offen"))))</f>
        <v/>
      </c>
      <c r="I267" s="16">
        <f>IF($B267="","",IF(AY267&lt;&gt;"","—",IF(AND(ISNUMBER(AA267),AA267&lt;TODAY(),Z267="",AJ267=""),"Abnahmetermin vereinbaren – Sollfrist verstrichen",IF(AND(ISNUMBER(Z267),Z267&lt;TODAY(),AJ267=""),"Wohnungsabnahme nachtragen – Termin war fällig",IF(AND(ISNUMBER(AB267),AB267&lt;TODAY(),AK267=""),"Handwerker aufbieten – Frist verstrichen",IF(AND(ISNUMBER(AC267),AC267&lt;TODAY(),AO267=""),"Vertrag retour mahnen – Frist verstrichen",IF(AND(ISNUMBER(AD267),AD267&lt;TODAY(),AQ267=""),"Schlüsselübergabe nachtragen – Termin war fällig",IF(M267="","Haftungsdatum erfassen",IF(E267="","ex-Mieter erfassen",IF(AE267="","Kündigung bestätigen / G-Rem",IF(AF267="","Werke / EGT melden",IF(AG267="","Vorbesichtigung (oder n.e.)",IF(AH267="","VMZ aktualisieren",IF(AI267="","Inserat aufschalten",IF(AND(Z267="",AJ267=""),"Abnahmetermin vereinbaren",IF(AJ267="","Wohnungsabnahme durchführen",IF(AK267="","Handwerker aufbieten",IF(AL267="","Zustimmungserklärung einholen",IF(AM267="","Instandstellungen beauftragen",IF(R267="","Nachmieter erfassen",IF(AN267="","Vertrag versenden",IF(AO267="","Vertrag retour erfassen",IF(S267="","Vermietet per erfassen",IF(AP267="","Werke / EGT über Einzug informieren",IF(AND(AD267="",AQ267=""),"Schlüsselübergabe terminieren",IF(AQ267="","Schlüsselübergabe durchführen",IF(AR267="","Reinigung veranlassen",IF(AS267="","Namensschilder bestellen",IF(AT267="","Kaution prüfen / G-Rem mutieren",IF(AU267="","Instandstellungs-Rechnung erfassen",IF(AV267="","Schlussabrechnung erstellen",IF(AW267="","Zahlungseingang kontrollieren","Fall abschliessen"))))))))))))))))))))))))))))))))</f>
        <v/>
      </c>
      <c r="J267" s="17">
        <f>IF(M267="","",IF(S267&lt;&gt;"",MAX(0,S267-M267-1),MAX(0,TODAY()-M267)))</f>
        <v/>
      </c>
      <c r="K267" s="16">
        <f>IF($B267="","",TRIM(IF(AND(L267&lt;&gt;"",M267&lt;&gt;"",M267&lt;L267),"Haftungsdatum vor Kündigung. ","")&amp;IF(AND(S267&lt;&gt;"",M267&lt;&gt;"",S267&lt;M267),"Vermietung vor Leerstandsbeginn. ","")&amp;IF(AND(Z267&lt;&gt;"",L267&lt;&gt;"",Z267&lt;L267),"WA-Termin vor Kündigung. ","")&amp;IF(COUNTIFS($B$5:$B$404,$B267,$AY$5:$AY$404,"")&gt;1,"Zweiter offener Fall zum selben Objekt. ","")&amp;IF(AND($A267&lt;&gt;"",COUNTIFS($A$5:$A$404,$A267)&gt;1),"Fall-Nr. doppelt vergeben. ","")&amp;IF(E267="","ex-Mieter fehlt. ","")&amp;IF(M267="","Haftungsdatum fehlt. ","")&amp;IF(F267="","Bewirtschafter fehlt. ","")&amp;IF(AND(AY267&lt;&gt;"",AW267=""),"Abgeschlossen trotz offener Schlussabrechnung. ","")&amp;IF(AND(AY267="",S267="",ISNUMBER(J267),J267&gt;60),"Langläufer über 60 Tage. ","")))</f>
        <v/>
      </c>
      <c r="L267" s="18" t="n"/>
      <c r="M267" s="18" t="n"/>
      <c r="N267" s="19">
        <f>IF(M267="","",M267+1)</f>
        <v/>
      </c>
      <c r="O267" s="17">
        <f>IF(OR(L267="",M267=""),"",M267-L267)</f>
        <v/>
      </c>
      <c r="P267" s="16">
        <f>IF(M267="","",YEAR(M267+1)&amp;"-"&amp;TEXT(MONTH(M267+1),"00"))</f>
        <v/>
      </c>
      <c r="Q267" s="18" t="n"/>
      <c r="R267" s="15" t="n"/>
      <c r="S267" s="18" t="n"/>
      <c r="T267" s="16">
        <f>IF(U267="","",IF(LEFT(U267,1)="6","abgeschlossen",IF(OR(LEFT(U267,1)="1",LEFT(U267,1)="2"),"Kündigung &amp; Abnahme",IF(OR(LEFT(U267,1)="3",LEFT(U267,1)="4"),"Wiedervermietung","Schlussabrechnung"))))</f>
        <v/>
      </c>
      <c r="U267" s="16">
        <f>IF($B267="","",IF(AY267&lt;&gt;"","6 · abgeschlossen",IF(AW267&lt;&gt;"","5 · bereit zum Abschluss",IF(AT267&lt;&gt;"","5 · Schlussabrechnung",IF(AO267&lt;&gt;"","4 · Übergabe",IF(AM267&lt;&gt;"","3 · Neuvermietung",IF(M267&lt;&gt;"","2 · Abnahme &amp; Vermarktung","1 · Erfassung")))))))</f>
        <v/>
      </c>
      <c r="V267" s="15" t="n"/>
      <c r="W267" s="20" t="n"/>
      <c r="X267" s="15" t="n"/>
      <c r="Y267" s="15" t="n"/>
      <c r="Z267" s="18" t="n"/>
      <c r="AA267" s="19">
        <f>IF(M267="","",M267-30)</f>
        <v/>
      </c>
      <c r="AB267" s="19">
        <f>IF(ISNUMBER(AJ267),AJ267+3,"")</f>
        <v/>
      </c>
      <c r="AC267" s="18" t="n"/>
      <c r="AD267" s="18" t="n"/>
      <c r="AE267" s="18" t="n"/>
      <c r="AF267" s="18" t="n"/>
      <c r="AG267" s="18" t="n"/>
      <c r="AH267" s="18" t="n"/>
      <c r="AI267" s="18" t="n"/>
      <c r="AJ267" s="18" t="n"/>
      <c r="AK267" s="18" t="n"/>
      <c r="AL267" s="18" t="n"/>
      <c r="AM267" s="18" t="n"/>
      <c r="AN267" s="18" t="n"/>
      <c r="AO267" s="18" t="n"/>
      <c r="AP267" s="18" t="n"/>
      <c r="AQ267" s="18" t="n"/>
      <c r="AR267" s="18" t="n"/>
      <c r="AS267" s="18" t="n"/>
      <c r="AT267" s="18" t="n"/>
      <c r="AU267" s="18" t="n"/>
      <c r="AV267" s="18" t="n"/>
      <c r="AW267" s="18" t="n"/>
      <c r="AX267" s="18" t="n"/>
      <c r="AY267" s="18" t="n"/>
      <c r="AZ267" s="15" t="n"/>
    </row>
    <row r="268">
      <c r="A268" s="15" t="n"/>
      <c r="B268" s="15" t="n"/>
      <c r="C268" s="15" t="n"/>
      <c r="D268" s="15" t="n"/>
      <c r="E268" s="15" t="n"/>
      <c r="F268" s="15" t="n"/>
      <c r="G268" s="16">
        <f>IF(F268="","",IFERROR(INDEX(Stammdaten!$B$5:$B$24,MATCH(F268,Stammdaten!$A$5:$A$24,0)),"unbekannt"))</f>
        <v/>
      </c>
      <c r="H268" s="16">
        <f>IF($B268="","",IF(AY268&lt;&gt;"","abgeschlossen",IF(AND(ISNUMBER(AX268),AX268&gt;=TODAY()),"zurückgestellt",IF(OR(AND(ISNUMBER(AA268),AA268&lt;TODAY(),Z268="",AJ268=""),AND(ISNUMBER(Z268),Z268&lt;TODAY(),AJ268=""),AND(ISNUMBER(AB268),AB268&lt;TODAY(),AK268=""),AND(ISNUMBER(AC268),AC268&lt;TODAY(),AO268=""),AND(ISNUMBER(AD268),AD268&lt;TODAY(),AQ268="")),"überfällig","offen"))))</f>
        <v/>
      </c>
      <c r="I268" s="16">
        <f>IF($B268="","",IF(AY268&lt;&gt;"","—",IF(AND(ISNUMBER(AA268),AA268&lt;TODAY(),Z268="",AJ268=""),"Abnahmetermin vereinbaren – Sollfrist verstrichen",IF(AND(ISNUMBER(Z268),Z268&lt;TODAY(),AJ268=""),"Wohnungsabnahme nachtragen – Termin war fällig",IF(AND(ISNUMBER(AB268),AB268&lt;TODAY(),AK268=""),"Handwerker aufbieten – Frist verstrichen",IF(AND(ISNUMBER(AC268),AC268&lt;TODAY(),AO268=""),"Vertrag retour mahnen – Frist verstrichen",IF(AND(ISNUMBER(AD268),AD268&lt;TODAY(),AQ268=""),"Schlüsselübergabe nachtragen – Termin war fällig",IF(M268="","Haftungsdatum erfassen",IF(E268="","ex-Mieter erfassen",IF(AE268="","Kündigung bestätigen / G-Rem",IF(AF268="","Werke / EGT melden",IF(AG268="","Vorbesichtigung (oder n.e.)",IF(AH268="","VMZ aktualisieren",IF(AI268="","Inserat aufschalten",IF(AND(Z268="",AJ268=""),"Abnahmetermin vereinbaren",IF(AJ268="","Wohnungsabnahme durchführen",IF(AK268="","Handwerker aufbieten",IF(AL268="","Zustimmungserklärung einholen",IF(AM268="","Instandstellungen beauftragen",IF(R268="","Nachmieter erfassen",IF(AN268="","Vertrag versenden",IF(AO268="","Vertrag retour erfassen",IF(S268="","Vermietet per erfassen",IF(AP268="","Werke / EGT über Einzug informieren",IF(AND(AD268="",AQ268=""),"Schlüsselübergabe terminieren",IF(AQ268="","Schlüsselübergabe durchführen",IF(AR268="","Reinigung veranlassen",IF(AS268="","Namensschilder bestellen",IF(AT268="","Kaution prüfen / G-Rem mutieren",IF(AU268="","Instandstellungs-Rechnung erfassen",IF(AV268="","Schlussabrechnung erstellen",IF(AW268="","Zahlungseingang kontrollieren","Fall abschliessen"))))))))))))))))))))))))))))))))</f>
        <v/>
      </c>
      <c r="J268" s="17">
        <f>IF(M268="","",IF(S268&lt;&gt;"",MAX(0,S268-M268-1),MAX(0,TODAY()-M268)))</f>
        <v/>
      </c>
      <c r="K268" s="16">
        <f>IF($B268="","",TRIM(IF(AND(L268&lt;&gt;"",M268&lt;&gt;"",M268&lt;L268),"Haftungsdatum vor Kündigung. ","")&amp;IF(AND(S268&lt;&gt;"",M268&lt;&gt;"",S268&lt;M268),"Vermietung vor Leerstandsbeginn. ","")&amp;IF(AND(Z268&lt;&gt;"",L268&lt;&gt;"",Z268&lt;L268),"WA-Termin vor Kündigung. ","")&amp;IF(COUNTIFS($B$5:$B$404,$B268,$AY$5:$AY$404,"")&gt;1,"Zweiter offener Fall zum selben Objekt. ","")&amp;IF(AND($A268&lt;&gt;"",COUNTIFS($A$5:$A$404,$A268)&gt;1),"Fall-Nr. doppelt vergeben. ","")&amp;IF(E268="","ex-Mieter fehlt. ","")&amp;IF(M268="","Haftungsdatum fehlt. ","")&amp;IF(F268="","Bewirtschafter fehlt. ","")&amp;IF(AND(AY268&lt;&gt;"",AW268=""),"Abgeschlossen trotz offener Schlussabrechnung. ","")&amp;IF(AND(AY268="",S268="",ISNUMBER(J268),J268&gt;60),"Langläufer über 60 Tage. ","")))</f>
        <v/>
      </c>
      <c r="L268" s="18" t="n"/>
      <c r="M268" s="18" t="n"/>
      <c r="N268" s="19">
        <f>IF(M268="","",M268+1)</f>
        <v/>
      </c>
      <c r="O268" s="17">
        <f>IF(OR(L268="",M268=""),"",M268-L268)</f>
        <v/>
      </c>
      <c r="P268" s="16">
        <f>IF(M268="","",YEAR(M268+1)&amp;"-"&amp;TEXT(MONTH(M268+1),"00"))</f>
        <v/>
      </c>
      <c r="Q268" s="18" t="n"/>
      <c r="R268" s="15" t="n"/>
      <c r="S268" s="18" t="n"/>
      <c r="T268" s="16">
        <f>IF(U268="","",IF(LEFT(U268,1)="6","abgeschlossen",IF(OR(LEFT(U268,1)="1",LEFT(U268,1)="2"),"Kündigung &amp; Abnahme",IF(OR(LEFT(U268,1)="3",LEFT(U268,1)="4"),"Wiedervermietung","Schlussabrechnung"))))</f>
        <v/>
      </c>
      <c r="U268" s="16">
        <f>IF($B268="","",IF(AY268&lt;&gt;"","6 · abgeschlossen",IF(AW268&lt;&gt;"","5 · bereit zum Abschluss",IF(AT268&lt;&gt;"","5 · Schlussabrechnung",IF(AO268&lt;&gt;"","4 · Übergabe",IF(AM268&lt;&gt;"","3 · Neuvermietung",IF(M268&lt;&gt;"","2 · Abnahme &amp; Vermarktung","1 · Erfassung")))))))</f>
        <v/>
      </c>
      <c r="V268" s="15" t="n"/>
      <c r="W268" s="20" t="n"/>
      <c r="X268" s="15" t="n"/>
      <c r="Y268" s="15" t="n"/>
      <c r="Z268" s="18" t="n"/>
      <c r="AA268" s="19">
        <f>IF(M268="","",M268-30)</f>
        <v/>
      </c>
      <c r="AB268" s="19">
        <f>IF(ISNUMBER(AJ268),AJ268+3,"")</f>
        <v/>
      </c>
      <c r="AC268" s="18" t="n"/>
      <c r="AD268" s="18" t="n"/>
      <c r="AE268" s="18" t="n"/>
      <c r="AF268" s="18" t="n"/>
      <c r="AG268" s="18" t="n"/>
      <c r="AH268" s="18" t="n"/>
      <c r="AI268" s="18" t="n"/>
      <c r="AJ268" s="18" t="n"/>
      <c r="AK268" s="18" t="n"/>
      <c r="AL268" s="18" t="n"/>
      <c r="AM268" s="18" t="n"/>
      <c r="AN268" s="18" t="n"/>
      <c r="AO268" s="18" t="n"/>
      <c r="AP268" s="18" t="n"/>
      <c r="AQ268" s="18" t="n"/>
      <c r="AR268" s="18" t="n"/>
      <c r="AS268" s="18" t="n"/>
      <c r="AT268" s="18" t="n"/>
      <c r="AU268" s="18" t="n"/>
      <c r="AV268" s="18" t="n"/>
      <c r="AW268" s="18" t="n"/>
      <c r="AX268" s="18" t="n"/>
      <c r="AY268" s="18" t="n"/>
      <c r="AZ268" s="15" t="n"/>
    </row>
    <row r="269">
      <c r="A269" s="15" t="n"/>
      <c r="B269" s="15" t="n"/>
      <c r="C269" s="15" t="n"/>
      <c r="D269" s="15" t="n"/>
      <c r="E269" s="15" t="n"/>
      <c r="F269" s="15" t="n"/>
      <c r="G269" s="16">
        <f>IF(F269="","",IFERROR(INDEX(Stammdaten!$B$5:$B$24,MATCH(F269,Stammdaten!$A$5:$A$24,0)),"unbekannt"))</f>
        <v/>
      </c>
      <c r="H269" s="16">
        <f>IF($B269="","",IF(AY269&lt;&gt;"","abgeschlossen",IF(AND(ISNUMBER(AX269),AX269&gt;=TODAY()),"zurückgestellt",IF(OR(AND(ISNUMBER(AA269),AA269&lt;TODAY(),Z269="",AJ269=""),AND(ISNUMBER(Z269),Z269&lt;TODAY(),AJ269=""),AND(ISNUMBER(AB269),AB269&lt;TODAY(),AK269=""),AND(ISNUMBER(AC269),AC269&lt;TODAY(),AO269=""),AND(ISNUMBER(AD269),AD269&lt;TODAY(),AQ269="")),"überfällig","offen"))))</f>
        <v/>
      </c>
      <c r="I269" s="16">
        <f>IF($B269="","",IF(AY269&lt;&gt;"","—",IF(AND(ISNUMBER(AA269),AA269&lt;TODAY(),Z269="",AJ269=""),"Abnahmetermin vereinbaren – Sollfrist verstrichen",IF(AND(ISNUMBER(Z269),Z269&lt;TODAY(),AJ269=""),"Wohnungsabnahme nachtragen – Termin war fällig",IF(AND(ISNUMBER(AB269),AB269&lt;TODAY(),AK269=""),"Handwerker aufbieten – Frist verstrichen",IF(AND(ISNUMBER(AC269),AC269&lt;TODAY(),AO269=""),"Vertrag retour mahnen – Frist verstrichen",IF(AND(ISNUMBER(AD269),AD269&lt;TODAY(),AQ269=""),"Schlüsselübergabe nachtragen – Termin war fällig",IF(M269="","Haftungsdatum erfassen",IF(E269="","ex-Mieter erfassen",IF(AE269="","Kündigung bestätigen / G-Rem",IF(AF269="","Werke / EGT melden",IF(AG269="","Vorbesichtigung (oder n.e.)",IF(AH269="","VMZ aktualisieren",IF(AI269="","Inserat aufschalten",IF(AND(Z269="",AJ269=""),"Abnahmetermin vereinbaren",IF(AJ269="","Wohnungsabnahme durchführen",IF(AK269="","Handwerker aufbieten",IF(AL269="","Zustimmungserklärung einholen",IF(AM269="","Instandstellungen beauftragen",IF(R269="","Nachmieter erfassen",IF(AN269="","Vertrag versenden",IF(AO269="","Vertrag retour erfassen",IF(S269="","Vermietet per erfassen",IF(AP269="","Werke / EGT über Einzug informieren",IF(AND(AD269="",AQ269=""),"Schlüsselübergabe terminieren",IF(AQ269="","Schlüsselübergabe durchführen",IF(AR269="","Reinigung veranlassen",IF(AS269="","Namensschilder bestellen",IF(AT269="","Kaution prüfen / G-Rem mutieren",IF(AU269="","Instandstellungs-Rechnung erfassen",IF(AV269="","Schlussabrechnung erstellen",IF(AW269="","Zahlungseingang kontrollieren","Fall abschliessen"))))))))))))))))))))))))))))))))</f>
        <v/>
      </c>
      <c r="J269" s="17">
        <f>IF(M269="","",IF(S269&lt;&gt;"",MAX(0,S269-M269-1),MAX(0,TODAY()-M269)))</f>
        <v/>
      </c>
      <c r="K269" s="16">
        <f>IF($B269="","",TRIM(IF(AND(L269&lt;&gt;"",M269&lt;&gt;"",M269&lt;L269),"Haftungsdatum vor Kündigung. ","")&amp;IF(AND(S269&lt;&gt;"",M269&lt;&gt;"",S269&lt;M269),"Vermietung vor Leerstandsbeginn. ","")&amp;IF(AND(Z269&lt;&gt;"",L269&lt;&gt;"",Z269&lt;L269),"WA-Termin vor Kündigung. ","")&amp;IF(COUNTIFS($B$5:$B$404,$B269,$AY$5:$AY$404,"")&gt;1,"Zweiter offener Fall zum selben Objekt. ","")&amp;IF(AND($A269&lt;&gt;"",COUNTIFS($A$5:$A$404,$A269)&gt;1),"Fall-Nr. doppelt vergeben. ","")&amp;IF(E269="","ex-Mieter fehlt. ","")&amp;IF(M269="","Haftungsdatum fehlt. ","")&amp;IF(F269="","Bewirtschafter fehlt. ","")&amp;IF(AND(AY269&lt;&gt;"",AW269=""),"Abgeschlossen trotz offener Schlussabrechnung. ","")&amp;IF(AND(AY269="",S269="",ISNUMBER(J269),J269&gt;60),"Langläufer über 60 Tage. ","")))</f>
        <v/>
      </c>
      <c r="L269" s="18" t="n"/>
      <c r="M269" s="18" t="n"/>
      <c r="N269" s="19">
        <f>IF(M269="","",M269+1)</f>
        <v/>
      </c>
      <c r="O269" s="17">
        <f>IF(OR(L269="",M269=""),"",M269-L269)</f>
        <v/>
      </c>
      <c r="P269" s="16">
        <f>IF(M269="","",YEAR(M269+1)&amp;"-"&amp;TEXT(MONTH(M269+1),"00"))</f>
        <v/>
      </c>
      <c r="Q269" s="18" t="n"/>
      <c r="R269" s="15" t="n"/>
      <c r="S269" s="18" t="n"/>
      <c r="T269" s="16">
        <f>IF(U269="","",IF(LEFT(U269,1)="6","abgeschlossen",IF(OR(LEFT(U269,1)="1",LEFT(U269,1)="2"),"Kündigung &amp; Abnahme",IF(OR(LEFT(U269,1)="3",LEFT(U269,1)="4"),"Wiedervermietung","Schlussabrechnung"))))</f>
        <v/>
      </c>
      <c r="U269" s="16">
        <f>IF($B269="","",IF(AY269&lt;&gt;"","6 · abgeschlossen",IF(AW269&lt;&gt;"","5 · bereit zum Abschluss",IF(AT269&lt;&gt;"","5 · Schlussabrechnung",IF(AO269&lt;&gt;"","4 · Übergabe",IF(AM269&lt;&gt;"","3 · Neuvermietung",IF(M269&lt;&gt;"","2 · Abnahme &amp; Vermarktung","1 · Erfassung")))))))</f>
        <v/>
      </c>
      <c r="V269" s="15" t="n"/>
      <c r="W269" s="20" t="n"/>
      <c r="X269" s="15" t="n"/>
      <c r="Y269" s="15" t="n"/>
      <c r="Z269" s="18" t="n"/>
      <c r="AA269" s="19">
        <f>IF(M269="","",M269-30)</f>
        <v/>
      </c>
      <c r="AB269" s="19">
        <f>IF(ISNUMBER(AJ269),AJ269+3,"")</f>
        <v/>
      </c>
      <c r="AC269" s="18" t="n"/>
      <c r="AD269" s="18" t="n"/>
      <c r="AE269" s="18" t="n"/>
      <c r="AF269" s="18" t="n"/>
      <c r="AG269" s="18" t="n"/>
      <c r="AH269" s="18" t="n"/>
      <c r="AI269" s="18" t="n"/>
      <c r="AJ269" s="18" t="n"/>
      <c r="AK269" s="18" t="n"/>
      <c r="AL269" s="18" t="n"/>
      <c r="AM269" s="18" t="n"/>
      <c r="AN269" s="18" t="n"/>
      <c r="AO269" s="18" t="n"/>
      <c r="AP269" s="18" t="n"/>
      <c r="AQ269" s="18" t="n"/>
      <c r="AR269" s="18" t="n"/>
      <c r="AS269" s="18" t="n"/>
      <c r="AT269" s="18" t="n"/>
      <c r="AU269" s="18" t="n"/>
      <c r="AV269" s="18" t="n"/>
      <c r="AW269" s="18" t="n"/>
      <c r="AX269" s="18" t="n"/>
      <c r="AY269" s="18" t="n"/>
      <c r="AZ269" s="15" t="n"/>
    </row>
    <row r="270">
      <c r="A270" s="15" t="n"/>
      <c r="B270" s="15" t="n"/>
      <c r="C270" s="15" t="n"/>
      <c r="D270" s="15" t="n"/>
      <c r="E270" s="15" t="n"/>
      <c r="F270" s="15" t="n"/>
      <c r="G270" s="16">
        <f>IF(F270="","",IFERROR(INDEX(Stammdaten!$B$5:$B$24,MATCH(F270,Stammdaten!$A$5:$A$24,0)),"unbekannt"))</f>
        <v/>
      </c>
      <c r="H270" s="16">
        <f>IF($B270="","",IF(AY270&lt;&gt;"","abgeschlossen",IF(AND(ISNUMBER(AX270),AX270&gt;=TODAY()),"zurückgestellt",IF(OR(AND(ISNUMBER(AA270),AA270&lt;TODAY(),Z270="",AJ270=""),AND(ISNUMBER(Z270),Z270&lt;TODAY(),AJ270=""),AND(ISNUMBER(AB270),AB270&lt;TODAY(),AK270=""),AND(ISNUMBER(AC270),AC270&lt;TODAY(),AO270=""),AND(ISNUMBER(AD270),AD270&lt;TODAY(),AQ270="")),"überfällig","offen"))))</f>
        <v/>
      </c>
      <c r="I270" s="16">
        <f>IF($B270="","",IF(AY270&lt;&gt;"","—",IF(AND(ISNUMBER(AA270),AA270&lt;TODAY(),Z270="",AJ270=""),"Abnahmetermin vereinbaren – Sollfrist verstrichen",IF(AND(ISNUMBER(Z270),Z270&lt;TODAY(),AJ270=""),"Wohnungsabnahme nachtragen – Termin war fällig",IF(AND(ISNUMBER(AB270),AB270&lt;TODAY(),AK270=""),"Handwerker aufbieten – Frist verstrichen",IF(AND(ISNUMBER(AC270),AC270&lt;TODAY(),AO270=""),"Vertrag retour mahnen – Frist verstrichen",IF(AND(ISNUMBER(AD270),AD270&lt;TODAY(),AQ270=""),"Schlüsselübergabe nachtragen – Termin war fällig",IF(M270="","Haftungsdatum erfassen",IF(E270="","ex-Mieter erfassen",IF(AE270="","Kündigung bestätigen / G-Rem",IF(AF270="","Werke / EGT melden",IF(AG270="","Vorbesichtigung (oder n.e.)",IF(AH270="","VMZ aktualisieren",IF(AI270="","Inserat aufschalten",IF(AND(Z270="",AJ270=""),"Abnahmetermin vereinbaren",IF(AJ270="","Wohnungsabnahme durchführen",IF(AK270="","Handwerker aufbieten",IF(AL270="","Zustimmungserklärung einholen",IF(AM270="","Instandstellungen beauftragen",IF(R270="","Nachmieter erfassen",IF(AN270="","Vertrag versenden",IF(AO270="","Vertrag retour erfassen",IF(S270="","Vermietet per erfassen",IF(AP270="","Werke / EGT über Einzug informieren",IF(AND(AD270="",AQ270=""),"Schlüsselübergabe terminieren",IF(AQ270="","Schlüsselübergabe durchführen",IF(AR270="","Reinigung veranlassen",IF(AS270="","Namensschilder bestellen",IF(AT270="","Kaution prüfen / G-Rem mutieren",IF(AU270="","Instandstellungs-Rechnung erfassen",IF(AV270="","Schlussabrechnung erstellen",IF(AW270="","Zahlungseingang kontrollieren","Fall abschliessen"))))))))))))))))))))))))))))))))</f>
        <v/>
      </c>
      <c r="J270" s="17">
        <f>IF(M270="","",IF(S270&lt;&gt;"",MAX(0,S270-M270-1),MAX(0,TODAY()-M270)))</f>
        <v/>
      </c>
      <c r="K270" s="16">
        <f>IF($B270="","",TRIM(IF(AND(L270&lt;&gt;"",M270&lt;&gt;"",M270&lt;L270),"Haftungsdatum vor Kündigung. ","")&amp;IF(AND(S270&lt;&gt;"",M270&lt;&gt;"",S270&lt;M270),"Vermietung vor Leerstandsbeginn. ","")&amp;IF(AND(Z270&lt;&gt;"",L270&lt;&gt;"",Z270&lt;L270),"WA-Termin vor Kündigung. ","")&amp;IF(COUNTIFS($B$5:$B$404,$B270,$AY$5:$AY$404,"")&gt;1,"Zweiter offener Fall zum selben Objekt. ","")&amp;IF(AND($A270&lt;&gt;"",COUNTIFS($A$5:$A$404,$A270)&gt;1),"Fall-Nr. doppelt vergeben. ","")&amp;IF(E270="","ex-Mieter fehlt. ","")&amp;IF(M270="","Haftungsdatum fehlt. ","")&amp;IF(F270="","Bewirtschafter fehlt. ","")&amp;IF(AND(AY270&lt;&gt;"",AW270=""),"Abgeschlossen trotz offener Schlussabrechnung. ","")&amp;IF(AND(AY270="",S270="",ISNUMBER(J270),J270&gt;60),"Langläufer über 60 Tage. ","")))</f>
        <v/>
      </c>
      <c r="L270" s="18" t="n"/>
      <c r="M270" s="18" t="n"/>
      <c r="N270" s="19">
        <f>IF(M270="","",M270+1)</f>
        <v/>
      </c>
      <c r="O270" s="17">
        <f>IF(OR(L270="",M270=""),"",M270-L270)</f>
        <v/>
      </c>
      <c r="P270" s="16">
        <f>IF(M270="","",YEAR(M270+1)&amp;"-"&amp;TEXT(MONTH(M270+1),"00"))</f>
        <v/>
      </c>
      <c r="Q270" s="18" t="n"/>
      <c r="R270" s="15" t="n"/>
      <c r="S270" s="18" t="n"/>
      <c r="T270" s="16">
        <f>IF(U270="","",IF(LEFT(U270,1)="6","abgeschlossen",IF(OR(LEFT(U270,1)="1",LEFT(U270,1)="2"),"Kündigung &amp; Abnahme",IF(OR(LEFT(U270,1)="3",LEFT(U270,1)="4"),"Wiedervermietung","Schlussabrechnung"))))</f>
        <v/>
      </c>
      <c r="U270" s="16">
        <f>IF($B270="","",IF(AY270&lt;&gt;"","6 · abgeschlossen",IF(AW270&lt;&gt;"","5 · bereit zum Abschluss",IF(AT270&lt;&gt;"","5 · Schlussabrechnung",IF(AO270&lt;&gt;"","4 · Übergabe",IF(AM270&lt;&gt;"","3 · Neuvermietung",IF(M270&lt;&gt;"","2 · Abnahme &amp; Vermarktung","1 · Erfassung")))))))</f>
        <v/>
      </c>
      <c r="V270" s="15" t="n"/>
      <c r="W270" s="20" t="n"/>
      <c r="X270" s="15" t="n"/>
      <c r="Y270" s="15" t="n"/>
      <c r="Z270" s="18" t="n"/>
      <c r="AA270" s="19">
        <f>IF(M270="","",M270-30)</f>
        <v/>
      </c>
      <c r="AB270" s="19">
        <f>IF(ISNUMBER(AJ270),AJ270+3,"")</f>
        <v/>
      </c>
      <c r="AC270" s="18" t="n"/>
      <c r="AD270" s="18" t="n"/>
      <c r="AE270" s="18" t="n"/>
      <c r="AF270" s="18" t="n"/>
      <c r="AG270" s="18" t="n"/>
      <c r="AH270" s="18" t="n"/>
      <c r="AI270" s="18" t="n"/>
      <c r="AJ270" s="18" t="n"/>
      <c r="AK270" s="18" t="n"/>
      <c r="AL270" s="18" t="n"/>
      <c r="AM270" s="18" t="n"/>
      <c r="AN270" s="18" t="n"/>
      <c r="AO270" s="18" t="n"/>
      <c r="AP270" s="18" t="n"/>
      <c r="AQ270" s="18" t="n"/>
      <c r="AR270" s="18" t="n"/>
      <c r="AS270" s="18" t="n"/>
      <c r="AT270" s="18" t="n"/>
      <c r="AU270" s="18" t="n"/>
      <c r="AV270" s="18" t="n"/>
      <c r="AW270" s="18" t="n"/>
      <c r="AX270" s="18" t="n"/>
      <c r="AY270" s="18" t="n"/>
      <c r="AZ270" s="15" t="n"/>
    </row>
    <row r="271">
      <c r="A271" s="15" t="n"/>
      <c r="B271" s="15" t="n"/>
      <c r="C271" s="15" t="n"/>
      <c r="D271" s="15" t="n"/>
      <c r="E271" s="15" t="n"/>
      <c r="F271" s="15" t="n"/>
      <c r="G271" s="16">
        <f>IF(F271="","",IFERROR(INDEX(Stammdaten!$B$5:$B$24,MATCH(F271,Stammdaten!$A$5:$A$24,0)),"unbekannt"))</f>
        <v/>
      </c>
      <c r="H271" s="16">
        <f>IF($B271="","",IF(AY271&lt;&gt;"","abgeschlossen",IF(AND(ISNUMBER(AX271),AX271&gt;=TODAY()),"zurückgestellt",IF(OR(AND(ISNUMBER(AA271),AA271&lt;TODAY(),Z271="",AJ271=""),AND(ISNUMBER(Z271),Z271&lt;TODAY(),AJ271=""),AND(ISNUMBER(AB271),AB271&lt;TODAY(),AK271=""),AND(ISNUMBER(AC271),AC271&lt;TODAY(),AO271=""),AND(ISNUMBER(AD271),AD271&lt;TODAY(),AQ271="")),"überfällig","offen"))))</f>
        <v/>
      </c>
      <c r="I271" s="16">
        <f>IF($B271="","",IF(AY271&lt;&gt;"","—",IF(AND(ISNUMBER(AA271),AA271&lt;TODAY(),Z271="",AJ271=""),"Abnahmetermin vereinbaren – Sollfrist verstrichen",IF(AND(ISNUMBER(Z271),Z271&lt;TODAY(),AJ271=""),"Wohnungsabnahme nachtragen – Termin war fällig",IF(AND(ISNUMBER(AB271),AB271&lt;TODAY(),AK271=""),"Handwerker aufbieten – Frist verstrichen",IF(AND(ISNUMBER(AC271),AC271&lt;TODAY(),AO271=""),"Vertrag retour mahnen – Frist verstrichen",IF(AND(ISNUMBER(AD271),AD271&lt;TODAY(),AQ271=""),"Schlüsselübergabe nachtragen – Termin war fällig",IF(M271="","Haftungsdatum erfassen",IF(E271="","ex-Mieter erfassen",IF(AE271="","Kündigung bestätigen / G-Rem",IF(AF271="","Werke / EGT melden",IF(AG271="","Vorbesichtigung (oder n.e.)",IF(AH271="","VMZ aktualisieren",IF(AI271="","Inserat aufschalten",IF(AND(Z271="",AJ271=""),"Abnahmetermin vereinbaren",IF(AJ271="","Wohnungsabnahme durchführen",IF(AK271="","Handwerker aufbieten",IF(AL271="","Zustimmungserklärung einholen",IF(AM271="","Instandstellungen beauftragen",IF(R271="","Nachmieter erfassen",IF(AN271="","Vertrag versenden",IF(AO271="","Vertrag retour erfassen",IF(S271="","Vermietet per erfassen",IF(AP271="","Werke / EGT über Einzug informieren",IF(AND(AD271="",AQ271=""),"Schlüsselübergabe terminieren",IF(AQ271="","Schlüsselübergabe durchführen",IF(AR271="","Reinigung veranlassen",IF(AS271="","Namensschilder bestellen",IF(AT271="","Kaution prüfen / G-Rem mutieren",IF(AU271="","Instandstellungs-Rechnung erfassen",IF(AV271="","Schlussabrechnung erstellen",IF(AW271="","Zahlungseingang kontrollieren","Fall abschliessen"))))))))))))))))))))))))))))))))</f>
        <v/>
      </c>
      <c r="J271" s="17">
        <f>IF(M271="","",IF(S271&lt;&gt;"",MAX(0,S271-M271-1),MAX(0,TODAY()-M271)))</f>
        <v/>
      </c>
      <c r="K271" s="16">
        <f>IF($B271="","",TRIM(IF(AND(L271&lt;&gt;"",M271&lt;&gt;"",M271&lt;L271),"Haftungsdatum vor Kündigung. ","")&amp;IF(AND(S271&lt;&gt;"",M271&lt;&gt;"",S271&lt;M271),"Vermietung vor Leerstandsbeginn. ","")&amp;IF(AND(Z271&lt;&gt;"",L271&lt;&gt;"",Z271&lt;L271),"WA-Termin vor Kündigung. ","")&amp;IF(COUNTIFS($B$5:$B$404,$B271,$AY$5:$AY$404,"")&gt;1,"Zweiter offener Fall zum selben Objekt. ","")&amp;IF(AND($A271&lt;&gt;"",COUNTIFS($A$5:$A$404,$A271)&gt;1),"Fall-Nr. doppelt vergeben. ","")&amp;IF(E271="","ex-Mieter fehlt. ","")&amp;IF(M271="","Haftungsdatum fehlt. ","")&amp;IF(F271="","Bewirtschafter fehlt. ","")&amp;IF(AND(AY271&lt;&gt;"",AW271=""),"Abgeschlossen trotz offener Schlussabrechnung. ","")&amp;IF(AND(AY271="",S271="",ISNUMBER(J271),J271&gt;60),"Langläufer über 60 Tage. ","")))</f>
        <v/>
      </c>
      <c r="L271" s="18" t="n"/>
      <c r="M271" s="18" t="n"/>
      <c r="N271" s="19">
        <f>IF(M271="","",M271+1)</f>
        <v/>
      </c>
      <c r="O271" s="17">
        <f>IF(OR(L271="",M271=""),"",M271-L271)</f>
        <v/>
      </c>
      <c r="P271" s="16">
        <f>IF(M271="","",YEAR(M271+1)&amp;"-"&amp;TEXT(MONTH(M271+1),"00"))</f>
        <v/>
      </c>
      <c r="Q271" s="18" t="n"/>
      <c r="R271" s="15" t="n"/>
      <c r="S271" s="18" t="n"/>
      <c r="T271" s="16">
        <f>IF(U271="","",IF(LEFT(U271,1)="6","abgeschlossen",IF(OR(LEFT(U271,1)="1",LEFT(U271,1)="2"),"Kündigung &amp; Abnahme",IF(OR(LEFT(U271,1)="3",LEFT(U271,1)="4"),"Wiedervermietung","Schlussabrechnung"))))</f>
        <v/>
      </c>
      <c r="U271" s="16">
        <f>IF($B271="","",IF(AY271&lt;&gt;"","6 · abgeschlossen",IF(AW271&lt;&gt;"","5 · bereit zum Abschluss",IF(AT271&lt;&gt;"","5 · Schlussabrechnung",IF(AO271&lt;&gt;"","4 · Übergabe",IF(AM271&lt;&gt;"","3 · Neuvermietung",IF(M271&lt;&gt;"","2 · Abnahme &amp; Vermarktung","1 · Erfassung")))))))</f>
        <v/>
      </c>
      <c r="V271" s="15" t="n"/>
      <c r="W271" s="20" t="n"/>
      <c r="X271" s="15" t="n"/>
      <c r="Y271" s="15" t="n"/>
      <c r="Z271" s="18" t="n"/>
      <c r="AA271" s="19">
        <f>IF(M271="","",M271-30)</f>
        <v/>
      </c>
      <c r="AB271" s="19">
        <f>IF(ISNUMBER(AJ271),AJ271+3,"")</f>
        <v/>
      </c>
      <c r="AC271" s="18" t="n"/>
      <c r="AD271" s="18" t="n"/>
      <c r="AE271" s="18" t="n"/>
      <c r="AF271" s="18" t="n"/>
      <c r="AG271" s="18" t="n"/>
      <c r="AH271" s="18" t="n"/>
      <c r="AI271" s="18" t="n"/>
      <c r="AJ271" s="18" t="n"/>
      <c r="AK271" s="18" t="n"/>
      <c r="AL271" s="18" t="n"/>
      <c r="AM271" s="18" t="n"/>
      <c r="AN271" s="18" t="n"/>
      <c r="AO271" s="18" t="n"/>
      <c r="AP271" s="18" t="n"/>
      <c r="AQ271" s="18" t="n"/>
      <c r="AR271" s="18" t="n"/>
      <c r="AS271" s="18" t="n"/>
      <c r="AT271" s="18" t="n"/>
      <c r="AU271" s="18" t="n"/>
      <c r="AV271" s="18" t="n"/>
      <c r="AW271" s="18" t="n"/>
      <c r="AX271" s="18" t="n"/>
      <c r="AY271" s="18" t="n"/>
      <c r="AZ271" s="15" t="n"/>
    </row>
    <row r="272">
      <c r="A272" s="15" t="n"/>
      <c r="B272" s="15" t="n"/>
      <c r="C272" s="15" t="n"/>
      <c r="D272" s="15" t="n"/>
      <c r="E272" s="15" t="n"/>
      <c r="F272" s="15" t="n"/>
      <c r="G272" s="16">
        <f>IF(F272="","",IFERROR(INDEX(Stammdaten!$B$5:$B$24,MATCH(F272,Stammdaten!$A$5:$A$24,0)),"unbekannt"))</f>
        <v/>
      </c>
      <c r="H272" s="16">
        <f>IF($B272="","",IF(AY272&lt;&gt;"","abgeschlossen",IF(AND(ISNUMBER(AX272),AX272&gt;=TODAY()),"zurückgestellt",IF(OR(AND(ISNUMBER(AA272),AA272&lt;TODAY(),Z272="",AJ272=""),AND(ISNUMBER(Z272),Z272&lt;TODAY(),AJ272=""),AND(ISNUMBER(AB272),AB272&lt;TODAY(),AK272=""),AND(ISNUMBER(AC272),AC272&lt;TODAY(),AO272=""),AND(ISNUMBER(AD272),AD272&lt;TODAY(),AQ272="")),"überfällig","offen"))))</f>
        <v/>
      </c>
      <c r="I272" s="16">
        <f>IF($B272="","",IF(AY272&lt;&gt;"","—",IF(AND(ISNUMBER(AA272),AA272&lt;TODAY(),Z272="",AJ272=""),"Abnahmetermin vereinbaren – Sollfrist verstrichen",IF(AND(ISNUMBER(Z272),Z272&lt;TODAY(),AJ272=""),"Wohnungsabnahme nachtragen – Termin war fällig",IF(AND(ISNUMBER(AB272),AB272&lt;TODAY(),AK272=""),"Handwerker aufbieten – Frist verstrichen",IF(AND(ISNUMBER(AC272),AC272&lt;TODAY(),AO272=""),"Vertrag retour mahnen – Frist verstrichen",IF(AND(ISNUMBER(AD272),AD272&lt;TODAY(),AQ272=""),"Schlüsselübergabe nachtragen – Termin war fällig",IF(M272="","Haftungsdatum erfassen",IF(E272="","ex-Mieter erfassen",IF(AE272="","Kündigung bestätigen / G-Rem",IF(AF272="","Werke / EGT melden",IF(AG272="","Vorbesichtigung (oder n.e.)",IF(AH272="","VMZ aktualisieren",IF(AI272="","Inserat aufschalten",IF(AND(Z272="",AJ272=""),"Abnahmetermin vereinbaren",IF(AJ272="","Wohnungsabnahme durchführen",IF(AK272="","Handwerker aufbieten",IF(AL272="","Zustimmungserklärung einholen",IF(AM272="","Instandstellungen beauftragen",IF(R272="","Nachmieter erfassen",IF(AN272="","Vertrag versenden",IF(AO272="","Vertrag retour erfassen",IF(S272="","Vermietet per erfassen",IF(AP272="","Werke / EGT über Einzug informieren",IF(AND(AD272="",AQ272=""),"Schlüsselübergabe terminieren",IF(AQ272="","Schlüsselübergabe durchführen",IF(AR272="","Reinigung veranlassen",IF(AS272="","Namensschilder bestellen",IF(AT272="","Kaution prüfen / G-Rem mutieren",IF(AU272="","Instandstellungs-Rechnung erfassen",IF(AV272="","Schlussabrechnung erstellen",IF(AW272="","Zahlungseingang kontrollieren","Fall abschliessen"))))))))))))))))))))))))))))))))</f>
        <v/>
      </c>
      <c r="J272" s="17">
        <f>IF(M272="","",IF(S272&lt;&gt;"",MAX(0,S272-M272-1),MAX(0,TODAY()-M272)))</f>
        <v/>
      </c>
      <c r="K272" s="16">
        <f>IF($B272="","",TRIM(IF(AND(L272&lt;&gt;"",M272&lt;&gt;"",M272&lt;L272),"Haftungsdatum vor Kündigung. ","")&amp;IF(AND(S272&lt;&gt;"",M272&lt;&gt;"",S272&lt;M272),"Vermietung vor Leerstandsbeginn. ","")&amp;IF(AND(Z272&lt;&gt;"",L272&lt;&gt;"",Z272&lt;L272),"WA-Termin vor Kündigung. ","")&amp;IF(COUNTIFS($B$5:$B$404,$B272,$AY$5:$AY$404,"")&gt;1,"Zweiter offener Fall zum selben Objekt. ","")&amp;IF(AND($A272&lt;&gt;"",COUNTIFS($A$5:$A$404,$A272)&gt;1),"Fall-Nr. doppelt vergeben. ","")&amp;IF(E272="","ex-Mieter fehlt. ","")&amp;IF(M272="","Haftungsdatum fehlt. ","")&amp;IF(F272="","Bewirtschafter fehlt. ","")&amp;IF(AND(AY272&lt;&gt;"",AW272=""),"Abgeschlossen trotz offener Schlussabrechnung. ","")&amp;IF(AND(AY272="",S272="",ISNUMBER(J272),J272&gt;60),"Langläufer über 60 Tage. ","")))</f>
        <v/>
      </c>
      <c r="L272" s="18" t="n"/>
      <c r="M272" s="18" t="n"/>
      <c r="N272" s="19">
        <f>IF(M272="","",M272+1)</f>
        <v/>
      </c>
      <c r="O272" s="17">
        <f>IF(OR(L272="",M272=""),"",M272-L272)</f>
        <v/>
      </c>
      <c r="P272" s="16">
        <f>IF(M272="","",YEAR(M272+1)&amp;"-"&amp;TEXT(MONTH(M272+1),"00"))</f>
        <v/>
      </c>
      <c r="Q272" s="18" t="n"/>
      <c r="R272" s="15" t="n"/>
      <c r="S272" s="18" t="n"/>
      <c r="T272" s="16">
        <f>IF(U272="","",IF(LEFT(U272,1)="6","abgeschlossen",IF(OR(LEFT(U272,1)="1",LEFT(U272,1)="2"),"Kündigung &amp; Abnahme",IF(OR(LEFT(U272,1)="3",LEFT(U272,1)="4"),"Wiedervermietung","Schlussabrechnung"))))</f>
        <v/>
      </c>
      <c r="U272" s="16">
        <f>IF($B272="","",IF(AY272&lt;&gt;"","6 · abgeschlossen",IF(AW272&lt;&gt;"","5 · bereit zum Abschluss",IF(AT272&lt;&gt;"","5 · Schlussabrechnung",IF(AO272&lt;&gt;"","4 · Übergabe",IF(AM272&lt;&gt;"","3 · Neuvermietung",IF(M272&lt;&gt;"","2 · Abnahme &amp; Vermarktung","1 · Erfassung")))))))</f>
        <v/>
      </c>
      <c r="V272" s="15" t="n"/>
      <c r="W272" s="20" t="n"/>
      <c r="X272" s="15" t="n"/>
      <c r="Y272" s="15" t="n"/>
      <c r="Z272" s="18" t="n"/>
      <c r="AA272" s="19">
        <f>IF(M272="","",M272-30)</f>
        <v/>
      </c>
      <c r="AB272" s="19">
        <f>IF(ISNUMBER(AJ272),AJ272+3,"")</f>
        <v/>
      </c>
      <c r="AC272" s="18" t="n"/>
      <c r="AD272" s="18" t="n"/>
      <c r="AE272" s="18" t="n"/>
      <c r="AF272" s="18" t="n"/>
      <c r="AG272" s="18" t="n"/>
      <c r="AH272" s="18" t="n"/>
      <c r="AI272" s="18" t="n"/>
      <c r="AJ272" s="18" t="n"/>
      <c r="AK272" s="18" t="n"/>
      <c r="AL272" s="18" t="n"/>
      <c r="AM272" s="18" t="n"/>
      <c r="AN272" s="18" t="n"/>
      <c r="AO272" s="18" t="n"/>
      <c r="AP272" s="18" t="n"/>
      <c r="AQ272" s="18" t="n"/>
      <c r="AR272" s="18" t="n"/>
      <c r="AS272" s="18" t="n"/>
      <c r="AT272" s="18" t="n"/>
      <c r="AU272" s="18" t="n"/>
      <c r="AV272" s="18" t="n"/>
      <c r="AW272" s="18" t="n"/>
      <c r="AX272" s="18" t="n"/>
      <c r="AY272" s="18" t="n"/>
      <c r="AZ272" s="15" t="n"/>
    </row>
    <row r="273">
      <c r="A273" s="15" t="n"/>
      <c r="B273" s="15" t="n"/>
      <c r="C273" s="15" t="n"/>
      <c r="D273" s="15" t="n"/>
      <c r="E273" s="15" t="n"/>
      <c r="F273" s="15" t="n"/>
      <c r="G273" s="16">
        <f>IF(F273="","",IFERROR(INDEX(Stammdaten!$B$5:$B$24,MATCH(F273,Stammdaten!$A$5:$A$24,0)),"unbekannt"))</f>
        <v/>
      </c>
      <c r="H273" s="16">
        <f>IF($B273="","",IF(AY273&lt;&gt;"","abgeschlossen",IF(AND(ISNUMBER(AX273),AX273&gt;=TODAY()),"zurückgestellt",IF(OR(AND(ISNUMBER(AA273),AA273&lt;TODAY(),Z273="",AJ273=""),AND(ISNUMBER(Z273),Z273&lt;TODAY(),AJ273=""),AND(ISNUMBER(AB273),AB273&lt;TODAY(),AK273=""),AND(ISNUMBER(AC273),AC273&lt;TODAY(),AO273=""),AND(ISNUMBER(AD273),AD273&lt;TODAY(),AQ273="")),"überfällig","offen"))))</f>
        <v/>
      </c>
      <c r="I273" s="16">
        <f>IF($B273="","",IF(AY273&lt;&gt;"","—",IF(AND(ISNUMBER(AA273),AA273&lt;TODAY(),Z273="",AJ273=""),"Abnahmetermin vereinbaren – Sollfrist verstrichen",IF(AND(ISNUMBER(Z273),Z273&lt;TODAY(),AJ273=""),"Wohnungsabnahme nachtragen – Termin war fällig",IF(AND(ISNUMBER(AB273),AB273&lt;TODAY(),AK273=""),"Handwerker aufbieten – Frist verstrichen",IF(AND(ISNUMBER(AC273),AC273&lt;TODAY(),AO273=""),"Vertrag retour mahnen – Frist verstrichen",IF(AND(ISNUMBER(AD273),AD273&lt;TODAY(),AQ273=""),"Schlüsselübergabe nachtragen – Termin war fällig",IF(M273="","Haftungsdatum erfassen",IF(E273="","ex-Mieter erfassen",IF(AE273="","Kündigung bestätigen / G-Rem",IF(AF273="","Werke / EGT melden",IF(AG273="","Vorbesichtigung (oder n.e.)",IF(AH273="","VMZ aktualisieren",IF(AI273="","Inserat aufschalten",IF(AND(Z273="",AJ273=""),"Abnahmetermin vereinbaren",IF(AJ273="","Wohnungsabnahme durchführen",IF(AK273="","Handwerker aufbieten",IF(AL273="","Zustimmungserklärung einholen",IF(AM273="","Instandstellungen beauftragen",IF(R273="","Nachmieter erfassen",IF(AN273="","Vertrag versenden",IF(AO273="","Vertrag retour erfassen",IF(S273="","Vermietet per erfassen",IF(AP273="","Werke / EGT über Einzug informieren",IF(AND(AD273="",AQ273=""),"Schlüsselübergabe terminieren",IF(AQ273="","Schlüsselübergabe durchführen",IF(AR273="","Reinigung veranlassen",IF(AS273="","Namensschilder bestellen",IF(AT273="","Kaution prüfen / G-Rem mutieren",IF(AU273="","Instandstellungs-Rechnung erfassen",IF(AV273="","Schlussabrechnung erstellen",IF(AW273="","Zahlungseingang kontrollieren","Fall abschliessen"))))))))))))))))))))))))))))))))</f>
        <v/>
      </c>
      <c r="J273" s="17">
        <f>IF(M273="","",IF(S273&lt;&gt;"",MAX(0,S273-M273-1),MAX(0,TODAY()-M273)))</f>
        <v/>
      </c>
      <c r="K273" s="16">
        <f>IF($B273="","",TRIM(IF(AND(L273&lt;&gt;"",M273&lt;&gt;"",M273&lt;L273),"Haftungsdatum vor Kündigung. ","")&amp;IF(AND(S273&lt;&gt;"",M273&lt;&gt;"",S273&lt;M273),"Vermietung vor Leerstandsbeginn. ","")&amp;IF(AND(Z273&lt;&gt;"",L273&lt;&gt;"",Z273&lt;L273),"WA-Termin vor Kündigung. ","")&amp;IF(COUNTIFS($B$5:$B$404,$B273,$AY$5:$AY$404,"")&gt;1,"Zweiter offener Fall zum selben Objekt. ","")&amp;IF(AND($A273&lt;&gt;"",COUNTIFS($A$5:$A$404,$A273)&gt;1),"Fall-Nr. doppelt vergeben. ","")&amp;IF(E273="","ex-Mieter fehlt. ","")&amp;IF(M273="","Haftungsdatum fehlt. ","")&amp;IF(F273="","Bewirtschafter fehlt. ","")&amp;IF(AND(AY273&lt;&gt;"",AW273=""),"Abgeschlossen trotz offener Schlussabrechnung. ","")&amp;IF(AND(AY273="",S273="",ISNUMBER(J273),J273&gt;60),"Langläufer über 60 Tage. ","")))</f>
        <v/>
      </c>
      <c r="L273" s="18" t="n"/>
      <c r="M273" s="18" t="n"/>
      <c r="N273" s="19">
        <f>IF(M273="","",M273+1)</f>
        <v/>
      </c>
      <c r="O273" s="17">
        <f>IF(OR(L273="",M273=""),"",M273-L273)</f>
        <v/>
      </c>
      <c r="P273" s="16">
        <f>IF(M273="","",YEAR(M273+1)&amp;"-"&amp;TEXT(MONTH(M273+1),"00"))</f>
        <v/>
      </c>
      <c r="Q273" s="18" t="n"/>
      <c r="R273" s="15" t="n"/>
      <c r="S273" s="18" t="n"/>
      <c r="T273" s="16">
        <f>IF(U273="","",IF(LEFT(U273,1)="6","abgeschlossen",IF(OR(LEFT(U273,1)="1",LEFT(U273,1)="2"),"Kündigung &amp; Abnahme",IF(OR(LEFT(U273,1)="3",LEFT(U273,1)="4"),"Wiedervermietung","Schlussabrechnung"))))</f>
        <v/>
      </c>
      <c r="U273" s="16">
        <f>IF($B273="","",IF(AY273&lt;&gt;"","6 · abgeschlossen",IF(AW273&lt;&gt;"","5 · bereit zum Abschluss",IF(AT273&lt;&gt;"","5 · Schlussabrechnung",IF(AO273&lt;&gt;"","4 · Übergabe",IF(AM273&lt;&gt;"","3 · Neuvermietung",IF(M273&lt;&gt;"","2 · Abnahme &amp; Vermarktung","1 · Erfassung")))))))</f>
        <v/>
      </c>
      <c r="V273" s="15" t="n"/>
      <c r="W273" s="20" t="n"/>
      <c r="X273" s="15" t="n"/>
      <c r="Y273" s="15" t="n"/>
      <c r="Z273" s="18" t="n"/>
      <c r="AA273" s="19">
        <f>IF(M273="","",M273-30)</f>
        <v/>
      </c>
      <c r="AB273" s="19">
        <f>IF(ISNUMBER(AJ273),AJ273+3,"")</f>
        <v/>
      </c>
      <c r="AC273" s="18" t="n"/>
      <c r="AD273" s="18" t="n"/>
      <c r="AE273" s="18" t="n"/>
      <c r="AF273" s="18" t="n"/>
      <c r="AG273" s="18" t="n"/>
      <c r="AH273" s="18" t="n"/>
      <c r="AI273" s="18" t="n"/>
      <c r="AJ273" s="18" t="n"/>
      <c r="AK273" s="18" t="n"/>
      <c r="AL273" s="18" t="n"/>
      <c r="AM273" s="18" t="n"/>
      <c r="AN273" s="18" t="n"/>
      <c r="AO273" s="18" t="n"/>
      <c r="AP273" s="18" t="n"/>
      <c r="AQ273" s="18" t="n"/>
      <c r="AR273" s="18" t="n"/>
      <c r="AS273" s="18" t="n"/>
      <c r="AT273" s="18" t="n"/>
      <c r="AU273" s="18" t="n"/>
      <c r="AV273" s="18" t="n"/>
      <c r="AW273" s="18" t="n"/>
      <c r="AX273" s="18" t="n"/>
      <c r="AY273" s="18" t="n"/>
      <c r="AZ273" s="15" t="n"/>
    </row>
    <row r="274">
      <c r="A274" s="15" t="n"/>
      <c r="B274" s="15" t="n"/>
      <c r="C274" s="15" t="n"/>
      <c r="D274" s="15" t="n"/>
      <c r="E274" s="15" t="n"/>
      <c r="F274" s="15" t="n"/>
      <c r="G274" s="16">
        <f>IF(F274="","",IFERROR(INDEX(Stammdaten!$B$5:$B$24,MATCH(F274,Stammdaten!$A$5:$A$24,0)),"unbekannt"))</f>
        <v/>
      </c>
      <c r="H274" s="16">
        <f>IF($B274="","",IF(AY274&lt;&gt;"","abgeschlossen",IF(AND(ISNUMBER(AX274),AX274&gt;=TODAY()),"zurückgestellt",IF(OR(AND(ISNUMBER(AA274),AA274&lt;TODAY(),Z274="",AJ274=""),AND(ISNUMBER(Z274),Z274&lt;TODAY(),AJ274=""),AND(ISNUMBER(AB274),AB274&lt;TODAY(),AK274=""),AND(ISNUMBER(AC274),AC274&lt;TODAY(),AO274=""),AND(ISNUMBER(AD274),AD274&lt;TODAY(),AQ274="")),"überfällig","offen"))))</f>
        <v/>
      </c>
      <c r="I274" s="16">
        <f>IF($B274="","",IF(AY274&lt;&gt;"","—",IF(AND(ISNUMBER(AA274),AA274&lt;TODAY(),Z274="",AJ274=""),"Abnahmetermin vereinbaren – Sollfrist verstrichen",IF(AND(ISNUMBER(Z274),Z274&lt;TODAY(),AJ274=""),"Wohnungsabnahme nachtragen – Termin war fällig",IF(AND(ISNUMBER(AB274),AB274&lt;TODAY(),AK274=""),"Handwerker aufbieten – Frist verstrichen",IF(AND(ISNUMBER(AC274),AC274&lt;TODAY(),AO274=""),"Vertrag retour mahnen – Frist verstrichen",IF(AND(ISNUMBER(AD274),AD274&lt;TODAY(),AQ274=""),"Schlüsselübergabe nachtragen – Termin war fällig",IF(M274="","Haftungsdatum erfassen",IF(E274="","ex-Mieter erfassen",IF(AE274="","Kündigung bestätigen / G-Rem",IF(AF274="","Werke / EGT melden",IF(AG274="","Vorbesichtigung (oder n.e.)",IF(AH274="","VMZ aktualisieren",IF(AI274="","Inserat aufschalten",IF(AND(Z274="",AJ274=""),"Abnahmetermin vereinbaren",IF(AJ274="","Wohnungsabnahme durchführen",IF(AK274="","Handwerker aufbieten",IF(AL274="","Zustimmungserklärung einholen",IF(AM274="","Instandstellungen beauftragen",IF(R274="","Nachmieter erfassen",IF(AN274="","Vertrag versenden",IF(AO274="","Vertrag retour erfassen",IF(S274="","Vermietet per erfassen",IF(AP274="","Werke / EGT über Einzug informieren",IF(AND(AD274="",AQ274=""),"Schlüsselübergabe terminieren",IF(AQ274="","Schlüsselübergabe durchführen",IF(AR274="","Reinigung veranlassen",IF(AS274="","Namensschilder bestellen",IF(AT274="","Kaution prüfen / G-Rem mutieren",IF(AU274="","Instandstellungs-Rechnung erfassen",IF(AV274="","Schlussabrechnung erstellen",IF(AW274="","Zahlungseingang kontrollieren","Fall abschliessen"))))))))))))))))))))))))))))))))</f>
        <v/>
      </c>
      <c r="J274" s="17">
        <f>IF(M274="","",IF(S274&lt;&gt;"",MAX(0,S274-M274-1),MAX(0,TODAY()-M274)))</f>
        <v/>
      </c>
      <c r="K274" s="16">
        <f>IF($B274="","",TRIM(IF(AND(L274&lt;&gt;"",M274&lt;&gt;"",M274&lt;L274),"Haftungsdatum vor Kündigung. ","")&amp;IF(AND(S274&lt;&gt;"",M274&lt;&gt;"",S274&lt;M274),"Vermietung vor Leerstandsbeginn. ","")&amp;IF(AND(Z274&lt;&gt;"",L274&lt;&gt;"",Z274&lt;L274),"WA-Termin vor Kündigung. ","")&amp;IF(COUNTIFS($B$5:$B$404,$B274,$AY$5:$AY$404,"")&gt;1,"Zweiter offener Fall zum selben Objekt. ","")&amp;IF(AND($A274&lt;&gt;"",COUNTIFS($A$5:$A$404,$A274)&gt;1),"Fall-Nr. doppelt vergeben. ","")&amp;IF(E274="","ex-Mieter fehlt. ","")&amp;IF(M274="","Haftungsdatum fehlt. ","")&amp;IF(F274="","Bewirtschafter fehlt. ","")&amp;IF(AND(AY274&lt;&gt;"",AW274=""),"Abgeschlossen trotz offener Schlussabrechnung. ","")&amp;IF(AND(AY274="",S274="",ISNUMBER(J274),J274&gt;60),"Langläufer über 60 Tage. ","")))</f>
        <v/>
      </c>
      <c r="L274" s="18" t="n"/>
      <c r="M274" s="18" t="n"/>
      <c r="N274" s="19">
        <f>IF(M274="","",M274+1)</f>
        <v/>
      </c>
      <c r="O274" s="17">
        <f>IF(OR(L274="",M274=""),"",M274-L274)</f>
        <v/>
      </c>
      <c r="P274" s="16">
        <f>IF(M274="","",YEAR(M274+1)&amp;"-"&amp;TEXT(MONTH(M274+1),"00"))</f>
        <v/>
      </c>
      <c r="Q274" s="18" t="n"/>
      <c r="R274" s="15" t="n"/>
      <c r="S274" s="18" t="n"/>
      <c r="T274" s="16">
        <f>IF(U274="","",IF(LEFT(U274,1)="6","abgeschlossen",IF(OR(LEFT(U274,1)="1",LEFT(U274,1)="2"),"Kündigung &amp; Abnahme",IF(OR(LEFT(U274,1)="3",LEFT(U274,1)="4"),"Wiedervermietung","Schlussabrechnung"))))</f>
        <v/>
      </c>
      <c r="U274" s="16">
        <f>IF($B274="","",IF(AY274&lt;&gt;"","6 · abgeschlossen",IF(AW274&lt;&gt;"","5 · bereit zum Abschluss",IF(AT274&lt;&gt;"","5 · Schlussabrechnung",IF(AO274&lt;&gt;"","4 · Übergabe",IF(AM274&lt;&gt;"","3 · Neuvermietung",IF(M274&lt;&gt;"","2 · Abnahme &amp; Vermarktung","1 · Erfassung")))))))</f>
        <v/>
      </c>
      <c r="V274" s="15" t="n"/>
      <c r="W274" s="20" t="n"/>
      <c r="X274" s="15" t="n"/>
      <c r="Y274" s="15" t="n"/>
      <c r="Z274" s="18" t="n"/>
      <c r="AA274" s="19">
        <f>IF(M274="","",M274-30)</f>
        <v/>
      </c>
      <c r="AB274" s="19">
        <f>IF(ISNUMBER(AJ274),AJ274+3,"")</f>
        <v/>
      </c>
      <c r="AC274" s="18" t="n"/>
      <c r="AD274" s="18" t="n"/>
      <c r="AE274" s="18" t="n"/>
      <c r="AF274" s="18" t="n"/>
      <c r="AG274" s="18" t="n"/>
      <c r="AH274" s="18" t="n"/>
      <c r="AI274" s="18" t="n"/>
      <c r="AJ274" s="18" t="n"/>
      <c r="AK274" s="18" t="n"/>
      <c r="AL274" s="18" t="n"/>
      <c r="AM274" s="18" t="n"/>
      <c r="AN274" s="18" t="n"/>
      <c r="AO274" s="18" t="n"/>
      <c r="AP274" s="18" t="n"/>
      <c r="AQ274" s="18" t="n"/>
      <c r="AR274" s="18" t="n"/>
      <c r="AS274" s="18" t="n"/>
      <c r="AT274" s="18" t="n"/>
      <c r="AU274" s="18" t="n"/>
      <c r="AV274" s="18" t="n"/>
      <c r="AW274" s="18" t="n"/>
      <c r="AX274" s="18" t="n"/>
      <c r="AY274" s="18" t="n"/>
      <c r="AZ274" s="15" t="n"/>
    </row>
    <row r="275">
      <c r="A275" s="15" t="n"/>
      <c r="B275" s="15" t="n"/>
      <c r="C275" s="15" t="n"/>
      <c r="D275" s="15" t="n"/>
      <c r="E275" s="15" t="n"/>
      <c r="F275" s="15" t="n"/>
      <c r="G275" s="16">
        <f>IF(F275="","",IFERROR(INDEX(Stammdaten!$B$5:$B$24,MATCH(F275,Stammdaten!$A$5:$A$24,0)),"unbekannt"))</f>
        <v/>
      </c>
      <c r="H275" s="16">
        <f>IF($B275="","",IF(AY275&lt;&gt;"","abgeschlossen",IF(AND(ISNUMBER(AX275),AX275&gt;=TODAY()),"zurückgestellt",IF(OR(AND(ISNUMBER(AA275),AA275&lt;TODAY(),Z275="",AJ275=""),AND(ISNUMBER(Z275),Z275&lt;TODAY(),AJ275=""),AND(ISNUMBER(AB275),AB275&lt;TODAY(),AK275=""),AND(ISNUMBER(AC275),AC275&lt;TODAY(),AO275=""),AND(ISNUMBER(AD275),AD275&lt;TODAY(),AQ275="")),"überfällig","offen"))))</f>
        <v/>
      </c>
      <c r="I275" s="16">
        <f>IF($B275="","",IF(AY275&lt;&gt;"","—",IF(AND(ISNUMBER(AA275),AA275&lt;TODAY(),Z275="",AJ275=""),"Abnahmetermin vereinbaren – Sollfrist verstrichen",IF(AND(ISNUMBER(Z275),Z275&lt;TODAY(),AJ275=""),"Wohnungsabnahme nachtragen – Termin war fällig",IF(AND(ISNUMBER(AB275),AB275&lt;TODAY(),AK275=""),"Handwerker aufbieten – Frist verstrichen",IF(AND(ISNUMBER(AC275),AC275&lt;TODAY(),AO275=""),"Vertrag retour mahnen – Frist verstrichen",IF(AND(ISNUMBER(AD275),AD275&lt;TODAY(),AQ275=""),"Schlüsselübergabe nachtragen – Termin war fällig",IF(M275="","Haftungsdatum erfassen",IF(E275="","ex-Mieter erfassen",IF(AE275="","Kündigung bestätigen / G-Rem",IF(AF275="","Werke / EGT melden",IF(AG275="","Vorbesichtigung (oder n.e.)",IF(AH275="","VMZ aktualisieren",IF(AI275="","Inserat aufschalten",IF(AND(Z275="",AJ275=""),"Abnahmetermin vereinbaren",IF(AJ275="","Wohnungsabnahme durchführen",IF(AK275="","Handwerker aufbieten",IF(AL275="","Zustimmungserklärung einholen",IF(AM275="","Instandstellungen beauftragen",IF(R275="","Nachmieter erfassen",IF(AN275="","Vertrag versenden",IF(AO275="","Vertrag retour erfassen",IF(S275="","Vermietet per erfassen",IF(AP275="","Werke / EGT über Einzug informieren",IF(AND(AD275="",AQ275=""),"Schlüsselübergabe terminieren",IF(AQ275="","Schlüsselübergabe durchführen",IF(AR275="","Reinigung veranlassen",IF(AS275="","Namensschilder bestellen",IF(AT275="","Kaution prüfen / G-Rem mutieren",IF(AU275="","Instandstellungs-Rechnung erfassen",IF(AV275="","Schlussabrechnung erstellen",IF(AW275="","Zahlungseingang kontrollieren","Fall abschliessen"))))))))))))))))))))))))))))))))</f>
        <v/>
      </c>
      <c r="J275" s="17">
        <f>IF(M275="","",IF(S275&lt;&gt;"",MAX(0,S275-M275-1),MAX(0,TODAY()-M275)))</f>
        <v/>
      </c>
      <c r="K275" s="16">
        <f>IF($B275="","",TRIM(IF(AND(L275&lt;&gt;"",M275&lt;&gt;"",M275&lt;L275),"Haftungsdatum vor Kündigung. ","")&amp;IF(AND(S275&lt;&gt;"",M275&lt;&gt;"",S275&lt;M275),"Vermietung vor Leerstandsbeginn. ","")&amp;IF(AND(Z275&lt;&gt;"",L275&lt;&gt;"",Z275&lt;L275),"WA-Termin vor Kündigung. ","")&amp;IF(COUNTIFS($B$5:$B$404,$B275,$AY$5:$AY$404,"")&gt;1,"Zweiter offener Fall zum selben Objekt. ","")&amp;IF(AND($A275&lt;&gt;"",COUNTIFS($A$5:$A$404,$A275)&gt;1),"Fall-Nr. doppelt vergeben. ","")&amp;IF(E275="","ex-Mieter fehlt. ","")&amp;IF(M275="","Haftungsdatum fehlt. ","")&amp;IF(F275="","Bewirtschafter fehlt. ","")&amp;IF(AND(AY275&lt;&gt;"",AW275=""),"Abgeschlossen trotz offener Schlussabrechnung. ","")&amp;IF(AND(AY275="",S275="",ISNUMBER(J275),J275&gt;60),"Langläufer über 60 Tage. ","")))</f>
        <v/>
      </c>
      <c r="L275" s="18" t="n"/>
      <c r="M275" s="18" t="n"/>
      <c r="N275" s="19">
        <f>IF(M275="","",M275+1)</f>
        <v/>
      </c>
      <c r="O275" s="17">
        <f>IF(OR(L275="",M275=""),"",M275-L275)</f>
        <v/>
      </c>
      <c r="P275" s="16">
        <f>IF(M275="","",YEAR(M275+1)&amp;"-"&amp;TEXT(MONTH(M275+1),"00"))</f>
        <v/>
      </c>
      <c r="Q275" s="18" t="n"/>
      <c r="R275" s="15" t="n"/>
      <c r="S275" s="18" t="n"/>
      <c r="T275" s="16">
        <f>IF(U275="","",IF(LEFT(U275,1)="6","abgeschlossen",IF(OR(LEFT(U275,1)="1",LEFT(U275,1)="2"),"Kündigung &amp; Abnahme",IF(OR(LEFT(U275,1)="3",LEFT(U275,1)="4"),"Wiedervermietung","Schlussabrechnung"))))</f>
        <v/>
      </c>
      <c r="U275" s="16">
        <f>IF($B275="","",IF(AY275&lt;&gt;"","6 · abgeschlossen",IF(AW275&lt;&gt;"","5 · bereit zum Abschluss",IF(AT275&lt;&gt;"","5 · Schlussabrechnung",IF(AO275&lt;&gt;"","4 · Übergabe",IF(AM275&lt;&gt;"","3 · Neuvermietung",IF(M275&lt;&gt;"","2 · Abnahme &amp; Vermarktung","1 · Erfassung")))))))</f>
        <v/>
      </c>
      <c r="V275" s="15" t="n"/>
      <c r="W275" s="20" t="n"/>
      <c r="X275" s="15" t="n"/>
      <c r="Y275" s="15" t="n"/>
      <c r="Z275" s="18" t="n"/>
      <c r="AA275" s="19">
        <f>IF(M275="","",M275-30)</f>
        <v/>
      </c>
      <c r="AB275" s="19">
        <f>IF(ISNUMBER(AJ275),AJ275+3,"")</f>
        <v/>
      </c>
      <c r="AC275" s="18" t="n"/>
      <c r="AD275" s="18" t="n"/>
      <c r="AE275" s="18" t="n"/>
      <c r="AF275" s="18" t="n"/>
      <c r="AG275" s="18" t="n"/>
      <c r="AH275" s="18" t="n"/>
      <c r="AI275" s="18" t="n"/>
      <c r="AJ275" s="18" t="n"/>
      <c r="AK275" s="18" t="n"/>
      <c r="AL275" s="18" t="n"/>
      <c r="AM275" s="18" t="n"/>
      <c r="AN275" s="18" t="n"/>
      <c r="AO275" s="18" t="n"/>
      <c r="AP275" s="18" t="n"/>
      <c r="AQ275" s="18" t="n"/>
      <c r="AR275" s="18" t="n"/>
      <c r="AS275" s="18" t="n"/>
      <c r="AT275" s="18" t="n"/>
      <c r="AU275" s="18" t="n"/>
      <c r="AV275" s="18" t="n"/>
      <c r="AW275" s="18" t="n"/>
      <c r="AX275" s="18" t="n"/>
      <c r="AY275" s="18" t="n"/>
      <c r="AZ275" s="15" t="n"/>
    </row>
    <row r="276">
      <c r="A276" s="15" t="n"/>
      <c r="B276" s="15" t="n"/>
      <c r="C276" s="15" t="n"/>
      <c r="D276" s="15" t="n"/>
      <c r="E276" s="15" t="n"/>
      <c r="F276" s="15" t="n"/>
      <c r="G276" s="16">
        <f>IF(F276="","",IFERROR(INDEX(Stammdaten!$B$5:$B$24,MATCH(F276,Stammdaten!$A$5:$A$24,0)),"unbekannt"))</f>
        <v/>
      </c>
      <c r="H276" s="16">
        <f>IF($B276="","",IF(AY276&lt;&gt;"","abgeschlossen",IF(AND(ISNUMBER(AX276),AX276&gt;=TODAY()),"zurückgestellt",IF(OR(AND(ISNUMBER(AA276),AA276&lt;TODAY(),Z276="",AJ276=""),AND(ISNUMBER(Z276),Z276&lt;TODAY(),AJ276=""),AND(ISNUMBER(AB276),AB276&lt;TODAY(),AK276=""),AND(ISNUMBER(AC276),AC276&lt;TODAY(),AO276=""),AND(ISNUMBER(AD276),AD276&lt;TODAY(),AQ276="")),"überfällig","offen"))))</f>
        <v/>
      </c>
      <c r="I276" s="16">
        <f>IF($B276="","",IF(AY276&lt;&gt;"","—",IF(AND(ISNUMBER(AA276),AA276&lt;TODAY(),Z276="",AJ276=""),"Abnahmetermin vereinbaren – Sollfrist verstrichen",IF(AND(ISNUMBER(Z276),Z276&lt;TODAY(),AJ276=""),"Wohnungsabnahme nachtragen – Termin war fällig",IF(AND(ISNUMBER(AB276),AB276&lt;TODAY(),AK276=""),"Handwerker aufbieten – Frist verstrichen",IF(AND(ISNUMBER(AC276),AC276&lt;TODAY(),AO276=""),"Vertrag retour mahnen – Frist verstrichen",IF(AND(ISNUMBER(AD276),AD276&lt;TODAY(),AQ276=""),"Schlüsselübergabe nachtragen – Termin war fällig",IF(M276="","Haftungsdatum erfassen",IF(E276="","ex-Mieter erfassen",IF(AE276="","Kündigung bestätigen / G-Rem",IF(AF276="","Werke / EGT melden",IF(AG276="","Vorbesichtigung (oder n.e.)",IF(AH276="","VMZ aktualisieren",IF(AI276="","Inserat aufschalten",IF(AND(Z276="",AJ276=""),"Abnahmetermin vereinbaren",IF(AJ276="","Wohnungsabnahme durchführen",IF(AK276="","Handwerker aufbieten",IF(AL276="","Zustimmungserklärung einholen",IF(AM276="","Instandstellungen beauftragen",IF(R276="","Nachmieter erfassen",IF(AN276="","Vertrag versenden",IF(AO276="","Vertrag retour erfassen",IF(S276="","Vermietet per erfassen",IF(AP276="","Werke / EGT über Einzug informieren",IF(AND(AD276="",AQ276=""),"Schlüsselübergabe terminieren",IF(AQ276="","Schlüsselübergabe durchführen",IF(AR276="","Reinigung veranlassen",IF(AS276="","Namensschilder bestellen",IF(AT276="","Kaution prüfen / G-Rem mutieren",IF(AU276="","Instandstellungs-Rechnung erfassen",IF(AV276="","Schlussabrechnung erstellen",IF(AW276="","Zahlungseingang kontrollieren","Fall abschliessen"))))))))))))))))))))))))))))))))</f>
        <v/>
      </c>
      <c r="J276" s="17">
        <f>IF(M276="","",IF(S276&lt;&gt;"",MAX(0,S276-M276-1),MAX(0,TODAY()-M276)))</f>
        <v/>
      </c>
      <c r="K276" s="16">
        <f>IF($B276="","",TRIM(IF(AND(L276&lt;&gt;"",M276&lt;&gt;"",M276&lt;L276),"Haftungsdatum vor Kündigung. ","")&amp;IF(AND(S276&lt;&gt;"",M276&lt;&gt;"",S276&lt;M276),"Vermietung vor Leerstandsbeginn. ","")&amp;IF(AND(Z276&lt;&gt;"",L276&lt;&gt;"",Z276&lt;L276),"WA-Termin vor Kündigung. ","")&amp;IF(COUNTIFS($B$5:$B$404,$B276,$AY$5:$AY$404,"")&gt;1,"Zweiter offener Fall zum selben Objekt. ","")&amp;IF(AND($A276&lt;&gt;"",COUNTIFS($A$5:$A$404,$A276)&gt;1),"Fall-Nr. doppelt vergeben. ","")&amp;IF(E276="","ex-Mieter fehlt. ","")&amp;IF(M276="","Haftungsdatum fehlt. ","")&amp;IF(F276="","Bewirtschafter fehlt. ","")&amp;IF(AND(AY276&lt;&gt;"",AW276=""),"Abgeschlossen trotz offener Schlussabrechnung. ","")&amp;IF(AND(AY276="",S276="",ISNUMBER(J276),J276&gt;60),"Langläufer über 60 Tage. ","")))</f>
        <v/>
      </c>
      <c r="L276" s="18" t="n"/>
      <c r="M276" s="18" t="n"/>
      <c r="N276" s="19">
        <f>IF(M276="","",M276+1)</f>
        <v/>
      </c>
      <c r="O276" s="17">
        <f>IF(OR(L276="",M276=""),"",M276-L276)</f>
        <v/>
      </c>
      <c r="P276" s="16">
        <f>IF(M276="","",YEAR(M276+1)&amp;"-"&amp;TEXT(MONTH(M276+1),"00"))</f>
        <v/>
      </c>
      <c r="Q276" s="18" t="n"/>
      <c r="R276" s="15" t="n"/>
      <c r="S276" s="18" t="n"/>
      <c r="T276" s="16">
        <f>IF(U276="","",IF(LEFT(U276,1)="6","abgeschlossen",IF(OR(LEFT(U276,1)="1",LEFT(U276,1)="2"),"Kündigung &amp; Abnahme",IF(OR(LEFT(U276,1)="3",LEFT(U276,1)="4"),"Wiedervermietung","Schlussabrechnung"))))</f>
        <v/>
      </c>
      <c r="U276" s="16">
        <f>IF($B276="","",IF(AY276&lt;&gt;"","6 · abgeschlossen",IF(AW276&lt;&gt;"","5 · bereit zum Abschluss",IF(AT276&lt;&gt;"","5 · Schlussabrechnung",IF(AO276&lt;&gt;"","4 · Übergabe",IF(AM276&lt;&gt;"","3 · Neuvermietung",IF(M276&lt;&gt;"","2 · Abnahme &amp; Vermarktung","1 · Erfassung")))))))</f>
        <v/>
      </c>
      <c r="V276" s="15" t="n"/>
      <c r="W276" s="20" t="n"/>
      <c r="X276" s="15" t="n"/>
      <c r="Y276" s="15" t="n"/>
      <c r="Z276" s="18" t="n"/>
      <c r="AA276" s="19">
        <f>IF(M276="","",M276-30)</f>
        <v/>
      </c>
      <c r="AB276" s="19">
        <f>IF(ISNUMBER(AJ276),AJ276+3,"")</f>
        <v/>
      </c>
      <c r="AC276" s="18" t="n"/>
      <c r="AD276" s="18" t="n"/>
      <c r="AE276" s="18" t="n"/>
      <c r="AF276" s="18" t="n"/>
      <c r="AG276" s="18" t="n"/>
      <c r="AH276" s="18" t="n"/>
      <c r="AI276" s="18" t="n"/>
      <c r="AJ276" s="18" t="n"/>
      <c r="AK276" s="18" t="n"/>
      <c r="AL276" s="18" t="n"/>
      <c r="AM276" s="18" t="n"/>
      <c r="AN276" s="18" t="n"/>
      <c r="AO276" s="18" t="n"/>
      <c r="AP276" s="18" t="n"/>
      <c r="AQ276" s="18" t="n"/>
      <c r="AR276" s="18" t="n"/>
      <c r="AS276" s="18" t="n"/>
      <c r="AT276" s="18" t="n"/>
      <c r="AU276" s="18" t="n"/>
      <c r="AV276" s="18" t="n"/>
      <c r="AW276" s="18" t="n"/>
      <c r="AX276" s="18" t="n"/>
      <c r="AY276" s="18" t="n"/>
      <c r="AZ276" s="15" t="n"/>
    </row>
    <row r="277">
      <c r="A277" s="15" t="n"/>
      <c r="B277" s="15" t="n"/>
      <c r="C277" s="15" t="n"/>
      <c r="D277" s="15" t="n"/>
      <c r="E277" s="15" t="n"/>
      <c r="F277" s="15" t="n"/>
      <c r="G277" s="16">
        <f>IF(F277="","",IFERROR(INDEX(Stammdaten!$B$5:$B$24,MATCH(F277,Stammdaten!$A$5:$A$24,0)),"unbekannt"))</f>
        <v/>
      </c>
      <c r="H277" s="16">
        <f>IF($B277="","",IF(AY277&lt;&gt;"","abgeschlossen",IF(AND(ISNUMBER(AX277),AX277&gt;=TODAY()),"zurückgestellt",IF(OR(AND(ISNUMBER(AA277),AA277&lt;TODAY(),Z277="",AJ277=""),AND(ISNUMBER(Z277),Z277&lt;TODAY(),AJ277=""),AND(ISNUMBER(AB277),AB277&lt;TODAY(),AK277=""),AND(ISNUMBER(AC277),AC277&lt;TODAY(),AO277=""),AND(ISNUMBER(AD277),AD277&lt;TODAY(),AQ277="")),"überfällig","offen"))))</f>
        <v/>
      </c>
      <c r="I277" s="16">
        <f>IF($B277="","",IF(AY277&lt;&gt;"","—",IF(AND(ISNUMBER(AA277),AA277&lt;TODAY(),Z277="",AJ277=""),"Abnahmetermin vereinbaren – Sollfrist verstrichen",IF(AND(ISNUMBER(Z277),Z277&lt;TODAY(),AJ277=""),"Wohnungsabnahme nachtragen – Termin war fällig",IF(AND(ISNUMBER(AB277),AB277&lt;TODAY(),AK277=""),"Handwerker aufbieten – Frist verstrichen",IF(AND(ISNUMBER(AC277),AC277&lt;TODAY(),AO277=""),"Vertrag retour mahnen – Frist verstrichen",IF(AND(ISNUMBER(AD277),AD277&lt;TODAY(),AQ277=""),"Schlüsselübergabe nachtragen – Termin war fällig",IF(M277="","Haftungsdatum erfassen",IF(E277="","ex-Mieter erfassen",IF(AE277="","Kündigung bestätigen / G-Rem",IF(AF277="","Werke / EGT melden",IF(AG277="","Vorbesichtigung (oder n.e.)",IF(AH277="","VMZ aktualisieren",IF(AI277="","Inserat aufschalten",IF(AND(Z277="",AJ277=""),"Abnahmetermin vereinbaren",IF(AJ277="","Wohnungsabnahme durchführen",IF(AK277="","Handwerker aufbieten",IF(AL277="","Zustimmungserklärung einholen",IF(AM277="","Instandstellungen beauftragen",IF(R277="","Nachmieter erfassen",IF(AN277="","Vertrag versenden",IF(AO277="","Vertrag retour erfassen",IF(S277="","Vermietet per erfassen",IF(AP277="","Werke / EGT über Einzug informieren",IF(AND(AD277="",AQ277=""),"Schlüsselübergabe terminieren",IF(AQ277="","Schlüsselübergabe durchführen",IF(AR277="","Reinigung veranlassen",IF(AS277="","Namensschilder bestellen",IF(AT277="","Kaution prüfen / G-Rem mutieren",IF(AU277="","Instandstellungs-Rechnung erfassen",IF(AV277="","Schlussabrechnung erstellen",IF(AW277="","Zahlungseingang kontrollieren","Fall abschliessen"))))))))))))))))))))))))))))))))</f>
        <v/>
      </c>
      <c r="J277" s="17">
        <f>IF(M277="","",IF(S277&lt;&gt;"",MAX(0,S277-M277-1),MAX(0,TODAY()-M277)))</f>
        <v/>
      </c>
      <c r="K277" s="16">
        <f>IF($B277="","",TRIM(IF(AND(L277&lt;&gt;"",M277&lt;&gt;"",M277&lt;L277),"Haftungsdatum vor Kündigung. ","")&amp;IF(AND(S277&lt;&gt;"",M277&lt;&gt;"",S277&lt;M277),"Vermietung vor Leerstandsbeginn. ","")&amp;IF(AND(Z277&lt;&gt;"",L277&lt;&gt;"",Z277&lt;L277),"WA-Termin vor Kündigung. ","")&amp;IF(COUNTIFS($B$5:$B$404,$B277,$AY$5:$AY$404,"")&gt;1,"Zweiter offener Fall zum selben Objekt. ","")&amp;IF(AND($A277&lt;&gt;"",COUNTIFS($A$5:$A$404,$A277)&gt;1),"Fall-Nr. doppelt vergeben. ","")&amp;IF(E277="","ex-Mieter fehlt. ","")&amp;IF(M277="","Haftungsdatum fehlt. ","")&amp;IF(F277="","Bewirtschafter fehlt. ","")&amp;IF(AND(AY277&lt;&gt;"",AW277=""),"Abgeschlossen trotz offener Schlussabrechnung. ","")&amp;IF(AND(AY277="",S277="",ISNUMBER(J277),J277&gt;60),"Langläufer über 60 Tage. ","")))</f>
        <v/>
      </c>
      <c r="L277" s="18" t="n"/>
      <c r="M277" s="18" t="n"/>
      <c r="N277" s="19">
        <f>IF(M277="","",M277+1)</f>
        <v/>
      </c>
      <c r="O277" s="17">
        <f>IF(OR(L277="",M277=""),"",M277-L277)</f>
        <v/>
      </c>
      <c r="P277" s="16">
        <f>IF(M277="","",YEAR(M277+1)&amp;"-"&amp;TEXT(MONTH(M277+1),"00"))</f>
        <v/>
      </c>
      <c r="Q277" s="18" t="n"/>
      <c r="R277" s="15" t="n"/>
      <c r="S277" s="18" t="n"/>
      <c r="T277" s="16">
        <f>IF(U277="","",IF(LEFT(U277,1)="6","abgeschlossen",IF(OR(LEFT(U277,1)="1",LEFT(U277,1)="2"),"Kündigung &amp; Abnahme",IF(OR(LEFT(U277,1)="3",LEFT(U277,1)="4"),"Wiedervermietung","Schlussabrechnung"))))</f>
        <v/>
      </c>
      <c r="U277" s="16">
        <f>IF($B277="","",IF(AY277&lt;&gt;"","6 · abgeschlossen",IF(AW277&lt;&gt;"","5 · bereit zum Abschluss",IF(AT277&lt;&gt;"","5 · Schlussabrechnung",IF(AO277&lt;&gt;"","4 · Übergabe",IF(AM277&lt;&gt;"","3 · Neuvermietung",IF(M277&lt;&gt;"","2 · Abnahme &amp; Vermarktung","1 · Erfassung")))))))</f>
        <v/>
      </c>
      <c r="V277" s="15" t="n"/>
      <c r="W277" s="20" t="n"/>
      <c r="X277" s="15" t="n"/>
      <c r="Y277" s="15" t="n"/>
      <c r="Z277" s="18" t="n"/>
      <c r="AA277" s="19">
        <f>IF(M277="","",M277-30)</f>
        <v/>
      </c>
      <c r="AB277" s="19">
        <f>IF(ISNUMBER(AJ277),AJ277+3,"")</f>
        <v/>
      </c>
      <c r="AC277" s="18" t="n"/>
      <c r="AD277" s="18" t="n"/>
      <c r="AE277" s="18" t="n"/>
      <c r="AF277" s="18" t="n"/>
      <c r="AG277" s="18" t="n"/>
      <c r="AH277" s="18" t="n"/>
      <c r="AI277" s="18" t="n"/>
      <c r="AJ277" s="18" t="n"/>
      <c r="AK277" s="18" t="n"/>
      <c r="AL277" s="18" t="n"/>
      <c r="AM277" s="18" t="n"/>
      <c r="AN277" s="18" t="n"/>
      <c r="AO277" s="18" t="n"/>
      <c r="AP277" s="18" t="n"/>
      <c r="AQ277" s="18" t="n"/>
      <c r="AR277" s="18" t="n"/>
      <c r="AS277" s="18" t="n"/>
      <c r="AT277" s="18" t="n"/>
      <c r="AU277" s="18" t="n"/>
      <c r="AV277" s="18" t="n"/>
      <c r="AW277" s="18" t="n"/>
      <c r="AX277" s="18" t="n"/>
      <c r="AY277" s="18" t="n"/>
      <c r="AZ277" s="15" t="n"/>
    </row>
    <row r="278">
      <c r="A278" s="15" t="n"/>
      <c r="B278" s="15" t="n"/>
      <c r="C278" s="15" t="n"/>
      <c r="D278" s="15" t="n"/>
      <c r="E278" s="15" t="n"/>
      <c r="F278" s="15" t="n"/>
      <c r="G278" s="16">
        <f>IF(F278="","",IFERROR(INDEX(Stammdaten!$B$5:$B$24,MATCH(F278,Stammdaten!$A$5:$A$24,0)),"unbekannt"))</f>
        <v/>
      </c>
      <c r="H278" s="16">
        <f>IF($B278="","",IF(AY278&lt;&gt;"","abgeschlossen",IF(AND(ISNUMBER(AX278),AX278&gt;=TODAY()),"zurückgestellt",IF(OR(AND(ISNUMBER(AA278),AA278&lt;TODAY(),Z278="",AJ278=""),AND(ISNUMBER(Z278),Z278&lt;TODAY(),AJ278=""),AND(ISNUMBER(AB278),AB278&lt;TODAY(),AK278=""),AND(ISNUMBER(AC278),AC278&lt;TODAY(),AO278=""),AND(ISNUMBER(AD278),AD278&lt;TODAY(),AQ278="")),"überfällig","offen"))))</f>
        <v/>
      </c>
      <c r="I278" s="16">
        <f>IF($B278="","",IF(AY278&lt;&gt;"","—",IF(AND(ISNUMBER(AA278),AA278&lt;TODAY(),Z278="",AJ278=""),"Abnahmetermin vereinbaren – Sollfrist verstrichen",IF(AND(ISNUMBER(Z278),Z278&lt;TODAY(),AJ278=""),"Wohnungsabnahme nachtragen – Termin war fällig",IF(AND(ISNUMBER(AB278),AB278&lt;TODAY(),AK278=""),"Handwerker aufbieten – Frist verstrichen",IF(AND(ISNUMBER(AC278),AC278&lt;TODAY(),AO278=""),"Vertrag retour mahnen – Frist verstrichen",IF(AND(ISNUMBER(AD278),AD278&lt;TODAY(),AQ278=""),"Schlüsselübergabe nachtragen – Termin war fällig",IF(M278="","Haftungsdatum erfassen",IF(E278="","ex-Mieter erfassen",IF(AE278="","Kündigung bestätigen / G-Rem",IF(AF278="","Werke / EGT melden",IF(AG278="","Vorbesichtigung (oder n.e.)",IF(AH278="","VMZ aktualisieren",IF(AI278="","Inserat aufschalten",IF(AND(Z278="",AJ278=""),"Abnahmetermin vereinbaren",IF(AJ278="","Wohnungsabnahme durchführen",IF(AK278="","Handwerker aufbieten",IF(AL278="","Zustimmungserklärung einholen",IF(AM278="","Instandstellungen beauftragen",IF(R278="","Nachmieter erfassen",IF(AN278="","Vertrag versenden",IF(AO278="","Vertrag retour erfassen",IF(S278="","Vermietet per erfassen",IF(AP278="","Werke / EGT über Einzug informieren",IF(AND(AD278="",AQ278=""),"Schlüsselübergabe terminieren",IF(AQ278="","Schlüsselübergabe durchführen",IF(AR278="","Reinigung veranlassen",IF(AS278="","Namensschilder bestellen",IF(AT278="","Kaution prüfen / G-Rem mutieren",IF(AU278="","Instandstellungs-Rechnung erfassen",IF(AV278="","Schlussabrechnung erstellen",IF(AW278="","Zahlungseingang kontrollieren","Fall abschliessen"))))))))))))))))))))))))))))))))</f>
        <v/>
      </c>
      <c r="J278" s="17">
        <f>IF(M278="","",IF(S278&lt;&gt;"",MAX(0,S278-M278-1),MAX(0,TODAY()-M278)))</f>
        <v/>
      </c>
      <c r="K278" s="16">
        <f>IF($B278="","",TRIM(IF(AND(L278&lt;&gt;"",M278&lt;&gt;"",M278&lt;L278),"Haftungsdatum vor Kündigung. ","")&amp;IF(AND(S278&lt;&gt;"",M278&lt;&gt;"",S278&lt;M278),"Vermietung vor Leerstandsbeginn. ","")&amp;IF(AND(Z278&lt;&gt;"",L278&lt;&gt;"",Z278&lt;L278),"WA-Termin vor Kündigung. ","")&amp;IF(COUNTIFS($B$5:$B$404,$B278,$AY$5:$AY$404,"")&gt;1,"Zweiter offener Fall zum selben Objekt. ","")&amp;IF(AND($A278&lt;&gt;"",COUNTIFS($A$5:$A$404,$A278)&gt;1),"Fall-Nr. doppelt vergeben. ","")&amp;IF(E278="","ex-Mieter fehlt. ","")&amp;IF(M278="","Haftungsdatum fehlt. ","")&amp;IF(F278="","Bewirtschafter fehlt. ","")&amp;IF(AND(AY278&lt;&gt;"",AW278=""),"Abgeschlossen trotz offener Schlussabrechnung. ","")&amp;IF(AND(AY278="",S278="",ISNUMBER(J278),J278&gt;60),"Langläufer über 60 Tage. ","")))</f>
        <v/>
      </c>
      <c r="L278" s="18" t="n"/>
      <c r="M278" s="18" t="n"/>
      <c r="N278" s="19">
        <f>IF(M278="","",M278+1)</f>
        <v/>
      </c>
      <c r="O278" s="17">
        <f>IF(OR(L278="",M278=""),"",M278-L278)</f>
        <v/>
      </c>
      <c r="P278" s="16">
        <f>IF(M278="","",YEAR(M278+1)&amp;"-"&amp;TEXT(MONTH(M278+1),"00"))</f>
        <v/>
      </c>
      <c r="Q278" s="18" t="n"/>
      <c r="R278" s="15" t="n"/>
      <c r="S278" s="18" t="n"/>
      <c r="T278" s="16">
        <f>IF(U278="","",IF(LEFT(U278,1)="6","abgeschlossen",IF(OR(LEFT(U278,1)="1",LEFT(U278,1)="2"),"Kündigung &amp; Abnahme",IF(OR(LEFT(U278,1)="3",LEFT(U278,1)="4"),"Wiedervermietung","Schlussabrechnung"))))</f>
        <v/>
      </c>
      <c r="U278" s="16">
        <f>IF($B278="","",IF(AY278&lt;&gt;"","6 · abgeschlossen",IF(AW278&lt;&gt;"","5 · bereit zum Abschluss",IF(AT278&lt;&gt;"","5 · Schlussabrechnung",IF(AO278&lt;&gt;"","4 · Übergabe",IF(AM278&lt;&gt;"","3 · Neuvermietung",IF(M278&lt;&gt;"","2 · Abnahme &amp; Vermarktung","1 · Erfassung")))))))</f>
        <v/>
      </c>
      <c r="V278" s="15" t="n"/>
      <c r="W278" s="20" t="n"/>
      <c r="X278" s="15" t="n"/>
      <c r="Y278" s="15" t="n"/>
      <c r="Z278" s="18" t="n"/>
      <c r="AA278" s="19">
        <f>IF(M278="","",M278-30)</f>
        <v/>
      </c>
      <c r="AB278" s="19">
        <f>IF(ISNUMBER(AJ278),AJ278+3,"")</f>
        <v/>
      </c>
      <c r="AC278" s="18" t="n"/>
      <c r="AD278" s="18" t="n"/>
      <c r="AE278" s="18" t="n"/>
      <c r="AF278" s="18" t="n"/>
      <c r="AG278" s="18" t="n"/>
      <c r="AH278" s="18" t="n"/>
      <c r="AI278" s="18" t="n"/>
      <c r="AJ278" s="18" t="n"/>
      <c r="AK278" s="18" t="n"/>
      <c r="AL278" s="18" t="n"/>
      <c r="AM278" s="18" t="n"/>
      <c r="AN278" s="18" t="n"/>
      <c r="AO278" s="18" t="n"/>
      <c r="AP278" s="18" t="n"/>
      <c r="AQ278" s="18" t="n"/>
      <c r="AR278" s="18" t="n"/>
      <c r="AS278" s="18" t="n"/>
      <c r="AT278" s="18" t="n"/>
      <c r="AU278" s="18" t="n"/>
      <c r="AV278" s="18" t="n"/>
      <c r="AW278" s="18" t="n"/>
      <c r="AX278" s="18" t="n"/>
      <c r="AY278" s="18" t="n"/>
      <c r="AZ278" s="15" t="n"/>
    </row>
    <row r="279">
      <c r="A279" s="15" t="n"/>
      <c r="B279" s="15" t="n"/>
      <c r="C279" s="15" t="n"/>
      <c r="D279" s="15" t="n"/>
      <c r="E279" s="15" t="n"/>
      <c r="F279" s="15" t="n"/>
      <c r="G279" s="16">
        <f>IF(F279="","",IFERROR(INDEX(Stammdaten!$B$5:$B$24,MATCH(F279,Stammdaten!$A$5:$A$24,0)),"unbekannt"))</f>
        <v/>
      </c>
      <c r="H279" s="16">
        <f>IF($B279="","",IF(AY279&lt;&gt;"","abgeschlossen",IF(AND(ISNUMBER(AX279),AX279&gt;=TODAY()),"zurückgestellt",IF(OR(AND(ISNUMBER(AA279),AA279&lt;TODAY(),Z279="",AJ279=""),AND(ISNUMBER(Z279),Z279&lt;TODAY(),AJ279=""),AND(ISNUMBER(AB279),AB279&lt;TODAY(),AK279=""),AND(ISNUMBER(AC279),AC279&lt;TODAY(),AO279=""),AND(ISNUMBER(AD279),AD279&lt;TODAY(),AQ279="")),"überfällig","offen"))))</f>
        <v/>
      </c>
      <c r="I279" s="16">
        <f>IF($B279="","",IF(AY279&lt;&gt;"","—",IF(AND(ISNUMBER(AA279),AA279&lt;TODAY(),Z279="",AJ279=""),"Abnahmetermin vereinbaren – Sollfrist verstrichen",IF(AND(ISNUMBER(Z279),Z279&lt;TODAY(),AJ279=""),"Wohnungsabnahme nachtragen – Termin war fällig",IF(AND(ISNUMBER(AB279),AB279&lt;TODAY(),AK279=""),"Handwerker aufbieten – Frist verstrichen",IF(AND(ISNUMBER(AC279),AC279&lt;TODAY(),AO279=""),"Vertrag retour mahnen – Frist verstrichen",IF(AND(ISNUMBER(AD279),AD279&lt;TODAY(),AQ279=""),"Schlüsselübergabe nachtragen – Termin war fällig",IF(M279="","Haftungsdatum erfassen",IF(E279="","ex-Mieter erfassen",IF(AE279="","Kündigung bestätigen / G-Rem",IF(AF279="","Werke / EGT melden",IF(AG279="","Vorbesichtigung (oder n.e.)",IF(AH279="","VMZ aktualisieren",IF(AI279="","Inserat aufschalten",IF(AND(Z279="",AJ279=""),"Abnahmetermin vereinbaren",IF(AJ279="","Wohnungsabnahme durchführen",IF(AK279="","Handwerker aufbieten",IF(AL279="","Zustimmungserklärung einholen",IF(AM279="","Instandstellungen beauftragen",IF(R279="","Nachmieter erfassen",IF(AN279="","Vertrag versenden",IF(AO279="","Vertrag retour erfassen",IF(S279="","Vermietet per erfassen",IF(AP279="","Werke / EGT über Einzug informieren",IF(AND(AD279="",AQ279=""),"Schlüsselübergabe terminieren",IF(AQ279="","Schlüsselübergabe durchführen",IF(AR279="","Reinigung veranlassen",IF(AS279="","Namensschilder bestellen",IF(AT279="","Kaution prüfen / G-Rem mutieren",IF(AU279="","Instandstellungs-Rechnung erfassen",IF(AV279="","Schlussabrechnung erstellen",IF(AW279="","Zahlungseingang kontrollieren","Fall abschliessen"))))))))))))))))))))))))))))))))</f>
        <v/>
      </c>
      <c r="J279" s="17">
        <f>IF(M279="","",IF(S279&lt;&gt;"",MAX(0,S279-M279-1),MAX(0,TODAY()-M279)))</f>
        <v/>
      </c>
      <c r="K279" s="16">
        <f>IF($B279="","",TRIM(IF(AND(L279&lt;&gt;"",M279&lt;&gt;"",M279&lt;L279),"Haftungsdatum vor Kündigung. ","")&amp;IF(AND(S279&lt;&gt;"",M279&lt;&gt;"",S279&lt;M279),"Vermietung vor Leerstandsbeginn. ","")&amp;IF(AND(Z279&lt;&gt;"",L279&lt;&gt;"",Z279&lt;L279),"WA-Termin vor Kündigung. ","")&amp;IF(COUNTIFS($B$5:$B$404,$B279,$AY$5:$AY$404,"")&gt;1,"Zweiter offener Fall zum selben Objekt. ","")&amp;IF(AND($A279&lt;&gt;"",COUNTIFS($A$5:$A$404,$A279)&gt;1),"Fall-Nr. doppelt vergeben. ","")&amp;IF(E279="","ex-Mieter fehlt. ","")&amp;IF(M279="","Haftungsdatum fehlt. ","")&amp;IF(F279="","Bewirtschafter fehlt. ","")&amp;IF(AND(AY279&lt;&gt;"",AW279=""),"Abgeschlossen trotz offener Schlussabrechnung. ","")&amp;IF(AND(AY279="",S279="",ISNUMBER(J279),J279&gt;60),"Langläufer über 60 Tage. ","")))</f>
        <v/>
      </c>
      <c r="L279" s="18" t="n"/>
      <c r="M279" s="18" t="n"/>
      <c r="N279" s="19">
        <f>IF(M279="","",M279+1)</f>
        <v/>
      </c>
      <c r="O279" s="17">
        <f>IF(OR(L279="",M279=""),"",M279-L279)</f>
        <v/>
      </c>
      <c r="P279" s="16">
        <f>IF(M279="","",YEAR(M279+1)&amp;"-"&amp;TEXT(MONTH(M279+1),"00"))</f>
        <v/>
      </c>
      <c r="Q279" s="18" t="n"/>
      <c r="R279" s="15" t="n"/>
      <c r="S279" s="18" t="n"/>
      <c r="T279" s="16">
        <f>IF(U279="","",IF(LEFT(U279,1)="6","abgeschlossen",IF(OR(LEFT(U279,1)="1",LEFT(U279,1)="2"),"Kündigung &amp; Abnahme",IF(OR(LEFT(U279,1)="3",LEFT(U279,1)="4"),"Wiedervermietung","Schlussabrechnung"))))</f>
        <v/>
      </c>
      <c r="U279" s="16">
        <f>IF($B279="","",IF(AY279&lt;&gt;"","6 · abgeschlossen",IF(AW279&lt;&gt;"","5 · bereit zum Abschluss",IF(AT279&lt;&gt;"","5 · Schlussabrechnung",IF(AO279&lt;&gt;"","4 · Übergabe",IF(AM279&lt;&gt;"","3 · Neuvermietung",IF(M279&lt;&gt;"","2 · Abnahme &amp; Vermarktung","1 · Erfassung")))))))</f>
        <v/>
      </c>
      <c r="V279" s="15" t="n"/>
      <c r="W279" s="20" t="n"/>
      <c r="X279" s="15" t="n"/>
      <c r="Y279" s="15" t="n"/>
      <c r="Z279" s="18" t="n"/>
      <c r="AA279" s="19">
        <f>IF(M279="","",M279-30)</f>
        <v/>
      </c>
      <c r="AB279" s="19">
        <f>IF(ISNUMBER(AJ279),AJ279+3,"")</f>
        <v/>
      </c>
      <c r="AC279" s="18" t="n"/>
      <c r="AD279" s="18" t="n"/>
      <c r="AE279" s="18" t="n"/>
      <c r="AF279" s="18" t="n"/>
      <c r="AG279" s="18" t="n"/>
      <c r="AH279" s="18" t="n"/>
      <c r="AI279" s="18" t="n"/>
      <c r="AJ279" s="18" t="n"/>
      <c r="AK279" s="18" t="n"/>
      <c r="AL279" s="18" t="n"/>
      <c r="AM279" s="18" t="n"/>
      <c r="AN279" s="18" t="n"/>
      <c r="AO279" s="18" t="n"/>
      <c r="AP279" s="18" t="n"/>
      <c r="AQ279" s="18" t="n"/>
      <c r="AR279" s="18" t="n"/>
      <c r="AS279" s="18" t="n"/>
      <c r="AT279" s="18" t="n"/>
      <c r="AU279" s="18" t="n"/>
      <c r="AV279" s="18" t="n"/>
      <c r="AW279" s="18" t="n"/>
      <c r="AX279" s="18" t="n"/>
      <c r="AY279" s="18" t="n"/>
      <c r="AZ279" s="15" t="n"/>
    </row>
    <row r="280">
      <c r="A280" s="15" t="n"/>
      <c r="B280" s="15" t="n"/>
      <c r="C280" s="15" t="n"/>
      <c r="D280" s="15" t="n"/>
      <c r="E280" s="15" t="n"/>
      <c r="F280" s="15" t="n"/>
      <c r="G280" s="16">
        <f>IF(F280="","",IFERROR(INDEX(Stammdaten!$B$5:$B$24,MATCH(F280,Stammdaten!$A$5:$A$24,0)),"unbekannt"))</f>
        <v/>
      </c>
      <c r="H280" s="16">
        <f>IF($B280="","",IF(AY280&lt;&gt;"","abgeschlossen",IF(AND(ISNUMBER(AX280),AX280&gt;=TODAY()),"zurückgestellt",IF(OR(AND(ISNUMBER(AA280),AA280&lt;TODAY(),Z280="",AJ280=""),AND(ISNUMBER(Z280),Z280&lt;TODAY(),AJ280=""),AND(ISNUMBER(AB280),AB280&lt;TODAY(),AK280=""),AND(ISNUMBER(AC280),AC280&lt;TODAY(),AO280=""),AND(ISNUMBER(AD280),AD280&lt;TODAY(),AQ280="")),"überfällig","offen"))))</f>
        <v/>
      </c>
      <c r="I280" s="16">
        <f>IF($B280="","",IF(AY280&lt;&gt;"","—",IF(AND(ISNUMBER(AA280),AA280&lt;TODAY(),Z280="",AJ280=""),"Abnahmetermin vereinbaren – Sollfrist verstrichen",IF(AND(ISNUMBER(Z280),Z280&lt;TODAY(),AJ280=""),"Wohnungsabnahme nachtragen – Termin war fällig",IF(AND(ISNUMBER(AB280),AB280&lt;TODAY(),AK280=""),"Handwerker aufbieten – Frist verstrichen",IF(AND(ISNUMBER(AC280),AC280&lt;TODAY(),AO280=""),"Vertrag retour mahnen – Frist verstrichen",IF(AND(ISNUMBER(AD280),AD280&lt;TODAY(),AQ280=""),"Schlüsselübergabe nachtragen – Termin war fällig",IF(M280="","Haftungsdatum erfassen",IF(E280="","ex-Mieter erfassen",IF(AE280="","Kündigung bestätigen / G-Rem",IF(AF280="","Werke / EGT melden",IF(AG280="","Vorbesichtigung (oder n.e.)",IF(AH280="","VMZ aktualisieren",IF(AI280="","Inserat aufschalten",IF(AND(Z280="",AJ280=""),"Abnahmetermin vereinbaren",IF(AJ280="","Wohnungsabnahme durchführen",IF(AK280="","Handwerker aufbieten",IF(AL280="","Zustimmungserklärung einholen",IF(AM280="","Instandstellungen beauftragen",IF(R280="","Nachmieter erfassen",IF(AN280="","Vertrag versenden",IF(AO280="","Vertrag retour erfassen",IF(S280="","Vermietet per erfassen",IF(AP280="","Werke / EGT über Einzug informieren",IF(AND(AD280="",AQ280=""),"Schlüsselübergabe terminieren",IF(AQ280="","Schlüsselübergabe durchführen",IF(AR280="","Reinigung veranlassen",IF(AS280="","Namensschilder bestellen",IF(AT280="","Kaution prüfen / G-Rem mutieren",IF(AU280="","Instandstellungs-Rechnung erfassen",IF(AV280="","Schlussabrechnung erstellen",IF(AW280="","Zahlungseingang kontrollieren","Fall abschliessen"))))))))))))))))))))))))))))))))</f>
        <v/>
      </c>
      <c r="J280" s="17">
        <f>IF(M280="","",IF(S280&lt;&gt;"",MAX(0,S280-M280-1),MAX(0,TODAY()-M280)))</f>
        <v/>
      </c>
      <c r="K280" s="16">
        <f>IF($B280="","",TRIM(IF(AND(L280&lt;&gt;"",M280&lt;&gt;"",M280&lt;L280),"Haftungsdatum vor Kündigung. ","")&amp;IF(AND(S280&lt;&gt;"",M280&lt;&gt;"",S280&lt;M280),"Vermietung vor Leerstandsbeginn. ","")&amp;IF(AND(Z280&lt;&gt;"",L280&lt;&gt;"",Z280&lt;L280),"WA-Termin vor Kündigung. ","")&amp;IF(COUNTIFS($B$5:$B$404,$B280,$AY$5:$AY$404,"")&gt;1,"Zweiter offener Fall zum selben Objekt. ","")&amp;IF(AND($A280&lt;&gt;"",COUNTIFS($A$5:$A$404,$A280)&gt;1),"Fall-Nr. doppelt vergeben. ","")&amp;IF(E280="","ex-Mieter fehlt. ","")&amp;IF(M280="","Haftungsdatum fehlt. ","")&amp;IF(F280="","Bewirtschafter fehlt. ","")&amp;IF(AND(AY280&lt;&gt;"",AW280=""),"Abgeschlossen trotz offener Schlussabrechnung. ","")&amp;IF(AND(AY280="",S280="",ISNUMBER(J280),J280&gt;60),"Langläufer über 60 Tage. ","")))</f>
        <v/>
      </c>
      <c r="L280" s="18" t="n"/>
      <c r="M280" s="18" t="n"/>
      <c r="N280" s="19">
        <f>IF(M280="","",M280+1)</f>
        <v/>
      </c>
      <c r="O280" s="17">
        <f>IF(OR(L280="",M280=""),"",M280-L280)</f>
        <v/>
      </c>
      <c r="P280" s="16">
        <f>IF(M280="","",YEAR(M280+1)&amp;"-"&amp;TEXT(MONTH(M280+1),"00"))</f>
        <v/>
      </c>
      <c r="Q280" s="18" t="n"/>
      <c r="R280" s="15" t="n"/>
      <c r="S280" s="18" t="n"/>
      <c r="T280" s="16">
        <f>IF(U280="","",IF(LEFT(U280,1)="6","abgeschlossen",IF(OR(LEFT(U280,1)="1",LEFT(U280,1)="2"),"Kündigung &amp; Abnahme",IF(OR(LEFT(U280,1)="3",LEFT(U280,1)="4"),"Wiedervermietung","Schlussabrechnung"))))</f>
        <v/>
      </c>
      <c r="U280" s="16">
        <f>IF($B280="","",IF(AY280&lt;&gt;"","6 · abgeschlossen",IF(AW280&lt;&gt;"","5 · bereit zum Abschluss",IF(AT280&lt;&gt;"","5 · Schlussabrechnung",IF(AO280&lt;&gt;"","4 · Übergabe",IF(AM280&lt;&gt;"","3 · Neuvermietung",IF(M280&lt;&gt;"","2 · Abnahme &amp; Vermarktung","1 · Erfassung")))))))</f>
        <v/>
      </c>
      <c r="V280" s="15" t="n"/>
      <c r="W280" s="20" t="n"/>
      <c r="X280" s="15" t="n"/>
      <c r="Y280" s="15" t="n"/>
      <c r="Z280" s="18" t="n"/>
      <c r="AA280" s="19">
        <f>IF(M280="","",M280-30)</f>
        <v/>
      </c>
      <c r="AB280" s="19">
        <f>IF(ISNUMBER(AJ280),AJ280+3,"")</f>
        <v/>
      </c>
      <c r="AC280" s="18" t="n"/>
      <c r="AD280" s="18" t="n"/>
      <c r="AE280" s="18" t="n"/>
      <c r="AF280" s="18" t="n"/>
      <c r="AG280" s="18" t="n"/>
      <c r="AH280" s="18" t="n"/>
      <c r="AI280" s="18" t="n"/>
      <c r="AJ280" s="18" t="n"/>
      <c r="AK280" s="18" t="n"/>
      <c r="AL280" s="18" t="n"/>
      <c r="AM280" s="18" t="n"/>
      <c r="AN280" s="18" t="n"/>
      <c r="AO280" s="18" t="n"/>
      <c r="AP280" s="18" t="n"/>
      <c r="AQ280" s="18" t="n"/>
      <c r="AR280" s="18" t="n"/>
      <c r="AS280" s="18" t="n"/>
      <c r="AT280" s="18" t="n"/>
      <c r="AU280" s="18" t="n"/>
      <c r="AV280" s="18" t="n"/>
      <c r="AW280" s="18" t="n"/>
      <c r="AX280" s="18" t="n"/>
      <c r="AY280" s="18" t="n"/>
      <c r="AZ280" s="15" t="n"/>
    </row>
    <row r="281">
      <c r="A281" s="15" t="n"/>
      <c r="B281" s="15" t="n"/>
      <c r="C281" s="15" t="n"/>
      <c r="D281" s="15" t="n"/>
      <c r="E281" s="15" t="n"/>
      <c r="F281" s="15" t="n"/>
      <c r="G281" s="16">
        <f>IF(F281="","",IFERROR(INDEX(Stammdaten!$B$5:$B$24,MATCH(F281,Stammdaten!$A$5:$A$24,0)),"unbekannt"))</f>
        <v/>
      </c>
      <c r="H281" s="16">
        <f>IF($B281="","",IF(AY281&lt;&gt;"","abgeschlossen",IF(AND(ISNUMBER(AX281),AX281&gt;=TODAY()),"zurückgestellt",IF(OR(AND(ISNUMBER(AA281),AA281&lt;TODAY(),Z281="",AJ281=""),AND(ISNUMBER(Z281),Z281&lt;TODAY(),AJ281=""),AND(ISNUMBER(AB281),AB281&lt;TODAY(),AK281=""),AND(ISNUMBER(AC281),AC281&lt;TODAY(),AO281=""),AND(ISNUMBER(AD281),AD281&lt;TODAY(),AQ281="")),"überfällig","offen"))))</f>
        <v/>
      </c>
      <c r="I281" s="16">
        <f>IF($B281="","",IF(AY281&lt;&gt;"","—",IF(AND(ISNUMBER(AA281),AA281&lt;TODAY(),Z281="",AJ281=""),"Abnahmetermin vereinbaren – Sollfrist verstrichen",IF(AND(ISNUMBER(Z281),Z281&lt;TODAY(),AJ281=""),"Wohnungsabnahme nachtragen – Termin war fällig",IF(AND(ISNUMBER(AB281),AB281&lt;TODAY(),AK281=""),"Handwerker aufbieten – Frist verstrichen",IF(AND(ISNUMBER(AC281),AC281&lt;TODAY(),AO281=""),"Vertrag retour mahnen – Frist verstrichen",IF(AND(ISNUMBER(AD281),AD281&lt;TODAY(),AQ281=""),"Schlüsselübergabe nachtragen – Termin war fällig",IF(M281="","Haftungsdatum erfassen",IF(E281="","ex-Mieter erfassen",IF(AE281="","Kündigung bestätigen / G-Rem",IF(AF281="","Werke / EGT melden",IF(AG281="","Vorbesichtigung (oder n.e.)",IF(AH281="","VMZ aktualisieren",IF(AI281="","Inserat aufschalten",IF(AND(Z281="",AJ281=""),"Abnahmetermin vereinbaren",IF(AJ281="","Wohnungsabnahme durchführen",IF(AK281="","Handwerker aufbieten",IF(AL281="","Zustimmungserklärung einholen",IF(AM281="","Instandstellungen beauftragen",IF(R281="","Nachmieter erfassen",IF(AN281="","Vertrag versenden",IF(AO281="","Vertrag retour erfassen",IF(S281="","Vermietet per erfassen",IF(AP281="","Werke / EGT über Einzug informieren",IF(AND(AD281="",AQ281=""),"Schlüsselübergabe terminieren",IF(AQ281="","Schlüsselübergabe durchführen",IF(AR281="","Reinigung veranlassen",IF(AS281="","Namensschilder bestellen",IF(AT281="","Kaution prüfen / G-Rem mutieren",IF(AU281="","Instandstellungs-Rechnung erfassen",IF(AV281="","Schlussabrechnung erstellen",IF(AW281="","Zahlungseingang kontrollieren","Fall abschliessen"))))))))))))))))))))))))))))))))</f>
        <v/>
      </c>
      <c r="J281" s="17">
        <f>IF(M281="","",IF(S281&lt;&gt;"",MAX(0,S281-M281-1),MAX(0,TODAY()-M281)))</f>
        <v/>
      </c>
      <c r="K281" s="16">
        <f>IF($B281="","",TRIM(IF(AND(L281&lt;&gt;"",M281&lt;&gt;"",M281&lt;L281),"Haftungsdatum vor Kündigung. ","")&amp;IF(AND(S281&lt;&gt;"",M281&lt;&gt;"",S281&lt;M281),"Vermietung vor Leerstandsbeginn. ","")&amp;IF(AND(Z281&lt;&gt;"",L281&lt;&gt;"",Z281&lt;L281),"WA-Termin vor Kündigung. ","")&amp;IF(COUNTIFS($B$5:$B$404,$B281,$AY$5:$AY$404,"")&gt;1,"Zweiter offener Fall zum selben Objekt. ","")&amp;IF(AND($A281&lt;&gt;"",COUNTIFS($A$5:$A$404,$A281)&gt;1),"Fall-Nr. doppelt vergeben. ","")&amp;IF(E281="","ex-Mieter fehlt. ","")&amp;IF(M281="","Haftungsdatum fehlt. ","")&amp;IF(F281="","Bewirtschafter fehlt. ","")&amp;IF(AND(AY281&lt;&gt;"",AW281=""),"Abgeschlossen trotz offener Schlussabrechnung. ","")&amp;IF(AND(AY281="",S281="",ISNUMBER(J281),J281&gt;60),"Langläufer über 60 Tage. ","")))</f>
        <v/>
      </c>
      <c r="L281" s="18" t="n"/>
      <c r="M281" s="18" t="n"/>
      <c r="N281" s="19">
        <f>IF(M281="","",M281+1)</f>
        <v/>
      </c>
      <c r="O281" s="17">
        <f>IF(OR(L281="",M281=""),"",M281-L281)</f>
        <v/>
      </c>
      <c r="P281" s="16">
        <f>IF(M281="","",YEAR(M281+1)&amp;"-"&amp;TEXT(MONTH(M281+1),"00"))</f>
        <v/>
      </c>
      <c r="Q281" s="18" t="n"/>
      <c r="R281" s="15" t="n"/>
      <c r="S281" s="18" t="n"/>
      <c r="T281" s="16">
        <f>IF(U281="","",IF(LEFT(U281,1)="6","abgeschlossen",IF(OR(LEFT(U281,1)="1",LEFT(U281,1)="2"),"Kündigung &amp; Abnahme",IF(OR(LEFT(U281,1)="3",LEFT(U281,1)="4"),"Wiedervermietung","Schlussabrechnung"))))</f>
        <v/>
      </c>
      <c r="U281" s="16">
        <f>IF($B281="","",IF(AY281&lt;&gt;"","6 · abgeschlossen",IF(AW281&lt;&gt;"","5 · bereit zum Abschluss",IF(AT281&lt;&gt;"","5 · Schlussabrechnung",IF(AO281&lt;&gt;"","4 · Übergabe",IF(AM281&lt;&gt;"","3 · Neuvermietung",IF(M281&lt;&gt;"","2 · Abnahme &amp; Vermarktung","1 · Erfassung")))))))</f>
        <v/>
      </c>
      <c r="V281" s="15" t="n"/>
      <c r="W281" s="20" t="n"/>
      <c r="X281" s="15" t="n"/>
      <c r="Y281" s="15" t="n"/>
      <c r="Z281" s="18" t="n"/>
      <c r="AA281" s="19">
        <f>IF(M281="","",M281-30)</f>
        <v/>
      </c>
      <c r="AB281" s="19">
        <f>IF(ISNUMBER(AJ281),AJ281+3,"")</f>
        <v/>
      </c>
      <c r="AC281" s="18" t="n"/>
      <c r="AD281" s="18" t="n"/>
      <c r="AE281" s="18" t="n"/>
      <c r="AF281" s="18" t="n"/>
      <c r="AG281" s="18" t="n"/>
      <c r="AH281" s="18" t="n"/>
      <c r="AI281" s="18" t="n"/>
      <c r="AJ281" s="18" t="n"/>
      <c r="AK281" s="18" t="n"/>
      <c r="AL281" s="18" t="n"/>
      <c r="AM281" s="18" t="n"/>
      <c r="AN281" s="18" t="n"/>
      <c r="AO281" s="18" t="n"/>
      <c r="AP281" s="18" t="n"/>
      <c r="AQ281" s="18" t="n"/>
      <c r="AR281" s="18" t="n"/>
      <c r="AS281" s="18" t="n"/>
      <c r="AT281" s="18" t="n"/>
      <c r="AU281" s="18" t="n"/>
      <c r="AV281" s="18" t="n"/>
      <c r="AW281" s="18" t="n"/>
      <c r="AX281" s="18" t="n"/>
      <c r="AY281" s="18" t="n"/>
      <c r="AZ281" s="15" t="n"/>
    </row>
    <row r="282">
      <c r="A282" s="15" t="n"/>
      <c r="B282" s="15" t="n"/>
      <c r="C282" s="15" t="n"/>
      <c r="D282" s="15" t="n"/>
      <c r="E282" s="15" t="n"/>
      <c r="F282" s="15" t="n"/>
      <c r="G282" s="16">
        <f>IF(F282="","",IFERROR(INDEX(Stammdaten!$B$5:$B$24,MATCH(F282,Stammdaten!$A$5:$A$24,0)),"unbekannt"))</f>
        <v/>
      </c>
      <c r="H282" s="16">
        <f>IF($B282="","",IF(AY282&lt;&gt;"","abgeschlossen",IF(AND(ISNUMBER(AX282),AX282&gt;=TODAY()),"zurückgestellt",IF(OR(AND(ISNUMBER(AA282),AA282&lt;TODAY(),Z282="",AJ282=""),AND(ISNUMBER(Z282),Z282&lt;TODAY(),AJ282=""),AND(ISNUMBER(AB282),AB282&lt;TODAY(),AK282=""),AND(ISNUMBER(AC282),AC282&lt;TODAY(),AO282=""),AND(ISNUMBER(AD282),AD282&lt;TODAY(),AQ282="")),"überfällig","offen"))))</f>
        <v/>
      </c>
      <c r="I282" s="16">
        <f>IF($B282="","",IF(AY282&lt;&gt;"","—",IF(AND(ISNUMBER(AA282),AA282&lt;TODAY(),Z282="",AJ282=""),"Abnahmetermin vereinbaren – Sollfrist verstrichen",IF(AND(ISNUMBER(Z282),Z282&lt;TODAY(),AJ282=""),"Wohnungsabnahme nachtragen – Termin war fällig",IF(AND(ISNUMBER(AB282),AB282&lt;TODAY(),AK282=""),"Handwerker aufbieten – Frist verstrichen",IF(AND(ISNUMBER(AC282),AC282&lt;TODAY(),AO282=""),"Vertrag retour mahnen – Frist verstrichen",IF(AND(ISNUMBER(AD282),AD282&lt;TODAY(),AQ282=""),"Schlüsselübergabe nachtragen – Termin war fällig",IF(M282="","Haftungsdatum erfassen",IF(E282="","ex-Mieter erfassen",IF(AE282="","Kündigung bestätigen / G-Rem",IF(AF282="","Werke / EGT melden",IF(AG282="","Vorbesichtigung (oder n.e.)",IF(AH282="","VMZ aktualisieren",IF(AI282="","Inserat aufschalten",IF(AND(Z282="",AJ282=""),"Abnahmetermin vereinbaren",IF(AJ282="","Wohnungsabnahme durchführen",IF(AK282="","Handwerker aufbieten",IF(AL282="","Zustimmungserklärung einholen",IF(AM282="","Instandstellungen beauftragen",IF(R282="","Nachmieter erfassen",IF(AN282="","Vertrag versenden",IF(AO282="","Vertrag retour erfassen",IF(S282="","Vermietet per erfassen",IF(AP282="","Werke / EGT über Einzug informieren",IF(AND(AD282="",AQ282=""),"Schlüsselübergabe terminieren",IF(AQ282="","Schlüsselübergabe durchführen",IF(AR282="","Reinigung veranlassen",IF(AS282="","Namensschilder bestellen",IF(AT282="","Kaution prüfen / G-Rem mutieren",IF(AU282="","Instandstellungs-Rechnung erfassen",IF(AV282="","Schlussabrechnung erstellen",IF(AW282="","Zahlungseingang kontrollieren","Fall abschliessen"))))))))))))))))))))))))))))))))</f>
        <v/>
      </c>
      <c r="J282" s="17">
        <f>IF(M282="","",IF(S282&lt;&gt;"",MAX(0,S282-M282-1),MAX(0,TODAY()-M282)))</f>
        <v/>
      </c>
      <c r="K282" s="16">
        <f>IF($B282="","",TRIM(IF(AND(L282&lt;&gt;"",M282&lt;&gt;"",M282&lt;L282),"Haftungsdatum vor Kündigung. ","")&amp;IF(AND(S282&lt;&gt;"",M282&lt;&gt;"",S282&lt;M282),"Vermietung vor Leerstandsbeginn. ","")&amp;IF(AND(Z282&lt;&gt;"",L282&lt;&gt;"",Z282&lt;L282),"WA-Termin vor Kündigung. ","")&amp;IF(COUNTIFS($B$5:$B$404,$B282,$AY$5:$AY$404,"")&gt;1,"Zweiter offener Fall zum selben Objekt. ","")&amp;IF(AND($A282&lt;&gt;"",COUNTIFS($A$5:$A$404,$A282)&gt;1),"Fall-Nr. doppelt vergeben. ","")&amp;IF(E282="","ex-Mieter fehlt. ","")&amp;IF(M282="","Haftungsdatum fehlt. ","")&amp;IF(F282="","Bewirtschafter fehlt. ","")&amp;IF(AND(AY282&lt;&gt;"",AW282=""),"Abgeschlossen trotz offener Schlussabrechnung. ","")&amp;IF(AND(AY282="",S282="",ISNUMBER(J282),J282&gt;60),"Langläufer über 60 Tage. ","")))</f>
        <v/>
      </c>
      <c r="L282" s="18" t="n"/>
      <c r="M282" s="18" t="n"/>
      <c r="N282" s="19">
        <f>IF(M282="","",M282+1)</f>
        <v/>
      </c>
      <c r="O282" s="17">
        <f>IF(OR(L282="",M282=""),"",M282-L282)</f>
        <v/>
      </c>
      <c r="P282" s="16">
        <f>IF(M282="","",YEAR(M282+1)&amp;"-"&amp;TEXT(MONTH(M282+1),"00"))</f>
        <v/>
      </c>
      <c r="Q282" s="18" t="n"/>
      <c r="R282" s="15" t="n"/>
      <c r="S282" s="18" t="n"/>
      <c r="T282" s="16">
        <f>IF(U282="","",IF(LEFT(U282,1)="6","abgeschlossen",IF(OR(LEFT(U282,1)="1",LEFT(U282,1)="2"),"Kündigung &amp; Abnahme",IF(OR(LEFT(U282,1)="3",LEFT(U282,1)="4"),"Wiedervermietung","Schlussabrechnung"))))</f>
        <v/>
      </c>
      <c r="U282" s="16">
        <f>IF($B282="","",IF(AY282&lt;&gt;"","6 · abgeschlossen",IF(AW282&lt;&gt;"","5 · bereit zum Abschluss",IF(AT282&lt;&gt;"","5 · Schlussabrechnung",IF(AO282&lt;&gt;"","4 · Übergabe",IF(AM282&lt;&gt;"","3 · Neuvermietung",IF(M282&lt;&gt;"","2 · Abnahme &amp; Vermarktung","1 · Erfassung")))))))</f>
        <v/>
      </c>
      <c r="V282" s="15" t="n"/>
      <c r="W282" s="20" t="n"/>
      <c r="X282" s="15" t="n"/>
      <c r="Y282" s="15" t="n"/>
      <c r="Z282" s="18" t="n"/>
      <c r="AA282" s="19">
        <f>IF(M282="","",M282-30)</f>
        <v/>
      </c>
      <c r="AB282" s="19">
        <f>IF(ISNUMBER(AJ282),AJ282+3,"")</f>
        <v/>
      </c>
      <c r="AC282" s="18" t="n"/>
      <c r="AD282" s="18" t="n"/>
      <c r="AE282" s="18" t="n"/>
      <c r="AF282" s="18" t="n"/>
      <c r="AG282" s="18" t="n"/>
      <c r="AH282" s="18" t="n"/>
      <c r="AI282" s="18" t="n"/>
      <c r="AJ282" s="18" t="n"/>
      <c r="AK282" s="18" t="n"/>
      <c r="AL282" s="18" t="n"/>
      <c r="AM282" s="18" t="n"/>
      <c r="AN282" s="18" t="n"/>
      <c r="AO282" s="18" t="n"/>
      <c r="AP282" s="18" t="n"/>
      <c r="AQ282" s="18" t="n"/>
      <c r="AR282" s="18" t="n"/>
      <c r="AS282" s="18" t="n"/>
      <c r="AT282" s="18" t="n"/>
      <c r="AU282" s="18" t="n"/>
      <c r="AV282" s="18" t="n"/>
      <c r="AW282" s="18" t="n"/>
      <c r="AX282" s="18" t="n"/>
      <c r="AY282" s="18" t="n"/>
      <c r="AZ282" s="15" t="n"/>
    </row>
    <row r="283">
      <c r="A283" s="15" t="n"/>
      <c r="B283" s="15" t="n"/>
      <c r="C283" s="15" t="n"/>
      <c r="D283" s="15" t="n"/>
      <c r="E283" s="15" t="n"/>
      <c r="F283" s="15" t="n"/>
      <c r="G283" s="16">
        <f>IF(F283="","",IFERROR(INDEX(Stammdaten!$B$5:$B$24,MATCH(F283,Stammdaten!$A$5:$A$24,0)),"unbekannt"))</f>
        <v/>
      </c>
      <c r="H283" s="16">
        <f>IF($B283="","",IF(AY283&lt;&gt;"","abgeschlossen",IF(AND(ISNUMBER(AX283),AX283&gt;=TODAY()),"zurückgestellt",IF(OR(AND(ISNUMBER(AA283),AA283&lt;TODAY(),Z283="",AJ283=""),AND(ISNUMBER(Z283),Z283&lt;TODAY(),AJ283=""),AND(ISNUMBER(AB283),AB283&lt;TODAY(),AK283=""),AND(ISNUMBER(AC283),AC283&lt;TODAY(),AO283=""),AND(ISNUMBER(AD283),AD283&lt;TODAY(),AQ283="")),"überfällig","offen"))))</f>
        <v/>
      </c>
      <c r="I283" s="16">
        <f>IF($B283="","",IF(AY283&lt;&gt;"","—",IF(AND(ISNUMBER(AA283),AA283&lt;TODAY(),Z283="",AJ283=""),"Abnahmetermin vereinbaren – Sollfrist verstrichen",IF(AND(ISNUMBER(Z283),Z283&lt;TODAY(),AJ283=""),"Wohnungsabnahme nachtragen – Termin war fällig",IF(AND(ISNUMBER(AB283),AB283&lt;TODAY(),AK283=""),"Handwerker aufbieten – Frist verstrichen",IF(AND(ISNUMBER(AC283),AC283&lt;TODAY(),AO283=""),"Vertrag retour mahnen – Frist verstrichen",IF(AND(ISNUMBER(AD283),AD283&lt;TODAY(),AQ283=""),"Schlüsselübergabe nachtragen – Termin war fällig",IF(M283="","Haftungsdatum erfassen",IF(E283="","ex-Mieter erfassen",IF(AE283="","Kündigung bestätigen / G-Rem",IF(AF283="","Werke / EGT melden",IF(AG283="","Vorbesichtigung (oder n.e.)",IF(AH283="","VMZ aktualisieren",IF(AI283="","Inserat aufschalten",IF(AND(Z283="",AJ283=""),"Abnahmetermin vereinbaren",IF(AJ283="","Wohnungsabnahme durchführen",IF(AK283="","Handwerker aufbieten",IF(AL283="","Zustimmungserklärung einholen",IF(AM283="","Instandstellungen beauftragen",IF(R283="","Nachmieter erfassen",IF(AN283="","Vertrag versenden",IF(AO283="","Vertrag retour erfassen",IF(S283="","Vermietet per erfassen",IF(AP283="","Werke / EGT über Einzug informieren",IF(AND(AD283="",AQ283=""),"Schlüsselübergabe terminieren",IF(AQ283="","Schlüsselübergabe durchführen",IF(AR283="","Reinigung veranlassen",IF(AS283="","Namensschilder bestellen",IF(AT283="","Kaution prüfen / G-Rem mutieren",IF(AU283="","Instandstellungs-Rechnung erfassen",IF(AV283="","Schlussabrechnung erstellen",IF(AW283="","Zahlungseingang kontrollieren","Fall abschliessen"))))))))))))))))))))))))))))))))</f>
        <v/>
      </c>
      <c r="J283" s="17">
        <f>IF(M283="","",IF(S283&lt;&gt;"",MAX(0,S283-M283-1),MAX(0,TODAY()-M283)))</f>
        <v/>
      </c>
      <c r="K283" s="16">
        <f>IF($B283="","",TRIM(IF(AND(L283&lt;&gt;"",M283&lt;&gt;"",M283&lt;L283),"Haftungsdatum vor Kündigung. ","")&amp;IF(AND(S283&lt;&gt;"",M283&lt;&gt;"",S283&lt;M283),"Vermietung vor Leerstandsbeginn. ","")&amp;IF(AND(Z283&lt;&gt;"",L283&lt;&gt;"",Z283&lt;L283),"WA-Termin vor Kündigung. ","")&amp;IF(COUNTIFS($B$5:$B$404,$B283,$AY$5:$AY$404,"")&gt;1,"Zweiter offener Fall zum selben Objekt. ","")&amp;IF(AND($A283&lt;&gt;"",COUNTIFS($A$5:$A$404,$A283)&gt;1),"Fall-Nr. doppelt vergeben. ","")&amp;IF(E283="","ex-Mieter fehlt. ","")&amp;IF(M283="","Haftungsdatum fehlt. ","")&amp;IF(F283="","Bewirtschafter fehlt. ","")&amp;IF(AND(AY283&lt;&gt;"",AW283=""),"Abgeschlossen trotz offener Schlussabrechnung. ","")&amp;IF(AND(AY283="",S283="",ISNUMBER(J283),J283&gt;60),"Langläufer über 60 Tage. ","")))</f>
        <v/>
      </c>
      <c r="L283" s="18" t="n"/>
      <c r="M283" s="18" t="n"/>
      <c r="N283" s="19">
        <f>IF(M283="","",M283+1)</f>
        <v/>
      </c>
      <c r="O283" s="17">
        <f>IF(OR(L283="",M283=""),"",M283-L283)</f>
        <v/>
      </c>
      <c r="P283" s="16">
        <f>IF(M283="","",YEAR(M283+1)&amp;"-"&amp;TEXT(MONTH(M283+1),"00"))</f>
        <v/>
      </c>
      <c r="Q283" s="18" t="n"/>
      <c r="R283" s="15" t="n"/>
      <c r="S283" s="18" t="n"/>
      <c r="T283" s="16">
        <f>IF(U283="","",IF(LEFT(U283,1)="6","abgeschlossen",IF(OR(LEFT(U283,1)="1",LEFT(U283,1)="2"),"Kündigung &amp; Abnahme",IF(OR(LEFT(U283,1)="3",LEFT(U283,1)="4"),"Wiedervermietung","Schlussabrechnung"))))</f>
        <v/>
      </c>
      <c r="U283" s="16">
        <f>IF($B283="","",IF(AY283&lt;&gt;"","6 · abgeschlossen",IF(AW283&lt;&gt;"","5 · bereit zum Abschluss",IF(AT283&lt;&gt;"","5 · Schlussabrechnung",IF(AO283&lt;&gt;"","4 · Übergabe",IF(AM283&lt;&gt;"","3 · Neuvermietung",IF(M283&lt;&gt;"","2 · Abnahme &amp; Vermarktung","1 · Erfassung")))))))</f>
        <v/>
      </c>
      <c r="V283" s="15" t="n"/>
      <c r="W283" s="20" t="n"/>
      <c r="X283" s="15" t="n"/>
      <c r="Y283" s="15" t="n"/>
      <c r="Z283" s="18" t="n"/>
      <c r="AA283" s="19">
        <f>IF(M283="","",M283-30)</f>
        <v/>
      </c>
      <c r="AB283" s="19">
        <f>IF(ISNUMBER(AJ283),AJ283+3,"")</f>
        <v/>
      </c>
      <c r="AC283" s="18" t="n"/>
      <c r="AD283" s="18" t="n"/>
      <c r="AE283" s="18" t="n"/>
      <c r="AF283" s="18" t="n"/>
      <c r="AG283" s="18" t="n"/>
      <c r="AH283" s="18" t="n"/>
      <c r="AI283" s="18" t="n"/>
      <c r="AJ283" s="18" t="n"/>
      <c r="AK283" s="18" t="n"/>
      <c r="AL283" s="18" t="n"/>
      <c r="AM283" s="18" t="n"/>
      <c r="AN283" s="18" t="n"/>
      <c r="AO283" s="18" t="n"/>
      <c r="AP283" s="18" t="n"/>
      <c r="AQ283" s="18" t="n"/>
      <c r="AR283" s="18" t="n"/>
      <c r="AS283" s="18" t="n"/>
      <c r="AT283" s="18" t="n"/>
      <c r="AU283" s="18" t="n"/>
      <c r="AV283" s="18" t="n"/>
      <c r="AW283" s="18" t="n"/>
      <c r="AX283" s="18" t="n"/>
      <c r="AY283" s="18" t="n"/>
      <c r="AZ283" s="15" t="n"/>
    </row>
    <row r="284">
      <c r="A284" s="15" t="n"/>
      <c r="B284" s="15" t="n"/>
      <c r="C284" s="15" t="n"/>
      <c r="D284" s="15" t="n"/>
      <c r="E284" s="15" t="n"/>
      <c r="F284" s="15" t="n"/>
      <c r="G284" s="16">
        <f>IF(F284="","",IFERROR(INDEX(Stammdaten!$B$5:$B$24,MATCH(F284,Stammdaten!$A$5:$A$24,0)),"unbekannt"))</f>
        <v/>
      </c>
      <c r="H284" s="16">
        <f>IF($B284="","",IF(AY284&lt;&gt;"","abgeschlossen",IF(AND(ISNUMBER(AX284),AX284&gt;=TODAY()),"zurückgestellt",IF(OR(AND(ISNUMBER(AA284),AA284&lt;TODAY(),Z284="",AJ284=""),AND(ISNUMBER(Z284),Z284&lt;TODAY(),AJ284=""),AND(ISNUMBER(AB284),AB284&lt;TODAY(),AK284=""),AND(ISNUMBER(AC284),AC284&lt;TODAY(),AO284=""),AND(ISNUMBER(AD284),AD284&lt;TODAY(),AQ284="")),"überfällig","offen"))))</f>
        <v/>
      </c>
      <c r="I284" s="16">
        <f>IF($B284="","",IF(AY284&lt;&gt;"","—",IF(AND(ISNUMBER(AA284),AA284&lt;TODAY(),Z284="",AJ284=""),"Abnahmetermin vereinbaren – Sollfrist verstrichen",IF(AND(ISNUMBER(Z284),Z284&lt;TODAY(),AJ284=""),"Wohnungsabnahme nachtragen – Termin war fällig",IF(AND(ISNUMBER(AB284),AB284&lt;TODAY(),AK284=""),"Handwerker aufbieten – Frist verstrichen",IF(AND(ISNUMBER(AC284),AC284&lt;TODAY(),AO284=""),"Vertrag retour mahnen – Frist verstrichen",IF(AND(ISNUMBER(AD284),AD284&lt;TODAY(),AQ284=""),"Schlüsselübergabe nachtragen – Termin war fällig",IF(M284="","Haftungsdatum erfassen",IF(E284="","ex-Mieter erfassen",IF(AE284="","Kündigung bestätigen / G-Rem",IF(AF284="","Werke / EGT melden",IF(AG284="","Vorbesichtigung (oder n.e.)",IF(AH284="","VMZ aktualisieren",IF(AI284="","Inserat aufschalten",IF(AND(Z284="",AJ284=""),"Abnahmetermin vereinbaren",IF(AJ284="","Wohnungsabnahme durchführen",IF(AK284="","Handwerker aufbieten",IF(AL284="","Zustimmungserklärung einholen",IF(AM284="","Instandstellungen beauftragen",IF(R284="","Nachmieter erfassen",IF(AN284="","Vertrag versenden",IF(AO284="","Vertrag retour erfassen",IF(S284="","Vermietet per erfassen",IF(AP284="","Werke / EGT über Einzug informieren",IF(AND(AD284="",AQ284=""),"Schlüsselübergabe terminieren",IF(AQ284="","Schlüsselübergabe durchführen",IF(AR284="","Reinigung veranlassen",IF(AS284="","Namensschilder bestellen",IF(AT284="","Kaution prüfen / G-Rem mutieren",IF(AU284="","Instandstellungs-Rechnung erfassen",IF(AV284="","Schlussabrechnung erstellen",IF(AW284="","Zahlungseingang kontrollieren","Fall abschliessen"))))))))))))))))))))))))))))))))</f>
        <v/>
      </c>
      <c r="J284" s="17">
        <f>IF(M284="","",IF(S284&lt;&gt;"",MAX(0,S284-M284-1),MAX(0,TODAY()-M284)))</f>
        <v/>
      </c>
      <c r="K284" s="16">
        <f>IF($B284="","",TRIM(IF(AND(L284&lt;&gt;"",M284&lt;&gt;"",M284&lt;L284),"Haftungsdatum vor Kündigung. ","")&amp;IF(AND(S284&lt;&gt;"",M284&lt;&gt;"",S284&lt;M284),"Vermietung vor Leerstandsbeginn. ","")&amp;IF(AND(Z284&lt;&gt;"",L284&lt;&gt;"",Z284&lt;L284),"WA-Termin vor Kündigung. ","")&amp;IF(COUNTIFS($B$5:$B$404,$B284,$AY$5:$AY$404,"")&gt;1,"Zweiter offener Fall zum selben Objekt. ","")&amp;IF(AND($A284&lt;&gt;"",COUNTIFS($A$5:$A$404,$A284)&gt;1),"Fall-Nr. doppelt vergeben. ","")&amp;IF(E284="","ex-Mieter fehlt. ","")&amp;IF(M284="","Haftungsdatum fehlt. ","")&amp;IF(F284="","Bewirtschafter fehlt. ","")&amp;IF(AND(AY284&lt;&gt;"",AW284=""),"Abgeschlossen trotz offener Schlussabrechnung. ","")&amp;IF(AND(AY284="",S284="",ISNUMBER(J284),J284&gt;60),"Langläufer über 60 Tage. ","")))</f>
        <v/>
      </c>
      <c r="L284" s="18" t="n"/>
      <c r="M284" s="18" t="n"/>
      <c r="N284" s="19">
        <f>IF(M284="","",M284+1)</f>
        <v/>
      </c>
      <c r="O284" s="17">
        <f>IF(OR(L284="",M284=""),"",M284-L284)</f>
        <v/>
      </c>
      <c r="P284" s="16">
        <f>IF(M284="","",YEAR(M284+1)&amp;"-"&amp;TEXT(MONTH(M284+1),"00"))</f>
        <v/>
      </c>
      <c r="Q284" s="18" t="n"/>
      <c r="R284" s="15" t="n"/>
      <c r="S284" s="18" t="n"/>
      <c r="T284" s="16">
        <f>IF(U284="","",IF(LEFT(U284,1)="6","abgeschlossen",IF(OR(LEFT(U284,1)="1",LEFT(U284,1)="2"),"Kündigung &amp; Abnahme",IF(OR(LEFT(U284,1)="3",LEFT(U284,1)="4"),"Wiedervermietung","Schlussabrechnung"))))</f>
        <v/>
      </c>
      <c r="U284" s="16">
        <f>IF($B284="","",IF(AY284&lt;&gt;"","6 · abgeschlossen",IF(AW284&lt;&gt;"","5 · bereit zum Abschluss",IF(AT284&lt;&gt;"","5 · Schlussabrechnung",IF(AO284&lt;&gt;"","4 · Übergabe",IF(AM284&lt;&gt;"","3 · Neuvermietung",IF(M284&lt;&gt;"","2 · Abnahme &amp; Vermarktung","1 · Erfassung")))))))</f>
        <v/>
      </c>
      <c r="V284" s="15" t="n"/>
      <c r="W284" s="20" t="n"/>
      <c r="X284" s="15" t="n"/>
      <c r="Y284" s="15" t="n"/>
      <c r="Z284" s="18" t="n"/>
      <c r="AA284" s="19">
        <f>IF(M284="","",M284-30)</f>
        <v/>
      </c>
      <c r="AB284" s="19">
        <f>IF(ISNUMBER(AJ284),AJ284+3,"")</f>
        <v/>
      </c>
      <c r="AC284" s="18" t="n"/>
      <c r="AD284" s="18" t="n"/>
      <c r="AE284" s="18" t="n"/>
      <c r="AF284" s="18" t="n"/>
      <c r="AG284" s="18" t="n"/>
      <c r="AH284" s="18" t="n"/>
      <c r="AI284" s="18" t="n"/>
      <c r="AJ284" s="18" t="n"/>
      <c r="AK284" s="18" t="n"/>
      <c r="AL284" s="18" t="n"/>
      <c r="AM284" s="18" t="n"/>
      <c r="AN284" s="18" t="n"/>
      <c r="AO284" s="18" t="n"/>
      <c r="AP284" s="18" t="n"/>
      <c r="AQ284" s="18" t="n"/>
      <c r="AR284" s="18" t="n"/>
      <c r="AS284" s="18" t="n"/>
      <c r="AT284" s="18" t="n"/>
      <c r="AU284" s="18" t="n"/>
      <c r="AV284" s="18" t="n"/>
      <c r="AW284" s="18" t="n"/>
      <c r="AX284" s="18" t="n"/>
      <c r="AY284" s="18" t="n"/>
      <c r="AZ284" s="15" t="n"/>
    </row>
    <row r="285">
      <c r="A285" s="15" t="n"/>
      <c r="B285" s="15" t="n"/>
      <c r="C285" s="15" t="n"/>
      <c r="D285" s="15" t="n"/>
      <c r="E285" s="15" t="n"/>
      <c r="F285" s="15" t="n"/>
      <c r="G285" s="16">
        <f>IF(F285="","",IFERROR(INDEX(Stammdaten!$B$5:$B$24,MATCH(F285,Stammdaten!$A$5:$A$24,0)),"unbekannt"))</f>
        <v/>
      </c>
      <c r="H285" s="16">
        <f>IF($B285="","",IF(AY285&lt;&gt;"","abgeschlossen",IF(AND(ISNUMBER(AX285),AX285&gt;=TODAY()),"zurückgestellt",IF(OR(AND(ISNUMBER(AA285),AA285&lt;TODAY(),Z285="",AJ285=""),AND(ISNUMBER(Z285),Z285&lt;TODAY(),AJ285=""),AND(ISNUMBER(AB285),AB285&lt;TODAY(),AK285=""),AND(ISNUMBER(AC285),AC285&lt;TODAY(),AO285=""),AND(ISNUMBER(AD285),AD285&lt;TODAY(),AQ285="")),"überfällig","offen"))))</f>
        <v/>
      </c>
      <c r="I285" s="16">
        <f>IF($B285="","",IF(AY285&lt;&gt;"","—",IF(AND(ISNUMBER(AA285),AA285&lt;TODAY(),Z285="",AJ285=""),"Abnahmetermin vereinbaren – Sollfrist verstrichen",IF(AND(ISNUMBER(Z285),Z285&lt;TODAY(),AJ285=""),"Wohnungsabnahme nachtragen – Termin war fällig",IF(AND(ISNUMBER(AB285),AB285&lt;TODAY(),AK285=""),"Handwerker aufbieten – Frist verstrichen",IF(AND(ISNUMBER(AC285),AC285&lt;TODAY(),AO285=""),"Vertrag retour mahnen – Frist verstrichen",IF(AND(ISNUMBER(AD285),AD285&lt;TODAY(),AQ285=""),"Schlüsselübergabe nachtragen – Termin war fällig",IF(M285="","Haftungsdatum erfassen",IF(E285="","ex-Mieter erfassen",IF(AE285="","Kündigung bestätigen / G-Rem",IF(AF285="","Werke / EGT melden",IF(AG285="","Vorbesichtigung (oder n.e.)",IF(AH285="","VMZ aktualisieren",IF(AI285="","Inserat aufschalten",IF(AND(Z285="",AJ285=""),"Abnahmetermin vereinbaren",IF(AJ285="","Wohnungsabnahme durchführen",IF(AK285="","Handwerker aufbieten",IF(AL285="","Zustimmungserklärung einholen",IF(AM285="","Instandstellungen beauftragen",IF(R285="","Nachmieter erfassen",IF(AN285="","Vertrag versenden",IF(AO285="","Vertrag retour erfassen",IF(S285="","Vermietet per erfassen",IF(AP285="","Werke / EGT über Einzug informieren",IF(AND(AD285="",AQ285=""),"Schlüsselübergabe terminieren",IF(AQ285="","Schlüsselübergabe durchführen",IF(AR285="","Reinigung veranlassen",IF(AS285="","Namensschilder bestellen",IF(AT285="","Kaution prüfen / G-Rem mutieren",IF(AU285="","Instandstellungs-Rechnung erfassen",IF(AV285="","Schlussabrechnung erstellen",IF(AW285="","Zahlungseingang kontrollieren","Fall abschliessen"))))))))))))))))))))))))))))))))</f>
        <v/>
      </c>
      <c r="J285" s="17">
        <f>IF(M285="","",IF(S285&lt;&gt;"",MAX(0,S285-M285-1),MAX(0,TODAY()-M285)))</f>
        <v/>
      </c>
      <c r="K285" s="16">
        <f>IF($B285="","",TRIM(IF(AND(L285&lt;&gt;"",M285&lt;&gt;"",M285&lt;L285),"Haftungsdatum vor Kündigung. ","")&amp;IF(AND(S285&lt;&gt;"",M285&lt;&gt;"",S285&lt;M285),"Vermietung vor Leerstandsbeginn. ","")&amp;IF(AND(Z285&lt;&gt;"",L285&lt;&gt;"",Z285&lt;L285),"WA-Termin vor Kündigung. ","")&amp;IF(COUNTIFS($B$5:$B$404,$B285,$AY$5:$AY$404,"")&gt;1,"Zweiter offener Fall zum selben Objekt. ","")&amp;IF(AND($A285&lt;&gt;"",COUNTIFS($A$5:$A$404,$A285)&gt;1),"Fall-Nr. doppelt vergeben. ","")&amp;IF(E285="","ex-Mieter fehlt. ","")&amp;IF(M285="","Haftungsdatum fehlt. ","")&amp;IF(F285="","Bewirtschafter fehlt. ","")&amp;IF(AND(AY285&lt;&gt;"",AW285=""),"Abgeschlossen trotz offener Schlussabrechnung. ","")&amp;IF(AND(AY285="",S285="",ISNUMBER(J285),J285&gt;60),"Langläufer über 60 Tage. ","")))</f>
        <v/>
      </c>
      <c r="L285" s="18" t="n"/>
      <c r="M285" s="18" t="n"/>
      <c r="N285" s="19">
        <f>IF(M285="","",M285+1)</f>
        <v/>
      </c>
      <c r="O285" s="17">
        <f>IF(OR(L285="",M285=""),"",M285-L285)</f>
        <v/>
      </c>
      <c r="P285" s="16">
        <f>IF(M285="","",YEAR(M285+1)&amp;"-"&amp;TEXT(MONTH(M285+1),"00"))</f>
        <v/>
      </c>
      <c r="Q285" s="18" t="n"/>
      <c r="R285" s="15" t="n"/>
      <c r="S285" s="18" t="n"/>
      <c r="T285" s="16">
        <f>IF(U285="","",IF(LEFT(U285,1)="6","abgeschlossen",IF(OR(LEFT(U285,1)="1",LEFT(U285,1)="2"),"Kündigung &amp; Abnahme",IF(OR(LEFT(U285,1)="3",LEFT(U285,1)="4"),"Wiedervermietung","Schlussabrechnung"))))</f>
        <v/>
      </c>
      <c r="U285" s="16">
        <f>IF($B285="","",IF(AY285&lt;&gt;"","6 · abgeschlossen",IF(AW285&lt;&gt;"","5 · bereit zum Abschluss",IF(AT285&lt;&gt;"","5 · Schlussabrechnung",IF(AO285&lt;&gt;"","4 · Übergabe",IF(AM285&lt;&gt;"","3 · Neuvermietung",IF(M285&lt;&gt;"","2 · Abnahme &amp; Vermarktung","1 · Erfassung")))))))</f>
        <v/>
      </c>
      <c r="V285" s="15" t="n"/>
      <c r="W285" s="20" t="n"/>
      <c r="X285" s="15" t="n"/>
      <c r="Y285" s="15" t="n"/>
      <c r="Z285" s="18" t="n"/>
      <c r="AA285" s="19">
        <f>IF(M285="","",M285-30)</f>
        <v/>
      </c>
      <c r="AB285" s="19">
        <f>IF(ISNUMBER(AJ285),AJ285+3,"")</f>
        <v/>
      </c>
      <c r="AC285" s="18" t="n"/>
      <c r="AD285" s="18" t="n"/>
      <c r="AE285" s="18" t="n"/>
      <c r="AF285" s="18" t="n"/>
      <c r="AG285" s="18" t="n"/>
      <c r="AH285" s="18" t="n"/>
      <c r="AI285" s="18" t="n"/>
      <c r="AJ285" s="18" t="n"/>
      <c r="AK285" s="18" t="n"/>
      <c r="AL285" s="18" t="n"/>
      <c r="AM285" s="18" t="n"/>
      <c r="AN285" s="18" t="n"/>
      <c r="AO285" s="18" t="n"/>
      <c r="AP285" s="18" t="n"/>
      <c r="AQ285" s="18" t="n"/>
      <c r="AR285" s="18" t="n"/>
      <c r="AS285" s="18" t="n"/>
      <c r="AT285" s="18" t="n"/>
      <c r="AU285" s="18" t="n"/>
      <c r="AV285" s="18" t="n"/>
      <c r="AW285" s="18" t="n"/>
      <c r="AX285" s="18" t="n"/>
      <c r="AY285" s="18" t="n"/>
      <c r="AZ285" s="15" t="n"/>
    </row>
    <row r="286">
      <c r="A286" s="15" t="n"/>
      <c r="B286" s="15" t="n"/>
      <c r="C286" s="15" t="n"/>
      <c r="D286" s="15" t="n"/>
      <c r="E286" s="15" t="n"/>
      <c r="F286" s="15" t="n"/>
      <c r="G286" s="16">
        <f>IF(F286="","",IFERROR(INDEX(Stammdaten!$B$5:$B$24,MATCH(F286,Stammdaten!$A$5:$A$24,0)),"unbekannt"))</f>
        <v/>
      </c>
      <c r="H286" s="16">
        <f>IF($B286="","",IF(AY286&lt;&gt;"","abgeschlossen",IF(AND(ISNUMBER(AX286),AX286&gt;=TODAY()),"zurückgestellt",IF(OR(AND(ISNUMBER(AA286),AA286&lt;TODAY(),Z286="",AJ286=""),AND(ISNUMBER(Z286),Z286&lt;TODAY(),AJ286=""),AND(ISNUMBER(AB286),AB286&lt;TODAY(),AK286=""),AND(ISNUMBER(AC286),AC286&lt;TODAY(),AO286=""),AND(ISNUMBER(AD286),AD286&lt;TODAY(),AQ286="")),"überfällig","offen"))))</f>
        <v/>
      </c>
      <c r="I286" s="16">
        <f>IF($B286="","",IF(AY286&lt;&gt;"","—",IF(AND(ISNUMBER(AA286),AA286&lt;TODAY(),Z286="",AJ286=""),"Abnahmetermin vereinbaren – Sollfrist verstrichen",IF(AND(ISNUMBER(Z286),Z286&lt;TODAY(),AJ286=""),"Wohnungsabnahme nachtragen – Termin war fällig",IF(AND(ISNUMBER(AB286),AB286&lt;TODAY(),AK286=""),"Handwerker aufbieten – Frist verstrichen",IF(AND(ISNUMBER(AC286),AC286&lt;TODAY(),AO286=""),"Vertrag retour mahnen – Frist verstrichen",IF(AND(ISNUMBER(AD286),AD286&lt;TODAY(),AQ286=""),"Schlüsselübergabe nachtragen – Termin war fällig",IF(M286="","Haftungsdatum erfassen",IF(E286="","ex-Mieter erfassen",IF(AE286="","Kündigung bestätigen / G-Rem",IF(AF286="","Werke / EGT melden",IF(AG286="","Vorbesichtigung (oder n.e.)",IF(AH286="","VMZ aktualisieren",IF(AI286="","Inserat aufschalten",IF(AND(Z286="",AJ286=""),"Abnahmetermin vereinbaren",IF(AJ286="","Wohnungsabnahme durchführen",IF(AK286="","Handwerker aufbieten",IF(AL286="","Zustimmungserklärung einholen",IF(AM286="","Instandstellungen beauftragen",IF(R286="","Nachmieter erfassen",IF(AN286="","Vertrag versenden",IF(AO286="","Vertrag retour erfassen",IF(S286="","Vermietet per erfassen",IF(AP286="","Werke / EGT über Einzug informieren",IF(AND(AD286="",AQ286=""),"Schlüsselübergabe terminieren",IF(AQ286="","Schlüsselübergabe durchführen",IF(AR286="","Reinigung veranlassen",IF(AS286="","Namensschilder bestellen",IF(AT286="","Kaution prüfen / G-Rem mutieren",IF(AU286="","Instandstellungs-Rechnung erfassen",IF(AV286="","Schlussabrechnung erstellen",IF(AW286="","Zahlungseingang kontrollieren","Fall abschliessen"))))))))))))))))))))))))))))))))</f>
        <v/>
      </c>
      <c r="J286" s="17">
        <f>IF(M286="","",IF(S286&lt;&gt;"",MAX(0,S286-M286-1),MAX(0,TODAY()-M286)))</f>
        <v/>
      </c>
      <c r="K286" s="16">
        <f>IF($B286="","",TRIM(IF(AND(L286&lt;&gt;"",M286&lt;&gt;"",M286&lt;L286),"Haftungsdatum vor Kündigung. ","")&amp;IF(AND(S286&lt;&gt;"",M286&lt;&gt;"",S286&lt;M286),"Vermietung vor Leerstandsbeginn. ","")&amp;IF(AND(Z286&lt;&gt;"",L286&lt;&gt;"",Z286&lt;L286),"WA-Termin vor Kündigung. ","")&amp;IF(COUNTIFS($B$5:$B$404,$B286,$AY$5:$AY$404,"")&gt;1,"Zweiter offener Fall zum selben Objekt. ","")&amp;IF(AND($A286&lt;&gt;"",COUNTIFS($A$5:$A$404,$A286)&gt;1),"Fall-Nr. doppelt vergeben. ","")&amp;IF(E286="","ex-Mieter fehlt. ","")&amp;IF(M286="","Haftungsdatum fehlt. ","")&amp;IF(F286="","Bewirtschafter fehlt. ","")&amp;IF(AND(AY286&lt;&gt;"",AW286=""),"Abgeschlossen trotz offener Schlussabrechnung. ","")&amp;IF(AND(AY286="",S286="",ISNUMBER(J286),J286&gt;60),"Langläufer über 60 Tage. ","")))</f>
        <v/>
      </c>
      <c r="L286" s="18" t="n"/>
      <c r="M286" s="18" t="n"/>
      <c r="N286" s="19">
        <f>IF(M286="","",M286+1)</f>
        <v/>
      </c>
      <c r="O286" s="17">
        <f>IF(OR(L286="",M286=""),"",M286-L286)</f>
        <v/>
      </c>
      <c r="P286" s="16">
        <f>IF(M286="","",YEAR(M286+1)&amp;"-"&amp;TEXT(MONTH(M286+1),"00"))</f>
        <v/>
      </c>
      <c r="Q286" s="18" t="n"/>
      <c r="R286" s="15" t="n"/>
      <c r="S286" s="18" t="n"/>
      <c r="T286" s="16">
        <f>IF(U286="","",IF(LEFT(U286,1)="6","abgeschlossen",IF(OR(LEFT(U286,1)="1",LEFT(U286,1)="2"),"Kündigung &amp; Abnahme",IF(OR(LEFT(U286,1)="3",LEFT(U286,1)="4"),"Wiedervermietung","Schlussabrechnung"))))</f>
        <v/>
      </c>
      <c r="U286" s="16">
        <f>IF($B286="","",IF(AY286&lt;&gt;"","6 · abgeschlossen",IF(AW286&lt;&gt;"","5 · bereit zum Abschluss",IF(AT286&lt;&gt;"","5 · Schlussabrechnung",IF(AO286&lt;&gt;"","4 · Übergabe",IF(AM286&lt;&gt;"","3 · Neuvermietung",IF(M286&lt;&gt;"","2 · Abnahme &amp; Vermarktung","1 · Erfassung")))))))</f>
        <v/>
      </c>
      <c r="V286" s="15" t="n"/>
      <c r="W286" s="20" t="n"/>
      <c r="X286" s="15" t="n"/>
      <c r="Y286" s="15" t="n"/>
      <c r="Z286" s="18" t="n"/>
      <c r="AA286" s="19">
        <f>IF(M286="","",M286-30)</f>
        <v/>
      </c>
      <c r="AB286" s="19">
        <f>IF(ISNUMBER(AJ286),AJ286+3,"")</f>
        <v/>
      </c>
      <c r="AC286" s="18" t="n"/>
      <c r="AD286" s="18" t="n"/>
      <c r="AE286" s="18" t="n"/>
      <c r="AF286" s="18" t="n"/>
      <c r="AG286" s="18" t="n"/>
      <c r="AH286" s="18" t="n"/>
      <c r="AI286" s="18" t="n"/>
      <c r="AJ286" s="18" t="n"/>
      <c r="AK286" s="18" t="n"/>
      <c r="AL286" s="18" t="n"/>
      <c r="AM286" s="18" t="n"/>
      <c r="AN286" s="18" t="n"/>
      <c r="AO286" s="18" t="n"/>
      <c r="AP286" s="18" t="n"/>
      <c r="AQ286" s="18" t="n"/>
      <c r="AR286" s="18" t="n"/>
      <c r="AS286" s="18" t="n"/>
      <c r="AT286" s="18" t="n"/>
      <c r="AU286" s="18" t="n"/>
      <c r="AV286" s="18" t="n"/>
      <c r="AW286" s="18" t="n"/>
      <c r="AX286" s="18" t="n"/>
      <c r="AY286" s="18" t="n"/>
      <c r="AZ286" s="15" t="n"/>
    </row>
    <row r="287">
      <c r="A287" s="15" t="n"/>
      <c r="B287" s="15" t="n"/>
      <c r="C287" s="15" t="n"/>
      <c r="D287" s="15" t="n"/>
      <c r="E287" s="15" t="n"/>
      <c r="F287" s="15" t="n"/>
      <c r="G287" s="16">
        <f>IF(F287="","",IFERROR(INDEX(Stammdaten!$B$5:$B$24,MATCH(F287,Stammdaten!$A$5:$A$24,0)),"unbekannt"))</f>
        <v/>
      </c>
      <c r="H287" s="16">
        <f>IF($B287="","",IF(AY287&lt;&gt;"","abgeschlossen",IF(AND(ISNUMBER(AX287),AX287&gt;=TODAY()),"zurückgestellt",IF(OR(AND(ISNUMBER(AA287),AA287&lt;TODAY(),Z287="",AJ287=""),AND(ISNUMBER(Z287),Z287&lt;TODAY(),AJ287=""),AND(ISNUMBER(AB287),AB287&lt;TODAY(),AK287=""),AND(ISNUMBER(AC287),AC287&lt;TODAY(),AO287=""),AND(ISNUMBER(AD287),AD287&lt;TODAY(),AQ287="")),"überfällig","offen"))))</f>
        <v/>
      </c>
      <c r="I287" s="16">
        <f>IF($B287="","",IF(AY287&lt;&gt;"","—",IF(AND(ISNUMBER(AA287),AA287&lt;TODAY(),Z287="",AJ287=""),"Abnahmetermin vereinbaren – Sollfrist verstrichen",IF(AND(ISNUMBER(Z287),Z287&lt;TODAY(),AJ287=""),"Wohnungsabnahme nachtragen – Termin war fällig",IF(AND(ISNUMBER(AB287),AB287&lt;TODAY(),AK287=""),"Handwerker aufbieten – Frist verstrichen",IF(AND(ISNUMBER(AC287),AC287&lt;TODAY(),AO287=""),"Vertrag retour mahnen – Frist verstrichen",IF(AND(ISNUMBER(AD287),AD287&lt;TODAY(),AQ287=""),"Schlüsselübergabe nachtragen – Termin war fällig",IF(M287="","Haftungsdatum erfassen",IF(E287="","ex-Mieter erfassen",IF(AE287="","Kündigung bestätigen / G-Rem",IF(AF287="","Werke / EGT melden",IF(AG287="","Vorbesichtigung (oder n.e.)",IF(AH287="","VMZ aktualisieren",IF(AI287="","Inserat aufschalten",IF(AND(Z287="",AJ287=""),"Abnahmetermin vereinbaren",IF(AJ287="","Wohnungsabnahme durchführen",IF(AK287="","Handwerker aufbieten",IF(AL287="","Zustimmungserklärung einholen",IF(AM287="","Instandstellungen beauftragen",IF(R287="","Nachmieter erfassen",IF(AN287="","Vertrag versenden",IF(AO287="","Vertrag retour erfassen",IF(S287="","Vermietet per erfassen",IF(AP287="","Werke / EGT über Einzug informieren",IF(AND(AD287="",AQ287=""),"Schlüsselübergabe terminieren",IF(AQ287="","Schlüsselübergabe durchführen",IF(AR287="","Reinigung veranlassen",IF(AS287="","Namensschilder bestellen",IF(AT287="","Kaution prüfen / G-Rem mutieren",IF(AU287="","Instandstellungs-Rechnung erfassen",IF(AV287="","Schlussabrechnung erstellen",IF(AW287="","Zahlungseingang kontrollieren","Fall abschliessen"))))))))))))))))))))))))))))))))</f>
        <v/>
      </c>
      <c r="J287" s="17">
        <f>IF(M287="","",IF(S287&lt;&gt;"",MAX(0,S287-M287-1),MAX(0,TODAY()-M287)))</f>
        <v/>
      </c>
      <c r="K287" s="16">
        <f>IF($B287="","",TRIM(IF(AND(L287&lt;&gt;"",M287&lt;&gt;"",M287&lt;L287),"Haftungsdatum vor Kündigung. ","")&amp;IF(AND(S287&lt;&gt;"",M287&lt;&gt;"",S287&lt;M287),"Vermietung vor Leerstandsbeginn. ","")&amp;IF(AND(Z287&lt;&gt;"",L287&lt;&gt;"",Z287&lt;L287),"WA-Termin vor Kündigung. ","")&amp;IF(COUNTIFS($B$5:$B$404,$B287,$AY$5:$AY$404,"")&gt;1,"Zweiter offener Fall zum selben Objekt. ","")&amp;IF(AND($A287&lt;&gt;"",COUNTIFS($A$5:$A$404,$A287)&gt;1),"Fall-Nr. doppelt vergeben. ","")&amp;IF(E287="","ex-Mieter fehlt. ","")&amp;IF(M287="","Haftungsdatum fehlt. ","")&amp;IF(F287="","Bewirtschafter fehlt. ","")&amp;IF(AND(AY287&lt;&gt;"",AW287=""),"Abgeschlossen trotz offener Schlussabrechnung. ","")&amp;IF(AND(AY287="",S287="",ISNUMBER(J287),J287&gt;60),"Langläufer über 60 Tage. ","")))</f>
        <v/>
      </c>
      <c r="L287" s="18" t="n"/>
      <c r="M287" s="18" t="n"/>
      <c r="N287" s="19">
        <f>IF(M287="","",M287+1)</f>
        <v/>
      </c>
      <c r="O287" s="17">
        <f>IF(OR(L287="",M287=""),"",M287-L287)</f>
        <v/>
      </c>
      <c r="P287" s="16">
        <f>IF(M287="","",YEAR(M287+1)&amp;"-"&amp;TEXT(MONTH(M287+1),"00"))</f>
        <v/>
      </c>
      <c r="Q287" s="18" t="n"/>
      <c r="R287" s="15" t="n"/>
      <c r="S287" s="18" t="n"/>
      <c r="T287" s="16">
        <f>IF(U287="","",IF(LEFT(U287,1)="6","abgeschlossen",IF(OR(LEFT(U287,1)="1",LEFT(U287,1)="2"),"Kündigung &amp; Abnahme",IF(OR(LEFT(U287,1)="3",LEFT(U287,1)="4"),"Wiedervermietung","Schlussabrechnung"))))</f>
        <v/>
      </c>
      <c r="U287" s="16">
        <f>IF($B287="","",IF(AY287&lt;&gt;"","6 · abgeschlossen",IF(AW287&lt;&gt;"","5 · bereit zum Abschluss",IF(AT287&lt;&gt;"","5 · Schlussabrechnung",IF(AO287&lt;&gt;"","4 · Übergabe",IF(AM287&lt;&gt;"","3 · Neuvermietung",IF(M287&lt;&gt;"","2 · Abnahme &amp; Vermarktung","1 · Erfassung")))))))</f>
        <v/>
      </c>
      <c r="V287" s="15" t="n"/>
      <c r="W287" s="20" t="n"/>
      <c r="X287" s="15" t="n"/>
      <c r="Y287" s="15" t="n"/>
      <c r="Z287" s="18" t="n"/>
      <c r="AA287" s="19">
        <f>IF(M287="","",M287-30)</f>
        <v/>
      </c>
      <c r="AB287" s="19">
        <f>IF(ISNUMBER(AJ287),AJ287+3,"")</f>
        <v/>
      </c>
      <c r="AC287" s="18" t="n"/>
      <c r="AD287" s="18" t="n"/>
      <c r="AE287" s="18" t="n"/>
      <c r="AF287" s="18" t="n"/>
      <c r="AG287" s="18" t="n"/>
      <c r="AH287" s="18" t="n"/>
      <c r="AI287" s="18" t="n"/>
      <c r="AJ287" s="18" t="n"/>
      <c r="AK287" s="18" t="n"/>
      <c r="AL287" s="18" t="n"/>
      <c r="AM287" s="18" t="n"/>
      <c r="AN287" s="18" t="n"/>
      <c r="AO287" s="18" t="n"/>
      <c r="AP287" s="18" t="n"/>
      <c r="AQ287" s="18" t="n"/>
      <c r="AR287" s="18" t="n"/>
      <c r="AS287" s="18" t="n"/>
      <c r="AT287" s="18" t="n"/>
      <c r="AU287" s="18" t="n"/>
      <c r="AV287" s="18" t="n"/>
      <c r="AW287" s="18" t="n"/>
      <c r="AX287" s="18" t="n"/>
      <c r="AY287" s="18" t="n"/>
      <c r="AZ287" s="15" t="n"/>
    </row>
    <row r="288">
      <c r="A288" s="15" t="n"/>
      <c r="B288" s="15" t="n"/>
      <c r="C288" s="15" t="n"/>
      <c r="D288" s="15" t="n"/>
      <c r="E288" s="15" t="n"/>
      <c r="F288" s="15" t="n"/>
      <c r="G288" s="16">
        <f>IF(F288="","",IFERROR(INDEX(Stammdaten!$B$5:$B$24,MATCH(F288,Stammdaten!$A$5:$A$24,0)),"unbekannt"))</f>
        <v/>
      </c>
      <c r="H288" s="16">
        <f>IF($B288="","",IF(AY288&lt;&gt;"","abgeschlossen",IF(AND(ISNUMBER(AX288),AX288&gt;=TODAY()),"zurückgestellt",IF(OR(AND(ISNUMBER(AA288),AA288&lt;TODAY(),Z288="",AJ288=""),AND(ISNUMBER(Z288),Z288&lt;TODAY(),AJ288=""),AND(ISNUMBER(AB288),AB288&lt;TODAY(),AK288=""),AND(ISNUMBER(AC288),AC288&lt;TODAY(),AO288=""),AND(ISNUMBER(AD288),AD288&lt;TODAY(),AQ288="")),"überfällig","offen"))))</f>
        <v/>
      </c>
      <c r="I288" s="16">
        <f>IF($B288="","",IF(AY288&lt;&gt;"","—",IF(AND(ISNUMBER(AA288),AA288&lt;TODAY(),Z288="",AJ288=""),"Abnahmetermin vereinbaren – Sollfrist verstrichen",IF(AND(ISNUMBER(Z288),Z288&lt;TODAY(),AJ288=""),"Wohnungsabnahme nachtragen – Termin war fällig",IF(AND(ISNUMBER(AB288),AB288&lt;TODAY(),AK288=""),"Handwerker aufbieten – Frist verstrichen",IF(AND(ISNUMBER(AC288),AC288&lt;TODAY(),AO288=""),"Vertrag retour mahnen – Frist verstrichen",IF(AND(ISNUMBER(AD288),AD288&lt;TODAY(),AQ288=""),"Schlüsselübergabe nachtragen – Termin war fällig",IF(M288="","Haftungsdatum erfassen",IF(E288="","ex-Mieter erfassen",IF(AE288="","Kündigung bestätigen / G-Rem",IF(AF288="","Werke / EGT melden",IF(AG288="","Vorbesichtigung (oder n.e.)",IF(AH288="","VMZ aktualisieren",IF(AI288="","Inserat aufschalten",IF(AND(Z288="",AJ288=""),"Abnahmetermin vereinbaren",IF(AJ288="","Wohnungsabnahme durchführen",IF(AK288="","Handwerker aufbieten",IF(AL288="","Zustimmungserklärung einholen",IF(AM288="","Instandstellungen beauftragen",IF(R288="","Nachmieter erfassen",IF(AN288="","Vertrag versenden",IF(AO288="","Vertrag retour erfassen",IF(S288="","Vermietet per erfassen",IF(AP288="","Werke / EGT über Einzug informieren",IF(AND(AD288="",AQ288=""),"Schlüsselübergabe terminieren",IF(AQ288="","Schlüsselübergabe durchführen",IF(AR288="","Reinigung veranlassen",IF(AS288="","Namensschilder bestellen",IF(AT288="","Kaution prüfen / G-Rem mutieren",IF(AU288="","Instandstellungs-Rechnung erfassen",IF(AV288="","Schlussabrechnung erstellen",IF(AW288="","Zahlungseingang kontrollieren","Fall abschliessen"))))))))))))))))))))))))))))))))</f>
        <v/>
      </c>
      <c r="J288" s="17">
        <f>IF(M288="","",IF(S288&lt;&gt;"",MAX(0,S288-M288-1),MAX(0,TODAY()-M288)))</f>
        <v/>
      </c>
      <c r="K288" s="16">
        <f>IF($B288="","",TRIM(IF(AND(L288&lt;&gt;"",M288&lt;&gt;"",M288&lt;L288),"Haftungsdatum vor Kündigung. ","")&amp;IF(AND(S288&lt;&gt;"",M288&lt;&gt;"",S288&lt;M288),"Vermietung vor Leerstandsbeginn. ","")&amp;IF(AND(Z288&lt;&gt;"",L288&lt;&gt;"",Z288&lt;L288),"WA-Termin vor Kündigung. ","")&amp;IF(COUNTIFS($B$5:$B$404,$B288,$AY$5:$AY$404,"")&gt;1,"Zweiter offener Fall zum selben Objekt. ","")&amp;IF(AND($A288&lt;&gt;"",COUNTIFS($A$5:$A$404,$A288)&gt;1),"Fall-Nr. doppelt vergeben. ","")&amp;IF(E288="","ex-Mieter fehlt. ","")&amp;IF(M288="","Haftungsdatum fehlt. ","")&amp;IF(F288="","Bewirtschafter fehlt. ","")&amp;IF(AND(AY288&lt;&gt;"",AW288=""),"Abgeschlossen trotz offener Schlussabrechnung. ","")&amp;IF(AND(AY288="",S288="",ISNUMBER(J288),J288&gt;60),"Langläufer über 60 Tage. ","")))</f>
        <v/>
      </c>
      <c r="L288" s="18" t="n"/>
      <c r="M288" s="18" t="n"/>
      <c r="N288" s="19">
        <f>IF(M288="","",M288+1)</f>
        <v/>
      </c>
      <c r="O288" s="17">
        <f>IF(OR(L288="",M288=""),"",M288-L288)</f>
        <v/>
      </c>
      <c r="P288" s="16">
        <f>IF(M288="","",YEAR(M288+1)&amp;"-"&amp;TEXT(MONTH(M288+1),"00"))</f>
        <v/>
      </c>
      <c r="Q288" s="18" t="n"/>
      <c r="R288" s="15" t="n"/>
      <c r="S288" s="18" t="n"/>
      <c r="T288" s="16">
        <f>IF(U288="","",IF(LEFT(U288,1)="6","abgeschlossen",IF(OR(LEFT(U288,1)="1",LEFT(U288,1)="2"),"Kündigung &amp; Abnahme",IF(OR(LEFT(U288,1)="3",LEFT(U288,1)="4"),"Wiedervermietung","Schlussabrechnung"))))</f>
        <v/>
      </c>
      <c r="U288" s="16">
        <f>IF($B288="","",IF(AY288&lt;&gt;"","6 · abgeschlossen",IF(AW288&lt;&gt;"","5 · bereit zum Abschluss",IF(AT288&lt;&gt;"","5 · Schlussabrechnung",IF(AO288&lt;&gt;"","4 · Übergabe",IF(AM288&lt;&gt;"","3 · Neuvermietung",IF(M288&lt;&gt;"","2 · Abnahme &amp; Vermarktung","1 · Erfassung")))))))</f>
        <v/>
      </c>
      <c r="V288" s="15" t="n"/>
      <c r="W288" s="20" t="n"/>
      <c r="X288" s="15" t="n"/>
      <c r="Y288" s="15" t="n"/>
      <c r="Z288" s="18" t="n"/>
      <c r="AA288" s="19">
        <f>IF(M288="","",M288-30)</f>
        <v/>
      </c>
      <c r="AB288" s="19">
        <f>IF(ISNUMBER(AJ288),AJ288+3,"")</f>
        <v/>
      </c>
      <c r="AC288" s="18" t="n"/>
      <c r="AD288" s="18" t="n"/>
      <c r="AE288" s="18" t="n"/>
      <c r="AF288" s="18" t="n"/>
      <c r="AG288" s="18" t="n"/>
      <c r="AH288" s="18" t="n"/>
      <c r="AI288" s="18" t="n"/>
      <c r="AJ288" s="18" t="n"/>
      <c r="AK288" s="18" t="n"/>
      <c r="AL288" s="18" t="n"/>
      <c r="AM288" s="18" t="n"/>
      <c r="AN288" s="18" t="n"/>
      <c r="AO288" s="18" t="n"/>
      <c r="AP288" s="18" t="n"/>
      <c r="AQ288" s="18" t="n"/>
      <c r="AR288" s="18" t="n"/>
      <c r="AS288" s="18" t="n"/>
      <c r="AT288" s="18" t="n"/>
      <c r="AU288" s="18" t="n"/>
      <c r="AV288" s="18" t="n"/>
      <c r="AW288" s="18" t="n"/>
      <c r="AX288" s="18" t="n"/>
      <c r="AY288" s="18" t="n"/>
      <c r="AZ288" s="15" t="n"/>
    </row>
    <row r="289">
      <c r="A289" s="15" t="n"/>
      <c r="B289" s="15" t="n"/>
      <c r="C289" s="15" t="n"/>
      <c r="D289" s="15" t="n"/>
      <c r="E289" s="15" t="n"/>
      <c r="F289" s="15" t="n"/>
      <c r="G289" s="16">
        <f>IF(F289="","",IFERROR(INDEX(Stammdaten!$B$5:$B$24,MATCH(F289,Stammdaten!$A$5:$A$24,0)),"unbekannt"))</f>
        <v/>
      </c>
      <c r="H289" s="16">
        <f>IF($B289="","",IF(AY289&lt;&gt;"","abgeschlossen",IF(AND(ISNUMBER(AX289),AX289&gt;=TODAY()),"zurückgestellt",IF(OR(AND(ISNUMBER(AA289),AA289&lt;TODAY(),Z289="",AJ289=""),AND(ISNUMBER(Z289),Z289&lt;TODAY(),AJ289=""),AND(ISNUMBER(AB289),AB289&lt;TODAY(),AK289=""),AND(ISNUMBER(AC289),AC289&lt;TODAY(),AO289=""),AND(ISNUMBER(AD289),AD289&lt;TODAY(),AQ289="")),"überfällig","offen"))))</f>
        <v/>
      </c>
      <c r="I289" s="16">
        <f>IF($B289="","",IF(AY289&lt;&gt;"","—",IF(AND(ISNUMBER(AA289),AA289&lt;TODAY(),Z289="",AJ289=""),"Abnahmetermin vereinbaren – Sollfrist verstrichen",IF(AND(ISNUMBER(Z289),Z289&lt;TODAY(),AJ289=""),"Wohnungsabnahme nachtragen – Termin war fällig",IF(AND(ISNUMBER(AB289),AB289&lt;TODAY(),AK289=""),"Handwerker aufbieten – Frist verstrichen",IF(AND(ISNUMBER(AC289),AC289&lt;TODAY(),AO289=""),"Vertrag retour mahnen – Frist verstrichen",IF(AND(ISNUMBER(AD289),AD289&lt;TODAY(),AQ289=""),"Schlüsselübergabe nachtragen – Termin war fällig",IF(M289="","Haftungsdatum erfassen",IF(E289="","ex-Mieter erfassen",IF(AE289="","Kündigung bestätigen / G-Rem",IF(AF289="","Werke / EGT melden",IF(AG289="","Vorbesichtigung (oder n.e.)",IF(AH289="","VMZ aktualisieren",IF(AI289="","Inserat aufschalten",IF(AND(Z289="",AJ289=""),"Abnahmetermin vereinbaren",IF(AJ289="","Wohnungsabnahme durchführen",IF(AK289="","Handwerker aufbieten",IF(AL289="","Zustimmungserklärung einholen",IF(AM289="","Instandstellungen beauftragen",IF(R289="","Nachmieter erfassen",IF(AN289="","Vertrag versenden",IF(AO289="","Vertrag retour erfassen",IF(S289="","Vermietet per erfassen",IF(AP289="","Werke / EGT über Einzug informieren",IF(AND(AD289="",AQ289=""),"Schlüsselübergabe terminieren",IF(AQ289="","Schlüsselübergabe durchführen",IF(AR289="","Reinigung veranlassen",IF(AS289="","Namensschilder bestellen",IF(AT289="","Kaution prüfen / G-Rem mutieren",IF(AU289="","Instandstellungs-Rechnung erfassen",IF(AV289="","Schlussabrechnung erstellen",IF(AW289="","Zahlungseingang kontrollieren","Fall abschliessen"))))))))))))))))))))))))))))))))</f>
        <v/>
      </c>
      <c r="J289" s="17">
        <f>IF(M289="","",IF(S289&lt;&gt;"",MAX(0,S289-M289-1),MAX(0,TODAY()-M289)))</f>
        <v/>
      </c>
      <c r="K289" s="16">
        <f>IF($B289="","",TRIM(IF(AND(L289&lt;&gt;"",M289&lt;&gt;"",M289&lt;L289),"Haftungsdatum vor Kündigung. ","")&amp;IF(AND(S289&lt;&gt;"",M289&lt;&gt;"",S289&lt;M289),"Vermietung vor Leerstandsbeginn. ","")&amp;IF(AND(Z289&lt;&gt;"",L289&lt;&gt;"",Z289&lt;L289),"WA-Termin vor Kündigung. ","")&amp;IF(COUNTIFS($B$5:$B$404,$B289,$AY$5:$AY$404,"")&gt;1,"Zweiter offener Fall zum selben Objekt. ","")&amp;IF(AND($A289&lt;&gt;"",COUNTIFS($A$5:$A$404,$A289)&gt;1),"Fall-Nr. doppelt vergeben. ","")&amp;IF(E289="","ex-Mieter fehlt. ","")&amp;IF(M289="","Haftungsdatum fehlt. ","")&amp;IF(F289="","Bewirtschafter fehlt. ","")&amp;IF(AND(AY289&lt;&gt;"",AW289=""),"Abgeschlossen trotz offener Schlussabrechnung. ","")&amp;IF(AND(AY289="",S289="",ISNUMBER(J289),J289&gt;60),"Langläufer über 60 Tage. ","")))</f>
        <v/>
      </c>
      <c r="L289" s="18" t="n"/>
      <c r="M289" s="18" t="n"/>
      <c r="N289" s="19">
        <f>IF(M289="","",M289+1)</f>
        <v/>
      </c>
      <c r="O289" s="17">
        <f>IF(OR(L289="",M289=""),"",M289-L289)</f>
        <v/>
      </c>
      <c r="P289" s="16">
        <f>IF(M289="","",YEAR(M289+1)&amp;"-"&amp;TEXT(MONTH(M289+1),"00"))</f>
        <v/>
      </c>
      <c r="Q289" s="18" t="n"/>
      <c r="R289" s="15" t="n"/>
      <c r="S289" s="18" t="n"/>
      <c r="T289" s="16">
        <f>IF(U289="","",IF(LEFT(U289,1)="6","abgeschlossen",IF(OR(LEFT(U289,1)="1",LEFT(U289,1)="2"),"Kündigung &amp; Abnahme",IF(OR(LEFT(U289,1)="3",LEFT(U289,1)="4"),"Wiedervermietung","Schlussabrechnung"))))</f>
        <v/>
      </c>
      <c r="U289" s="16">
        <f>IF($B289="","",IF(AY289&lt;&gt;"","6 · abgeschlossen",IF(AW289&lt;&gt;"","5 · bereit zum Abschluss",IF(AT289&lt;&gt;"","5 · Schlussabrechnung",IF(AO289&lt;&gt;"","4 · Übergabe",IF(AM289&lt;&gt;"","3 · Neuvermietung",IF(M289&lt;&gt;"","2 · Abnahme &amp; Vermarktung","1 · Erfassung")))))))</f>
        <v/>
      </c>
      <c r="V289" s="15" t="n"/>
      <c r="W289" s="20" t="n"/>
      <c r="X289" s="15" t="n"/>
      <c r="Y289" s="15" t="n"/>
      <c r="Z289" s="18" t="n"/>
      <c r="AA289" s="19">
        <f>IF(M289="","",M289-30)</f>
        <v/>
      </c>
      <c r="AB289" s="19">
        <f>IF(ISNUMBER(AJ289),AJ289+3,"")</f>
        <v/>
      </c>
      <c r="AC289" s="18" t="n"/>
      <c r="AD289" s="18" t="n"/>
      <c r="AE289" s="18" t="n"/>
      <c r="AF289" s="18" t="n"/>
      <c r="AG289" s="18" t="n"/>
      <c r="AH289" s="18" t="n"/>
      <c r="AI289" s="18" t="n"/>
      <c r="AJ289" s="18" t="n"/>
      <c r="AK289" s="18" t="n"/>
      <c r="AL289" s="18" t="n"/>
      <c r="AM289" s="18" t="n"/>
      <c r="AN289" s="18" t="n"/>
      <c r="AO289" s="18" t="n"/>
      <c r="AP289" s="18" t="n"/>
      <c r="AQ289" s="18" t="n"/>
      <c r="AR289" s="18" t="n"/>
      <c r="AS289" s="18" t="n"/>
      <c r="AT289" s="18" t="n"/>
      <c r="AU289" s="18" t="n"/>
      <c r="AV289" s="18" t="n"/>
      <c r="AW289" s="18" t="n"/>
      <c r="AX289" s="18" t="n"/>
      <c r="AY289" s="18" t="n"/>
      <c r="AZ289" s="15" t="n"/>
    </row>
    <row r="290">
      <c r="A290" s="15" t="n"/>
      <c r="B290" s="15" t="n"/>
      <c r="C290" s="15" t="n"/>
      <c r="D290" s="15" t="n"/>
      <c r="E290" s="15" t="n"/>
      <c r="F290" s="15" t="n"/>
      <c r="G290" s="16">
        <f>IF(F290="","",IFERROR(INDEX(Stammdaten!$B$5:$B$24,MATCH(F290,Stammdaten!$A$5:$A$24,0)),"unbekannt"))</f>
        <v/>
      </c>
      <c r="H290" s="16">
        <f>IF($B290="","",IF(AY290&lt;&gt;"","abgeschlossen",IF(AND(ISNUMBER(AX290),AX290&gt;=TODAY()),"zurückgestellt",IF(OR(AND(ISNUMBER(AA290),AA290&lt;TODAY(),Z290="",AJ290=""),AND(ISNUMBER(Z290),Z290&lt;TODAY(),AJ290=""),AND(ISNUMBER(AB290),AB290&lt;TODAY(),AK290=""),AND(ISNUMBER(AC290),AC290&lt;TODAY(),AO290=""),AND(ISNUMBER(AD290),AD290&lt;TODAY(),AQ290="")),"überfällig","offen"))))</f>
        <v/>
      </c>
      <c r="I290" s="16">
        <f>IF($B290="","",IF(AY290&lt;&gt;"","—",IF(AND(ISNUMBER(AA290),AA290&lt;TODAY(),Z290="",AJ290=""),"Abnahmetermin vereinbaren – Sollfrist verstrichen",IF(AND(ISNUMBER(Z290),Z290&lt;TODAY(),AJ290=""),"Wohnungsabnahme nachtragen – Termin war fällig",IF(AND(ISNUMBER(AB290),AB290&lt;TODAY(),AK290=""),"Handwerker aufbieten – Frist verstrichen",IF(AND(ISNUMBER(AC290),AC290&lt;TODAY(),AO290=""),"Vertrag retour mahnen – Frist verstrichen",IF(AND(ISNUMBER(AD290),AD290&lt;TODAY(),AQ290=""),"Schlüsselübergabe nachtragen – Termin war fällig",IF(M290="","Haftungsdatum erfassen",IF(E290="","ex-Mieter erfassen",IF(AE290="","Kündigung bestätigen / G-Rem",IF(AF290="","Werke / EGT melden",IF(AG290="","Vorbesichtigung (oder n.e.)",IF(AH290="","VMZ aktualisieren",IF(AI290="","Inserat aufschalten",IF(AND(Z290="",AJ290=""),"Abnahmetermin vereinbaren",IF(AJ290="","Wohnungsabnahme durchführen",IF(AK290="","Handwerker aufbieten",IF(AL290="","Zustimmungserklärung einholen",IF(AM290="","Instandstellungen beauftragen",IF(R290="","Nachmieter erfassen",IF(AN290="","Vertrag versenden",IF(AO290="","Vertrag retour erfassen",IF(S290="","Vermietet per erfassen",IF(AP290="","Werke / EGT über Einzug informieren",IF(AND(AD290="",AQ290=""),"Schlüsselübergabe terminieren",IF(AQ290="","Schlüsselübergabe durchführen",IF(AR290="","Reinigung veranlassen",IF(AS290="","Namensschilder bestellen",IF(AT290="","Kaution prüfen / G-Rem mutieren",IF(AU290="","Instandstellungs-Rechnung erfassen",IF(AV290="","Schlussabrechnung erstellen",IF(AW290="","Zahlungseingang kontrollieren","Fall abschliessen"))))))))))))))))))))))))))))))))</f>
        <v/>
      </c>
      <c r="J290" s="17">
        <f>IF(M290="","",IF(S290&lt;&gt;"",MAX(0,S290-M290-1),MAX(0,TODAY()-M290)))</f>
        <v/>
      </c>
      <c r="K290" s="16">
        <f>IF($B290="","",TRIM(IF(AND(L290&lt;&gt;"",M290&lt;&gt;"",M290&lt;L290),"Haftungsdatum vor Kündigung. ","")&amp;IF(AND(S290&lt;&gt;"",M290&lt;&gt;"",S290&lt;M290),"Vermietung vor Leerstandsbeginn. ","")&amp;IF(AND(Z290&lt;&gt;"",L290&lt;&gt;"",Z290&lt;L290),"WA-Termin vor Kündigung. ","")&amp;IF(COUNTIFS($B$5:$B$404,$B290,$AY$5:$AY$404,"")&gt;1,"Zweiter offener Fall zum selben Objekt. ","")&amp;IF(AND($A290&lt;&gt;"",COUNTIFS($A$5:$A$404,$A290)&gt;1),"Fall-Nr. doppelt vergeben. ","")&amp;IF(E290="","ex-Mieter fehlt. ","")&amp;IF(M290="","Haftungsdatum fehlt. ","")&amp;IF(F290="","Bewirtschafter fehlt. ","")&amp;IF(AND(AY290&lt;&gt;"",AW290=""),"Abgeschlossen trotz offener Schlussabrechnung. ","")&amp;IF(AND(AY290="",S290="",ISNUMBER(J290),J290&gt;60),"Langläufer über 60 Tage. ","")))</f>
        <v/>
      </c>
      <c r="L290" s="18" t="n"/>
      <c r="M290" s="18" t="n"/>
      <c r="N290" s="19">
        <f>IF(M290="","",M290+1)</f>
        <v/>
      </c>
      <c r="O290" s="17">
        <f>IF(OR(L290="",M290=""),"",M290-L290)</f>
        <v/>
      </c>
      <c r="P290" s="16">
        <f>IF(M290="","",YEAR(M290+1)&amp;"-"&amp;TEXT(MONTH(M290+1),"00"))</f>
        <v/>
      </c>
      <c r="Q290" s="18" t="n"/>
      <c r="R290" s="15" t="n"/>
      <c r="S290" s="18" t="n"/>
      <c r="T290" s="16">
        <f>IF(U290="","",IF(LEFT(U290,1)="6","abgeschlossen",IF(OR(LEFT(U290,1)="1",LEFT(U290,1)="2"),"Kündigung &amp; Abnahme",IF(OR(LEFT(U290,1)="3",LEFT(U290,1)="4"),"Wiedervermietung","Schlussabrechnung"))))</f>
        <v/>
      </c>
      <c r="U290" s="16">
        <f>IF($B290="","",IF(AY290&lt;&gt;"","6 · abgeschlossen",IF(AW290&lt;&gt;"","5 · bereit zum Abschluss",IF(AT290&lt;&gt;"","5 · Schlussabrechnung",IF(AO290&lt;&gt;"","4 · Übergabe",IF(AM290&lt;&gt;"","3 · Neuvermietung",IF(M290&lt;&gt;"","2 · Abnahme &amp; Vermarktung","1 · Erfassung")))))))</f>
        <v/>
      </c>
      <c r="V290" s="15" t="n"/>
      <c r="W290" s="20" t="n"/>
      <c r="X290" s="15" t="n"/>
      <c r="Y290" s="15" t="n"/>
      <c r="Z290" s="18" t="n"/>
      <c r="AA290" s="19">
        <f>IF(M290="","",M290-30)</f>
        <v/>
      </c>
      <c r="AB290" s="19">
        <f>IF(ISNUMBER(AJ290),AJ290+3,"")</f>
        <v/>
      </c>
      <c r="AC290" s="18" t="n"/>
      <c r="AD290" s="18" t="n"/>
      <c r="AE290" s="18" t="n"/>
      <c r="AF290" s="18" t="n"/>
      <c r="AG290" s="18" t="n"/>
      <c r="AH290" s="18" t="n"/>
      <c r="AI290" s="18" t="n"/>
      <c r="AJ290" s="18" t="n"/>
      <c r="AK290" s="18" t="n"/>
      <c r="AL290" s="18" t="n"/>
      <c r="AM290" s="18" t="n"/>
      <c r="AN290" s="18" t="n"/>
      <c r="AO290" s="18" t="n"/>
      <c r="AP290" s="18" t="n"/>
      <c r="AQ290" s="18" t="n"/>
      <c r="AR290" s="18" t="n"/>
      <c r="AS290" s="18" t="n"/>
      <c r="AT290" s="18" t="n"/>
      <c r="AU290" s="18" t="n"/>
      <c r="AV290" s="18" t="n"/>
      <c r="AW290" s="18" t="n"/>
      <c r="AX290" s="18" t="n"/>
      <c r="AY290" s="18" t="n"/>
      <c r="AZ290" s="15" t="n"/>
    </row>
    <row r="291">
      <c r="A291" s="15" t="n"/>
      <c r="B291" s="15" t="n"/>
      <c r="C291" s="15" t="n"/>
      <c r="D291" s="15" t="n"/>
      <c r="E291" s="15" t="n"/>
      <c r="F291" s="15" t="n"/>
      <c r="G291" s="16">
        <f>IF(F291="","",IFERROR(INDEX(Stammdaten!$B$5:$B$24,MATCH(F291,Stammdaten!$A$5:$A$24,0)),"unbekannt"))</f>
        <v/>
      </c>
      <c r="H291" s="16">
        <f>IF($B291="","",IF(AY291&lt;&gt;"","abgeschlossen",IF(AND(ISNUMBER(AX291),AX291&gt;=TODAY()),"zurückgestellt",IF(OR(AND(ISNUMBER(AA291),AA291&lt;TODAY(),Z291="",AJ291=""),AND(ISNUMBER(Z291),Z291&lt;TODAY(),AJ291=""),AND(ISNUMBER(AB291),AB291&lt;TODAY(),AK291=""),AND(ISNUMBER(AC291),AC291&lt;TODAY(),AO291=""),AND(ISNUMBER(AD291),AD291&lt;TODAY(),AQ291="")),"überfällig","offen"))))</f>
        <v/>
      </c>
      <c r="I291" s="16">
        <f>IF($B291="","",IF(AY291&lt;&gt;"","—",IF(AND(ISNUMBER(AA291),AA291&lt;TODAY(),Z291="",AJ291=""),"Abnahmetermin vereinbaren – Sollfrist verstrichen",IF(AND(ISNUMBER(Z291),Z291&lt;TODAY(),AJ291=""),"Wohnungsabnahme nachtragen – Termin war fällig",IF(AND(ISNUMBER(AB291),AB291&lt;TODAY(),AK291=""),"Handwerker aufbieten – Frist verstrichen",IF(AND(ISNUMBER(AC291),AC291&lt;TODAY(),AO291=""),"Vertrag retour mahnen – Frist verstrichen",IF(AND(ISNUMBER(AD291),AD291&lt;TODAY(),AQ291=""),"Schlüsselübergabe nachtragen – Termin war fällig",IF(M291="","Haftungsdatum erfassen",IF(E291="","ex-Mieter erfassen",IF(AE291="","Kündigung bestätigen / G-Rem",IF(AF291="","Werke / EGT melden",IF(AG291="","Vorbesichtigung (oder n.e.)",IF(AH291="","VMZ aktualisieren",IF(AI291="","Inserat aufschalten",IF(AND(Z291="",AJ291=""),"Abnahmetermin vereinbaren",IF(AJ291="","Wohnungsabnahme durchführen",IF(AK291="","Handwerker aufbieten",IF(AL291="","Zustimmungserklärung einholen",IF(AM291="","Instandstellungen beauftragen",IF(R291="","Nachmieter erfassen",IF(AN291="","Vertrag versenden",IF(AO291="","Vertrag retour erfassen",IF(S291="","Vermietet per erfassen",IF(AP291="","Werke / EGT über Einzug informieren",IF(AND(AD291="",AQ291=""),"Schlüsselübergabe terminieren",IF(AQ291="","Schlüsselübergabe durchführen",IF(AR291="","Reinigung veranlassen",IF(AS291="","Namensschilder bestellen",IF(AT291="","Kaution prüfen / G-Rem mutieren",IF(AU291="","Instandstellungs-Rechnung erfassen",IF(AV291="","Schlussabrechnung erstellen",IF(AW291="","Zahlungseingang kontrollieren","Fall abschliessen"))))))))))))))))))))))))))))))))</f>
        <v/>
      </c>
      <c r="J291" s="17">
        <f>IF(M291="","",IF(S291&lt;&gt;"",MAX(0,S291-M291-1),MAX(0,TODAY()-M291)))</f>
        <v/>
      </c>
      <c r="K291" s="16">
        <f>IF($B291="","",TRIM(IF(AND(L291&lt;&gt;"",M291&lt;&gt;"",M291&lt;L291),"Haftungsdatum vor Kündigung. ","")&amp;IF(AND(S291&lt;&gt;"",M291&lt;&gt;"",S291&lt;M291),"Vermietung vor Leerstandsbeginn. ","")&amp;IF(AND(Z291&lt;&gt;"",L291&lt;&gt;"",Z291&lt;L291),"WA-Termin vor Kündigung. ","")&amp;IF(COUNTIFS($B$5:$B$404,$B291,$AY$5:$AY$404,"")&gt;1,"Zweiter offener Fall zum selben Objekt. ","")&amp;IF(AND($A291&lt;&gt;"",COUNTIFS($A$5:$A$404,$A291)&gt;1),"Fall-Nr. doppelt vergeben. ","")&amp;IF(E291="","ex-Mieter fehlt. ","")&amp;IF(M291="","Haftungsdatum fehlt. ","")&amp;IF(F291="","Bewirtschafter fehlt. ","")&amp;IF(AND(AY291&lt;&gt;"",AW291=""),"Abgeschlossen trotz offener Schlussabrechnung. ","")&amp;IF(AND(AY291="",S291="",ISNUMBER(J291),J291&gt;60),"Langläufer über 60 Tage. ","")))</f>
        <v/>
      </c>
      <c r="L291" s="18" t="n"/>
      <c r="M291" s="18" t="n"/>
      <c r="N291" s="19">
        <f>IF(M291="","",M291+1)</f>
        <v/>
      </c>
      <c r="O291" s="17">
        <f>IF(OR(L291="",M291=""),"",M291-L291)</f>
        <v/>
      </c>
      <c r="P291" s="16">
        <f>IF(M291="","",YEAR(M291+1)&amp;"-"&amp;TEXT(MONTH(M291+1),"00"))</f>
        <v/>
      </c>
      <c r="Q291" s="18" t="n"/>
      <c r="R291" s="15" t="n"/>
      <c r="S291" s="18" t="n"/>
      <c r="T291" s="16">
        <f>IF(U291="","",IF(LEFT(U291,1)="6","abgeschlossen",IF(OR(LEFT(U291,1)="1",LEFT(U291,1)="2"),"Kündigung &amp; Abnahme",IF(OR(LEFT(U291,1)="3",LEFT(U291,1)="4"),"Wiedervermietung","Schlussabrechnung"))))</f>
        <v/>
      </c>
      <c r="U291" s="16">
        <f>IF($B291="","",IF(AY291&lt;&gt;"","6 · abgeschlossen",IF(AW291&lt;&gt;"","5 · bereit zum Abschluss",IF(AT291&lt;&gt;"","5 · Schlussabrechnung",IF(AO291&lt;&gt;"","4 · Übergabe",IF(AM291&lt;&gt;"","3 · Neuvermietung",IF(M291&lt;&gt;"","2 · Abnahme &amp; Vermarktung","1 · Erfassung")))))))</f>
        <v/>
      </c>
      <c r="V291" s="15" t="n"/>
      <c r="W291" s="20" t="n"/>
      <c r="X291" s="15" t="n"/>
      <c r="Y291" s="15" t="n"/>
      <c r="Z291" s="18" t="n"/>
      <c r="AA291" s="19">
        <f>IF(M291="","",M291-30)</f>
        <v/>
      </c>
      <c r="AB291" s="19">
        <f>IF(ISNUMBER(AJ291),AJ291+3,"")</f>
        <v/>
      </c>
      <c r="AC291" s="18" t="n"/>
      <c r="AD291" s="18" t="n"/>
      <c r="AE291" s="18" t="n"/>
      <c r="AF291" s="18" t="n"/>
      <c r="AG291" s="18" t="n"/>
      <c r="AH291" s="18" t="n"/>
      <c r="AI291" s="18" t="n"/>
      <c r="AJ291" s="18" t="n"/>
      <c r="AK291" s="18" t="n"/>
      <c r="AL291" s="18" t="n"/>
      <c r="AM291" s="18" t="n"/>
      <c r="AN291" s="18" t="n"/>
      <c r="AO291" s="18" t="n"/>
      <c r="AP291" s="18" t="n"/>
      <c r="AQ291" s="18" t="n"/>
      <c r="AR291" s="18" t="n"/>
      <c r="AS291" s="18" t="n"/>
      <c r="AT291" s="18" t="n"/>
      <c r="AU291" s="18" t="n"/>
      <c r="AV291" s="18" t="n"/>
      <c r="AW291" s="18" t="n"/>
      <c r="AX291" s="18" t="n"/>
      <c r="AY291" s="18" t="n"/>
      <c r="AZ291" s="15" t="n"/>
    </row>
    <row r="292">
      <c r="A292" s="15" t="n"/>
      <c r="B292" s="15" t="n"/>
      <c r="C292" s="15" t="n"/>
      <c r="D292" s="15" t="n"/>
      <c r="E292" s="15" t="n"/>
      <c r="F292" s="15" t="n"/>
      <c r="G292" s="16">
        <f>IF(F292="","",IFERROR(INDEX(Stammdaten!$B$5:$B$24,MATCH(F292,Stammdaten!$A$5:$A$24,0)),"unbekannt"))</f>
        <v/>
      </c>
      <c r="H292" s="16">
        <f>IF($B292="","",IF(AY292&lt;&gt;"","abgeschlossen",IF(AND(ISNUMBER(AX292),AX292&gt;=TODAY()),"zurückgestellt",IF(OR(AND(ISNUMBER(AA292),AA292&lt;TODAY(),Z292="",AJ292=""),AND(ISNUMBER(Z292),Z292&lt;TODAY(),AJ292=""),AND(ISNUMBER(AB292),AB292&lt;TODAY(),AK292=""),AND(ISNUMBER(AC292),AC292&lt;TODAY(),AO292=""),AND(ISNUMBER(AD292),AD292&lt;TODAY(),AQ292="")),"überfällig","offen"))))</f>
        <v/>
      </c>
      <c r="I292" s="16">
        <f>IF($B292="","",IF(AY292&lt;&gt;"","—",IF(AND(ISNUMBER(AA292),AA292&lt;TODAY(),Z292="",AJ292=""),"Abnahmetermin vereinbaren – Sollfrist verstrichen",IF(AND(ISNUMBER(Z292),Z292&lt;TODAY(),AJ292=""),"Wohnungsabnahme nachtragen – Termin war fällig",IF(AND(ISNUMBER(AB292),AB292&lt;TODAY(),AK292=""),"Handwerker aufbieten – Frist verstrichen",IF(AND(ISNUMBER(AC292),AC292&lt;TODAY(),AO292=""),"Vertrag retour mahnen – Frist verstrichen",IF(AND(ISNUMBER(AD292),AD292&lt;TODAY(),AQ292=""),"Schlüsselübergabe nachtragen – Termin war fällig",IF(M292="","Haftungsdatum erfassen",IF(E292="","ex-Mieter erfassen",IF(AE292="","Kündigung bestätigen / G-Rem",IF(AF292="","Werke / EGT melden",IF(AG292="","Vorbesichtigung (oder n.e.)",IF(AH292="","VMZ aktualisieren",IF(AI292="","Inserat aufschalten",IF(AND(Z292="",AJ292=""),"Abnahmetermin vereinbaren",IF(AJ292="","Wohnungsabnahme durchführen",IF(AK292="","Handwerker aufbieten",IF(AL292="","Zustimmungserklärung einholen",IF(AM292="","Instandstellungen beauftragen",IF(R292="","Nachmieter erfassen",IF(AN292="","Vertrag versenden",IF(AO292="","Vertrag retour erfassen",IF(S292="","Vermietet per erfassen",IF(AP292="","Werke / EGT über Einzug informieren",IF(AND(AD292="",AQ292=""),"Schlüsselübergabe terminieren",IF(AQ292="","Schlüsselübergabe durchführen",IF(AR292="","Reinigung veranlassen",IF(AS292="","Namensschilder bestellen",IF(AT292="","Kaution prüfen / G-Rem mutieren",IF(AU292="","Instandstellungs-Rechnung erfassen",IF(AV292="","Schlussabrechnung erstellen",IF(AW292="","Zahlungseingang kontrollieren","Fall abschliessen"))))))))))))))))))))))))))))))))</f>
        <v/>
      </c>
      <c r="J292" s="17">
        <f>IF(M292="","",IF(S292&lt;&gt;"",MAX(0,S292-M292-1),MAX(0,TODAY()-M292)))</f>
        <v/>
      </c>
      <c r="K292" s="16">
        <f>IF($B292="","",TRIM(IF(AND(L292&lt;&gt;"",M292&lt;&gt;"",M292&lt;L292),"Haftungsdatum vor Kündigung. ","")&amp;IF(AND(S292&lt;&gt;"",M292&lt;&gt;"",S292&lt;M292),"Vermietung vor Leerstandsbeginn. ","")&amp;IF(AND(Z292&lt;&gt;"",L292&lt;&gt;"",Z292&lt;L292),"WA-Termin vor Kündigung. ","")&amp;IF(COUNTIFS($B$5:$B$404,$B292,$AY$5:$AY$404,"")&gt;1,"Zweiter offener Fall zum selben Objekt. ","")&amp;IF(AND($A292&lt;&gt;"",COUNTIFS($A$5:$A$404,$A292)&gt;1),"Fall-Nr. doppelt vergeben. ","")&amp;IF(E292="","ex-Mieter fehlt. ","")&amp;IF(M292="","Haftungsdatum fehlt. ","")&amp;IF(F292="","Bewirtschafter fehlt. ","")&amp;IF(AND(AY292&lt;&gt;"",AW292=""),"Abgeschlossen trotz offener Schlussabrechnung. ","")&amp;IF(AND(AY292="",S292="",ISNUMBER(J292),J292&gt;60),"Langläufer über 60 Tage. ","")))</f>
        <v/>
      </c>
      <c r="L292" s="18" t="n"/>
      <c r="M292" s="18" t="n"/>
      <c r="N292" s="19">
        <f>IF(M292="","",M292+1)</f>
        <v/>
      </c>
      <c r="O292" s="17">
        <f>IF(OR(L292="",M292=""),"",M292-L292)</f>
        <v/>
      </c>
      <c r="P292" s="16">
        <f>IF(M292="","",YEAR(M292+1)&amp;"-"&amp;TEXT(MONTH(M292+1),"00"))</f>
        <v/>
      </c>
      <c r="Q292" s="18" t="n"/>
      <c r="R292" s="15" t="n"/>
      <c r="S292" s="18" t="n"/>
      <c r="T292" s="16">
        <f>IF(U292="","",IF(LEFT(U292,1)="6","abgeschlossen",IF(OR(LEFT(U292,1)="1",LEFT(U292,1)="2"),"Kündigung &amp; Abnahme",IF(OR(LEFT(U292,1)="3",LEFT(U292,1)="4"),"Wiedervermietung","Schlussabrechnung"))))</f>
        <v/>
      </c>
      <c r="U292" s="16">
        <f>IF($B292="","",IF(AY292&lt;&gt;"","6 · abgeschlossen",IF(AW292&lt;&gt;"","5 · bereit zum Abschluss",IF(AT292&lt;&gt;"","5 · Schlussabrechnung",IF(AO292&lt;&gt;"","4 · Übergabe",IF(AM292&lt;&gt;"","3 · Neuvermietung",IF(M292&lt;&gt;"","2 · Abnahme &amp; Vermarktung","1 · Erfassung")))))))</f>
        <v/>
      </c>
      <c r="V292" s="15" t="n"/>
      <c r="W292" s="20" t="n"/>
      <c r="X292" s="15" t="n"/>
      <c r="Y292" s="15" t="n"/>
      <c r="Z292" s="18" t="n"/>
      <c r="AA292" s="19">
        <f>IF(M292="","",M292-30)</f>
        <v/>
      </c>
      <c r="AB292" s="19">
        <f>IF(ISNUMBER(AJ292),AJ292+3,"")</f>
        <v/>
      </c>
      <c r="AC292" s="18" t="n"/>
      <c r="AD292" s="18" t="n"/>
      <c r="AE292" s="18" t="n"/>
      <c r="AF292" s="18" t="n"/>
      <c r="AG292" s="18" t="n"/>
      <c r="AH292" s="18" t="n"/>
      <c r="AI292" s="18" t="n"/>
      <c r="AJ292" s="18" t="n"/>
      <c r="AK292" s="18" t="n"/>
      <c r="AL292" s="18" t="n"/>
      <c r="AM292" s="18" t="n"/>
      <c r="AN292" s="18" t="n"/>
      <c r="AO292" s="18" t="n"/>
      <c r="AP292" s="18" t="n"/>
      <c r="AQ292" s="18" t="n"/>
      <c r="AR292" s="18" t="n"/>
      <c r="AS292" s="18" t="n"/>
      <c r="AT292" s="18" t="n"/>
      <c r="AU292" s="18" t="n"/>
      <c r="AV292" s="18" t="n"/>
      <c r="AW292" s="18" t="n"/>
      <c r="AX292" s="18" t="n"/>
      <c r="AY292" s="18" t="n"/>
      <c r="AZ292" s="15" t="n"/>
    </row>
    <row r="293">
      <c r="A293" s="15" t="n"/>
      <c r="B293" s="15" t="n"/>
      <c r="C293" s="15" t="n"/>
      <c r="D293" s="15" t="n"/>
      <c r="E293" s="15" t="n"/>
      <c r="F293" s="15" t="n"/>
      <c r="G293" s="16">
        <f>IF(F293="","",IFERROR(INDEX(Stammdaten!$B$5:$B$24,MATCH(F293,Stammdaten!$A$5:$A$24,0)),"unbekannt"))</f>
        <v/>
      </c>
      <c r="H293" s="16">
        <f>IF($B293="","",IF(AY293&lt;&gt;"","abgeschlossen",IF(AND(ISNUMBER(AX293),AX293&gt;=TODAY()),"zurückgestellt",IF(OR(AND(ISNUMBER(AA293),AA293&lt;TODAY(),Z293="",AJ293=""),AND(ISNUMBER(Z293),Z293&lt;TODAY(),AJ293=""),AND(ISNUMBER(AB293),AB293&lt;TODAY(),AK293=""),AND(ISNUMBER(AC293),AC293&lt;TODAY(),AO293=""),AND(ISNUMBER(AD293),AD293&lt;TODAY(),AQ293="")),"überfällig","offen"))))</f>
        <v/>
      </c>
      <c r="I293" s="16">
        <f>IF($B293="","",IF(AY293&lt;&gt;"","—",IF(AND(ISNUMBER(AA293),AA293&lt;TODAY(),Z293="",AJ293=""),"Abnahmetermin vereinbaren – Sollfrist verstrichen",IF(AND(ISNUMBER(Z293),Z293&lt;TODAY(),AJ293=""),"Wohnungsabnahme nachtragen – Termin war fällig",IF(AND(ISNUMBER(AB293),AB293&lt;TODAY(),AK293=""),"Handwerker aufbieten – Frist verstrichen",IF(AND(ISNUMBER(AC293),AC293&lt;TODAY(),AO293=""),"Vertrag retour mahnen – Frist verstrichen",IF(AND(ISNUMBER(AD293),AD293&lt;TODAY(),AQ293=""),"Schlüsselübergabe nachtragen – Termin war fällig",IF(M293="","Haftungsdatum erfassen",IF(E293="","ex-Mieter erfassen",IF(AE293="","Kündigung bestätigen / G-Rem",IF(AF293="","Werke / EGT melden",IF(AG293="","Vorbesichtigung (oder n.e.)",IF(AH293="","VMZ aktualisieren",IF(AI293="","Inserat aufschalten",IF(AND(Z293="",AJ293=""),"Abnahmetermin vereinbaren",IF(AJ293="","Wohnungsabnahme durchführen",IF(AK293="","Handwerker aufbieten",IF(AL293="","Zustimmungserklärung einholen",IF(AM293="","Instandstellungen beauftragen",IF(R293="","Nachmieter erfassen",IF(AN293="","Vertrag versenden",IF(AO293="","Vertrag retour erfassen",IF(S293="","Vermietet per erfassen",IF(AP293="","Werke / EGT über Einzug informieren",IF(AND(AD293="",AQ293=""),"Schlüsselübergabe terminieren",IF(AQ293="","Schlüsselübergabe durchführen",IF(AR293="","Reinigung veranlassen",IF(AS293="","Namensschilder bestellen",IF(AT293="","Kaution prüfen / G-Rem mutieren",IF(AU293="","Instandstellungs-Rechnung erfassen",IF(AV293="","Schlussabrechnung erstellen",IF(AW293="","Zahlungseingang kontrollieren","Fall abschliessen"))))))))))))))))))))))))))))))))</f>
        <v/>
      </c>
      <c r="J293" s="17">
        <f>IF(M293="","",IF(S293&lt;&gt;"",MAX(0,S293-M293-1),MAX(0,TODAY()-M293)))</f>
        <v/>
      </c>
      <c r="K293" s="16">
        <f>IF($B293="","",TRIM(IF(AND(L293&lt;&gt;"",M293&lt;&gt;"",M293&lt;L293),"Haftungsdatum vor Kündigung. ","")&amp;IF(AND(S293&lt;&gt;"",M293&lt;&gt;"",S293&lt;M293),"Vermietung vor Leerstandsbeginn. ","")&amp;IF(AND(Z293&lt;&gt;"",L293&lt;&gt;"",Z293&lt;L293),"WA-Termin vor Kündigung. ","")&amp;IF(COUNTIFS($B$5:$B$404,$B293,$AY$5:$AY$404,"")&gt;1,"Zweiter offener Fall zum selben Objekt. ","")&amp;IF(AND($A293&lt;&gt;"",COUNTIFS($A$5:$A$404,$A293)&gt;1),"Fall-Nr. doppelt vergeben. ","")&amp;IF(E293="","ex-Mieter fehlt. ","")&amp;IF(M293="","Haftungsdatum fehlt. ","")&amp;IF(F293="","Bewirtschafter fehlt. ","")&amp;IF(AND(AY293&lt;&gt;"",AW293=""),"Abgeschlossen trotz offener Schlussabrechnung. ","")&amp;IF(AND(AY293="",S293="",ISNUMBER(J293),J293&gt;60),"Langläufer über 60 Tage. ","")))</f>
        <v/>
      </c>
      <c r="L293" s="18" t="n"/>
      <c r="M293" s="18" t="n"/>
      <c r="N293" s="19">
        <f>IF(M293="","",M293+1)</f>
        <v/>
      </c>
      <c r="O293" s="17">
        <f>IF(OR(L293="",M293=""),"",M293-L293)</f>
        <v/>
      </c>
      <c r="P293" s="16">
        <f>IF(M293="","",YEAR(M293+1)&amp;"-"&amp;TEXT(MONTH(M293+1),"00"))</f>
        <v/>
      </c>
      <c r="Q293" s="18" t="n"/>
      <c r="R293" s="15" t="n"/>
      <c r="S293" s="18" t="n"/>
      <c r="T293" s="16">
        <f>IF(U293="","",IF(LEFT(U293,1)="6","abgeschlossen",IF(OR(LEFT(U293,1)="1",LEFT(U293,1)="2"),"Kündigung &amp; Abnahme",IF(OR(LEFT(U293,1)="3",LEFT(U293,1)="4"),"Wiedervermietung","Schlussabrechnung"))))</f>
        <v/>
      </c>
      <c r="U293" s="16">
        <f>IF($B293="","",IF(AY293&lt;&gt;"","6 · abgeschlossen",IF(AW293&lt;&gt;"","5 · bereit zum Abschluss",IF(AT293&lt;&gt;"","5 · Schlussabrechnung",IF(AO293&lt;&gt;"","4 · Übergabe",IF(AM293&lt;&gt;"","3 · Neuvermietung",IF(M293&lt;&gt;"","2 · Abnahme &amp; Vermarktung","1 · Erfassung")))))))</f>
        <v/>
      </c>
      <c r="V293" s="15" t="n"/>
      <c r="W293" s="20" t="n"/>
      <c r="X293" s="15" t="n"/>
      <c r="Y293" s="15" t="n"/>
      <c r="Z293" s="18" t="n"/>
      <c r="AA293" s="19">
        <f>IF(M293="","",M293-30)</f>
        <v/>
      </c>
      <c r="AB293" s="19">
        <f>IF(ISNUMBER(AJ293),AJ293+3,"")</f>
        <v/>
      </c>
      <c r="AC293" s="18" t="n"/>
      <c r="AD293" s="18" t="n"/>
      <c r="AE293" s="18" t="n"/>
      <c r="AF293" s="18" t="n"/>
      <c r="AG293" s="18" t="n"/>
      <c r="AH293" s="18" t="n"/>
      <c r="AI293" s="18" t="n"/>
      <c r="AJ293" s="18" t="n"/>
      <c r="AK293" s="18" t="n"/>
      <c r="AL293" s="18" t="n"/>
      <c r="AM293" s="18" t="n"/>
      <c r="AN293" s="18" t="n"/>
      <c r="AO293" s="18" t="n"/>
      <c r="AP293" s="18" t="n"/>
      <c r="AQ293" s="18" t="n"/>
      <c r="AR293" s="18" t="n"/>
      <c r="AS293" s="18" t="n"/>
      <c r="AT293" s="18" t="n"/>
      <c r="AU293" s="18" t="n"/>
      <c r="AV293" s="18" t="n"/>
      <c r="AW293" s="18" t="n"/>
      <c r="AX293" s="18" t="n"/>
      <c r="AY293" s="18" t="n"/>
      <c r="AZ293" s="15" t="n"/>
    </row>
    <row r="294">
      <c r="A294" s="15" t="n"/>
      <c r="B294" s="15" t="n"/>
      <c r="C294" s="15" t="n"/>
      <c r="D294" s="15" t="n"/>
      <c r="E294" s="15" t="n"/>
      <c r="F294" s="15" t="n"/>
      <c r="G294" s="16">
        <f>IF(F294="","",IFERROR(INDEX(Stammdaten!$B$5:$B$24,MATCH(F294,Stammdaten!$A$5:$A$24,0)),"unbekannt"))</f>
        <v/>
      </c>
      <c r="H294" s="16">
        <f>IF($B294="","",IF(AY294&lt;&gt;"","abgeschlossen",IF(AND(ISNUMBER(AX294),AX294&gt;=TODAY()),"zurückgestellt",IF(OR(AND(ISNUMBER(AA294),AA294&lt;TODAY(),Z294="",AJ294=""),AND(ISNUMBER(Z294),Z294&lt;TODAY(),AJ294=""),AND(ISNUMBER(AB294),AB294&lt;TODAY(),AK294=""),AND(ISNUMBER(AC294),AC294&lt;TODAY(),AO294=""),AND(ISNUMBER(AD294),AD294&lt;TODAY(),AQ294="")),"überfällig","offen"))))</f>
        <v/>
      </c>
      <c r="I294" s="16">
        <f>IF($B294="","",IF(AY294&lt;&gt;"","—",IF(AND(ISNUMBER(AA294),AA294&lt;TODAY(),Z294="",AJ294=""),"Abnahmetermin vereinbaren – Sollfrist verstrichen",IF(AND(ISNUMBER(Z294),Z294&lt;TODAY(),AJ294=""),"Wohnungsabnahme nachtragen – Termin war fällig",IF(AND(ISNUMBER(AB294),AB294&lt;TODAY(),AK294=""),"Handwerker aufbieten – Frist verstrichen",IF(AND(ISNUMBER(AC294),AC294&lt;TODAY(),AO294=""),"Vertrag retour mahnen – Frist verstrichen",IF(AND(ISNUMBER(AD294),AD294&lt;TODAY(),AQ294=""),"Schlüsselübergabe nachtragen – Termin war fällig",IF(M294="","Haftungsdatum erfassen",IF(E294="","ex-Mieter erfassen",IF(AE294="","Kündigung bestätigen / G-Rem",IF(AF294="","Werke / EGT melden",IF(AG294="","Vorbesichtigung (oder n.e.)",IF(AH294="","VMZ aktualisieren",IF(AI294="","Inserat aufschalten",IF(AND(Z294="",AJ294=""),"Abnahmetermin vereinbaren",IF(AJ294="","Wohnungsabnahme durchführen",IF(AK294="","Handwerker aufbieten",IF(AL294="","Zustimmungserklärung einholen",IF(AM294="","Instandstellungen beauftragen",IF(R294="","Nachmieter erfassen",IF(AN294="","Vertrag versenden",IF(AO294="","Vertrag retour erfassen",IF(S294="","Vermietet per erfassen",IF(AP294="","Werke / EGT über Einzug informieren",IF(AND(AD294="",AQ294=""),"Schlüsselübergabe terminieren",IF(AQ294="","Schlüsselübergabe durchführen",IF(AR294="","Reinigung veranlassen",IF(AS294="","Namensschilder bestellen",IF(AT294="","Kaution prüfen / G-Rem mutieren",IF(AU294="","Instandstellungs-Rechnung erfassen",IF(AV294="","Schlussabrechnung erstellen",IF(AW294="","Zahlungseingang kontrollieren","Fall abschliessen"))))))))))))))))))))))))))))))))</f>
        <v/>
      </c>
      <c r="J294" s="17">
        <f>IF(M294="","",IF(S294&lt;&gt;"",MAX(0,S294-M294-1),MAX(0,TODAY()-M294)))</f>
        <v/>
      </c>
      <c r="K294" s="16">
        <f>IF($B294="","",TRIM(IF(AND(L294&lt;&gt;"",M294&lt;&gt;"",M294&lt;L294),"Haftungsdatum vor Kündigung. ","")&amp;IF(AND(S294&lt;&gt;"",M294&lt;&gt;"",S294&lt;M294),"Vermietung vor Leerstandsbeginn. ","")&amp;IF(AND(Z294&lt;&gt;"",L294&lt;&gt;"",Z294&lt;L294),"WA-Termin vor Kündigung. ","")&amp;IF(COUNTIFS($B$5:$B$404,$B294,$AY$5:$AY$404,"")&gt;1,"Zweiter offener Fall zum selben Objekt. ","")&amp;IF(AND($A294&lt;&gt;"",COUNTIFS($A$5:$A$404,$A294)&gt;1),"Fall-Nr. doppelt vergeben. ","")&amp;IF(E294="","ex-Mieter fehlt. ","")&amp;IF(M294="","Haftungsdatum fehlt. ","")&amp;IF(F294="","Bewirtschafter fehlt. ","")&amp;IF(AND(AY294&lt;&gt;"",AW294=""),"Abgeschlossen trotz offener Schlussabrechnung. ","")&amp;IF(AND(AY294="",S294="",ISNUMBER(J294),J294&gt;60),"Langläufer über 60 Tage. ","")))</f>
        <v/>
      </c>
      <c r="L294" s="18" t="n"/>
      <c r="M294" s="18" t="n"/>
      <c r="N294" s="19">
        <f>IF(M294="","",M294+1)</f>
        <v/>
      </c>
      <c r="O294" s="17">
        <f>IF(OR(L294="",M294=""),"",M294-L294)</f>
        <v/>
      </c>
      <c r="P294" s="16">
        <f>IF(M294="","",YEAR(M294+1)&amp;"-"&amp;TEXT(MONTH(M294+1),"00"))</f>
        <v/>
      </c>
      <c r="Q294" s="18" t="n"/>
      <c r="R294" s="15" t="n"/>
      <c r="S294" s="18" t="n"/>
      <c r="T294" s="16">
        <f>IF(U294="","",IF(LEFT(U294,1)="6","abgeschlossen",IF(OR(LEFT(U294,1)="1",LEFT(U294,1)="2"),"Kündigung &amp; Abnahme",IF(OR(LEFT(U294,1)="3",LEFT(U294,1)="4"),"Wiedervermietung","Schlussabrechnung"))))</f>
        <v/>
      </c>
      <c r="U294" s="16">
        <f>IF($B294="","",IF(AY294&lt;&gt;"","6 · abgeschlossen",IF(AW294&lt;&gt;"","5 · bereit zum Abschluss",IF(AT294&lt;&gt;"","5 · Schlussabrechnung",IF(AO294&lt;&gt;"","4 · Übergabe",IF(AM294&lt;&gt;"","3 · Neuvermietung",IF(M294&lt;&gt;"","2 · Abnahme &amp; Vermarktung","1 · Erfassung")))))))</f>
        <v/>
      </c>
      <c r="V294" s="15" t="n"/>
      <c r="W294" s="20" t="n"/>
      <c r="X294" s="15" t="n"/>
      <c r="Y294" s="15" t="n"/>
      <c r="Z294" s="18" t="n"/>
      <c r="AA294" s="19">
        <f>IF(M294="","",M294-30)</f>
        <v/>
      </c>
      <c r="AB294" s="19">
        <f>IF(ISNUMBER(AJ294),AJ294+3,"")</f>
        <v/>
      </c>
      <c r="AC294" s="18" t="n"/>
      <c r="AD294" s="18" t="n"/>
      <c r="AE294" s="18" t="n"/>
      <c r="AF294" s="18" t="n"/>
      <c r="AG294" s="18" t="n"/>
      <c r="AH294" s="18" t="n"/>
      <c r="AI294" s="18" t="n"/>
      <c r="AJ294" s="18" t="n"/>
      <c r="AK294" s="18" t="n"/>
      <c r="AL294" s="18" t="n"/>
      <c r="AM294" s="18" t="n"/>
      <c r="AN294" s="18" t="n"/>
      <c r="AO294" s="18" t="n"/>
      <c r="AP294" s="18" t="n"/>
      <c r="AQ294" s="18" t="n"/>
      <c r="AR294" s="18" t="n"/>
      <c r="AS294" s="18" t="n"/>
      <c r="AT294" s="18" t="n"/>
      <c r="AU294" s="18" t="n"/>
      <c r="AV294" s="18" t="n"/>
      <c r="AW294" s="18" t="n"/>
      <c r="AX294" s="18" t="n"/>
      <c r="AY294" s="18" t="n"/>
      <c r="AZ294" s="15" t="n"/>
    </row>
    <row r="295">
      <c r="A295" s="15" t="n"/>
      <c r="B295" s="15" t="n"/>
      <c r="C295" s="15" t="n"/>
      <c r="D295" s="15" t="n"/>
      <c r="E295" s="15" t="n"/>
      <c r="F295" s="15" t="n"/>
      <c r="G295" s="16">
        <f>IF(F295="","",IFERROR(INDEX(Stammdaten!$B$5:$B$24,MATCH(F295,Stammdaten!$A$5:$A$24,0)),"unbekannt"))</f>
        <v/>
      </c>
      <c r="H295" s="16">
        <f>IF($B295="","",IF(AY295&lt;&gt;"","abgeschlossen",IF(AND(ISNUMBER(AX295),AX295&gt;=TODAY()),"zurückgestellt",IF(OR(AND(ISNUMBER(AA295),AA295&lt;TODAY(),Z295="",AJ295=""),AND(ISNUMBER(Z295),Z295&lt;TODAY(),AJ295=""),AND(ISNUMBER(AB295),AB295&lt;TODAY(),AK295=""),AND(ISNUMBER(AC295),AC295&lt;TODAY(),AO295=""),AND(ISNUMBER(AD295),AD295&lt;TODAY(),AQ295="")),"überfällig","offen"))))</f>
        <v/>
      </c>
      <c r="I295" s="16">
        <f>IF($B295="","",IF(AY295&lt;&gt;"","—",IF(AND(ISNUMBER(AA295),AA295&lt;TODAY(),Z295="",AJ295=""),"Abnahmetermin vereinbaren – Sollfrist verstrichen",IF(AND(ISNUMBER(Z295),Z295&lt;TODAY(),AJ295=""),"Wohnungsabnahme nachtragen – Termin war fällig",IF(AND(ISNUMBER(AB295),AB295&lt;TODAY(),AK295=""),"Handwerker aufbieten – Frist verstrichen",IF(AND(ISNUMBER(AC295),AC295&lt;TODAY(),AO295=""),"Vertrag retour mahnen – Frist verstrichen",IF(AND(ISNUMBER(AD295),AD295&lt;TODAY(),AQ295=""),"Schlüsselübergabe nachtragen – Termin war fällig",IF(M295="","Haftungsdatum erfassen",IF(E295="","ex-Mieter erfassen",IF(AE295="","Kündigung bestätigen / G-Rem",IF(AF295="","Werke / EGT melden",IF(AG295="","Vorbesichtigung (oder n.e.)",IF(AH295="","VMZ aktualisieren",IF(AI295="","Inserat aufschalten",IF(AND(Z295="",AJ295=""),"Abnahmetermin vereinbaren",IF(AJ295="","Wohnungsabnahme durchführen",IF(AK295="","Handwerker aufbieten",IF(AL295="","Zustimmungserklärung einholen",IF(AM295="","Instandstellungen beauftragen",IF(R295="","Nachmieter erfassen",IF(AN295="","Vertrag versenden",IF(AO295="","Vertrag retour erfassen",IF(S295="","Vermietet per erfassen",IF(AP295="","Werke / EGT über Einzug informieren",IF(AND(AD295="",AQ295=""),"Schlüsselübergabe terminieren",IF(AQ295="","Schlüsselübergabe durchführen",IF(AR295="","Reinigung veranlassen",IF(AS295="","Namensschilder bestellen",IF(AT295="","Kaution prüfen / G-Rem mutieren",IF(AU295="","Instandstellungs-Rechnung erfassen",IF(AV295="","Schlussabrechnung erstellen",IF(AW295="","Zahlungseingang kontrollieren","Fall abschliessen"))))))))))))))))))))))))))))))))</f>
        <v/>
      </c>
      <c r="J295" s="17">
        <f>IF(M295="","",IF(S295&lt;&gt;"",MAX(0,S295-M295-1),MAX(0,TODAY()-M295)))</f>
        <v/>
      </c>
      <c r="K295" s="16">
        <f>IF($B295="","",TRIM(IF(AND(L295&lt;&gt;"",M295&lt;&gt;"",M295&lt;L295),"Haftungsdatum vor Kündigung. ","")&amp;IF(AND(S295&lt;&gt;"",M295&lt;&gt;"",S295&lt;M295),"Vermietung vor Leerstandsbeginn. ","")&amp;IF(AND(Z295&lt;&gt;"",L295&lt;&gt;"",Z295&lt;L295),"WA-Termin vor Kündigung. ","")&amp;IF(COUNTIFS($B$5:$B$404,$B295,$AY$5:$AY$404,"")&gt;1,"Zweiter offener Fall zum selben Objekt. ","")&amp;IF(AND($A295&lt;&gt;"",COUNTIFS($A$5:$A$404,$A295)&gt;1),"Fall-Nr. doppelt vergeben. ","")&amp;IF(E295="","ex-Mieter fehlt. ","")&amp;IF(M295="","Haftungsdatum fehlt. ","")&amp;IF(F295="","Bewirtschafter fehlt. ","")&amp;IF(AND(AY295&lt;&gt;"",AW295=""),"Abgeschlossen trotz offener Schlussabrechnung. ","")&amp;IF(AND(AY295="",S295="",ISNUMBER(J295),J295&gt;60),"Langläufer über 60 Tage. ","")))</f>
        <v/>
      </c>
      <c r="L295" s="18" t="n"/>
      <c r="M295" s="18" t="n"/>
      <c r="N295" s="19">
        <f>IF(M295="","",M295+1)</f>
        <v/>
      </c>
      <c r="O295" s="17">
        <f>IF(OR(L295="",M295=""),"",M295-L295)</f>
        <v/>
      </c>
      <c r="P295" s="16">
        <f>IF(M295="","",YEAR(M295+1)&amp;"-"&amp;TEXT(MONTH(M295+1),"00"))</f>
        <v/>
      </c>
      <c r="Q295" s="18" t="n"/>
      <c r="R295" s="15" t="n"/>
      <c r="S295" s="18" t="n"/>
      <c r="T295" s="16">
        <f>IF(U295="","",IF(LEFT(U295,1)="6","abgeschlossen",IF(OR(LEFT(U295,1)="1",LEFT(U295,1)="2"),"Kündigung &amp; Abnahme",IF(OR(LEFT(U295,1)="3",LEFT(U295,1)="4"),"Wiedervermietung","Schlussabrechnung"))))</f>
        <v/>
      </c>
      <c r="U295" s="16">
        <f>IF($B295="","",IF(AY295&lt;&gt;"","6 · abgeschlossen",IF(AW295&lt;&gt;"","5 · bereit zum Abschluss",IF(AT295&lt;&gt;"","5 · Schlussabrechnung",IF(AO295&lt;&gt;"","4 · Übergabe",IF(AM295&lt;&gt;"","3 · Neuvermietung",IF(M295&lt;&gt;"","2 · Abnahme &amp; Vermarktung","1 · Erfassung")))))))</f>
        <v/>
      </c>
      <c r="V295" s="15" t="n"/>
      <c r="W295" s="20" t="n"/>
      <c r="X295" s="15" t="n"/>
      <c r="Y295" s="15" t="n"/>
      <c r="Z295" s="18" t="n"/>
      <c r="AA295" s="19">
        <f>IF(M295="","",M295-30)</f>
        <v/>
      </c>
      <c r="AB295" s="19">
        <f>IF(ISNUMBER(AJ295),AJ295+3,"")</f>
        <v/>
      </c>
      <c r="AC295" s="18" t="n"/>
      <c r="AD295" s="18" t="n"/>
      <c r="AE295" s="18" t="n"/>
      <c r="AF295" s="18" t="n"/>
      <c r="AG295" s="18" t="n"/>
      <c r="AH295" s="18" t="n"/>
      <c r="AI295" s="18" t="n"/>
      <c r="AJ295" s="18" t="n"/>
      <c r="AK295" s="18" t="n"/>
      <c r="AL295" s="18" t="n"/>
      <c r="AM295" s="18" t="n"/>
      <c r="AN295" s="18" t="n"/>
      <c r="AO295" s="18" t="n"/>
      <c r="AP295" s="18" t="n"/>
      <c r="AQ295" s="18" t="n"/>
      <c r="AR295" s="18" t="n"/>
      <c r="AS295" s="18" t="n"/>
      <c r="AT295" s="18" t="n"/>
      <c r="AU295" s="18" t="n"/>
      <c r="AV295" s="18" t="n"/>
      <c r="AW295" s="18" t="n"/>
      <c r="AX295" s="18" t="n"/>
      <c r="AY295" s="18" t="n"/>
      <c r="AZ295" s="15" t="n"/>
    </row>
    <row r="296">
      <c r="A296" s="15" t="n"/>
      <c r="B296" s="15" t="n"/>
      <c r="C296" s="15" t="n"/>
      <c r="D296" s="15" t="n"/>
      <c r="E296" s="15" t="n"/>
      <c r="F296" s="15" t="n"/>
      <c r="G296" s="16">
        <f>IF(F296="","",IFERROR(INDEX(Stammdaten!$B$5:$B$24,MATCH(F296,Stammdaten!$A$5:$A$24,0)),"unbekannt"))</f>
        <v/>
      </c>
      <c r="H296" s="16">
        <f>IF($B296="","",IF(AY296&lt;&gt;"","abgeschlossen",IF(AND(ISNUMBER(AX296),AX296&gt;=TODAY()),"zurückgestellt",IF(OR(AND(ISNUMBER(AA296),AA296&lt;TODAY(),Z296="",AJ296=""),AND(ISNUMBER(Z296),Z296&lt;TODAY(),AJ296=""),AND(ISNUMBER(AB296),AB296&lt;TODAY(),AK296=""),AND(ISNUMBER(AC296),AC296&lt;TODAY(),AO296=""),AND(ISNUMBER(AD296),AD296&lt;TODAY(),AQ296="")),"überfällig","offen"))))</f>
        <v/>
      </c>
      <c r="I296" s="16">
        <f>IF($B296="","",IF(AY296&lt;&gt;"","—",IF(AND(ISNUMBER(AA296),AA296&lt;TODAY(),Z296="",AJ296=""),"Abnahmetermin vereinbaren – Sollfrist verstrichen",IF(AND(ISNUMBER(Z296),Z296&lt;TODAY(),AJ296=""),"Wohnungsabnahme nachtragen – Termin war fällig",IF(AND(ISNUMBER(AB296),AB296&lt;TODAY(),AK296=""),"Handwerker aufbieten – Frist verstrichen",IF(AND(ISNUMBER(AC296),AC296&lt;TODAY(),AO296=""),"Vertrag retour mahnen – Frist verstrichen",IF(AND(ISNUMBER(AD296),AD296&lt;TODAY(),AQ296=""),"Schlüsselübergabe nachtragen – Termin war fällig",IF(M296="","Haftungsdatum erfassen",IF(E296="","ex-Mieter erfassen",IF(AE296="","Kündigung bestätigen / G-Rem",IF(AF296="","Werke / EGT melden",IF(AG296="","Vorbesichtigung (oder n.e.)",IF(AH296="","VMZ aktualisieren",IF(AI296="","Inserat aufschalten",IF(AND(Z296="",AJ296=""),"Abnahmetermin vereinbaren",IF(AJ296="","Wohnungsabnahme durchführen",IF(AK296="","Handwerker aufbieten",IF(AL296="","Zustimmungserklärung einholen",IF(AM296="","Instandstellungen beauftragen",IF(R296="","Nachmieter erfassen",IF(AN296="","Vertrag versenden",IF(AO296="","Vertrag retour erfassen",IF(S296="","Vermietet per erfassen",IF(AP296="","Werke / EGT über Einzug informieren",IF(AND(AD296="",AQ296=""),"Schlüsselübergabe terminieren",IF(AQ296="","Schlüsselübergabe durchführen",IF(AR296="","Reinigung veranlassen",IF(AS296="","Namensschilder bestellen",IF(AT296="","Kaution prüfen / G-Rem mutieren",IF(AU296="","Instandstellungs-Rechnung erfassen",IF(AV296="","Schlussabrechnung erstellen",IF(AW296="","Zahlungseingang kontrollieren","Fall abschliessen"))))))))))))))))))))))))))))))))</f>
        <v/>
      </c>
      <c r="J296" s="17">
        <f>IF(M296="","",IF(S296&lt;&gt;"",MAX(0,S296-M296-1),MAX(0,TODAY()-M296)))</f>
        <v/>
      </c>
      <c r="K296" s="16">
        <f>IF($B296="","",TRIM(IF(AND(L296&lt;&gt;"",M296&lt;&gt;"",M296&lt;L296),"Haftungsdatum vor Kündigung. ","")&amp;IF(AND(S296&lt;&gt;"",M296&lt;&gt;"",S296&lt;M296),"Vermietung vor Leerstandsbeginn. ","")&amp;IF(AND(Z296&lt;&gt;"",L296&lt;&gt;"",Z296&lt;L296),"WA-Termin vor Kündigung. ","")&amp;IF(COUNTIFS($B$5:$B$404,$B296,$AY$5:$AY$404,"")&gt;1,"Zweiter offener Fall zum selben Objekt. ","")&amp;IF(AND($A296&lt;&gt;"",COUNTIFS($A$5:$A$404,$A296)&gt;1),"Fall-Nr. doppelt vergeben. ","")&amp;IF(E296="","ex-Mieter fehlt. ","")&amp;IF(M296="","Haftungsdatum fehlt. ","")&amp;IF(F296="","Bewirtschafter fehlt. ","")&amp;IF(AND(AY296&lt;&gt;"",AW296=""),"Abgeschlossen trotz offener Schlussabrechnung. ","")&amp;IF(AND(AY296="",S296="",ISNUMBER(J296),J296&gt;60),"Langläufer über 60 Tage. ","")))</f>
        <v/>
      </c>
      <c r="L296" s="18" t="n"/>
      <c r="M296" s="18" t="n"/>
      <c r="N296" s="19">
        <f>IF(M296="","",M296+1)</f>
        <v/>
      </c>
      <c r="O296" s="17">
        <f>IF(OR(L296="",M296=""),"",M296-L296)</f>
        <v/>
      </c>
      <c r="P296" s="16">
        <f>IF(M296="","",YEAR(M296+1)&amp;"-"&amp;TEXT(MONTH(M296+1),"00"))</f>
        <v/>
      </c>
      <c r="Q296" s="18" t="n"/>
      <c r="R296" s="15" t="n"/>
      <c r="S296" s="18" t="n"/>
      <c r="T296" s="16">
        <f>IF(U296="","",IF(LEFT(U296,1)="6","abgeschlossen",IF(OR(LEFT(U296,1)="1",LEFT(U296,1)="2"),"Kündigung &amp; Abnahme",IF(OR(LEFT(U296,1)="3",LEFT(U296,1)="4"),"Wiedervermietung","Schlussabrechnung"))))</f>
        <v/>
      </c>
      <c r="U296" s="16">
        <f>IF($B296="","",IF(AY296&lt;&gt;"","6 · abgeschlossen",IF(AW296&lt;&gt;"","5 · bereit zum Abschluss",IF(AT296&lt;&gt;"","5 · Schlussabrechnung",IF(AO296&lt;&gt;"","4 · Übergabe",IF(AM296&lt;&gt;"","3 · Neuvermietung",IF(M296&lt;&gt;"","2 · Abnahme &amp; Vermarktung","1 · Erfassung")))))))</f>
        <v/>
      </c>
      <c r="V296" s="15" t="n"/>
      <c r="W296" s="20" t="n"/>
      <c r="X296" s="15" t="n"/>
      <c r="Y296" s="15" t="n"/>
      <c r="Z296" s="18" t="n"/>
      <c r="AA296" s="19">
        <f>IF(M296="","",M296-30)</f>
        <v/>
      </c>
      <c r="AB296" s="19">
        <f>IF(ISNUMBER(AJ296),AJ296+3,"")</f>
        <v/>
      </c>
      <c r="AC296" s="18" t="n"/>
      <c r="AD296" s="18" t="n"/>
      <c r="AE296" s="18" t="n"/>
      <c r="AF296" s="18" t="n"/>
      <c r="AG296" s="18" t="n"/>
      <c r="AH296" s="18" t="n"/>
      <c r="AI296" s="18" t="n"/>
      <c r="AJ296" s="18" t="n"/>
      <c r="AK296" s="18" t="n"/>
      <c r="AL296" s="18" t="n"/>
      <c r="AM296" s="18" t="n"/>
      <c r="AN296" s="18" t="n"/>
      <c r="AO296" s="18" t="n"/>
      <c r="AP296" s="18" t="n"/>
      <c r="AQ296" s="18" t="n"/>
      <c r="AR296" s="18" t="n"/>
      <c r="AS296" s="18" t="n"/>
      <c r="AT296" s="18" t="n"/>
      <c r="AU296" s="18" t="n"/>
      <c r="AV296" s="18" t="n"/>
      <c r="AW296" s="18" t="n"/>
      <c r="AX296" s="18" t="n"/>
      <c r="AY296" s="18" t="n"/>
      <c r="AZ296" s="15" t="n"/>
    </row>
    <row r="297">
      <c r="A297" s="15" t="n"/>
      <c r="B297" s="15" t="n"/>
      <c r="C297" s="15" t="n"/>
      <c r="D297" s="15" t="n"/>
      <c r="E297" s="15" t="n"/>
      <c r="F297" s="15" t="n"/>
      <c r="G297" s="16">
        <f>IF(F297="","",IFERROR(INDEX(Stammdaten!$B$5:$B$24,MATCH(F297,Stammdaten!$A$5:$A$24,0)),"unbekannt"))</f>
        <v/>
      </c>
      <c r="H297" s="16">
        <f>IF($B297="","",IF(AY297&lt;&gt;"","abgeschlossen",IF(AND(ISNUMBER(AX297),AX297&gt;=TODAY()),"zurückgestellt",IF(OR(AND(ISNUMBER(AA297),AA297&lt;TODAY(),Z297="",AJ297=""),AND(ISNUMBER(Z297),Z297&lt;TODAY(),AJ297=""),AND(ISNUMBER(AB297),AB297&lt;TODAY(),AK297=""),AND(ISNUMBER(AC297),AC297&lt;TODAY(),AO297=""),AND(ISNUMBER(AD297),AD297&lt;TODAY(),AQ297="")),"überfällig","offen"))))</f>
        <v/>
      </c>
      <c r="I297" s="16">
        <f>IF($B297="","",IF(AY297&lt;&gt;"","—",IF(AND(ISNUMBER(AA297),AA297&lt;TODAY(),Z297="",AJ297=""),"Abnahmetermin vereinbaren – Sollfrist verstrichen",IF(AND(ISNUMBER(Z297),Z297&lt;TODAY(),AJ297=""),"Wohnungsabnahme nachtragen – Termin war fällig",IF(AND(ISNUMBER(AB297),AB297&lt;TODAY(),AK297=""),"Handwerker aufbieten – Frist verstrichen",IF(AND(ISNUMBER(AC297),AC297&lt;TODAY(),AO297=""),"Vertrag retour mahnen – Frist verstrichen",IF(AND(ISNUMBER(AD297),AD297&lt;TODAY(),AQ297=""),"Schlüsselübergabe nachtragen – Termin war fällig",IF(M297="","Haftungsdatum erfassen",IF(E297="","ex-Mieter erfassen",IF(AE297="","Kündigung bestätigen / G-Rem",IF(AF297="","Werke / EGT melden",IF(AG297="","Vorbesichtigung (oder n.e.)",IF(AH297="","VMZ aktualisieren",IF(AI297="","Inserat aufschalten",IF(AND(Z297="",AJ297=""),"Abnahmetermin vereinbaren",IF(AJ297="","Wohnungsabnahme durchführen",IF(AK297="","Handwerker aufbieten",IF(AL297="","Zustimmungserklärung einholen",IF(AM297="","Instandstellungen beauftragen",IF(R297="","Nachmieter erfassen",IF(AN297="","Vertrag versenden",IF(AO297="","Vertrag retour erfassen",IF(S297="","Vermietet per erfassen",IF(AP297="","Werke / EGT über Einzug informieren",IF(AND(AD297="",AQ297=""),"Schlüsselübergabe terminieren",IF(AQ297="","Schlüsselübergabe durchführen",IF(AR297="","Reinigung veranlassen",IF(AS297="","Namensschilder bestellen",IF(AT297="","Kaution prüfen / G-Rem mutieren",IF(AU297="","Instandstellungs-Rechnung erfassen",IF(AV297="","Schlussabrechnung erstellen",IF(AW297="","Zahlungseingang kontrollieren","Fall abschliessen"))))))))))))))))))))))))))))))))</f>
        <v/>
      </c>
      <c r="J297" s="17">
        <f>IF(M297="","",IF(S297&lt;&gt;"",MAX(0,S297-M297-1),MAX(0,TODAY()-M297)))</f>
        <v/>
      </c>
      <c r="K297" s="16">
        <f>IF($B297="","",TRIM(IF(AND(L297&lt;&gt;"",M297&lt;&gt;"",M297&lt;L297),"Haftungsdatum vor Kündigung. ","")&amp;IF(AND(S297&lt;&gt;"",M297&lt;&gt;"",S297&lt;M297),"Vermietung vor Leerstandsbeginn. ","")&amp;IF(AND(Z297&lt;&gt;"",L297&lt;&gt;"",Z297&lt;L297),"WA-Termin vor Kündigung. ","")&amp;IF(COUNTIFS($B$5:$B$404,$B297,$AY$5:$AY$404,"")&gt;1,"Zweiter offener Fall zum selben Objekt. ","")&amp;IF(AND($A297&lt;&gt;"",COUNTIFS($A$5:$A$404,$A297)&gt;1),"Fall-Nr. doppelt vergeben. ","")&amp;IF(E297="","ex-Mieter fehlt. ","")&amp;IF(M297="","Haftungsdatum fehlt. ","")&amp;IF(F297="","Bewirtschafter fehlt. ","")&amp;IF(AND(AY297&lt;&gt;"",AW297=""),"Abgeschlossen trotz offener Schlussabrechnung. ","")&amp;IF(AND(AY297="",S297="",ISNUMBER(J297),J297&gt;60),"Langläufer über 60 Tage. ","")))</f>
        <v/>
      </c>
      <c r="L297" s="18" t="n"/>
      <c r="M297" s="18" t="n"/>
      <c r="N297" s="19">
        <f>IF(M297="","",M297+1)</f>
        <v/>
      </c>
      <c r="O297" s="17">
        <f>IF(OR(L297="",M297=""),"",M297-L297)</f>
        <v/>
      </c>
      <c r="P297" s="16">
        <f>IF(M297="","",YEAR(M297+1)&amp;"-"&amp;TEXT(MONTH(M297+1),"00"))</f>
        <v/>
      </c>
      <c r="Q297" s="18" t="n"/>
      <c r="R297" s="15" t="n"/>
      <c r="S297" s="18" t="n"/>
      <c r="T297" s="16">
        <f>IF(U297="","",IF(LEFT(U297,1)="6","abgeschlossen",IF(OR(LEFT(U297,1)="1",LEFT(U297,1)="2"),"Kündigung &amp; Abnahme",IF(OR(LEFT(U297,1)="3",LEFT(U297,1)="4"),"Wiedervermietung","Schlussabrechnung"))))</f>
        <v/>
      </c>
      <c r="U297" s="16">
        <f>IF($B297="","",IF(AY297&lt;&gt;"","6 · abgeschlossen",IF(AW297&lt;&gt;"","5 · bereit zum Abschluss",IF(AT297&lt;&gt;"","5 · Schlussabrechnung",IF(AO297&lt;&gt;"","4 · Übergabe",IF(AM297&lt;&gt;"","3 · Neuvermietung",IF(M297&lt;&gt;"","2 · Abnahme &amp; Vermarktung","1 · Erfassung")))))))</f>
        <v/>
      </c>
      <c r="V297" s="15" t="n"/>
      <c r="W297" s="20" t="n"/>
      <c r="X297" s="15" t="n"/>
      <c r="Y297" s="15" t="n"/>
      <c r="Z297" s="18" t="n"/>
      <c r="AA297" s="19">
        <f>IF(M297="","",M297-30)</f>
        <v/>
      </c>
      <c r="AB297" s="19">
        <f>IF(ISNUMBER(AJ297),AJ297+3,"")</f>
        <v/>
      </c>
      <c r="AC297" s="18" t="n"/>
      <c r="AD297" s="18" t="n"/>
      <c r="AE297" s="18" t="n"/>
      <c r="AF297" s="18" t="n"/>
      <c r="AG297" s="18" t="n"/>
      <c r="AH297" s="18" t="n"/>
      <c r="AI297" s="18" t="n"/>
      <c r="AJ297" s="18" t="n"/>
      <c r="AK297" s="18" t="n"/>
      <c r="AL297" s="18" t="n"/>
      <c r="AM297" s="18" t="n"/>
      <c r="AN297" s="18" t="n"/>
      <c r="AO297" s="18" t="n"/>
      <c r="AP297" s="18" t="n"/>
      <c r="AQ297" s="18" t="n"/>
      <c r="AR297" s="18" t="n"/>
      <c r="AS297" s="18" t="n"/>
      <c r="AT297" s="18" t="n"/>
      <c r="AU297" s="18" t="n"/>
      <c r="AV297" s="18" t="n"/>
      <c r="AW297" s="18" t="n"/>
      <c r="AX297" s="18" t="n"/>
      <c r="AY297" s="18" t="n"/>
      <c r="AZ297" s="15" t="n"/>
    </row>
    <row r="298">
      <c r="A298" s="15" t="n"/>
      <c r="B298" s="15" t="n"/>
      <c r="C298" s="15" t="n"/>
      <c r="D298" s="15" t="n"/>
      <c r="E298" s="15" t="n"/>
      <c r="F298" s="15" t="n"/>
      <c r="G298" s="16">
        <f>IF(F298="","",IFERROR(INDEX(Stammdaten!$B$5:$B$24,MATCH(F298,Stammdaten!$A$5:$A$24,0)),"unbekannt"))</f>
        <v/>
      </c>
      <c r="H298" s="16">
        <f>IF($B298="","",IF(AY298&lt;&gt;"","abgeschlossen",IF(AND(ISNUMBER(AX298),AX298&gt;=TODAY()),"zurückgestellt",IF(OR(AND(ISNUMBER(AA298),AA298&lt;TODAY(),Z298="",AJ298=""),AND(ISNUMBER(Z298),Z298&lt;TODAY(),AJ298=""),AND(ISNUMBER(AB298),AB298&lt;TODAY(),AK298=""),AND(ISNUMBER(AC298),AC298&lt;TODAY(),AO298=""),AND(ISNUMBER(AD298),AD298&lt;TODAY(),AQ298="")),"überfällig","offen"))))</f>
        <v/>
      </c>
      <c r="I298" s="16">
        <f>IF($B298="","",IF(AY298&lt;&gt;"","—",IF(AND(ISNUMBER(AA298),AA298&lt;TODAY(),Z298="",AJ298=""),"Abnahmetermin vereinbaren – Sollfrist verstrichen",IF(AND(ISNUMBER(Z298),Z298&lt;TODAY(),AJ298=""),"Wohnungsabnahme nachtragen – Termin war fällig",IF(AND(ISNUMBER(AB298),AB298&lt;TODAY(),AK298=""),"Handwerker aufbieten – Frist verstrichen",IF(AND(ISNUMBER(AC298),AC298&lt;TODAY(),AO298=""),"Vertrag retour mahnen – Frist verstrichen",IF(AND(ISNUMBER(AD298),AD298&lt;TODAY(),AQ298=""),"Schlüsselübergabe nachtragen – Termin war fällig",IF(M298="","Haftungsdatum erfassen",IF(E298="","ex-Mieter erfassen",IF(AE298="","Kündigung bestätigen / G-Rem",IF(AF298="","Werke / EGT melden",IF(AG298="","Vorbesichtigung (oder n.e.)",IF(AH298="","VMZ aktualisieren",IF(AI298="","Inserat aufschalten",IF(AND(Z298="",AJ298=""),"Abnahmetermin vereinbaren",IF(AJ298="","Wohnungsabnahme durchführen",IF(AK298="","Handwerker aufbieten",IF(AL298="","Zustimmungserklärung einholen",IF(AM298="","Instandstellungen beauftragen",IF(R298="","Nachmieter erfassen",IF(AN298="","Vertrag versenden",IF(AO298="","Vertrag retour erfassen",IF(S298="","Vermietet per erfassen",IF(AP298="","Werke / EGT über Einzug informieren",IF(AND(AD298="",AQ298=""),"Schlüsselübergabe terminieren",IF(AQ298="","Schlüsselübergabe durchführen",IF(AR298="","Reinigung veranlassen",IF(AS298="","Namensschilder bestellen",IF(AT298="","Kaution prüfen / G-Rem mutieren",IF(AU298="","Instandstellungs-Rechnung erfassen",IF(AV298="","Schlussabrechnung erstellen",IF(AW298="","Zahlungseingang kontrollieren","Fall abschliessen"))))))))))))))))))))))))))))))))</f>
        <v/>
      </c>
      <c r="J298" s="17">
        <f>IF(M298="","",IF(S298&lt;&gt;"",MAX(0,S298-M298-1),MAX(0,TODAY()-M298)))</f>
        <v/>
      </c>
      <c r="K298" s="16">
        <f>IF($B298="","",TRIM(IF(AND(L298&lt;&gt;"",M298&lt;&gt;"",M298&lt;L298),"Haftungsdatum vor Kündigung. ","")&amp;IF(AND(S298&lt;&gt;"",M298&lt;&gt;"",S298&lt;M298),"Vermietung vor Leerstandsbeginn. ","")&amp;IF(AND(Z298&lt;&gt;"",L298&lt;&gt;"",Z298&lt;L298),"WA-Termin vor Kündigung. ","")&amp;IF(COUNTIFS($B$5:$B$404,$B298,$AY$5:$AY$404,"")&gt;1,"Zweiter offener Fall zum selben Objekt. ","")&amp;IF(AND($A298&lt;&gt;"",COUNTIFS($A$5:$A$404,$A298)&gt;1),"Fall-Nr. doppelt vergeben. ","")&amp;IF(E298="","ex-Mieter fehlt. ","")&amp;IF(M298="","Haftungsdatum fehlt. ","")&amp;IF(F298="","Bewirtschafter fehlt. ","")&amp;IF(AND(AY298&lt;&gt;"",AW298=""),"Abgeschlossen trotz offener Schlussabrechnung. ","")&amp;IF(AND(AY298="",S298="",ISNUMBER(J298),J298&gt;60),"Langläufer über 60 Tage. ","")))</f>
        <v/>
      </c>
      <c r="L298" s="18" t="n"/>
      <c r="M298" s="18" t="n"/>
      <c r="N298" s="19">
        <f>IF(M298="","",M298+1)</f>
        <v/>
      </c>
      <c r="O298" s="17">
        <f>IF(OR(L298="",M298=""),"",M298-L298)</f>
        <v/>
      </c>
      <c r="P298" s="16">
        <f>IF(M298="","",YEAR(M298+1)&amp;"-"&amp;TEXT(MONTH(M298+1),"00"))</f>
        <v/>
      </c>
      <c r="Q298" s="18" t="n"/>
      <c r="R298" s="15" t="n"/>
      <c r="S298" s="18" t="n"/>
      <c r="T298" s="16">
        <f>IF(U298="","",IF(LEFT(U298,1)="6","abgeschlossen",IF(OR(LEFT(U298,1)="1",LEFT(U298,1)="2"),"Kündigung &amp; Abnahme",IF(OR(LEFT(U298,1)="3",LEFT(U298,1)="4"),"Wiedervermietung","Schlussabrechnung"))))</f>
        <v/>
      </c>
      <c r="U298" s="16">
        <f>IF($B298="","",IF(AY298&lt;&gt;"","6 · abgeschlossen",IF(AW298&lt;&gt;"","5 · bereit zum Abschluss",IF(AT298&lt;&gt;"","5 · Schlussabrechnung",IF(AO298&lt;&gt;"","4 · Übergabe",IF(AM298&lt;&gt;"","3 · Neuvermietung",IF(M298&lt;&gt;"","2 · Abnahme &amp; Vermarktung","1 · Erfassung")))))))</f>
        <v/>
      </c>
      <c r="V298" s="15" t="n"/>
      <c r="W298" s="20" t="n"/>
      <c r="X298" s="15" t="n"/>
      <c r="Y298" s="15" t="n"/>
      <c r="Z298" s="18" t="n"/>
      <c r="AA298" s="19">
        <f>IF(M298="","",M298-30)</f>
        <v/>
      </c>
      <c r="AB298" s="19">
        <f>IF(ISNUMBER(AJ298),AJ298+3,"")</f>
        <v/>
      </c>
      <c r="AC298" s="18" t="n"/>
      <c r="AD298" s="18" t="n"/>
      <c r="AE298" s="18" t="n"/>
      <c r="AF298" s="18" t="n"/>
      <c r="AG298" s="18" t="n"/>
      <c r="AH298" s="18" t="n"/>
      <c r="AI298" s="18" t="n"/>
      <c r="AJ298" s="18" t="n"/>
      <c r="AK298" s="18" t="n"/>
      <c r="AL298" s="18" t="n"/>
      <c r="AM298" s="18" t="n"/>
      <c r="AN298" s="18" t="n"/>
      <c r="AO298" s="18" t="n"/>
      <c r="AP298" s="18" t="n"/>
      <c r="AQ298" s="18" t="n"/>
      <c r="AR298" s="18" t="n"/>
      <c r="AS298" s="18" t="n"/>
      <c r="AT298" s="18" t="n"/>
      <c r="AU298" s="18" t="n"/>
      <c r="AV298" s="18" t="n"/>
      <c r="AW298" s="18" t="n"/>
      <c r="AX298" s="18" t="n"/>
      <c r="AY298" s="18" t="n"/>
      <c r="AZ298" s="15" t="n"/>
    </row>
    <row r="299">
      <c r="A299" s="15" t="n"/>
      <c r="B299" s="15" t="n"/>
      <c r="C299" s="15" t="n"/>
      <c r="D299" s="15" t="n"/>
      <c r="E299" s="15" t="n"/>
      <c r="F299" s="15" t="n"/>
      <c r="G299" s="16">
        <f>IF(F299="","",IFERROR(INDEX(Stammdaten!$B$5:$B$24,MATCH(F299,Stammdaten!$A$5:$A$24,0)),"unbekannt"))</f>
        <v/>
      </c>
      <c r="H299" s="16">
        <f>IF($B299="","",IF(AY299&lt;&gt;"","abgeschlossen",IF(AND(ISNUMBER(AX299),AX299&gt;=TODAY()),"zurückgestellt",IF(OR(AND(ISNUMBER(AA299),AA299&lt;TODAY(),Z299="",AJ299=""),AND(ISNUMBER(Z299),Z299&lt;TODAY(),AJ299=""),AND(ISNUMBER(AB299),AB299&lt;TODAY(),AK299=""),AND(ISNUMBER(AC299),AC299&lt;TODAY(),AO299=""),AND(ISNUMBER(AD299),AD299&lt;TODAY(),AQ299="")),"überfällig","offen"))))</f>
        <v/>
      </c>
      <c r="I299" s="16">
        <f>IF($B299="","",IF(AY299&lt;&gt;"","—",IF(AND(ISNUMBER(AA299),AA299&lt;TODAY(),Z299="",AJ299=""),"Abnahmetermin vereinbaren – Sollfrist verstrichen",IF(AND(ISNUMBER(Z299),Z299&lt;TODAY(),AJ299=""),"Wohnungsabnahme nachtragen – Termin war fällig",IF(AND(ISNUMBER(AB299),AB299&lt;TODAY(),AK299=""),"Handwerker aufbieten – Frist verstrichen",IF(AND(ISNUMBER(AC299),AC299&lt;TODAY(),AO299=""),"Vertrag retour mahnen – Frist verstrichen",IF(AND(ISNUMBER(AD299),AD299&lt;TODAY(),AQ299=""),"Schlüsselübergabe nachtragen – Termin war fällig",IF(M299="","Haftungsdatum erfassen",IF(E299="","ex-Mieter erfassen",IF(AE299="","Kündigung bestätigen / G-Rem",IF(AF299="","Werke / EGT melden",IF(AG299="","Vorbesichtigung (oder n.e.)",IF(AH299="","VMZ aktualisieren",IF(AI299="","Inserat aufschalten",IF(AND(Z299="",AJ299=""),"Abnahmetermin vereinbaren",IF(AJ299="","Wohnungsabnahme durchführen",IF(AK299="","Handwerker aufbieten",IF(AL299="","Zustimmungserklärung einholen",IF(AM299="","Instandstellungen beauftragen",IF(R299="","Nachmieter erfassen",IF(AN299="","Vertrag versenden",IF(AO299="","Vertrag retour erfassen",IF(S299="","Vermietet per erfassen",IF(AP299="","Werke / EGT über Einzug informieren",IF(AND(AD299="",AQ299=""),"Schlüsselübergabe terminieren",IF(AQ299="","Schlüsselübergabe durchführen",IF(AR299="","Reinigung veranlassen",IF(AS299="","Namensschilder bestellen",IF(AT299="","Kaution prüfen / G-Rem mutieren",IF(AU299="","Instandstellungs-Rechnung erfassen",IF(AV299="","Schlussabrechnung erstellen",IF(AW299="","Zahlungseingang kontrollieren","Fall abschliessen"))))))))))))))))))))))))))))))))</f>
        <v/>
      </c>
      <c r="J299" s="17">
        <f>IF(M299="","",IF(S299&lt;&gt;"",MAX(0,S299-M299-1),MAX(0,TODAY()-M299)))</f>
        <v/>
      </c>
      <c r="K299" s="16">
        <f>IF($B299="","",TRIM(IF(AND(L299&lt;&gt;"",M299&lt;&gt;"",M299&lt;L299),"Haftungsdatum vor Kündigung. ","")&amp;IF(AND(S299&lt;&gt;"",M299&lt;&gt;"",S299&lt;M299),"Vermietung vor Leerstandsbeginn. ","")&amp;IF(AND(Z299&lt;&gt;"",L299&lt;&gt;"",Z299&lt;L299),"WA-Termin vor Kündigung. ","")&amp;IF(COUNTIFS($B$5:$B$404,$B299,$AY$5:$AY$404,"")&gt;1,"Zweiter offener Fall zum selben Objekt. ","")&amp;IF(AND($A299&lt;&gt;"",COUNTIFS($A$5:$A$404,$A299)&gt;1),"Fall-Nr. doppelt vergeben. ","")&amp;IF(E299="","ex-Mieter fehlt. ","")&amp;IF(M299="","Haftungsdatum fehlt. ","")&amp;IF(F299="","Bewirtschafter fehlt. ","")&amp;IF(AND(AY299&lt;&gt;"",AW299=""),"Abgeschlossen trotz offener Schlussabrechnung. ","")&amp;IF(AND(AY299="",S299="",ISNUMBER(J299),J299&gt;60),"Langläufer über 60 Tage. ","")))</f>
        <v/>
      </c>
      <c r="L299" s="18" t="n"/>
      <c r="M299" s="18" t="n"/>
      <c r="N299" s="19">
        <f>IF(M299="","",M299+1)</f>
        <v/>
      </c>
      <c r="O299" s="17">
        <f>IF(OR(L299="",M299=""),"",M299-L299)</f>
        <v/>
      </c>
      <c r="P299" s="16">
        <f>IF(M299="","",YEAR(M299+1)&amp;"-"&amp;TEXT(MONTH(M299+1),"00"))</f>
        <v/>
      </c>
      <c r="Q299" s="18" t="n"/>
      <c r="R299" s="15" t="n"/>
      <c r="S299" s="18" t="n"/>
      <c r="T299" s="16">
        <f>IF(U299="","",IF(LEFT(U299,1)="6","abgeschlossen",IF(OR(LEFT(U299,1)="1",LEFT(U299,1)="2"),"Kündigung &amp; Abnahme",IF(OR(LEFT(U299,1)="3",LEFT(U299,1)="4"),"Wiedervermietung","Schlussabrechnung"))))</f>
        <v/>
      </c>
      <c r="U299" s="16">
        <f>IF($B299="","",IF(AY299&lt;&gt;"","6 · abgeschlossen",IF(AW299&lt;&gt;"","5 · bereit zum Abschluss",IF(AT299&lt;&gt;"","5 · Schlussabrechnung",IF(AO299&lt;&gt;"","4 · Übergabe",IF(AM299&lt;&gt;"","3 · Neuvermietung",IF(M299&lt;&gt;"","2 · Abnahme &amp; Vermarktung","1 · Erfassung")))))))</f>
        <v/>
      </c>
      <c r="V299" s="15" t="n"/>
      <c r="W299" s="20" t="n"/>
      <c r="X299" s="15" t="n"/>
      <c r="Y299" s="15" t="n"/>
      <c r="Z299" s="18" t="n"/>
      <c r="AA299" s="19">
        <f>IF(M299="","",M299-30)</f>
        <v/>
      </c>
      <c r="AB299" s="19">
        <f>IF(ISNUMBER(AJ299),AJ299+3,"")</f>
        <v/>
      </c>
      <c r="AC299" s="18" t="n"/>
      <c r="AD299" s="18" t="n"/>
      <c r="AE299" s="18" t="n"/>
      <c r="AF299" s="18" t="n"/>
      <c r="AG299" s="18" t="n"/>
      <c r="AH299" s="18" t="n"/>
      <c r="AI299" s="18" t="n"/>
      <c r="AJ299" s="18" t="n"/>
      <c r="AK299" s="18" t="n"/>
      <c r="AL299" s="18" t="n"/>
      <c r="AM299" s="18" t="n"/>
      <c r="AN299" s="18" t="n"/>
      <c r="AO299" s="18" t="n"/>
      <c r="AP299" s="18" t="n"/>
      <c r="AQ299" s="18" t="n"/>
      <c r="AR299" s="18" t="n"/>
      <c r="AS299" s="18" t="n"/>
      <c r="AT299" s="18" t="n"/>
      <c r="AU299" s="18" t="n"/>
      <c r="AV299" s="18" t="n"/>
      <c r="AW299" s="18" t="n"/>
      <c r="AX299" s="18" t="n"/>
      <c r="AY299" s="18" t="n"/>
      <c r="AZ299" s="15" t="n"/>
    </row>
    <row r="300">
      <c r="A300" s="15" t="n"/>
      <c r="B300" s="15" t="n"/>
      <c r="C300" s="15" t="n"/>
      <c r="D300" s="15" t="n"/>
      <c r="E300" s="15" t="n"/>
      <c r="F300" s="15" t="n"/>
      <c r="G300" s="16">
        <f>IF(F300="","",IFERROR(INDEX(Stammdaten!$B$5:$B$24,MATCH(F300,Stammdaten!$A$5:$A$24,0)),"unbekannt"))</f>
        <v/>
      </c>
      <c r="H300" s="16">
        <f>IF($B300="","",IF(AY300&lt;&gt;"","abgeschlossen",IF(AND(ISNUMBER(AX300),AX300&gt;=TODAY()),"zurückgestellt",IF(OR(AND(ISNUMBER(AA300),AA300&lt;TODAY(),Z300="",AJ300=""),AND(ISNUMBER(Z300),Z300&lt;TODAY(),AJ300=""),AND(ISNUMBER(AB300),AB300&lt;TODAY(),AK300=""),AND(ISNUMBER(AC300),AC300&lt;TODAY(),AO300=""),AND(ISNUMBER(AD300),AD300&lt;TODAY(),AQ300="")),"überfällig","offen"))))</f>
        <v/>
      </c>
      <c r="I300" s="16">
        <f>IF($B300="","",IF(AY300&lt;&gt;"","—",IF(AND(ISNUMBER(AA300),AA300&lt;TODAY(),Z300="",AJ300=""),"Abnahmetermin vereinbaren – Sollfrist verstrichen",IF(AND(ISNUMBER(Z300),Z300&lt;TODAY(),AJ300=""),"Wohnungsabnahme nachtragen – Termin war fällig",IF(AND(ISNUMBER(AB300),AB300&lt;TODAY(),AK300=""),"Handwerker aufbieten – Frist verstrichen",IF(AND(ISNUMBER(AC300),AC300&lt;TODAY(),AO300=""),"Vertrag retour mahnen – Frist verstrichen",IF(AND(ISNUMBER(AD300),AD300&lt;TODAY(),AQ300=""),"Schlüsselübergabe nachtragen – Termin war fällig",IF(M300="","Haftungsdatum erfassen",IF(E300="","ex-Mieter erfassen",IF(AE300="","Kündigung bestätigen / G-Rem",IF(AF300="","Werke / EGT melden",IF(AG300="","Vorbesichtigung (oder n.e.)",IF(AH300="","VMZ aktualisieren",IF(AI300="","Inserat aufschalten",IF(AND(Z300="",AJ300=""),"Abnahmetermin vereinbaren",IF(AJ300="","Wohnungsabnahme durchführen",IF(AK300="","Handwerker aufbieten",IF(AL300="","Zustimmungserklärung einholen",IF(AM300="","Instandstellungen beauftragen",IF(R300="","Nachmieter erfassen",IF(AN300="","Vertrag versenden",IF(AO300="","Vertrag retour erfassen",IF(S300="","Vermietet per erfassen",IF(AP300="","Werke / EGT über Einzug informieren",IF(AND(AD300="",AQ300=""),"Schlüsselübergabe terminieren",IF(AQ300="","Schlüsselübergabe durchführen",IF(AR300="","Reinigung veranlassen",IF(AS300="","Namensschilder bestellen",IF(AT300="","Kaution prüfen / G-Rem mutieren",IF(AU300="","Instandstellungs-Rechnung erfassen",IF(AV300="","Schlussabrechnung erstellen",IF(AW300="","Zahlungseingang kontrollieren","Fall abschliessen"))))))))))))))))))))))))))))))))</f>
        <v/>
      </c>
      <c r="J300" s="17">
        <f>IF(M300="","",IF(S300&lt;&gt;"",MAX(0,S300-M300-1),MAX(0,TODAY()-M300)))</f>
        <v/>
      </c>
      <c r="K300" s="16">
        <f>IF($B300="","",TRIM(IF(AND(L300&lt;&gt;"",M300&lt;&gt;"",M300&lt;L300),"Haftungsdatum vor Kündigung. ","")&amp;IF(AND(S300&lt;&gt;"",M300&lt;&gt;"",S300&lt;M300),"Vermietung vor Leerstandsbeginn. ","")&amp;IF(AND(Z300&lt;&gt;"",L300&lt;&gt;"",Z300&lt;L300),"WA-Termin vor Kündigung. ","")&amp;IF(COUNTIFS($B$5:$B$404,$B300,$AY$5:$AY$404,"")&gt;1,"Zweiter offener Fall zum selben Objekt. ","")&amp;IF(AND($A300&lt;&gt;"",COUNTIFS($A$5:$A$404,$A300)&gt;1),"Fall-Nr. doppelt vergeben. ","")&amp;IF(E300="","ex-Mieter fehlt. ","")&amp;IF(M300="","Haftungsdatum fehlt. ","")&amp;IF(F300="","Bewirtschafter fehlt. ","")&amp;IF(AND(AY300&lt;&gt;"",AW300=""),"Abgeschlossen trotz offener Schlussabrechnung. ","")&amp;IF(AND(AY300="",S300="",ISNUMBER(J300),J300&gt;60),"Langläufer über 60 Tage. ","")))</f>
        <v/>
      </c>
      <c r="L300" s="18" t="n"/>
      <c r="M300" s="18" t="n"/>
      <c r="N300" s="19">
        <f>IF(M300="","",M300+1)</f>
        <v/>
      </c>
      <c r="O300" s="17">
        <f>IF(OR(L300="",M300=""),"",M300-L300)</f>
        <v/>
      </c>
      <c r="P300" s="16">
        <f>IF(M300="","",YEAR(M300+1)&amp;"-"&amp;TEXT(MONTH(M300+1),"00"))</f>
        <v/>
      </c>
      <c r="Q300" s="18" t="n"/>
      <c r="R300" s="15" t="n"/>
      <c r="S300" s="18" t="n"/>
      <c r="T300" s="16">
        <f>IF(U300="","",IF(LEFT(U300,1)="6","abgeschlossen",IF(OR(LEFT(U300,1)="1",LEFT(U300,1)="2"),"Kündigung &amp; Abnahme",IF(OR(LEFT(U300,1)="3",LEFT(U300,1)="4"),"Wiedervermietung","Schlussabrechnung"))))</f>
        <v/>
      </c>
      <c r="U300" s="16">
        <f>IF($B300="","",IF(AY300&lt;&gt;"","6 · abgeschlossen",IF(AW300&lt;&gt;"","5 · bereit zum Abschluss",IF(AT300&lt;&gt;"","5 · Schlussabrechnung",IF(AO300&lt;&gt;"","4 · Übergabe",IF(AM300&lt;&gt;"","3 · Neuvermietung",IF(M300&lt;&gt;"","2 · Abnahme &amp; Vermarktung","1 · Erfassung")))))))</f>
        <v/>
      </c>
      <c r="V300" s="15" t="n"/>
      <c r="W300" s="20" t="n"/>
      <c r="X300" s="15" t="n"/>
      <c r="Y300" s="15" t="n"/>
      <c r="Z300" s="18" t="n"/>
      <c r="AA300" s="19">
        <f>IF(M300="","",M300-30)</f>
        <v/>
      </c>
      <c r="AB300" s="19">
        <f>IF(ISNUMBER(AJ300),AJ300+3,"")</f>
        <v/>
      </c>
      <c r="AC300" s="18" t="n"/>
      <c r="AD300" s="18" t="n"/>
      <c r="AE300" s="18" t="n"/>
      <c r="AF300" s="18" t="n"/>
      <c r="AG300" s="18" t="n"/>
      <c r="AH300" s="18" t="n"/>
      <c r="AI300" s="18" t="n"/>
      <c r="AJ300" s="18" t="n"/>
      <c r="AK300" s="18" t="n"/>
      <c r="AL300" s="18" t="n"/>
      <c r="AM300" s="18" t="n"/>
      <c r="AN300" s="18" t="n"/>
      <c r="AO300" s="18" t="n"/>
      <c r="AP300" s="18" t="n"/>
      <c r="AQ300" s="18" t="n"/>
      <c r="AR300" s="18" t="n"/>
      <c r="AS300" s="18" t="n"/>
      <c r="AT300" s="18" t="n"/>
      <c r="AU300" s="18" t="n"/>
      <c r="AV300" s="18" t="n"/>
      <c r="AW300" s="18" t="n"/>
      <c r="AX300" s="18" t="n"/>
      <c r="AY300" s="18" t="n"/>
      <c r="AZ300" s="15" t="n"/>
    </row>
    <row r="301">
      <c r="A301" s="15" t="n"/>
      <c r="B301" s="15" t="n"/>
      <c r="C301" s="15" t="n"/>
      <c r="D301" s="15" t="n"/>
      <c r="E301" s="15" t="n"/>
      <c r="F301" s="15" t="n"/>
      <c r="G301" s="16">
        <f>IF(F301="","",IFERROR(INDEX(Stammdaten!$B$5:$B$24,MATCH(F301,Stammdaten!$A$5:$A$24,0)),"unbekannt"))</f>
        <v/>
      </c>
      <c r="H301" s="16">
        <f>IF($B301="","",IF(AY301&lt;&gt;"","abgeschlossen",IF(AND(ISNUMBER(AX301),AX301&gt;=TODAY()),"zurückgestellt",IF(OR(AND(ISNUMBER(AA301),AA301&lt;TODAY(),Z301="",AJ301=""),AND(ISNUMBER(Z301),Z301&lt;TODAY(),AJ301=""),AND(ISNUMBER(AB301),AB301&lt;TODAY(),AK301=""),AND(ISNUMBER(AC301),AC301&lt;TODAY(),AO301=""),AND(ISNUMBER(AD301),AD301&lt;TODAY(),AQ301="")),"überfällig","offen"))))</f>
        <v/>
      </c>
      <c r="I301" s="16">
        <f>IF($B301="","",IF(AY301&lt;&gt;"","—",IF(AND(ISNUMBER(AA301),AA301&lt;TODAY(),Z301="",AJ301=""),"Abnahmetermin vereinbaren – Sollfrist verstrichen",IF(AND(ISNUMBER(Z301),Z301&lt;TODAY(),AJ301=""),"Wohnungsabnahme nachtragen – Termin war fällig",IF(AND(ISNUMBER(AB301),AB301&lt;TODAY(),AK301=""),"Handwerker aufbieten – Frist verstrichen",IF(AND(ISNUMBER(AC301),AC301&lt;TODAY(),AO301=""),"Vertrag retour mahnen – Frist verstrichen",IF(AND(ISNUMBER(AD301),AD301&lt;TODAY(),AQ301=""),"Schlüsselübergabe nachtragen – Termin war fällig",IF(M301="","Haftungsdatum erfassen",IF(E301="","ex-Mieter erfassen",IF(AE301="","Kündigung bestätigen / G-Rem",IF(AF301="","Werke / EGT melden",IF(AG301="","Vorbesichtigung (oder n.e.)",IF(AH301="","VMZ aktualisieren",IF(AI301="","Inserat aufschalten",IF(AND(Z301="",AJ301=""),"Abnahmetermin vereinbaren",IF(AJ301="","Wohnungsabnahme durchführen",IF(AK301="","Handwerker aufbieten",IF(AL301="","Zustimmungserklärung einholen",IF(AM301="","Instandstellungen beauftragen",IF(R301="","Nachmieter erfassen",IF(AN301="","Vertrag versenden",IF(AO301="","Vertrag retour erfassen",IF(S301="","Vermietet per erfassen",IF(AP301="","Werke / EGT über Einzug informieren",IF(AND(AD301="",AQ301=""),"Schlüsselübergabe terminieren",IF(AQ301="","Schlüsselübergabe durchführen",IF(AR301="","Reinigung veranlassen",IF(AS301="","Namensschilder bestellen",IF(AT301="","Kaution prüfen / G-Rem mutieren",IF(AU301="","Instandstellungs-Rechnung erfassen",IF(AV301="","Schlussabrechnung erstellen",IF(AW301="","Zahlungseingang kontrollieren","Fall abschliessen"))))))))))))))))))))))))))))))))</f>
        <v/>
      </c>
      <c r="J301" s="17">
        <f>IF(M301="","",IF(S301&lt;&gt;"",MAX(0,S301-M301-1),MAX(0,TODAY()-M301)))</f>
        <v/>
      </c>
      <c r="K301" s="16">
        <f>IF($B301="","",TRIM(IF(AND(L301&lt;&gt;"",M301&lt;&gt;"",M301&lt;L301),"Haftungsdatum vor Kündigung. ","")&amp;IF(AND(S301&lt;&gt;"",M301&lt;&gt;"",S301&lt;M301),"Vermietung vor Leerstandsbeginn. ","")&amp;IF(AND(Z301&lt;&gt;"",L301&lt;&gt;"",Z301&lt;L301),"WA-Termin vor Kündigung. ","")&amp;IF(COUNTIFS($B$5:$B$404,$B301,$AY$5:$AY$404,"")&gt;1,"Zweiter offener Fall zum selben Objekt. ","")&amp;IF(AND($A301&lt;&gt;"",COUNTIFS($A$5:$A$404,$A301)&gt;1),"Fall-Nr. doppelt vergeben. ","")&amp;IF(E301="","ex-Mieter fehlt. ","")&amp;IF(M301="","Haftungsdatum fehlt. ","")&amp;IF(F301="","Bewirtschafter fehlt. ","")&amp;IF(AND(AY301&lt;&gt;"",AW301=""),"Abgeschlossen trotz offener Schlussabrechnung. ","")&amp;IF(AND(AY301="",S301="",ISNUMBER(J301),J301&gt;60),"Langläufer über 60 Tage. ","")))</f>
        <v/>
      </c>
      <c r="L301" s="18" t="n"/>
      <c r="M301" s="18" t="n"/>
      <c r="N301" s="19">
        <f>IF(M301="","",M301+1)</f>
        <v/>
      </c>
      <c r="O301" s="17">
        <f>IF(OR(L301="",M301=""),"",M301-L301)</f>
        <v/>
      </c>
      <c r="P301" s="16">
        <f>IF(M301="","",YEAR(M301+1)&amp;"-"&amp;TEXT(MONTH(M301+1),"00"))</f>
        <v/>
      </c>
      <c r="Q301" s="18" t="n"/>
      <c r="R301" s="15" t="n"/>
      <c r="S301" s="18" t="n"/>
      <c r="T301" s="16">
        <f>IF(U301="","",IF(LEFT(U301,1)="6","abgeschlossen",IF(OR(LEFT(U301,1)="1",LEFT(U301,1)="2"),"Kündigung &amp; Abnahme",IF(OR(LEFT(U301,1)="3",LEFT(U301,1)="4"),"Wiedervermietung","Schlussabrechnung"))))</f>
        <v/>
      </c>
      <c r="U301" s="16">
        <f>IF($B301="","",IF(AY301&lt;&gt;"","6 · abgeschlossen",IF(AW301&lt;&gt;"","5 · bereit zum Abschluss",IF(AT301&lt;&gt;"","5 · Schlussabrechnung",IF(AO301&lt;&gt;"","4 · Übergabe",IF(AM301&lt;&gt;"","3 · Neuvermietung",IF(M301&lt;&gt;"","2 · Abnahme &amp; Vermarktung","1 · Erfassung")))))))</f>
        <v/>
      </c>
      <c r="V301" s="15" t="n"/>
      <c r="W301" s="20" t="n"/>
      <c r="X301" s="15" t="n"/>
      <c r="Y301" s="15" t="n"/>
      <c r="Z301" s="18" t="n"/>
      <c r="AA301" s="19">
        <f>IF(M301="","",M301-30)</f>
        <v/>
      </c>
      <c r="AB301" s="19">
        <f>IF(ISNUMBER(AJ301),AJ301+3,"")</f>
        <v/>
      </c>
      <c r="AC301" s="18" t="n"/>
      <c r="AD301" s="18" t="n"/>
      <c r="AE301" s="18" t="n"/>
      <c r="AF301" s="18" t="n"/>
      <c r="AG301" s="18" t="n"/>
      <c r="AH301" s="18" t="n"/>
      <c r="AI301" s="18" t="n"/>
      <c r="AJ301" s="18" t="n"/>
      <c r="AK301" s="18" t="n"/>
      <c r="AL301" s="18" t="n"/>
      <c r="AM301" s="18" t="n"/>
      <c r="AN301" s="18" t="n"/>
      <c r="AO301" s="18" t="n"/>
      <c r="AP301" s="18" t="n"/>
      <c r="AQ301" s="18" t="n"/>
      <c r="AR301" s="18" t="n"/>
      <c r="AS301" s="18" t="n"/>
      <c r="AT301" s="18" t="n"/>
      <c r="AU301" s="18" t="n"/>
      <c r="AV301" s="18" t="n"/>
      <c r="AW301" s="18" t="n"/>
      <c r="AX301" s="18" t="n"/>
      <c r="AY301" s="18" t="n"/>
      <c r="AZ301" s="15" t="n"/>
    </row>
    <row r="302">
      <c r="A302" s="15" t="n"/>
      <c r="B302" s="15" t="n"/>
      <c r="C302" s="15" t="n"/>
      <c r="D302" s="15" t="n"/>
      <c r="E302" s="15" t="n"/>
      <c r="F302" s="15" t="n"/>
      <c r="G302" s="16">
        <f>IF(F302="","",IFERROR(INDEX(Stammdaten!$B$5:$B$24,MATCH(F302,Stammdaten!$A$5:$A$24,0)),"unbekannt"))</f>
        <v/>
      </c>
      <c r="H302" s="16">
        <f>IF($B302="","",IF(AY302&lt;&gt;"","abgeschlossen",IF(AND(ISNUMBER(AX302),AX302&gt;=TODAY()),"zurückgestellt",IF(OR(AND(ISNUMBER(AA302),AA302&lt;TODAY(),Z302="",AJ302=""),AND(ISNUMBER(Z302),Z302&lt;TODAY(),AJ302=""),AND(ISNUMBER(AB302),AB302&lt;TODAY(),AK302=""),AND(ISNUMBER(AC302),AC302&lt;TODAY(),AO302=""),AND(ISNUMBER(AD302),AD302&lt;TODAY(),AQ302="")),"überfällig","offen"))))</f>
        <v/>
      </c>
      <c r="I302" s="16">
        <f>IF($B302="","",IF(AY302&lt;&gt;"","—",IF(AND(ISNUMBER(AA302),AA302&lt;TODAY(),Z302="",AJ302=""),"Abnahmetermin vereinbaren – Sollfrist verstrichen",IF(AND(ISNUMBER(Z302),Z302&lt;TODAY(),AJ302=""),"Wohnungsabnahme nachtragen – Termin war fällig",IF(AND(ISNUMBER(AB302),AB302&lt;TODAY(),AK302=""),"Handwerker aufbieten – Frist verstrichen",IF(AND(ISNUMBER(AC302),AC302&lt;TODAY(),AO302=""),"Vertrag retour mahnen – Frist verstrichen",IF(AND(ISNUMBER(AD302),AD302&lt;TODAY(),AQ302=""),"Schlüsselübergabe nachtragen – Termin war fällig",IF(M302="","Haftungsdatum erfassen",IF(E302="","ex-Mieter erfassen",IF(AE302="","Kündigung bestätigen / G-Rem",IF(AF302="","Werke / EGT melden",IF(AG302="","Vorbesichtigung (oder n.e.)",IF(AH302="","VMZ aktualisieren",IF(AI302="","Inserat aufschalten",IF(AND(Z302="",AJ302=""),"Abnahmetermin vereinbaren",IF(AJ302="","Wohnungsabnahme durchführen",IF(AK302="","Handwerker aufbieten",IF(AL302="","Zustimmungserklärung einholen",IF(AM302="","Instandstellungen beauftragen",IF(R302="","Nachmieter erfassen",IF(AN302="","Vertrag versenden",IF(AO302="","Vertrag retour erfassen",IF(S302="","Vermietet per erfassen",IF(AP302="","Werke / EGT über Einzug informieren",IF(AND(AD302="",AQ302=""),"Schlüsselübergabe terminieren",IF(AQ302="","Schlüsselübergabe durchführen",IF(AR302="","Reinigung veranlassen",IF(AS302="","Namensschilder bestellen",IF(AT302="","Kaution prüfen / G-Rem mutieren",IF(AU302="","Instandstellungs-Rechnung erfassen",IF(AV302="","Schlussabrechnung erstellen",IF(AW302="","Zahlungseingang kontrollieren","Fall abschliessen"))))))))))))))))))))))))))))))))</f>
        <v/>
      </c>
      <c r="J302" s="17">
        <f>IF(M302="","",IF(S302&lt;&gt;"",MAX(0,S302-M302-1),MAX(0,TODAY()-M302)))</f>
        <v/>
      </c>
      <c r="K302" s="16">
        <f>IF($B302="","",TRIM(IF(AND(L302&lt;&gt;"",M302&lt;&gt;"",M302&lt;L302),"Haftungsdatum vor Kündigung. ","")&amp;IF(AND(S302&lt;&gt;"",M302&lt;&gt;"",S302&lt;M302),"Vermietung vor Leerstandsbeginn. ","")&amp;IF(AND(Z302&lt;&gt;"",L302&lt;&gt;"",Z302&lt;L302),"WA-Termin vor Kündigung. ","")&amp;IF(COUNTIFS($B$5:$B$404,$B302,$AY$5:$AY$404,"")&gt;1,"Zweiter offener Fall zum selben Objekt. ","")&amp;IF(AND($A302&lt;&gt;"",COUNTIFS($A$5:$A$404,$A302)&gt;1),"Fall-Nr. doppelt vergeben. ","")&amp;IF(E302="","ex-Mieter fehlt. ","")&amp;IF(M302="","Haftungsdatum fehlt. ","")&amp;IF(F302="","Bewirtschafter fehlt. ","")&amp;IF(AND(AY302&lt;&gt;"",AW302=""),"Abgeschlossen trotz offener Schlussabrechnung. ","")&amp;IF(AND(AY302="",S302="",ISNUMBER(J302),J302&gt;60),"Langläufer über 60 Tage. ","")))</f>
        <v/>
      </c>
      <c r="L302" s="18" t="n"/>
      <c r="M302" s="18" t="n"/>
      <c r="N302" s="19">
        <f>IF(M302="","",M302+1)</f>
        <v/>
      </c>
      <c r="O302" s="17">
        <f>IF(OR(L302="",M302=""),"",M302-L302)</f>
        <v/>
      </c>
      <c r="P302" s="16">
        <f>IF(M302="","",YEAR(M302+1)&amp;"-"&amp;TEXT(MONTH(M302+1),"00"))</f>
        <v/>
      </c>
      <c r="Q302" s="18" t="n"/>
      <c r="R302" s="15" t="n"/>
      <c r="S302" s="18" t="n"/>
      <c r="T302" s="16">
        <f>IF(U302="","",IF(LEFT(U302,1)="6","abgeschlossen",IF(OR(LEFT(U302,1)="1",LEFT(U302,1)="2"),"Kündigung &amp; Abnahme",IF(OR(LEFT(U302,1)="3",LEFT(U302,1)="4"),"Wiedervermietung","Schlussabrechnung"))))</f>
        <v/>
      </c>
      <c r="U302" s="16">
        <f>IF($B302="","",IF(AY302&lt;&gt;"","6 · abgeschlossen",IF(AW302&lt;&gt;"","5 · bereit zum Abschluss",IF(AT302&lt;&gt;"","5 · Schlussabrechnung",IF(AO302&lt;&gt;"","4 · Übergabe",IF(AM302&lt;&gt;"","3 · Neuvermietung",IF(M302&lt;&gt;"","2 · Abnahme &amp; Vermarktung","1 · Erfassung")))))))</f>
        <v/>
      </c>
      <c r="V302" s="15" t="n"/>
      <c r="W302" s="20" t="n"/>
      <c r="X302" s="15" t="n"/>
      <c r="Y302" s="15" t="n"/>
      <c r="Z302" s="18" t="n"/>
      <c r="AA302" s="19">
        <f>IF(M302="","",M302-30)</f>
        <v/>
      </c>
      <c r="AB302" s="19">
        <f>IF(ISNUMBER(AJ302),AJ302+3,"")</f>
        <v/>
      </c>
      <c r="AC302" s="18" t="n"/>
      <c r="AD302" s="18" t="n"/>
      <c r="AE302" s="18" t="n"/>
      <c r="AF302" s="18" t="n"/>
      <c r="AG302" s="18" t="n"/>
      <c r="AH302" s="18" t="n"/>
      <c r="AI302" s="18" t="n"/>
      <c r="AJ302" s="18" t="n"/>
      <c r="AK302" s="18" t="n"/>
      <c r="AL302" s="18" t="n"/>
      <c r="AM302" s="18" t="n"/>
      <c r="AN302" s="18" t="n"/>
      <c r="AO302" s="18" t="n"/>
      <c r="AP302" s="18" t="n"/>
      <c r="AQ302" s="18" t="n"/>
      <c r="AR302" s="18" t="n"/>
      <c r="AS302" s="18" t="n"/>
      <c r="AT302" s="18" t="n"/>
      <c r="AU302" s="18" t="n"/>
      <c r="AV302" s="18" t="n"/>
      <c r="AW302" s="18" t="n"/>
      <c r="AX302" s="18" t="n"/>
      <c r="AY302" s="18" t="n"/>
      <c r="AZ302" s="15" t="n"/>
    </row>
    <row r="303">
      <c r="A303" s="15" t="n"/>
      <c r="B303" s="15" t="n"/>
      <c r="C303" s="15" t="n"/>
      <c r="D303" s="15" t="n"/>
      <c r="E303" s="15" t="n"/>
      <c r="F303" s="15" t="n"/>
      <c r="G303" s="16">
        <f>IF(F303="","",IFERROR(INDEX(Stammdaten!$B$5:$B$24,MATCH(F303,Stammdaten!$A$5:$A$24,0)),"unbekannt"))</f>
        <v/>
      </c>
      <c r="H303" s="16">
        <f>IF($B303="","",IF(AY303&lt;&gt;"","abgeschlossen",IF(AND(ISNUMBER(AX303),AX303&gt;=TODAY()),"zurückgestellt",IF(OR(AND(ISNUMBER(AA303),AA303&lt;TODAY(),Z303="",AJ303=""),AND(ISNUMBER(Z303),Z303&lt;TODAY(),AJ303=""),AND(ISNUMBER(AB303),AB303&lt;TODAY(),AK303=""),AND(ISNUMBER(AC303),AC303&lt;TODAY(),AO303=""),AND(ISNUMBER(AD303),AD303&lt;TODAY(),AQ303="")),"überfällig","offen"))))</f>
        <v/>
      </c>
      <c r="I303" s="16">
        <f>IF($B303="","",IF(AY303&lt;&gt;"","—",IF(AND(ISNUMBER(AA303),AA303&lt;TODAY(),Z303="",AJ303=""),"Abnahmetermin vereinbaren – Sollfrist verstrichen",IF(AND(ISNUMBER(Z303),Z303&lt;TODAY(),AJ303=""),"Wohnungsabnahme nachtragen – Termin war fällig",IF(AND(ISNUMBER(AB303),AB303&lt;TODAY(),AK303=""),"Handwerker aufbieten – Frist verstrichen",IF(AND(ISNUMBER(AC303),AC303&lt;TODAY(),AO303=""),"Vertrag retour mahnen – Frist verstrichen",IF(AND(ISNUMBER(AD303),AD303&lt;TODAY(),AQ303=""),"Schlüsselübergabe nachtragen – Termin war fällig",IF(M303="","Haftungsdatum erfassen",IF(E303="","ex-Mieter erfassen",IF(AE303="","Kündigung bestätigen / G-Rem",IF(AF303="","Werke / EGT melden",IF(AG303="","Vorbesichtigung (oder n.e.)",IF(AH303="","VMZ aktualisieren",IF(AI303="","Inserat aufschalten",IF(AND(Z303="",AJ303=""),"Abnahmetermin vereinbaren",IF(AJ303="","Wohnungsabnahme durchführen",IF(AK303="","Handwerker aufbieten",IF(AL303="","Zustimmungserklärung einholen",IF(AM303="","Instandstellungen beauftragen",IF(R303="","Nachmieter erfassen",IF(AN303="","Vertrag versenden",IF(AO303="","Vertrag retour erfassen",IF(S303="","Vermietet per erfassen",IF(AP303="","Werke / EGT über Einzug informieren",IF(AND(AD303="",AQ303=""),"Schlüsselübergabe terminieren",IF(AQ303="","Schlüsselübergabe durchführen",IF(AR303="","Reinigung veranlassen",IF(AS303="","Namensschilder bestellen",IF(AT303="","Kaution prüfen / G-Rem mutieren",IF(AU303="","Instandstellungs-Rechnung erfassen",IF(AV303="","Schlussabrechnung erstellen",IF(AW303="","Zahlungseingang kontrollieren","Fall abschliessen"))))))))))))))))))))))))))))))))</f>
        <v/>
      </c>
      <c r="J303" s="17">
        <f>IF(M303="","",IF(S303&lt;&gt;"",MAX(0,S303-M303-1),MAX(0,TODAY()-M303)))</f>
        <v/>
      </c>
      <c r="K303" s="16">
        <f>IF($B303="","",TRIM(IF(AND(L303&lt;&gt;"",M303&lt;&gt;"",M303&lt;L303),"Haftungsdatum vor Kündigung. ","")&amp;IF(AND(S303&lt;&gt;"",M303&lt;&gt;"",S303&lt;M303),"Vermietung vor Leerstandsbeginn. ","")&amp;IF(AND(Z303&lt;&gt;"",L303&lt;&gt;"",Z303&lt;L303),"WA-Termin vor Kündigung. ","")&amp;IF(COUNTIFS($B$5:$B$404,$B303,$AY$5:$AY$404,"")&gt;1,"Zweiter offener Fall zum selben Objekt. ","")&amp;IF(AND($A303&lt;&gt;"",COUNTIFS($A$5:$A$404,$A303)&gt;1),"Fall-Nr. doppelt vergeben. ","")&amp;IF(E303="","ex-Mieter fehlt. ","")&amp;IF(M303="","Haftungsdatum fehlt. ","")&amp;IF(F303="","Bewirtschafter fehlt. ","")&amp;IF(AND(AY303&lt;&gt;"",AW303=""),"Abgeschlossen trotz offener Schlussabrechnung. ","")&amp;IF(AND(AY303="",S303="",ISNUMBER(J303),J303&gt;60),"Langläufer über 60 Tage. ","")))</f>
        <v/>
      </c>
      <c r="L303" s="18" t="n"/>
      <c r="M303" s="18" t="n"/>
      <c r="N303" s="19">
        <f>IF(M303="","",M303+1)</f>
        <v/>
      </c>
      <c r="O303" s="17">
        <f>IF(OR(L303="",M303=""),"",M303-L303)</f>
        <v/>
      </c>
      <c r="P303" s="16">
        <f>IF(M303="","",YEAR(M303+1)&amp;"-"&amp;TEXT(MONTH(M303+1),"00"))</f>
        <v/>
      </c>
      <c r="Q303" s="18" t="n"/>
      <c r="R303" s="15" t="n"/>
      <c r="S303" s="18" t="n"/>
      <c r="T303" s="16">
        <f>IF(U303="","",IF(LEFT(U303,1)="6","abgeschlossen",IF(OR(LEFT(U303,1)="1",LEFT(U303,1)="2"),"Kündigung &amp; Abnahme",IF(OR(LEFT(U303,1)="3",LEFT(U303,1)="4"),"Wiedervermietung","Schlussabrechnung"))))</f>
        <v/>
      </c>
      <c r="U303" s="16">
        <f>IF($B303="","",IF(AY303&lt;&gt;"","6 · abgeschlossen",IF(AW303&lt;&gt;"","5 · bereit zum Abschluss",IF(AT303&lt;&gt;"","5 · Schlussabrechnung",IF(AO303&lt;&gt;"","4 · Übergabe",IF(AM303&lt;&gt;"","3 · Neuvermietung",IF(M303&lt;&gt;"","2 · Abnahme &amp; Vermarktung","1 · Erfassung")))))))</f>
        <v/>
      </c>
      <c r="V303" s="15" t="n"/>
      <c r="W303" s="20" t="n"/>
      <c r="X303" s="15" t="n"/>
      <c r="Y303" s="15" t="n"/>
      <c r="Z303" s="18" t="n"/>
      <c r="AA303" s="19">
        <f>IF(M303="","",M303-30)</f>
        <v/>
      </c>
      <c r="AB303" s="19">
        <f>IF(ISNUMBER(AJ303),AJ303+3,"")</f>
        <v/>
      </c>
      <c r="AC303" s="18" t="n"/>
      <c r="AD303" s="18" t="n"/>
      <c r="AE303" s="18" t="n"/>
      <c r="AF303" s="18" t="n"/>
      <c r="AG303" s="18" t="n"/>
      <c r="AH303" s="18" t="n"/>
      <c r="AI303" s="18" t="n"/>
      <c r="AJ303" s="18" t="n"/>
      <c r="AK303" s="18" t="n"/>
      <c r="AL303" s="18" t="n"/>
      <c r="AM303" s="18" t="n"/>
      <c r="AN303" s="18" t="n"/>
      <c r="AO303" s="18" t="n"/>
      <c r="AP303" s="18" t="n"/>
      <c r="AQ303" s="18" t="n"/>
      <c r="AR303" s="18" t="n"/>
      <c r="AS303" s="18" t="n"/>
      <c r="AT303" s="18" t="n"/>
      <c r="AU303" s="18" t="n"/>
      <c r="AV303" s="18" t="n"/>
      <c r="AW303" s="18" t="n"/>
      <c r="AX303" s="18" t="n"/>
      <c r="AY303" s="18" t="n"/>
      <c r="AZ303" s="15" t="n"/>
    </row>
    <row r="304">
      <c r="A304" s="15" t="n"/>
      <c r="B304" s="15" t="n"/>
      <c r="C304" s="15" t="n"/>
      <c r="D304" s="15" t="n"/>
      <c r="E304" s="15" t="n"/>
      <c r="F304" s="15" t="n"/>
      <c r="G304" s="16">
        <f>IF(F304="","",IFERROR(INDEX(Stammdaten!$B$5:$B$24,MATCH(F304,Stammdaten!$A$5:$A$24,0)),"unbekannt"))</f>
        <v/>
      </c>
      <c r="H304" s="16">
        <f>IF($B304="","",IF(AY304&lt;&gt;"","abgeschlossen",IF(AND(ISNUMBER(AX304),AX304&gt;=TODAY()),"zurückgestellt",IF(OR(AND(ISNUMBER(AA304),AA304&lt;TODAY(),Z304="",AJ304=""),AND(ISNUMBER(Z304),Z304&lt;TODAY(),AJ304=""),AND(ISNUMBER(AB304),AB304&lt;TODAY(),AK304=""),AND(ISNUMBER(AC304),AC304&lt;TODAY(),AO304=""),AND(ISNUMBER(AD304),AD304&lt;TODAY(),AQ304="")),"überfällig","offen"))))</f>
        <v/>
      </c>
      <c r="I304" s="16">
        <f>IF($B304="","",IF(AY304&lt;&gt;"","—",IF(AND(ISNUMBER(AA304),AA304&lt;TODAY(),Z304="",AJ304=""),"Abnahmetermin vereinbaren – Sollfrist verstrichen",IF(AND(ISNUMBER(Z304),Z304&lt;TODAY(),AJ304=""),"Wohnungsabnahme nachtragen – Termin war fällig",IF(AND(ISNUMBER(AB304),AB304&lt;TODAY(),AK304=""),"Handwerker aufbieten – Frist verstrichen",IF(AND(ISNUMBER(AC304),AC304&lt;TODAY(),AO304=""),"Vertrag retour mahnen – Frist verstrichen",IF(AND(ISNUMBER(AD304),AD304&lt;TODAY(),AQ304=""),"Schlüsselübergabe nachtragen – Termin war fällig",IF(M304="","Haftungsdatum erfassen",IF(E304="","ex-Mieter erfassen",IF(AE304="","Kündigung bestätigen / G-Rem",IF(AF304="","Werke / EGT melden",IF(AG304="","Vorbesichtigung (oder n.e.)",IF(AH304="","VMZ aktualisieren",IF(AI304="","Inserat aufschalten",IF(AND(Z304="",AJ304=""),"Abnahmetermin vereinbaren",IF(AJ304="","Wohnungsabnahme durchführen",IF(AK304="","Handwerker aufbieten",IF(AL304="","Zustimmungserklärung einholen",IF(AM304="","Instandstellungen beauftragen",IF(R304="","Nachmieter erfassen",IF(AN304="","Vertrag versenden",IF(AO304="","Vertrag retour erfassen",IF(S304="","Vermietet per erfassen",IF(AP304="","Werke / EGT über Einzug informieren",IF(AND(AD304="",AQ304=""),"Schlüsselübergabe terminieren",IF(AQ304="","Schlüsselübergabe durchführen",IF(AR304="","Reinigung veranlassen",IF(AS304="","Namensschilder bestellen",IF(AT304="","Kaution prüfen / G-Rem mutieren",IF(AU304="","Instandstellungs-Rechnung erfassen",IF(AV304="","Schlussabrechnung erstellen",IF(AW304="","Zahlungseingang kontrollieren","Fall abschliessen"))))))))))))))))))))))))))))))))</f>
        <v/>
      </c>
      <c r="J304" s="17">
        <f>IF(M304="","",IF(S304&lt;&gt;"",MAX(0,S304-M304-1),MAX(0,TODAY()-M304)))</f>
        <v/>
      </c>
      <c r="K304" s="16">
        <f>IF($B304="","",TRIM(IF(AND(L304&lt;&gt;"",M304&lt;&gt;"",M304&lt;L304),"Haftungsdatum vor Kündigung. ","")&amp;IF(AND(S304&lt;&gt;"",M304&lt;&gt;"",S304&lt;M304),"Vermietung vor Leerstandsbeginn. ","")&amp;IF(AND(Z304&lt;&gt;"",L304&lt;&gt;"",Z304&lt;L304),"WA-Termin vor Kündigung. ","")&amp;IF(COUNTIFS($B$5:$B$404,$B304,$AY$5:$AY$404,"")&gt;1,"Zweiter offener Fall zum selben Objekt. ","")&amp;IF(AND($A304&lt;&gt;"",COUNTIFS($A$5:$A$404,$A304)&gt;1),"Fall-Nr. doppelt vergeben. ","")&amp;IF(E304="","ex-Mieter fehlt. ","")&amp;IF(M304="","Haftungsdatum fehlt. ","")&amp;IF(F304="","Bewirtschafter fehlt. ","")&amp;IF(AND(AY304&lt;&gt;"",AW304=""),"Abgeschlossen trotz offener Schlussabrechnung. ","")&amp;IF(AND(AY304="",S304="",ISNUMBER(J304),J304&gt;60),"Langläufer über 60 Tage. ","")))</f>
        <v/>
      </c>
      <c r="L304" s="18" t="n"/>
      <c r="M304" s="18" t="n"/>
      <c r="N304" s="19">
        <f>IF(M304="","",M304+1)</f>
        <v/>
      </c>
      <c r="O304" s="17">
        <f>IF(OR(L304="",M304=""),"",M304-L304)</f>
        <v/>
      </c>
      <c r="P304" s="16">
        <f>IF(M304="","",YEAR(M304+1)&amp;"-"&amp;TEXT(MONTH(M304+1),"00"))</f>
        <v/>
      </c>
      <c r="Q304" s="18" t="n"/>
      <c r="R304" s="15" t="n"/>
      <c r="S304" s="18" t="n"/>
      <c r="T304" s="16">
        <f>IF(U304="","",IF(LEFT(U304,1)="6","abgeschlossen",IF(OR(LEFT(U304,1)="1",LEFT(U304,1)="2"),"Kündigung &amp; Abnahme",IF(OR(LEFT(U304,1)="3",LEFT(U304,1)="4"),"Wiedervermietung","Schlussabrechnung"))))</f>
        <v/>
      </c>
      <c r="U304" s="16">
        <f>IF($B304="","",IF(AY304&lt;&gt;"","6 · abgeschlossen",IF(AW304&lt;&gt;"","5 · bereit zum Abschluss",IF(AT304&lt;&gt;"","5 · Schlussabrechnung",IF(AO304&lt;&gt;"","4 · Übergabe",IF(AM304&lt;&gt;"","3 · Neuvermietung",IF(M304&lt;&gt;"","2 · Abnahme &amp; Vermarktung","1 · Erfassung")))))))</f>
        <v/>
      </c>
      <c r="V304" s="15" t="n"/>
      <c r="W304" s="20" t="n"/>
      <c r="X304" s="15" t="n"/>
      <c r="Y304" s="15" t="n"/>
      <c r="Z304" s="18" t="n"/>
      <c r="AA304" s="19">
        <f>IF(M304="","",M304-30)</f>
        <v/>
      </c>
      <c r="AB304" s="19">
        <f>IF(ISNUMBER(AJ304),AJ304+3,"")</f>
        <v/>
      </c>
      <c r="AC304" s="18" t="n"/>
      <c r="AD304" s="18" t="n"/>
      <c r="AE304" s="18" t="n"/>
      <c r="AF304" s="18" t="n"/>
      <c r="AG304" s="18" t="n"/>
      <c r="AH304" s="18" t="n"/>
      <c r="AI304" s="18" t="n"/>
      <c r="AJ304" s="18" t="n"/>
      <c r="AK304" s="18" t="n"/>
      <c r="AL304" s="18" t="n"/>
      <c r="AM304" s="18" t="n"/>
      <c r="AN304" s="18" t="n"/>
      <c r="AO304" s="18" t="n"/>
      <c r="AP304" s="18" t="n"/>
      <c r="AQ304" s="18" t="n"/>
      <c r="AR304" s="18" t="n"/>
      <c r="AS304" s="18" t="n"/>
      <c r="AT304" s="18" t="n"/>
      <c r="AU304" s="18" t="n"/>
      <c r="AV304" s="18" t="n"/>
      <c r="AW304" s="18" t="n"/>
      <c r="AX304" s="18" t="n"/>
      <c r="AY304" s="18" t="n"/>
      <c r="AZ304" s="15" t="n"/>
    </row>
    <row r="305">
      <c r="A305" s="15" t="n"/>
      <c r="B305" s="15" t="n"/>
      <c r="C305" s="15" t="n"/>
      <c r="D305" s="15" t="n"/>
      <c r="E305" s="15" t="n"/>
      <c r="F305" s="15" t="n"/>
      <c r="G305" s="16">
        <f>IF(F305="","",IFERROR(INDEX(Stammdaten!$B$5:$B$24,MATCH(F305,Stammdaten!$A$5:$A$24,0)),"unbekannt"))</f>
        <v/>
      </c>
      <c r="H305" s="16">
        <f>IF($B305="","",IF(AY305&lt;&gt;"","abgeschlossen",IF(AND(ISNUMBER(AX305),AX305&gt;=TODAY()),"zurückgestellt",IF(OR(AND(ISNUMBER(AA305),AA305&lt;TODAY(),Z305="",AJ305=""),AND(ISNUMBER(Z305),Z305&lt;TODAY(),AJ305=""),AND(ISNUMBER(AB305),AB305&lt;TODAY(),AK305=""),AND(ISNUMBER(AC305),AC305&lt;TODAY(),AO305=""),AND(ISNUMBER(AD305),AD305&lt;TODAY(),AQ305="")),"überfällig","offen"))))</f>
        <v/>
      </c>
      <c r="I305" s="16">
        <f>IF($B305="","",IF(AY305&lt;&gt;"","—",IF(AND(ISNUMBER(AA305),AA305&lt;TODAY(),Z305="",AJ305=""),"Abnahmetermin vereinbaren – Sollfrist verstrichen",IF(AND(ISNUMBER(Z305),Z305&lt;TODAY(),AJ305=""),"Wohnungsabnahme nachtragen – Termin war fällig",IF(AND(ISNUMBER(AB305),AB305&lt;TODAY(),AK305=""),"Handwerker aufbieten – Frist verstrichen",IF(AND(ISNUMBER(AC305),AC305&lt;TODAY(),AO305=""),"Vertrag retour mahnen – Frist verstrichen",IF(AND(ISNUMBER(AD305),AD305&lt;TODAY(),AQ305=""),"Schlüsselübergabe nachtragen – Termin war fällig",IF(M305="","Haftungsdatum erfassen",IF(E305="","ex-Mieter erfassen",IF(AE305="","Kündigung bestätigen / G-Rem",IF(AF305="","Werke / EGT melden",IF(AG305="","Vorbesichtigung (oder n.e.)",IF(AH305="","VMZ aktualisieren",IF(AI305="","Inserat aufschalten",IF(AND(Z305="",AJ305=""),"Abnahmetermin vereinbaren",IF(AJ305="","Wohnungsabnahme durchführen",IF(AK305="","Handwerker aufbieten",IF(AL305="","Zustimmungserklärung einholen",IF(AM305="","Instandstellungen beauftragen",IF(R305="","Nachmieter erfassen",IF(AN305="","Vertrag versenden",IF(AO305="","Vertrag retour erfassen",IF(S305="","Vermietet per erfassen",IF(AP305="","Werke / EGT über Einzug informieren",IF(AND(AD305="",AQ305=""),"Schlüsselübergabe terminieren",IF(AQ305="","Schlüsselübergabe durchführen",IF(AR305="","Reinigung veranlassen",IF(AS305="","Namensschilder bestellen",IF(AT305="","Kaution prüfen / G-Rem mutieren",IF(AU305="","Instandstellungs-Rechnung erfassen",IF(AV305="","Schlussabrechnung erstellen",IF(AW305="","Zahlungseingang kontrollieren","Fall abschliessen"))))))))))))))))))))))))))))))))</f>
        <v/>
      </c>
      <c r="J305" s="17">
        <f>IF(M305="","",IF(S305&lt;&gt;"",MAX(0,S305-M305-1),MAX(0,TODAY()-M305)))</f>
        <v/>
      </c>
      <c r="K305" s="16">
        <f>IF($B305="","",TRIM(IF(AND(L305&lt;&gt;"",M305&lt;&gt;"",M305&lt;L305),"Haftungsdatum vor Kündigung. ","")&amp;IF(AND(S305&lt;&gt;"",M305&lt;&gt;"",S305&lt;M305),"Vermietung vor Leerstandsbeginn. ","")&amp;IF(AND(Z305&lt;&gt;"",L305&lt;&gt;"",Z305&lt;L305),"WA-Termin vor Kündigung. ","")&amp;IF(COUNTIFS($B$5:$B$404,$B305,$AY$5:$AY$404,"")&gt;1,"Zweiter offener Fall zum selben Objekt. ","")&amp;IF(AND($A305&lt;&gt;"",COUNTIFS($A$5:$A$404,$A305)&gt;1),"Fall-Nr. doppelt vergeben. ","")&amp;IF(E305="","ex-Mieter fehlt. ","")&amp;IF(M305="","Haftungsdatum fehlt. ","")&amp;IF(F305="","Bewirtschafter fehlt. ","")&amp;IF(AND(AY305&lt;&gt;"",AW305=""),"Abgeschlossen trotz offener Schlussabrechnung. ","")&amp;IF(AND(AY305="",S305="",ISNUMBER(J305),J305&gt;60),"Langläufer über 60 Tage. ","")))</f>
        <v/>
      </c>
      <c r="L305" s="18" t="n"/>
      <c r="M305" s="18" t="n"/>
      <c r="N305" s="19">
        <f>IF(M305="","",M305+1)</f>
        <v/>
      </c>
      <c r="O305" s="17">
        <f>IF(OR(L305="",M305=""),"",M305-L305)</f>
        <v/>
      </c>
      <c r="P305" s="16">
        <f>IF(M305="","",YEAR(M305+1)&amp;"-"&amp;TEXT(MONTH(M305+1),"00"))</f>
        <v/>
      </c>
      <c r="Q305" s="18" t="n"/>
      <c r="R305" s="15" t="n"/>
      <c r="S305" s="18" t="n"/>
      <c r="T305" s="16">
        <f>IF(U305="","",IF(LEFT(U305,1)="6","abgeschlossen",IF(OR(LEFT(U305,1)="1",LEFT(U305,1)="2"),"Kündigung &amp; Abnahme",IF(OR(LEFT(U305,1)="3",LEFT(U305,1)="4"),"Wiedervermietung","Schlussabrechnung"))))</f>
        <v/>
      </c>
      <c r="U305" s="16">
        <f>IF($B305="","",IF(AY305&lt;&gt;"","6 · abgeschlossen",IF(AW305&lt;&gt;"","5 · bereit zum Abschluss",IF(AT305&lt;&gt;"","5 · Schlussabrechnung",IF(AO305&lt;&gt;"","4 · Übergabe",IF(AM305&lt;&gt;"","3 · Neuvermietung",IF(M305&lt;&gt;"","2 · Abnahme &amp; Vermarktung","1 · Erfassung")))))))</f>
        <v/>
      </c>
      <c r="V305" s="15" t="n"/>
      <c r="W305" s="20" t="n"/>
      <c r="X305" s="15" t="n"/>
      <c r="Y305" s="15" t="n"/>
      <c r="Z305" s="18" t="n"/>
      <c r="AA305" s="19">
        <f>IF(M305="","",M305-30)</f>
        <v/>
      </c>
      <c r="AB305" s="19">
        <f>IF(ISNUMBER(AJ305),AJ305+3,"")</f>
        <v/>
      </c>
      <c r="AC305" s="18" t="n"/>
      <c r="AD305" s="18" t="n"/>
      <c r="AE305" s="18" t="n"/>
      <c r="AF305" s="18" t="n"/>
      <c r="AG305" s="18" t="n"/>
      <c r="AH305" s="18" t="n"/>
      <c r="AI305" s="18" t="n"/>
      <c r="AJ305" s="18" t="n"/>
      <c r="AK305" s="18" t="n"/>
      <c r="AL305" s="18" t="n"/>
      <c r="AM305" s="18" t="n"/>
      <c r="AN305" s="18" t="n"/>
      <c r="AO305" s="18" t="n"/>
      <c r="AP305" s="18" t="n"/>
      <c r="AQ305" s="18" t="n"/>
      <c r="AR305" s="18" t="n"/>
      <c r="AS305" s="18" t="n"/>
      <c r="AT305" s="18" t="n"/>
      <c r="AU305" s="18" t="n"/>
      <c r="AV305" s="18" t="n"/>
      <c r="AW305" s="18" t="n"/>
      <c r="AX305" s="18" t="n"/>
      <c r="AY305" s="18" t="n"/>
      <c r="AZ305" s="15" t="n"/>
    </row>
    <row r="306">
      <c r="A306" s="15" t="n"/>
      <c r="B306" s="15" t="n"/>
      <c r="C306" s="15" t="n"/>
      <c r="D306" s="15" t="n"/>
      <c r="E306" s="15" t="n"/>
      <c r="F306" s="15" t="n"/>
      <c r="G306" s="16">
        <f>IF(F306="","",IFERROR(INDEX(Stammdaten!$B$5:$B$24,MATCH(F306,Stammdaten!$A$5:$A$24,0)),"unbekannt"))</f>
        <v/>
      </c>
      <c r="H306" s="16">
        <f>IF($B306="","",IF(AY306&lt;&gt;"","abgeschlossen",IF(AND(ISNUMBER(AX306),AX306&gt;=TODAY()),"zurückgestellt",IF(OR(AND(ISNUMBER(AA306),AA306&lt;TODAY(),Z306="",AJ306=""),AND(ISNUMBER(Z306),Z306&lt;TODAY(),AJ306=""),AND(ISNUMBER(AB306),AB306&lt;TODAY(),AK306=""),AND(ISNUMBER(AC306),AC306&lt;TODAY(),AO306=""),AND(ISNUMBER(AD306),AD306&lt;TODAY(),AQ306="")),"überfällig","offen"))))</f>
        <v/>
      </c>
      <c r="I306" s="16">
        <f>IF($B306="","",IF(AY306&lt;&gt;"","—",IF(AND(ISNUMBER(AA306),AA306&lt;TODAY(),Z306="",AJ306=""),"Abnahmetermin vereinbaren – Sollfrist verstrichen",IF(AND(ISNUMBER(Z306),Z306&lt;TODAY(),AJ306=""),"Wohnungsabnahme nachtragen – Termin war fällig",IF(AND(ISNUMBER(AB306),AB306&lt;TODAY(),AK306=""),"Handwerker aufbieten – Frist verstrichen",IF(AND(ISNUMBER(AC306),AC306&lt;TODAY(),AO306=""),"Vertrag retour mahnen – Frist verstrichen",IF(AND(ISNUMBER(AD306),AD306&lt;TODAY(),AQ306=""),"Schlüsselübergabe nachtragen – Termin war fällig",IF(M306="","Haftungsdatum erfassen",IF(E306="","ex-Mieter erfassen",IF(AE306="","Kündigung bestätigen / G-Rem",IF(AF306="","Werke / EGT melden",IF(AG306="","Vorbesichtigung (oder n.e.)",IF(AH306="","VMZ aktualisieren",IF(AI306="","Inserat aufschalten",IF(AND(Z306="",AJ306=""),"Abnahmetermin vereinbaren",IF(AJ306="","Wohnungsabnahme durchführen",IF(AK306="","Handwerker aufbieten",IF(AL306="","Zustimmungserklärung einholen",IF(AM306="","Instandstellungen beauftragen",IF(R306="","Nachmieter erfassen",IF(AN306="","Vertrag versenden",IF(AO306="","Vertrag retour erfassen",IF(S306="","Vermietet per erfassen",IF(AP306="","Werke / EGT über Einzug informieren",IF(AND(AD306="",AQ306=""),"Schlüsselübergabe terminieren",IF(AQ306="","Schlüsselübergabe durchführen",IF(AR306="","Reinigung veranlassen",IF(AS306="","Namensschilder bestellen",IF(AT306="","Kaution prüfen / G-Rem mutieren",IF(AU306="","Instandstellungs-Rechnung erfassen",IF(AV306="","Schlussabrechnung erstellen",IF(AW306="","Zahlungseingang kontrollieren","Fall abschliessen"))))))))))))))))))))))))))))))))</f>
        <v/>
      </c>
      <c r="J306" s="17">
        <f>IF(M306="","",IF(S306&lt;&gt;"",MAX(0,S306-M306-1),MAX(0,TODAY()-M306)))</f>
        <v/>
      </c>
      <c r="K306" s="16">
        <f>IF($B306="","",TRIM(IF(AND(L306&lt;&gt;"",M306&lt;&gt;"",M306&lt;L306),"Haftungsdatum vor Kündigung. ","")&amp;IF(AND(S306&lt;&gt;"",M306&lt;&gt;"",S306&lt;M306),"Vermietung vor Leerstandsbeginn. ","")&amp;IF(AND(Z306&lt;&gt;"",L306&lt;&gt;"",Z306&lt;L306),"WA-Termin vor Kündigung. ","")&amp;IF(COUNTIFS($B$5:$B$404,$B306,$AY$5:$AY$404,"")&gt;1,"Zweiter offener Fall zum selben Objekt. ","")&amp;IF(AND($A306&lt;&gt;"",COUNTIFS($A$5:$A$404,$A306)&gt;1),"Fall-Nr. doppelt vergeben. ","")&amp;IF(E306="","ex-Mieter fehlt. ","")&amp;IF(M306="","Haftungsdatum fehlt. ","")&amp;IF(F306="","Bewirtschafter fehlt. ","")&amp;IF(AND(AY306&lt;&gt;"",AW306=""),"Abgeschlossen trotz offener Schlussabrechnung. ","")&amp;IF(AND(AY306="",S306="",ISNUMBER(J306),J306&gt;60),"Langläufer über 60 Tage. ","")))</f>
        <v/>
      </c>
      <c r="L306" s="18" t="n"/>
      <c r="M306" s="18" t="n"/>
      <c r="N306" s="19">
        <f>IF(M306="","",M306+1)</f>
        <v/>
      </c>
      <c r="O306" s="17">
        <f>IF(OR(L306="",M306=""),"",M306-L306)</f>
        <v/>
      </c>
      <c r="P306" s="16">
        <f>IF(M306="","",YEAR(M306+1)&amp;"-"&amp;TEXT(MONTH(M306+1),"00"))</f>
        <v/>
      </c>
      <c r="Q306" s="18" t="n"/>
      <c r="R306" s="15" t="n"/>
      <c r="S306" s="18" t="n"/>
      <c r="T306" s="16">
        <f>IF(U306="","",IF(LEFT(U306,1)="6","abgeschlossen",IF(OR(LEFT(U306,1)="1",LEFT(U306,1)="2"),"Kündigung &amp; Abnahme",IF(OR(LEFT(U306,1)="3",LEFT(U306,1)="4"),"Wiedervermietung","Schlussabrechnung"))))</f>
        <v/>
      </c>
      <c r="U306" s="16">
        <f>IF($B306="","",IF(AY306&lt;&gt;"","6 · abgeschlossen",IF(AW306&lt;&gt;"","5 · bereit zum Abschluss",IF(AT306&lt;&gt;"","5 · Schlussabrechnung",IF(AO306&lt;&gt;"","4 · Übergabe",IF(AM306&lt;&gt;"","3 · Neuvermietung",IF(M306&lt;&gt;"","2 · Abnahme &amp; Vermarktung","1 · Erfassung")))))))</f>
        <v/>
      </c>
      <c r="V306" s="15" t="n"/>
      <c r="W306" s="20" t="n"/>
      <c r="X306" s="15" t="n"/>
      <c r="Y306" s="15" t="n"/>
      <c r="Z306" s="18" t="n"/>
      <c r="AA306" s="19">
        <f>IF(M306="","",M306-30)</f>
        <v/>
      </c>
      <c r="AB306" s="19">
        <f>IF(ISNUMBER(AJ306),AJ306+3,"")</f>
        <v/>
      </c>
      <c r="AC306" s="18" t="n"/>
      <c r="AD306" s="18" t="n"/>
      <c r="AE306" s="18" t="n"/>
      <c r="AF306" s="18" t="n"/>
      <c r="AG306" s="18" t="n"/>
      <c r="AH306" s="18" t="n"/>
      <c r="AI306" s="18" t="n"/>
      <c r="AJ306" s="18" t="n"/>
      <c r="AK306" s="18" t="n"/>
      <c r="AL306" s="18" t="n"/>
      <c r="AM306" s="18" t="n"/>
      <c r="AN306" s="18" t="n"/>
      <c r="AO306" s="18" t="n"/>
      <c r="AP306" s="18" t="n"/>
      <c r="AQ306" s="18" t="n"/>
      <c r="AR306" s="18" t="n"/>
      <c r="AS306" s="18" t="n"/>
      <c r="AT306" s="18" t="n"/>
      <c r="AU306" s="18" t="n"/>
      <c r="AV306" s="18" t="n"/>
      <c r="AW306" s="18" t="n"/>
      <c r="AX306" s="18" t="n"/>
      <c r="AY306" s="18" t="n"/>
      <c r="AZ306" s="15" t="n"/>
    </row>
    <row r="307">
      <c r="A307" s="15" t="n"/>
      <c r="B307" s="15" t="n"/>
      <c r="C307" s="15" t="n"/>
      <c r="D307" s="15" t="n"/>
      <c r="E307" s="15" t="n"/>
      <c r="F307" s="15" t="n"/>
      <c r="G307" s="16">
        <f>IF(F307="","",IFERROR(INDEX(Stammdaten!$B$5:$B$24,MATCH(F307,Stammdaten!$A$5:$A$24,0)),"unbekannt"))</f>
        <v/>
      </c>
      <c r="H307" s="16">
        <f>IF($B307="","",IF(AY307&lt;&gt;"","abgeschlossen",IF(AND(ISNUMBER(AX307),AX307&gt;=TODAY()),"zurückgestellt",IF(OR(AND(ISNUMBER(AA307),AA307&lt;TODAY(),Z307="",AJ307=""),AND(ISNUMBER(Z307),Z307&lt;TODAY(),AJ307=""),AND(ISNUMBER(AB307),AB307&lt;TODAY(),AK307=""),AND(ISNUMBER(AC307),AC307&lt;TODAY(),AO307=""),AND(ISNUMBER(AD307),AD307&lt;TODAY(),AQ307="")),"überfällig","offen"))))</f>
        <v/>
      </c>
      <c r="I307" s="16">
        <f>IF($B307="","",IF(AY307&lt;&gt;"","—",IF(AND(ISNUMBER(AA307),AA307&lt;TODAY(),Z307="",AJ307=""),"Abnahmetermin vereinbaren – Sollfrist verstrichen",IF(AND(ISNUMBER(Z307),Z307&lt;TODAY(),AJ307=""),"Wohnungsabnahme nachtragen – Termin war fällig",IF(AND(ISNUMBER(AB307),AB307&lt;TODAY(),AK307=""),"Handwerker aufbieten – Frist verstrichen",IF(AND(ISNUMBER(AC307),AC307&lt;TODAY(),AO307=""),"Vertrag retour mahnen – Frist verstrichen",IF(AND(ISNUMBER(AD307),AD307&lt;TODAY(),AQ307=""),"Schlüsselübergabe nachtragen – Termin war fällig",IF(M307="","Haftungsdatum erfassen",IF(E307="","ex-Mieter erfassen",IF(AE307="","Kündigung bestätigen / G-Rem",IF(AF307="","Werke / EGT melden",IF(AG307="","Vorbesichtigung (oder n.e.)",IF(AH307="","VMZ aktualisieren",IF(AI307="","Inserat aufschalten",IF(AND(Z307="",AJ307=""),"Abnahmetermin vereinbaren",IF(AJ307="","Wohnungsabnahme durchführen",IF(AK307="","Handwerker aufbieten",IF(AL307="","Zustimmungserklärung einholen",IF(AM307="","Instandstellungen beauftragen",IF(R307="","Nachmieter erfassen",IF(AN307="","Vertrag versenden",IF(AO307="","Vertrag retour erfassen",IF(S307="","Vermietet per erfassen",IF(AP307="","Werke / EGT über Einzug informieren",IF(AND(AD307="",AQ307=""),"Schlüsselübergabe terminieren",IF(AQ307="","Schlüsselübergabe durchführen",IF(AR307="","Reinigung veranlassen",IF(AS307="","Namensschilder bestellen",IF(AT307="","Kaution prüfen / G-Rem mutieren",IF(AU307="","Instandstellungs-Rechnung erfassen",IF(AV307="","Schlussabrechnung erstellen",IF(AW307="","Zahlungseingang kontrollieren","Fall abschliessen"))))))))))))))))))))))))))))))))</f>
        <v/>
      </c>
      <c r="J307" s="17">
        <f>IF(M307="","",IF(S307&lt;&gt;"",MAX(0,S307-M307-1),MAX(0,TODAY()-M307)))</f>
        <v/>
      </c>
      <c r="K307" s="16">
        <f>IF($B307="","",TRIM(IF(AND(L307&lt;&gt;"",M307&lt;&gt;"",M307&lt;L307),"Haftungsdatum vor Kündigung. ","")&amp;IF(AND(S307&lt;&gt;"",M307&lt;&gt;"",S307&lt;M307),"Vermietung vor Leerstandsbeginn. ","")&amp;IF(AND(Z307&lt;&gt;"",L307&lt;&gt;"",Z307&lt;L307),"WA-Termin vor Kündigung. ","")&amp;IF(COUNTIFS($B$5:$B$404,$B307,$AY$5:$AY$404,"")&gt;1,"Zweiter offener Fall zum selben Objekt. ","")&amp;IF(AND($A307&lt;&gt;"",COUNTIFS($A$5:$A$404,$A307)&gt;1),"Fall-Nr. doppelt vergeben. ","")&amp;IF(E307="","ex-Mieter fehlt. ","")&amp;IF(M307="","Haftungsdatum fehlt. ","")&amp;IF(F307="","Bewirtschafter fehlt. ","")&amp;IF(AND(AY307&lt;&gt;"",AW307=""),"Abgeschlossen trotz offener Schlussabrechnung. ","")&amp;IF(AND(AY307="",S307="",ISNUMBER(J307),J307&gt;60),"Langläufer über 60 Tage. ","")))</f>
        <v/>
      </c>
      <c r="L307" s="18" t="n"/>
      <c r="M307" s="18" t="n"/>
      <c r="N307" s="19">
        <f>IF(M307="","",M307+1)</f>
        <v/>
      </c>
      <c r="O307" s="17">
        <f>IF(OR(L307="",M307=""),"",M307-L307)</f>
        <v/>
      </c>
      <c r="P307" s="16">
        <f>IF(M307="","",YEAR(M307+1)&amp;"-"&amp;TEXT(MONTH(M307+1),"00"))</f>
        <v/>
      </c>
      <c r="Q307" s="18" t="n"/>
      <c r="R307" s="15" t="n"/>
      <c r="S307" s="18" t="n"/>
      <c r="T307" s="16">
        <f>IF(U307="","",IF(LEFT(U307,1)="6","abgeschlossen",IF(OR(LEFT(U307,1)="1",LEFT(U307,1)="2"),"Kündigung &amp; Abnahme",IF(OR(LEFT(U307,1)="3",LEFT(U307,1)="4"),"Wiedervermietung","Schlussabrechnung"))))</f>
        <v/>
      </c>
      <c r="U307" s="16">
        <f>IF($B307="","",IF(AY307&lt;&gt;"","6 · abgeschlossen",IF(AW307&lt;&gt;"","5 · bereit zum Abschluss",IF(AT307&lt;&gt;"","5 · Schlussabrechnung",IF(AO307&lt;&gt;"","4 · Übergabe",IF(AM307&lt;&gt;"","3 · Neuvermietung",IF(M307&lt;&gt;"","2 · Abnahme &amp; Vermarktung","1 · Erfassung")))))))</f>
        <v/>
      </c>
      <c r="V307" s="15" t="n"/>
      <c r="W307" s="20" t="n"/>
      <c r="X307" s="15" t="n"/>
      <c r="Y307" s="15" t="n"/>
      <c r="Z307" s="18" t="n"/>
      <c r="AA307" s="19">
        <f>IF(M307="","",M307-30)</f>
        <v/>
      </c>
      <c r="AB307" s="19">
        <f>IF(ISNUMBER(AJ307),AJ307+3,"")</f>
        <v/>
      </c>
      <c r="AC307" s="18" t="n"/>
      <c r="AD307" s="18" t="n"/>
      <c r="AE307" s="18" t="n"/>
      <c r="AF307" s="18" t="n"/>
      <c r="AG307" s="18" t="n"/>
      <c r="AH307" s="18" t="n"/>
      <c r="AI307" s="18" t="n"/>
      <c r="AJ307" s="18" t="n"/>
      <c r="AK307" s="18" t="n"/>
      <c r="AL307" s="18" t="n"/>
      <c r="AM307" s="18" t="n"/>
      <c r="AN307" s="18" t="n"/>
      <c r="AO307" s="18" t="n"/>
      <c r="AP307" s="18" t="n"/>
      <c r="AQ307" s="18" t="n"/>
      <c r="AR307" s="18" t="n"/>
      <c r="AS307" s="18" t="n"/>
      <c r="AT307" s="18" t="n"/>
      <c r="AU307" s="18" t="n"/>
      <c r="AV307" s="18" t="n"/>
      <c r="AW307" s="18" t="n"/>
      <c r="AX307" s="18" t="n"/>
      <c r="AY307" s="18" t="n"/>
      <c r="AZ307" s="15" t="n"/>
    </row>
    <row r="308">
      <c r="A308" s="15" t="n"/>
      <c r="B308" s="15" t="n"/>
      <c r="C308" s="15" t="n"/>
      <c r="D308" s="15" t="n"/>
      <c r="E308" s="15" t="n"/>
      <c r="F308" s="15" t="n"/>
      <c r="G308" s="16">
        <f>IF(F308="","",IFERROR(INDEX(Stammdaten!$B$5:$B$24,MATCH(F308,Stammdaten!$A$5:$A$24,0)),"unbekannt"))</f>
        <v/>
      </c>
      <c r="H308" s="16">
        <f>IF($B308="","",IF(AY308&lt;&gt;"","abgeschlossen",IF(AND(ISNUMBER(AX308),AX308&gt;=TODAY()),"zurückgestellt",IF(OR(AND(ISNUMBER(AA308),AA308&lt;TODAY(),Z308="",AJ308=""),AND(ISNUMBER(Z308),Z308&lt;TODAY(),AJ308=""),AND(ISNUMBER(AB308),AB308&lt;TODAY(),AK308=""),AND(ISNUMBER(AC308),AC308&lt;TODAY(),AO308=""),AND(ISNUMBER(AD308),AD308&lt;TODAY(),AQ308="")),"überfällig","offen"))))</f>
        <v/>
      </c>
      <c r="I308" s="16">
        <f>IF($B308="","",IF(AY308&lt;&gt;"","—",IF(AND(ISNUMBER(AA308),AA308&lt;TODAY(),Z308="",AJ308=""),"Abnahmetermin vereinbaren – Sollfrist verstrichen",IF(AND(ISNUMBER(Z308),Z308&lt;TODAY(),AJ308=""),"Wohnungsabnahme nachtragen – Termin war fällig",IF(AND(ISNUMBER(AB308),AB308&lt;TODAY(),AK308=""),"Handwerker aufbieten – Frist verstrichen",IF(AND(ISNUMBER(AC308),AC308&lt;TODAY(),AO308=""),"Vertrag retour mahnen – Frist verstrichen",IF(AND(ISNUMBER(AD308),AD308&lt;TODAY(),AQ308=""),"Schlüsselübergabe nachtragen – Termin war fällig",IF(M308="","Haftungsdatum erfassen",IF(E308="","ex-Mieter erfassen",IF(AE308="","Kündigung bestätigen / G-Rem",IF(AF308="","Werke / EGT melden",IF(AG308="","Vorbesichtigung (oder n.e.)",IF(AH308="","VMZ aktualisieren",IF(AI308="","Inserat aufschalten",IF(AND(Z308="",AJ308=""),"Abnahmetermin vereinbaren",IF(AJ308="","Wohnungsabnahme durchführen",IF(AK308="","Handwerker aufbieten",IF(AL308="","Zustimmungserklärung einholen",IF(AM308="","Instandstellungen beauftragen",IF(R308="","Nachmieter erfassen",IF(AN308="","Vertrag versenden",IF(AO308="","Vertrag retour erfassen",IF(S308="","Vermietet per erfassen",IF(AP308="","Werke / EGT über Einzug informieren",IF(AND(AD308="",AQ308=""),"Schlüsselübergabe terminieren",IF(AQ308="","Schlüsselübergabe durchführen",IF(AR308="","Reinigung veranlassen",IF(AS308="","Namensschilder bestellen",IF(AT308="","Kaution prüfen / G-Rem mutieren",IF(AU308="","Instandstellungs-Rechnung erfassen",IF(AV308="","Schlussabrechnung erstellen",IF(AW308="","Zahlungseingang kontrollieren","Fall abschliessen"))))))))))))))))))))))))))))))))</f>
        <v/>
      </c>
      <c r="J308" s="17">
        <f>IF(M308="","",IF(S308&lt;&gt;"",MAX(0,S308-M308-1),MAX(0,TODAY()-M308)))</f>
        <v/>
      </c>
      <c r="K308" s="16">
        <f>IF($B308="","",TRIM(IF(AND(L308&lt;&gt;"",M308&lt;&gt;"",M308&lt;L308),"Haftungsdatum vor Kündigung. ","")&amp;IF(AND(S308&lt;&gt;"",M308&lt;&gt;"",S308&lt;M308),"Vermietung vor Leerstandsbeginn. ","")&amp;IF(AND(Z308&lt;&gt;"",L308&lt;&gt;"",Z308&lt;L308),"WA-Termin vor Kündigung. ","")&amp;IF(COUNTIFS($B$5:$B$404,$B308,$AY$5:$AY$404,"")&gt;1,"Zweiter offener Fall zum selben Objekt. ","")&amp;IF(AND($A308&lt;&gt;"",COUNTIFS($A$5:$A$404,$A308)&gt;1),"Fall-Nr. doppelt vergeben. ","")&amp;IF(E308="","ex-Mieter fehlt. ","")&amp;IF(M308="","Haftungsdatum fehlt. ","")&amp;IF(F308="","Bewirtschafter fehlt. ","")&amp;IF(AND(AY308&lt;&gt;"",AW308=""),"Abgeschlossen trotz offener Schlussabrechnung. ","")&amp;IF(AND(AY308="",S308="",ISNUMBER(J308),J308&gt;60),"Langläufer über 60 Tage. ","")))</f>
        <v/>
      </c>
      <c r="L308" s="18" t="n"/>
      <c r="M308" s="18" t="n"/>
      <c r="N308" s="19">
        <f>IF(M308="","",M308+1)</f>
        <v/>
      </c>
      <c r="O308" s="17">
        <f>IF(OR(L308="",M308=""),"",M308-L308)</f>
        <v/>
      </c>
      <c r="P308" s="16">
        <f>IF(M308="","",YEAR(M308+1)&amp;"-"&amp;TEXT(MONTH(M308+1),"00"))</f>
        <v/>
      </c>
      <c r="Q308" s="18" t="n"/>
      <c r="R308" s="15" t="n"/>
      <c r="S308" s="18" t="n"/>
      <c r="T308" s="16">
        <f>IF(U308="","",IF(LEFT(U308,1)="6","abgeschlossen",IF(OR(LEFT(U308,1)="1",LEFT(U308,1)="2"),"Kündigung &amp; Abnahme",IF(OR(LEFT(U308,1)="3",LEFT(U308,1)="4"),"Wiedervermietung","Schlussabrechnung"))))</f>
        <v/>
      </c>
      <c r="U308" s="16">
        <f>IF($B308="","",IF(AY308&lt;&gt;"","6 · abgeschlossen",IF(AW308&lt;&gt;"","5 · bereit zum Abschluss",IF(AT308&lt;&gt;"","5 · Schlussabrechnung",IF(AO308&lt;&gt;"","4 · Übergabe",IF(AM308&lt;&gt;"","3 · Neuvermietung",IF(M308&lt;&gt;"","2 · Abnahme &amp; Vermarktung","1 · Erfassung")))))))</f>
        <v/>
      </c>
      <c r="V308" s="15" t="n"/>
      <c r="W308" s="20" t="n"/>
      <c r="X308" s="15" t="n"/>
      <c r="Y308" s="15" t="n"/>
      <c r="Z308" s="18" t="n"/>
      <c r="AA308" s="19">
        <f>IF(M308="","",M308-30)</f>
        <v/>
      </c>
      <c r="AB308" s="19">
        <f>IF(ISNUMBER(AJ308),AJ308+3,"")</f>
        <v/>
      </c>
      <c r="AC308" s="18" t="n"/>
      <c r="AD308" s="18" t="n"/>
      <c r="AE308" s="18" t="n"/>
      <c r="AF308" s="18" t="n"/>
      <c r="AG308" s="18" t="n"/>
      <c r="AH308" s="18" t="n"/>
      <c r="AI308" s="18" t="n"/>
      <c r="AJ308" s="18" t="n"/>
      <c r="AK308" s="18" t="n"/>
      <c r="AL308" s="18" t="n"/>
      <c r="AM308" s="18" t="n"/>
      <c r="AN308" s="18" t="n"/>
      <c r="AO308" s="18" t="n"/>
      <c r="AP308" s="18" t="n"/>
      <c r="AQ308" s="18" t="n"/>
      <c r="AR308" s="18" t="n"/>
      <c r="AS308" s="18" t="n"/>
      <c r="AT308" s="18" t="n"/>
      <c r="AU308" s="18" t="n"/>
      <c r="AV308" s="18" t="n"/>
      <c r="AW308" s="18" t="n"/>
      <c r="AX308" s="18" t="n"/>
      <c r="AY308" s="18" t="n"/>
      <c r="AZ308" s="15" t="n"/>
    </row>
    <row r="309">
      <c r="A309" s="15" t="n"/>
      <c r="B309" s="15" t="n"/>
      <c r="C309" s="15" t="n"/>
      <c r="D309" s="15" t="n"/>
      <c r="E309" s="15" t="n"/>
      <c r="F309" s="15" t="n"/>
      <c r="G309" s="16">
        <f>IF(F309="","",IFERROR(INDEX(Stammdaten!$B$5:$B$24,MATCH(F309,Stammdaten!$A$5:$A$24,0)),"unbekannt"))</f>
        <v/>
      </c>
      <c r="H309" s="16">
        <f>IF($B309="","",IF(AY309&lt;&gt;"","abgeschlossen",IF(AND(ISNUMBER(AX309),AX309&gt;=TODAY()),"zurückgestellt",IF(OR(AND(ISNUMBER(AA309),AA309&lt;TODAY(),Z309="",AJ309=""),AND(ISNUMBER(Z309),Z309&lt;TODAY(),AJ309=""),AND(ISNUMBER(AB309),AB309&lt;TODAY(),AK309=""),AND(ISNUMBER(AC309),AC309&lt;TODAY(),AO309=""),AND(ISNUMBER(AD309),AD309&lt;TODAY(),AQ309="")),"überfällig","offen"))))</f>
        <v/>
      </c>
      <c r="I309" s="16">
        <f>IF($B309="","",IF(AY309&lt;&gt;"","—",IF(AND(ISNUMBER(AA309),AA309&lt;TODAY(),Z309="",AJ309=""),"Abnahmetermin vereinbaren – Sollfrist verstrichen",IF(AND(ISNUMBER(Z309),Z309&lt;TODAY(),AJ309=""),"Wohnungsabnahme nachtragen – Termin war fällig",IF(AND(ISNUMBER(AB309),AB309&lt;TODAY(),AK309=""),"Handwerker aufbieten – Frist verstrichen",IF(AND(ISNUMBER(AC309),AC309&lt;TODAY(),AO309=""),"Vertrag retour mahnen – Frist verstrichen",IF(AND(ISNUMBER(AD309),AD309&lt;TODAY(),AQ309=""),"Schlüsselübergabe nachtragen – Termin war fällig",IF(M309="","Haftungsdatum erfassen",IF(E309="","ex-Mieter erfassen",IF(AE309="","Kündigung bestätigen / G-Rem",IF(AF309="","Werke / EGT melden",IF(AG309="","Vorbesichtigung (oder n.e.)",IF(AH309="","VMZ aktualisieren",IF(AI309="","Inserat aufschalten",IF(AND(Z309="",AJ309=""),"Abnahmetermin vereinbaren",IF(AJ309="","Wohnungsabnahme durchführen",IF(AK309="","Handwerker aufbieten",IF(AL309="","Zustimmungserklärung einholen",IF(AM309="","Instandstellungen beauftragen",IF(R309="","Nachmieter erfassen",IF(AN309="","Vertrag versenden",IF(AO309="","Vertrag retour erfassen",IF(S309="","Vermietet per erfassen",IF(AP309="","Werke / EGT über Einzug informieren",IF(AND(AD309="",AQ309=""),"Schlüsselübergabe terminieren",IF(AQ309="","Schlüsselübergabe durchführen",IF(AR309="","Reinigung veranlassen",IF(AS309="","Namensschilder bestellen",IF(AT309="","Kaution prüfen / G-Rem mutieren",IF(AU309="","Instandstellungs-Rechnung erfassen",IF(AV309="","Schlussabrechnung erstellen",IF(AW309="","Zahlungseingang kontrollieren","Fall abschliessen"))))))))))))))))))))))))))))))))</f>
        <v/>
      </c>
      <c r="J309" s="17">
        <f>IF(M309="","",IF(S309&lt;&gt;"",MAX(0,S309-M309-1),MAX(0,TODAY()-M309)))</f>
        <v/>
      </c>
      <c r="K309" s="16">
        <f>IF($B309="","",TRIM(IF(AND(L309&lt;&gt;"",M309&lt;&gt;"",M309&lt;L309),"Haftungsdatum vor Kündigung. ","")&amp;IF(AND(S309&lt;&gt;"",M309&lt;&gt;"",S309&lt;M309),"Vermietung vor Leerstandsbeginn. ","")&amp;IF(AND(Z309&lt;&gt;"",L309&lt;&gt;"",Z309&lt;L309),"WA-Termin vor Kündigung. ","")&amp;IF(COUNTIFS($B$5:$B$404,$B309,$AY$5:$AY$404,"")&gt;1,"Zweiter offener Fall zum selben Objekt. ","")&amp;IF(AND($A309&lt;&gt;"",COUNTIFS($A$5:$A$404,$A309)&gt;1),"Fall-Nr. doppelt vergeben. ","")&amp;IF(E309="","ex-Mieter fehlt. ","")&amp;IF(M309="","Haftungsdatum fehlt. ","")&amp;IF(F309="","Bewirtschafter fehlt. ","")&amp;IF(AND(AY309&lt;&gt;"",AW309=""),"Abgeschlossen trotz offener Schlussabrechnung. ","")&amp;IF(AND(AY309="",S309="",ISNUMBER(J309),J309&gt;60),"Langläufer über 60 Tage. ","")))</f>
        <v/>
      </c>
      <c r="L309" s="18" t="n"/>
      <c r="M309" s="18" t="n"/>
      <c r="N309" s="19">
        <f>IF(M309="","",M309+1)</f>
        <v/>
      </c>
      <c r="O309" s="17">
        <f>IF(OR(L309="",M309=""),"",M309-L309)</f>
        <v/>
      </c>
      <c r="P309" s="16">
        <f>IF(M309="","",YEAR(M309+1)&amp;"-"&amp;TEXT(MONTH(M309+1),"00"))</f>
        <v/>
      </c>
      <c r="Q309" s="18" t="n"/>
      <c r="R309" s="15" t="n"/>
      <c r="S309" s="18" t="n"/>
      <c r="T309" s="16">
        <f>IF(U309="","",IF(LEFT(U309,1)="6","abgeschlossen",IF(OR(LEFT(U309,1)="1",LEFT(U309,1)="2"),"Kündigung &amp; Abnahme",IF(OR(LEFT(U309,1)="3",LEFT(U309,1)="4"),"Wiedervermietung","Schlussabrechnung"))))</f>
        <v/>
      </c>
      <c r="U309" s="16">
        <f>IF($B309="","",IF(AY309&lt;&gt;"","6 · abgeschlossen",IF(AW309&lt;&gt;"","5 · bereit zum Abschluss",IF(AT309&lt;&gt;"","5 · Schlussabrechnung",IF(AO309&lt;&gt;"","4 · Übergabe",IF(AM309&lt;&gt;"","3 · Neuvermietung",IF(M309&lt;&gt;"","2 · Abnahme &amp; Vermarktung","1 · Erfassung")))))))</f>
        <v/>
      </c>
      <c r="V309" s="15" t="n"/>
      <c r="W309" s="20" t="n"/>
      <c r="X309" s="15" t="n"/>
      <c r="Y309" s="15" t="n"/>
      <c r="Z309" s="18" t="n"/>
      <c r="AA309" s="19">
        <f>IF(M309="","",M309-30)</f>
        <v/>
      </c>
      <c r="AB309" s="19">
        <f>IF(ISNUMBER(AJ309),AJ309+3,"")</f>
        <v/>
      </c>
      <c r="AC309" s="18" t="n"/>
      <c r="AD309" s="18" t="n"/>
      <c r="AE309" s="18" t="n"/>
      <c r="AF309" s="18" t="n"/>
      <c r="AG309" s="18" t="n"/>
      <c r="AH309" s="18" t="n"/>
      <c r="AI309" s="18" t="n"/>
      <c r="AJ309" s="18" t="n"/>
      <c r="AK309" s="18" t="n"/>
      <c r="AL309" s="18" t="n"/>
      <c r="AM309" s="18" t="n"/>
      <c r="AN309" s="18" t="n"/>
      <c r="AO309" s="18" t="n"/>
      <c r="AP309" s="18" t="n"/>
      <c r="AQ309" s="18" t="n"/>
      <c r="AR309" s="18" t="n"/>
      <c r="AS309" s="18" t="n"/>
      <c r="AT309" s="18" t="n"/>
      <c r="AU309" s="18" t="n"/>
      <c r="AV309" s="18" t="n"/>
      <c r="AW309" s="18" t="n"/>
      <c r="AX309" s="18" t="n"/>
      <c r="AY309" s="18" t="n"/>
      <c r="AZ309" s="15" t="n"/>
    </row>
    <row r="310">
      <c r="A310" s="15" t="n"/>
      <c r="B310" s="15" t="n"/>
      <c r="C310" s="15" t="n"/>
      <c r="D310" s="15" t="n"/>
      <c r="E310" s="15" t="n"/>
      <c r="F310" s="15" t="n"/>
      <c r="G310" s="16">
        <f>IF(F310="","",IFERROR(INDEX(Stammdaten!$B$5:$B$24,MATCH(F310,Stammdaten!$A$5:$A$24,0)),"unbekannt"))</f>
        <v/>
      </c>
      <c r="H310" s="16">
        <f>IF($B310="","",IF(AY310&lt;&gt;"","abgeschlossen",IF(AND(ISNUMBER(AX310),AX310&gt;=TODAY()),"zurückgestellt",IF(OR(AND(ISNUMBER(AA310),AA310&lt;TODAY(),Z310="",AJ310=""),AND(ISNUMBER(Z310),Z310&lt;TODAY(),AJ310=""),AND(ISNUMBER(AB310),AB310&lt;TODAY(),AK310=""),AND(ISNUMBER(AC310),AC310&lt;TODAY(),AO310=""),AND(ISNUMBER(AD310),AD310&lt;TODAY(),AQ310="")),"überfällig","offen"))))</f>
        <v/>
      </c>
      <c r="I310" s="16">
        <f>IF($B310="","",IF(AY310&lt;&gt;"","—",IF(AND(ISNUMBER(AA310),AA310&lt;TODAY(),Z310="",AJ310=""),"Abnahmetermin vereinbaren – Sollfrist verstrichen",IF(AND(ISNUMBER(Z310),Z310&lt;TODAY(),AJ310=""),"Wohnungsabnahme nachtragen – Termin war fällig",IF(AND(ISNUMBER(AB310),AB310&lt;TODAY(),AK310=""),"Handwerker aufbieten – Frist verstrichen",IF(AND(ISNUMBER(AC310),AC310&lt;TODAY(),AO310=""),"Vertrag retour mahnen – Frist verstrichen",IF(AND(ISNUMBER(AD310),AD310&lt;TODAY(),AQ310=""),"Schlüsselübergabe nachtragen – Termin war fällig",IF(M310="","Haftungsdatum erfassen",IF(E310="","ex-Mieter erfassen",IF(AE310="","Kündigung bestätigen / G-Rem",IF(AF310="","Werke / EGT melden",IF(AG310="","Vorbesichtigung (oder n.e.)",IF(AH310="","VMZ aktualisieren",IF(AI310="","Inserat aufschalten",IF(AND(Z310="",AJ310=""),"Abnahmetermin vereinbaren",IF(AJ310="","Wohnungsabnahme durchführen",IF(AK310="","Handwerker aufbieten",IF(AL310="","Zustimmungserklärung einholen",IF(AM310="","Instandstellungen beauftragen",IF(R310="","Nachmieter erfassen",IF(AN310="","Vertrag versenden",IF(AO310="","Vertrag retour erfassen",IF(S310="","Vermietet per erfassen",IF(AP310="","Werke / EGT über Einzug informieren",IF(AND(AD310="",AQ310=""),"Schlüsselübergabe terminieren",IF(AQ310="","Schlüsselübergabe durchführen",IF(AR310="","Reinigung veranlassen",IF(AS310="","Namensschilder bestellen",IF(AT310="","Kaution prüfen / G-Rem mutieren",IF(AU310="","Instandstellungs-Rechnung erfassen",IF(AV310="","Schlussabrechnung erstellen",IF(AW310="","Zahlungseingang kontrollieren","Fall abschliessen"))))))))))))))))))))))))))))))))</f>
        <v/>
      </c>
      <c r="J310" s="17">
        <f>IF(M310="","",IF(S310&lt;&gt;"",MAX(0,S310-M310-1),MAX(0,TODAY()-M310)))</f>
        <v/>
      </c>
      <c r="K310" s="16">
        <f>IF($B310="","",TRIM(IF(AND(L310&lt;&gt;"",M310&lt;&gt;"",M310&lt;L310),"Haftungsdatum vor Kündigung. ","")&amp;IF(AND(S310&lt;&gt;"",M310&lt;&gt;"",S310&lt;M310),"Vermietung vor Leerstandsbeginn. ","")&amp;IF(AND(Z310&lt;&gt;"",L310&lt;&gt;"",Z310&lt;L310),"WA-Termin vor Kündigung. ","")&amp;IF(COUNTIFS($B$5:$B$404,$B310,$AY$5:$AY$404,"")&gt;1,"Zweiter offener Fall zum selben Objekt. ","")&amp;IF(AND($A310&lt;&gt;"",COUNTIFS($A$5:$A$404,$A310)&gt;1),"Fall-Nr. doppelt vergeben. ","")&amp;IF(E310="","ex-Mieter fehlt. ","")&amp;IF(M310="","Haftungsdatum fehlt. ","")&amp;IF(F310="","Bewirtschafter fehlt. ","")&amp;IF(AND(AY310&lt;&gt;"",AW310=""),"Abgeschlossen trotz offener Schlussabrechnung. ","")&amp;IF(AND(AY310="",S310="",ISNUMBER(J310),J310&gt;60),"Langläufer über 60 Tage. ","")))</f>
        <v/>
      </c>
      <c r="L310" s="18" t="n"/>
      <c r="M310" s="18" t="n"/>
      <c r="N310" s="19">
        <f>IF(M310="","",M310+1)</f>
        <v/>
      </c>
      <c r="O310" s="17">
        <f>IF(OR(L310="",M310=""),"",M310-L310)</f>
        <v/>
      </c>
      <c r="P310" s="16">
        <f>IF(M310="","",YEAR(M310+1)&amp;"-"&amp;TEXT(MONTH(M310+1),"00"))</f>
        <v/>
      </c>
      <c r="Q310" s="18" t="n"/>
      <c r="R310" s="15" t="n"/>
      <c r="S310" s="18" t="n"/>
      <c r="T310" s="16">
        <f>IF(U310="","",IF(LEFT(U310,1)="6","abgeschlossen",IF(OR(LEFT(U310,1)="1",LEFT(U310,1)="2"),"Kündigung &amp; Abnahme",IF(OR(LEFT(U310,1)="3",LEFT(U310,1)="4"),"Wiedervermietung","Schlussabrechnung"))))</f>
        <v/>
      </c>
      <c r="U310" s="16">
        <f>IF($B310="","",IF(AY310&lt;&gt;"","6 · abgeschlossen",IF(AW310&lt;&gt;"","5 · bereit zum Abschluss",IF(AT310&lt;&gt;"","5 · Schlussabrechnung",IF(AO310&lt;&gt;"","4 · Übergabe",IF(AM310&lt;&gt;"","3 · Neuvermietung",IF(M310&lt;&gt;"","2 · Abnahme &amp; Vermarktung","1 · Erfassung")))))))</f>
        <v/>
      </c>
      <c r="V310" s="15" t="n"/>
      <c r="W310" s="20" t="n"/>
      <c r="X310" s="15" t="n"/>
      <c r="Y310" s="15" t="n"/>
      <c r="Z310" s="18" t="n"/>
      <c r="AA310" s="19">
        <f>IF(M310="","",M310-30)</f>
        <v/>
      </c>
      <c r="AB310" s="19">
        <f>IF(ISNUMBER(AJ310),AJ310+3,"")</f>
        <v/>
      </c>
      <c r="AC310" s="18" t="n"/>
      <c r="AD310" s="18" t="n"/>
      <c r="AE310" s="18" t="n"/>
      <c r="AF310" s="18" t="n"/>
      <c r="AG310" s="18" t="n"/>
      <c r="AH310" s="18" t="n"/>
      <c r="AI310" s="18" t="n"/>
      <c r="AJ310" s="18" t="n"/>
      <c r="AK310" s="18" t="n"/>
      <c r="AL310" s="18" t="n"/>
      <c r="AM310" s="18" t="n"/>
      <c r="AN310" s="18" t="n"/>
      <c r="AO310" s="18" t="n"/>
      <c r="AP310" s="18" t="n"/>
      <c r="AQ310" s="18" t="n"/>
      <c r="AR310" s="18" t="n"/>
      <c r="AS310" s="18" t="n"/>
      <c r="AT310" s="18" t="n"/>
      <c r="AU310" s="18" t="n"/>
      <c r="AV310" s="18" t="n"/>
      <c r="AW310" s="18" t="n"/>
      <c r="AX310" s="18" t="n"/>
      <c r="AY310" s="18" t="n"/>
      <c r="AZ310" s="15" t="n"/>
    </row>
    <row r="311">
      <c r="A311" s="15" t="n"/>
      <c r="B311" s="15" t="n"/>
      <c r="C311" s="15" t="n"/>
      <c r="D311" s="15" t="n"/>
      <c r="E311" s="15" t="n"/>
      <c r="F311" s="15" t="n"/>
      <c r="G311" s="16">
        <f>IF(F311="","",IFERROR(INDEX(Stammdaten!$B$5:$B$24,MATCH(F311,Stammdaten!$A$5:$A$24,0)),"unbekannt"))</f>
        <v/>
      </c>
      <c r="H311" s="16">
        <f>IF($B311="","",IF(AY311&lt;&gt;"","abgeschlossen",IF(AND(ISNUMBER(AX311),AX311&gt;=TODAY()),"zurückgestellt",IF(OR(AND(ISNUMBER(AA311),AA311&lt;TODAY(),Z311="",AJ311=""),AND(ISNUMBER(Z311),Z311&lt;TODAY(),AJ311=""),AND(ISNUMBER(AB311),AB311&lt;TODAY(),AK311=""),AND(ISNUMBER(AC311),AC311&lt;TODAY(),AO311=""),AND(ISNUMBER(AD311),AD311&lt;TODAY(),AQ311="")),"überfällig","offen"))))</f>
        <v/>
      </c>
      <c r="I311" s="16">
        <f>IF($B311="","",IF(AY311&lt;&gt;"","—",IF(AND(ISNUMBER(AA311),AA311&lt;TODAY(),Z311="",AJ311=""),"Abnahmetermin vereinbaren – Sollfrist verstrichen",IF(AND(ISNUMBER(Z311),Z311&lt;TODAY(),AJ311=""),"Wohnungsabnahme nachtragen – Termin war fällig",IF(AND(ISNUMBER(AB311),AB311&lt;TODAY(),AK311=""),"Handwerker aufbieten – Frist verstrichen",IF(AND(ISNUMBER(AC311),AC311&lt;TODAY(),AO311=""),"Vertrag retour mahnen – Frist verstrichen",IF(AND(ISNUMBER(AD311),AD311&lt;TODAY(),AQ311=""),"Schlüsselübergabe nachtragen – Termin war fällig",IF(M311="","Haftungsdatum erfassen",IF(E311="","ex-Mieter erfassen",IF(AE311="","Kündigung bestätigen / G-Rem",IF(AF311="","Werke / EGT melden",IF(AG311="","Vorbesichtigung (oder n.e.)",IF(AH311="","VMZ aktualisieren",IF(AI311="","Inserat aufschalten",IF(AND(Z311="",AJ311=""),"Abnahmetermin vereinbaren",IF(AJ311="","Wohnungsabnahme durchführen",IF(AK311="","Handwerker aufbieten",IF(AL311="","Zustimmungserklärung einholen",IF(AM311="","Instandstellungen beauftragen",IF(R311="","Nachmieter erfassen",IF(AN311="","Vertrag versenden",IF(AO311="","Vertrag retour erfassen",IF(S311="","Vermietet per erfassen",IF(AP311="","Werke / EGT über Einzug informieren",IF(AND(AD311="",AQ311=""),"Schlüsselübergabe terminieren",IF(AQ311="","Schlüsselübergabe durchführen",IF(AR311="","Reinigung veranlassen",IF(AS311="","Namensschilder bestellen",IF(AT311="","Kaution prüfen / G-Rem mutieren",IF(AU311="","Instandstellungs-Rechnung erfassen",IF(AV311="","Schlussabrechnung erstellen",IF(AW311="","Zahlungseingang kontrollieren","Fall abschliessen"))))))))))))))))))))))))))))))))</f>
        <v/>
      </c>
      <c r="J311" s="17">
        <f>IF(M311="","",IF(S311&lt;&gt;"",MAX(0,S311-M311-1),MAX(0,TODAY()-M311)))</f>
        <v/>
      </c>
      <c r="K311" s="16">
        <f>IF($B311="","",TRIM(IF(AND(L311&lt;&gt;"",M311&lt;&gt;"",M311&lt;L311),"Haftungsdatum vor Kündigung. ","")&amp;IF(AND(S311&lt;&gt;"",M311&lt;&gt;"",S311&lt;M311),"Vermietung vor Leerstandsbeginn. ","")&amp;IF(AND(Z311&lt;&gt;"",L311&lt;&gt;"",Z311&lt;L311),"WA-Termin vor Kündigung. ","")&amp;IF(COUNTIFS($B$5:$B$404,$B311,$AY$5:$AY$404,"")&gt;1,"Zweiter offener Fall zum selben Objekt. ","")&amp;IF(AND($A311&lt;&gt;"",COUNTIFS($A$5:$A$404,$A311)&gt;1),"Fall-Nr. doppelt vergeben. ","")&amp;IF(E311="","ex-Mieter fehlt. ","")&amp;IF(M311="","Haftungsdatum fehlt. ","")&amp;IF(F311="","Bewirtschafter fehlt. ","")&amp;IF(AND(AY311&lt;&gt;"",AW311=""),"Abgeschlossen trotz offener Schlussabrechnung. ","")&amp;IF(AND(AY311="",S311="",ISNUMBER(J311),J311&gt;60),"Langläufer über 60 Tage. ","")))</f>
        <v/>
      </c>
      <c r="L311" s="18" t="n"/>
      <c r="M311" s="18" t="n"/>
      <c r="N311" s="19">
        <f>IF(M311="","",M311+1)</f>
        <v/>
      </c>
      <c r="O311" s="17">
        <f>IF(OR(L311="",M311=""),"",M311-L311)</f>
        <v/>
      </c>
      <c r="P311" s="16">
        <f>IF(M311="","",YEAR(M311+1)&amp;"-"&amp;TEXT(MONTH(M311+1),"00"))</f>
        <v/>
      </c>
      <c r="Q311" s="18" t="n"/>
      <c r="R311" s="15" t="n"/>
      <c r="S311" s="18" t="n"/>
      <c r="T311" s="16">
        <f>IF(U311="","",IF(LEFT(U311,1)="6","abgeschlossen",IF(OR(LEFT(U311,1)="1",LEFT(U311,1)="2"),"Kündigung &amp; Abnahme",IF(OR(LEFT(U311,1)="3",LEFT(U311,1)="4"),"Wiedervermietung","Schlussabrechnung"))))</f>
        <v/>
      </c>
      <c r="U311" s="16">
        <f>IF($B311="","",IF(AY311&lt;&gt;"","6 · abgeschlossen",IF(AW311&lt;&gt;"","5 · bereit zum Abschluss",IF(AT311&lt;&gt;"","5 · Schlussabrechnung",IF(AO311&lt;&gt;"","4 · Übergabe",IF(AM311&lt;&gt;"","3 · Neuvermietung",IF(M311&lt;&gt;"","2 · Abnahme &amp; Vermarktung","1 · Erfassung")))))))</f>
        <v/>
      </c>
      <c r="V311" s="15" t="n"/>
      <c r="W311" s="20" t="n"/>
      <c r="X311" s="15" t="n"/>
      <c r="Y311" s="15" t="n"/>
      <c r="Z311" s="18" t="n"/>
      <c r="AA311" s="19">
        <f>IF(M311="","",M311-30)</f>
        <v/>
      </c>
      <c r="AB311" s="19">
        <f>IF(ISNUMBER(AJ311),AJ311+3,"")</f>
        <v/>
      </c>
      <c r="AC311" s="18" t="n"/>
      <c r="AD311" s="18" t="n"/>
      <c r="AE311" s="18" t="n"/>
      <c r="AF311" s="18" t="n"/>
      <c r="AG311" s="18" t="n"/>
      <c r="AH311" s="18" t="n"/>
      <c r="AI311" s="18" t="n"/>
      <c r="AJ311" s="18" t="n"/>
      <c r="AK311" s="18" t="n"/>
      <c r="AL311" s="18" t="n"/>
      <c r="AM311" s="18" t="n"/>
      <c r="AN311" s="18" t="n"/>
      <c r="AO311" s="18" t="n"/>
      <c r="AP311" s="18" t="n"/>
      <c r="AQ311" s="18" t="n"/>
      <c r="AR311" s="18" t="n"/>
      <c r="AS311" s="18" t="n"/>
      <c r="AT311" s="18" t="n"/>
      <c r="AU311" s="18" t="n"/>
      <c r="AV311" s="18" t="n"/>
      <c r="AW311" s="18" t="n"/>
      <c r="AX311" s="18" t="n"/>
      <c r="AY311" s="18" t="n"/>
      <c r="AZ311" s="15" t="n"/>
    </row>
    <row r="312">
      <c r="A312" s="15" t="n"/>
      <c r="B312" s="15" t="n"/>
      <c r="C312" s="15" t="n"/>
      <c r="D312" s="15" t="n"/>
      <c r="E312" s="15" t="n"/>
      <c r="F312" s="15" t="n"/>
      <c r="G312" s="16">
        <f>IF(F312="","",IFERROR(INDEX(Stammdaten!$B$5:$B$24,MATCH(F312,Stammdaten!$A$5:$A$24,0)),"unbekannt"))</f>
        <v/>
      </c>
      <c r="H312" s="16">
        <f>IF($B312="","",IF(AY312&lt;&gt;"","abgeschlossen",IF(AND(ISNUMBER(AX312),AX312&gt;=TODAY()),"zurückgestellt",IF(OR(AND(ISNUMBER(AA312),AA312&lt;TODAY(),Z312="",AJ312=""),AND(ISNUMBER(Z312),Z312&lt;TODAY(),AJ312=""),AND(ISNUMBER(AB312),AB312&lt;TODAY(),AK312=""),AND(ISNUMBER(AC312),AC312&lt;TODAY(),AO312=""),AND(ISNUMBER(AD312),AD312&lt;TODAY(),AQ312="")),"überfällig","offen"))))</f>
        <v/>
      </c>
      <c r="I312" s="16">
        <f>IF($B312="","",IF(AY312&lt;&gt;"","—",IF(AND(ISNUMBER(AA312),AA312&lt;TODAY(),Z312="",AJ312=""),"Abnahmetermin vereinbaren – Sollfrist verstrichen",IF(AND(ISNUMBER(Z312),Z312&lt;TODAY(),AJ312=""),"Wohnungsabnahme nachtragen – Termin war fällig",IF(AND(ISNUMBER(AB312),AB312&lt;TODAY(),AK312=""),"Handwerker aufbieten – Frist verstrichen",IF(AND(ISNUMBER(AC312),AC312&lt;TODAY(),AO312=""),"Vertrag retour mahnen – Frist verstrichen",IF(AND(ISNUMBER(AD312),AD312&lt;TODAY(),AQ312=""),"Schlüsselübergabe nachtragen – Termin war fällig",IF(M312="","Haftungsdatum erfassen",IF(E312="","ex-Mieter erfassen",IF(AE312="","Kündigung bestätigen / G-Rem",IF(AF312="","Werke / EGT melden",IF(AG312="","Vorbesichtigung (oder n.e.)",IF(AH312="","VMZ aktualisieren",IF(AI312="","Inserat aufschalten",IF(AND(Z312="",AJ312=""),"Abnahmetermin vereinbaren",IF(AJ312="","Wohnungsabnahme durchführen",IF(AK312="","Handwerker aufbieten",IF(AL312="","Zustimmungserklärung einholen",IF(AM312="","Instandstellungen beauftragen",IF(R312="","Nachmieter erfassen",IF(AN312="","Vertrag versenden",IF(AO312="","Vertrag retour erfassen",IF(S312="","Vermietet per erfassen",IF(AP312="","Werke / EGT über Einzug informieren",IF(AND(AD312="",AQ312=""),"Schlüsselübergabe terminieren",IF(AQ312="","Schlüsselübergabe durchführen",IF(AR312="","Reinigung veranlassen",IF(AS312="","Namensschilder bestellen",IF(AT312="","Kaution prüfen / G-Rem mutieren",IF(AU312="","Instandstellungs-Rechnung erfassen",IF(AV312="","Schlussabrechnung erstellen",IF(AW312="","Zahlungseingang kontrollieren","Fall abschliessen"))))))))))))))))))))))))))))))))</f>
        <v/>
      </c>
      <c r="J312" s="17">
        <f>IF(M312="","",IF(S312&lt;&gt;"",MAX(0,S312-M312-1),MAX(0,TODAY()-M312)))</f>
        <v/>
      </c>
      <c r="K312" s="16">
        <f>IF($B312="","",TRIM(IF(AND(L312&lt;&gt;"",M312&lt;&gt;"",M312&lt;L312),"Haftungsdatum vor Kündigung. ","")&amp;IF(AND(S312&lt;&gt;"",M312&lt;&gt;"",S312&lt;M312),"Vermietung vor Leerstandsbeginn. ","")&amp;IF(AND(Z312&lt;&gt;"",L312&lt;&gt;"",Z312&lt;L312),"WA-Termin vor Kündigung. ","")&amp;IF(COUNTIFS($B$5:$B$404,$B312,$AY$5:$AY$404,"")&gt;1,"Zweiter offener Fall zum selben Objekt. ","")&amp;IF(AND($A312&lt;&gt;"",COUNTIFS($A$5:$A$404,$A312)&gt;1),"Fall-Nr. doppelt vergeben. ","")&amp;IF(E312="","ex-Mieter fehlt. ","")&amp;IF(M312="","Haftungsdatum fehlt. ","")&amp;IF(F312="","Bewirtschafter fehlt. ","")&amp;IF(AND(AY312&lt;&gt;"",AW312=""),"Abgeschlossen trotz offener Schlussabrechnung. ","")&amp;IF(AND(AY312="",S312="",ISNUMBER(J312),J312&gt;60),"Langläufer über 60 Tage. ","")))</f>
        <v/>
      </c>
      <c r="L312" s="18" t="n"/>
      <c r="M312" s="18" t="n"/>
      <c r="N312" s="19">
        <f>IF(M312="","",M312+1)</f>
        <v/>
      </c>
      <c r="O312" s="17">
        <f>IF(OR(L312="",M312=""),"",M312-L312)</f>
        <v/>
      </c>
      <c r="P312" s="16">
        <f>IF(M312="","",YEAR(M312+1)&amp;"-"&amp;TEXT(MONTH(M312+1),"00"))</f>
        <v/>
      </c>
      <c r="Q312" s="18" t="n"/>
      <c r="R312" s="15" t="n"/>
      <c r="S312" s="18" t="n"/>
      <c r="T312" s="16">
        <f>IF(U312="","",IF(LEFT(U312,1)="6","abgeschlossen",IF(OR(LEFT(U312,1)="1",LEFT(U312,1)="2"),"Kündigung &amp; Abnahme",IF(OR(LEFT(U312,1)="3",LEFT(U312,1)="4"),"Wiedervermietung","Schlussabrechnung"))))</f>
        <v/>
      </c>
      <c r="U312" s="16">
        <f>IF($B312="","",IF(AY312&lt;&gt;"","6 · abgeschlossen",IF(AW312&lt;&gt;"","5 · bereit zum Abschluss",IF(AT312&lt;&gt;"","5 · Schlussabrechnung",IF(AO312&lt;&gt;"","4 · Übergabe",IF(AM312&lt;&gt;"","3 · Neuvermietung",IF(M312&lt;&gt;"","2 · Abnahme &amp; Vermarktung","1 · Erfassung")))))))</f>
        <v/>
      </c>
      <c r="V312" s="15" t="n"/>
      <c r="W312" s="20" t="n"/>
      <c r="X312" s="15" t="n"/>
      <c r="Y312" s="15" t="n"/>
      <c r="Z312" s="18" t="n"/>
      <c r="AA312" s="19">
        <f>IF(M312="","",M312-30)</f>
        <v/>
      </c>
      <c r="AB312" s="19">
        <f>IF(ISNUMBER(AJ312),AJ312+3,"")</f>
        <v/>
      </c>
      <c r="AC312" s="18" t="n"/>
      <c r="AD312" s="18" t="n"/>
      <c r="AE312" s="18" t="n"/>
      <c r="AF312" s="18" t="n"/>
      <c r="AG312" s="18" t="n"/>
      <c r="AH312" s="18" t="n"/>
      <c r="AI312" s="18" t="n"/>
      <c r="AJ312" s="18" t="n"/>
      <c r="AK312" s="18" t="n"/>
      <c r="AL312" s="18" t="n"/>
      <c r="AM312" s="18" t="n"/>
      <c r="AN312" s="18" t="n"/>
      <c r="AO312" s="18" t="n"/>
      <c r="AP312" s="18" t="n"/>
      <c r="AQ312" s="18" t="n"/>
      <c r="AR312" s="18" t="n"/>
      <c r="AS312" s="18" t="n"/>
      <c r="AT312" s="18" t="n"/>
      <c r="AU312" s="18" t="n"/>
      <c r="AV312" s="18" t="n"/>
      <c r="AW312" s="18" t="n"/>
      <c r="AX312" s="18" t="n"/>
      <c r="AY312" s="18" t="n"/>
      <c r="AZ312" s="15" t="n"/>
    </row>
    <row r="313">
      <c r="A313" s="15" t="n"/>
      <c r="B313" s="15" t="n"/>
      <c r="C313" s="15" t="n"/>
      <c r="D313" s="15" t="n"/>
      <c r="E313" s="15" t="n"/>
      <c r="F313" s="15" t="n"/>
      <c r="G313" s="16">
        <f>IF(F313="","",IFERROR(INDEX(Stammdaten!$B$5:$B$24,MATCH(F313,Stammdaten!$A$5:$A$24,0)),"unbekannt"))</f>
        <v/>
      </c>
      <c r="H313" s="16">
        <f>IF($B313="","",IF(AY313&lt;&gt;"","abgeschlossen",IF(AND(ISNUMBER(AX313),AX313&gt;=TODAY()),"zurückgestellt",IF(OR(AND(ISNUMBER(AA313),AA313&lt;TODAY(),Z313="",AJ313=""),AND(ISNUMBER(Z313),Z313&lt;TODAY(),AJ313=""),AND(ISNUMBER(AB313),AB313&lt;TODAY(),AK313=""),AND(ISNUMBER(AC313),AC313&lt;TODAY(),AO313=""),AND(ISNUMBER(AD313),AD313&lt;TODAY(),AQ313="")),"überfällig","offen"))))</f>
        <v/>
      </c>
      <c r="I313" s="16">
        <f>IF($B313="","",IF(AY313&lt;&gt;"","—",IF(AND(ISNUMBER(AA313),AA313&lt;TODAY(),Z313="",AJ313=""),"Abnahmetermin vereinbaren – Sollfrist verstrichen",IF(AND(ISNUMBER(Z313),Z313&lt;TODAY(),AJ313=""),"Wohnungsabnahme nachtragen – Termin war fällig",IF(AND(ISNUMBER(AB313),AB313&lt;TODAY(),AK313=""),"Handwerker aufbieten – Frist verstrichen",IF(AND(ISNUMBER(AC313),AC313&lt;TODAY(),AO313=""),"Vertrag retour mahnen – Frist verstrichen",IF(AND(ISNUMBER(AD313),AD313&lt;TODAY(),AQ313=""),"Schlüsselübergabe nachtragen – Termin war fällig",IF(M313="","Haftungsdatum erfassen",IF(E313="","ex-Mieter erfassen",IF(AE313="","Kündigung bestätigen / G-Rem",IF(AF313="","Werke / EGT melden",IF(AG313="","Vorbesichtigung (oder n.e.)",IF(AH313="","VMZ aktualisieren",IF(AI313="","Inserat aufschalten",IF(AND(Z313="",AJ313=""),"Abnahmetermin vereinbaren",IF(AJ313="","Wohnungsabnahme durchführen",IF(AK313="","Handwerker aufbieten",IF(AL313="","Zustimmungserklärung einholen",IF(AM313="","Instandstellungen beauftragen",IF(R313="","Nachmieter erfassen",IF(AN313="","Vertrag versenden",IF(AO313="","Vertrag retour erfassen",IF(S313="","Vermietet per erfassen",IF(AP313="","Werke / EGT über Einzug informieren",IF(AND(AD313="",AQ313=""),"Schlüsselübergabe terminieren",IF(AQ313="","Schlüsselübergabe durchführen",IF(AR313="","Reinigung veranlassen",IF(AS313="","Namensschilder bestellen",IF(AT313="","Kaution prüfen / G-Rem mutieren",IF(AU313="","Instandstellungs-Rechnung erfassen",IF(AV313="","Schlussabrechnung erstellen",IF(AW313="","Zahlungseingang kontrollieren","Fall abschliessen"))))))))))))))))))))))))))))))))</f>
        <v/>
      </c>
      <c r="J313" s="17">
        <f>IF(M313="","",IF(S313&lt;&gt;"",MAX(0,S313-M313-1),MAX(0,TODAY()-M313)))</f>
        <v/>
      </c>
      <c r="K313" s="16">
        <f>IF($B313="","",TRIM(IF(AND(L313&lt;&gt;"",M313&lt;&gt;"",M313&lt;L313),"Haftungsdatum vor Kündigung. ","")&amp;IF(AND(S313&lt;&gt;"",M313&lt;&gt;"",S313&lt;M313),"Vermietung vor Leerstandsbeginn. ","")&amp;IF(AND(Z313&lt;&gt;"",L313&lt;&gt;"",Z313&lt;L313),"WA-Termin vor Kündigung. ","")&amp;IF(COUNTIFS($B$5:$B$404,$B313,$AY$5:$AY$404,"")&gt;1,"Zweiter offener Fall zum selben Objekt. ","")&amp;IF(AND($A313&lt;&gt;"",COUNTIFS($A$5:$A$404,$A313)&gt;1),"Fall-Nr. doppelt vergeben. ","")&amp;IF(E313="","ex-Mieter fehlt. ","")&amp;IF(M313="","Haftungsdatum fehlt. ","")&amp;IF(F313="","Bewirtschafter fehlt. ","")&amp;IF(AND(AY313&lt;&gt;"",AW313=""),"Abgeschlossen trotz offener Schlussabrechnung. ","")&amp;IF(AND(AY313="",S313="",ISNUMBER(J313),J313&gt;60),"Langläufer über 60 Tage. ","")))</f>
        <v/>
      </c>
      <c r="L313" s="18" t="n"/>
      <c r="M313" s="18" t="n"/>
      <c r="N313" s="19">
        <f>IF(M313="","",M313+1)</f>
        <v/>
      </c>
      <c r="O313" s="17">
        <f>IF(OR(L313="",M313=""),"",M313-L313)</f>
        <v/>
      </c>
      <c r="P313" s="16">
        <f>IF(M313="","",YEAR(M313+1)&amp;"-"&amp;TEXT(MONTH(M313+1),"00"))</f>
        <v/>
      </c>
      <c r="Q313" s="18" t="n"/>
      <c r="R313" s="15" t="n"/>
      <c r="S313" s="18" t="n"/>
      <c r="T313" s="16">
        <f>IF(U313="","",IF(LEFT(U313,1)="6","abgeschlossen",IF(OR(LEFT(U313,1)="1",LEFT(U313,1)="2"),"Kündigung &amp; Abnahme",IF(OR(LEFT(U313,1)="3",LEFT(U313,1)="4"),"Wiedervermietung","Schlussabrechnung"))))</f>
        <v/>
      </c>
      <c r="U313" s="16">
        <f>IF($B313="","",IF(AY313&lt;&gt;"","6 · abgeschlossen",IF(AW313&lt;&gt;"","5 · bereit zum Abschluss",IF(AT313&lt;&gt;"","5 · Schlussabrechnung",IF(AO313&lt;&gt;"","4 · Übergabe",IF(AM313&lt;&gt;"","3 · Neuvermietung",IF(M313&lt;&gt;"","2 · Abnahme &amp; Vermarktung","1 · Erfassung")))))))</f>
        <v/>
      </c>
      <c r="V313" s="15" t="n"/>
      <c r="W313" s="20" t="n"/>
      <c r="X313" s="15" t="n"/>
      <c r="Y313" s="15" t="n"/>
      <c r="Z313" s="18" t="n"/>
      <c r="AA313" s="19">
        <f>IF(M313="","",M313-30)</f>
        <v/>
      </c>
      <c r="AB313" s="19">
        <f>IF(ISNUMBER(AJ313),AJ313+3,"")</f>
        <v/>
      </c>
      <c r="AC313" s="18" t="n"/>
      <c r="AD313" s="18" t="n"/>
      <c r="AE313" s="18" t="n"/>
      <c r="AF313" s="18" t="n"/>
      <c r="AG313" s="18" t="n"/>
      <c r="AH313" s="18" t="n"/>
      <c r="AI313" s="18" t="n"/>
      <c r="AJ313" s="18" t="n"/>
      <c r="AK313" s="18" t="n"/>
      <c r="AL313" s="18" t="n"/>
      <c r="AM313" s="18" t="n"/>
      <c r="AN313" s="18" t="n"/>
      <c r="AO313" s="18" t="n"/>
      <c r="AP313" s="18" t="n"/>
      <c r="AQ313" s="18" t="n"/>
      <c r="AR313" s="18" t="n"/>
      <c r="AS313" s="18" t="n"/>
      <c r="AT313" s="18" t="n"/>
      <c r="AU313" s="18" t="n"/>
      <c r="AV313" s="18" t="n"/>
      <c r="AW313" s="18" t="n"/>
      <c r="AX313" s="18" t="n"/>
      <c r="AY313" s="18" t="n"/>
      <c r="AZ313" s="15" t="n"/>
    </row>
    <row r="314">
      <c r="A314" s="15" t="n"/>
      <c r="B314" s="15" t="n"/>
      <c r="C314" s="15" t="n"/>
      <c r="D314" s="15" t="n"/>
      <c r="E314" s="15" t="n"/>
      <c r="F314" s="15" t="n"/>
      <c r="G314" s="16">
        <f>IF(F314="","",IFERROR(INDEX(Stammdaten!$B$5:$B$24,MATCH(F314,Stammdaten!$A$5:$A$24,0)),"unbekannt"))</f>
        <v/>
      </c>
      <c r="H314" s="16">
        <f>IF($B314="","",IF(AY314&lt;&gt;"","abgeschlossen",IF(AND(ISNUMBER(AX314),AX314&gt;=TODAY()),"zurückgestellt",IF(OR(AND(ISNUMBER(AA314),AA314&lt;TODAY(),Z314="",AJ314=""),AND(ISNUMBER(Z314),Z314&lt;TODAY(),AJ314=""),AND(ISNUMBER(AB314),AB314&lt;TODAY(),AK314=""),AND(ISNUMBER(AC314),AC314&lt;TODAY(),AO314=""),AND(ISNUMBER(AD314),AD314&lt;TODAY(),AQ314="")),"überfällig","offen"))))</f>
        <v/>
      </c>
      <c r="I314" s="16">
        <f>IF($B314="","",IF(AY314&lt;&gt;"","—",IF(AND(ISNUMBER(AA314),AA314&lt;TODAY(),Z314="",AJ314=""),"Abnahmetermin vereinbaren – Sollfrist verstrichen",IF(AND(ISNUMBER(Z314),Z314&lt;TODAY(),AJ314=""),"Wohnungsabnahme nachtragen – Termin war fällig",IF(AND(ISNUMBER(AB314),AB314&lt;TODAY(),AK314=""),"Handwerker aufbieten – Frist verstrichen",IF(AND(ISNUMBER(AC314),AC314&lt;TODAY(),AO314=""),"Vertrag retour mahnen – Frist verstrichen",IF(AND(ISNUMBER(AD314),AD314&lt;TODAY(),AQ314=""),"Schlüsselübergabe nachtragen – Termin war fällig",IF(M314="","Haftungsdatum erfassen",IF(E314="","ex-Mieter erfassen",IF(AE314="","Kündigung bestätigen / G-Rem",IF(AF314="","Werke / EGT melden",IF(AG314="","Vorbesichtigung (oder n.e.)",IF(AH314="","VMZ aktualisieren",IF(AI314="","Inserat aufschalten",IF(AND(Z314="",AJ314=""),"Abnahmetermin vereinbaren",IF(AJ314="","Wohnungsabnahme durchführen",IF(AK314="","Handwerker aufbieten",IF(AL314="","Zustimmungserklärung einholen",IF(AM314="","Instandstellungen beauftragen",IF(R314="","Nachmieter erfassen",IF(AN314="","Vertrag versenden",IF(AO314="","Vertrag retour erfassen",IF(S314="","Vermietet per erfassen",IF(AP314="","Werke / EGT über Einzug informieren",IF(AND(AD314="",AQ314=""),"Schlüsselübergabe terminieren",IF(AQ314="","Schlüsselübergabe durchführen",IF(AR314="","Reinigung veranlassen",IF(AS314="","Namensschilder bestellen",IF(AT314="","Kaution prüfen / G-Rem mutieren",IF(AU314="","Instandstellungs-Rechnung erfassen",IF(AV314="","Schlussabrechnung erstellen",IF(AW314="","Zahlungseingang kontrollieren","Fall abschliessen"))))))))))))))))))))))))))))))))</f>
        <v/>
      </c>
      <c r="J314" s="17">
        <f>IF(M314="","",IF(S314&lt;&gt;"",MAX(0,S314-M314-1),MAX(0,TODAY()-M314)))</f>
        <v/>
      </c>
      <c r="K314" s="16">
        <f>IF($B314="","",TRIM(IF(AND(L314&lt;&gt;"",M314&lt;&gt;"",M314&lt;L314),"Haftungsdatum vor Kündigung. ","")&amp;IF(AND(S314&lt;&gt;"",M314&lt;&gt;"",S314&lt;M314),"Vermietung vor Leerstandsbeginn. ","")&amp;IF(AND(Z314&lt;&gt;"",L314&lt;&gt;"",Z314&lt;L314),"WA-Termin vor Kündigung. ","")&amp;IF(COUNTIFS($B$5:$B$404,$B314,$AY$5:$AY$404,"")&gt;1,"Zweiter offener Fall zum selben Objekt. ","")&amp;IF(AND($A314&lt;&gt;"",COUNTIFS($A$5:$A$404,$A314)&gt;1),"Fall-Nr. doppelt vergeben. ","")&amp;IF(E314="","ex-Mieter fehlt. ","")&amp;IF(M314="","Haftungsdatum fehlt. ","")&amp;IF(F314="","Bewirtschafter fehlt. ","")&amp;IF(AND(AY314&lt;&gt;"",AW314=""),"Abgeschlossen trotz offener Schlussabrechnung. ","")&amp;IF(AND(AY314="",S314="",ISNUMBER(J314),J314&gt;60),"Langläufer über 60 Tage. ","")))</f>
        <v/>
      </c>
      <c r="L314" s="18" t="n"/>
      <c r="M314" s="18" t="n"/>
      <c r="N314" s="19">
        <f>IF(M314="","",M314+1)</f>
        <v/>
      </c>
      <c r="O314" s="17">
        <f>IF(OR(L314="",M314=""),"",M314-L314)</f>
        <v/>
      </c>
      <c r="P314" s="16">
        <f>IF(M314="","",YEAR(M314+1)&amp;"-"&amp;TEXT(MONTH(M314+1),"00"))</f>
        <v/>
      </c>
      <c r="Q314" s="18" t="n"/>
      <c r="R314" s="15" t="n"/>
      <c r="S314" s="18" t="n"/>
      <c r="T314" s="16">
        <f>IF(U314="","",IF(LEFT(U314,1)="6","abgeschlossen",IF(OR(LEFT(U314,1)="1",LEFT(U314,1)="2"),"Kündigung &amp; Abnahme",IF(OR(LEFT(U314,1)="3",LEFT(U314,1)="4"),"Wiedervermietung","Schlussabrechnung"))))</f>
        <v/>
      </c>
      <c r="U314" s="16">
        <f>IF($B314="","",IF(AY314&lt;&gt;"","6 · abgeschlossen",IF(AW314&lt;&gt;"","5 · bereit zum Abschluss",IF(AT314&lt;&gt;"","5 · Schlussabrechnung",IF(AO314&lt;&gt;"","4 · Übergabe",IF(AM314&lt;&gt;"","3 · Neuvermietung",IF(M314&lt;&gt;"","2 · Abnahme &amp; Vermarktung","1 · Erfassung")))))))</f>
        <v/>
      </c>
      <c r="V314" s="15" t="n"/>
      <c r="W314" s="20" t="n"/>
      <c r="X314" s="15" t="n"/>
      <c r="Y314" s="15" t="n"/>
      <c r="Z314" s="18" t="n"/>
      <c r="AA314" s="19">
        <f>IF(M314="","",M314-30)</f>
        <v/>
      </c>
      <c r="AB314" s="19">
        <f>IF(ISNUMBER(AJ314),AJ314+3,"")</f>
        <v/>
      </c>
      <c r="AC314" s="18" t="n"/>
      <c r="AD314" s="18" t="n"/>
      <c r="AE314" s="18" t="n"/>
      <c r="AF314" s="18" t="n"/>
      <c r="AG314" s="18" t="n"/>
      <c r="AH314" s="18" t="n"/>
      <c r="AI314" s="18" t="n"/>
      <c r="AJ314" s="18" t="n"/>
      <c r="AK314" s="18" t="n"/>
      <c r="AL314" s="18" t="n"/>
      <c r="AM314" s="18" t="n"/>
      <c r="AN314" s="18" t="n"/>
      <c r="AO314" s="18" t="n"/>
      <c r="AP314" s="18" t="n"/>
      <c r="AQ314" s="18" t="n"/>
      <c r="AR314" s="18" t="n"/>
      <c r="AS314" s="18" t="n"/>
      <c r="AT314" s="18" t="n"/>
      <c r="AU314" s="18" t="n"/>
      <c r="AV314" s="18" t="n"/>
      <c r="AW314" s="18" t="n"/>
      <c r="AX314" s="18" t="n"/>
      <c r="AY314" s="18" t="n"/>
      <c r="AZ314" s="15" t="n"/>
    </row>
    <row r="315">
      <c r="A315" s="15" t="n"/>
      <c r="B315" s="15" t="n"/>
      <c r="C315" s="15" t="n"/>
      <c r="D315" s="15" t="n"/>
      <c r="E315" s="15" t="n"/>
      <c r="F315" s="15" t="n"/>
      <c r="G315" s="16">
        <f>IF(F315="","",IFERROR(INDEX(Stammdaten!$B$5:$B$24,MATCH(F315,Stammdaten!$A$5:$A$24,0)),"unbekannt"))</f>
        <v/>
      </c>
      <c r="H315" s="16">
        <f>IF($B315="","",IF(AY315&lt;&gt;"","abgeschlossen",IF(AND(ISNUMBER(AX315),AX315&gt;=TODAY()),"zurückgestellt",IF(OR(AND(ISNUMBER(AA315),AA315&lt;TODAY(),Z315="",AJ315=""),AND(ISNUMBER(Z315),Z315&lt;TODAY(),AJ315=""),AND(ISNUMBER(AB315),AB315&lt;TODAY(),AK315=""),AND(ISNUMBER(AC315),AC315&lt;TODAY(),AO315=""),AND(ISNUMBER(AD315),AD315&lt;TODAY(),AQ315="")),"überfällig","offen"))))</f>
        <v/>
      </c>
      <c r="I315" s="16">
        <f>IF($B315="","",IF(AY315&lt;&gt;"","—",IF(AND(ISNUMBER(AA315),AA315&lt;TODAY(),Z315="",AJ315=""),"Abnahmetermin vereinbaren – Sollfrist verstrichen",IF(AND(ISNUMBER(Z315),Z315&lt;TODAY(),AJ315=""),"Wohnungsabnahme nachtragen – Termin war fällig",IF(AND(ISNUMBER(AB315),AB315&lt;TODAY(),AK315=""),"Handwerker aufbieten – Frist verstrichen",IF(AND(ISNUMBER(AC315),AC315&lt;TODAY(),AO315=""),"Vertrag retour mahnen – Frist verstrichen",IF(AND(ISNUMBER(AD315),AD315&lt;TODAY(),AQ315=""),"Schlüsselübergabe nachtragen – Termin war fällig",IF(M315="","Haftungsdatum erfassen",IF(E315="","ex-Mieter erfassen",IF(AE315="","Kündigung bestätigen / G-Rem",IF(AF315="","Werke / EGT melden",IF(AG315="","Vorbesichtigung (oder n.e.)",IF(AH315="","VMZ aktualisieren",IF(AI315="","Inserat aufschalten",IF(AND(Z315="",AJ315=""),"Abnahmetermin vereinbaren",IF(AJ315="","Wohnungsabnahme durchführen",IF(AK315="","Handwerker aufbieten",IF(AL315="","Zustimmungserklärung einholen",IF(AM315="","Instandstellungen beauftragen",IF(R315="","Nachmieter erfassen",IF(AN315="","Vertrag versenden",IF(AO315="","Vertrag retour erfassen",IF(S315="","Vermietet per erfassen",IF(AP315="","Werke / EGT über Einzug informieren",IF(AND(AD315="",AQ315=""),"Schlüsselübergabe terminieren",IF(AQ315="","Schlüsselübergabe durchführen",IF(AR315="","Reinigung veranlassen",IF(AS315="","Namensschilder bestellen",IF(AT315="","Kaution prüfen / G-Rem mutieren",IF(AU315="","Instandstellungs-Rechnung erfassen",IF(AV315="","Schlussabrechnung erstellen",IF(AW315="","Zahlungseingang kontrollieren","Fall abschliessen"))))))))))))))))))))))))))))))))</f>
        <v/>
      </c>
      <c r="J315" s="17">
        <f>IF(M315="","",IF(S315&lt;&gt;"",MAX(0,S315-M315-1),MAX(0,TODAY()-M315)))</f>
        <v/>
      </c>
      <c r="K315" s="16">
        <f>IF($B315="","",TRIM(IF(AND(L315&lt;&gt;"",M315&lt;&gt;"",M315&lt;L315),"Haftungsdatum vor Kündigung. ","")&amp;IF(AND(S315&lt;&gt;"",M315&lt;&gt;"",S315&lt;M315),"Vermietung vor Leerstandsbeginn. ","")&amp;IF(AND(Z315&lt;&gt;"",L315&lt;&gt;"",Z315&lt;L315),"WA-Termin vor Kündigung. ","")&amp;IF(COUNTIFS($B$5:$B$404,$B315,$AY$5:$AY$404,"")&gt;1,"Zweiter offener Fall zum selben Objekt. ","")&amp;IF(AND($A315&lt;&gt;"",COUNTIFS($A$5:$A$404,$A315)&gt;1),"Fall-Nr. doppelt vergeben. ","")&amp;IF(E315="","ex-Mieter fehlt. ","")&amp;IF(M315="","Haftungsdatum fehlt. ","")&amp;IF(F315="","Bewirtschafter fehlt. ","")&amp;IF(AND(AY315&lt;&gt;"",AW315=""),"Abgeschlossen trotz offener Schlussabrechnung. ","")&amp;IF(AND(AY315="",S315="",ISNUMBER(J315),J315&gt;60),"Langläufer über 60 Tage. ","")))</f>
        <v/>
      </c>
      <c r="L315" s="18" t="n"/>
      <c r="M315" s="18" t="n"/>
      <c r="N315" s="19">
        <f>IF(M315="","",M315+1)</f>
        <v/>
      </c>
      <c r="O315" s="17">
        <f>IF(OR(L315="",M315=""),"",M315-L315)</f>
        <v/>
      </c>
      <c r="P315" s="16">
        <f>IF(M315="","",YEAR(M315+1)&amp;"-"&amp;TEXT(MONTH(M315+1),"00"))</f>
        <v/>
      </c>
      <c r="Q315" s="18" t="n"/>
      <c r="R315" s="15" t="n"/>
      <c r="S315" s="18" t="n"/>
      <c r="T315" s="16">
        <f>IF(U315="","",IF(LEFT(U315,1)="6","abgeschlossen",IF(OR(LEFT(U315,1)="1",LEFT(U315,1)="2"),"Kündigung &amp; Abnahme",IF(OR(LEFT(U315,1)="3",LEFT(U315,1)="4"),"Wiedervermietung","Schlussabrechnung"))))</f>
        <v/>
      </c>
      <c r="U315" s="16">
        <f>IF($B315="","",IF(AY315&lt;&gt;"","6 · abgeschlossen",IF(AW315&lt;&gt;"","5 · bereit zum Abschluss",IF(AT315&lt;&gt;"","5 · Schlussabrechnung",IF(AO315&lt;&gt;"","4 · Übergabe",IF(AM315&lt;&gt;"","3 · Neuvermietung",IF(M315&lt;&gt;"","2 · Abnahme &amp; Vermarktung","1 · Erfassung")))))))</f>
        <v/>
      </c>
      <c r="V315" s="15" t="n"/>
      <c r="W315" s="20" t="n"/>
      <c r="X315" s="15" t="n"/>
      <c r="Y315" s="15" t="n"/>
      <c r="Z315" s="18" t="n"/>
      <c r="AA315" s="19">
        <f>IF(M315="","",M315-30)</f>
        <v/>
      </c>
      <c r="AB315" s="19">
        <f>IF(ISNUMBER(AJ315),AJ315+3,"")</f>
        <v/>
      </c>
      <c r="AC315" s="18" t="n"/>
      <c r="AD315" s="18" t="n"/>
      <c r="AE315" s="18" t="n"/>
      <c r="AF315" s="18" t="n"/>
      <c r="AG315" s="18" t="n"/>
      <c r="AH315" s="18" t="n"/>
      <c r="AI315" s="18" t="n"/>
      <c r="AJ315" s="18" t="n"/>
      <c r="AK315" s="18" t="n"/>
      <c r="AL315" s="18" t="n"/>
      <c r="AM315" s="18" t="n"/>
      <c r="AN315" s="18" t="n"/>
      <c r="AO315" s="18" t="n"/>
      <c r="AP315" s="18" t="n"/>
      <c r="AQ315" s="18" t="n"/>
      <c r="AR315" s="18" t="n"/>
      <c r="AS315" s="18" t="n"/>
      <c r="AT315" s="18" t="n"/>
      <c r="AU315" s="18" t="n"/>
      <c r="AV315" s="18" t="n"/>
      <c r="AW315" s="18" t="n"/>
      <c r="AX315" s="18" t="n"/>
      <c r="AY315" s="18" t="n"/>
      <c r="AZ315" s="15" t="n"/>
    </row>
    <row r="316">
      <c r="A316" s="15" t="n"/>
      <c r="B316" s="15" t="n"/>
      <c r="C316" s="15" t="n"/>
      <c r="D316" s="15" t="n"/>
      <c r="E316" s="15" t="n"/>
      <c r="F316" s="15" t="n"/>
      <c r="G316" s="16">
        <f>IF(F316="","",IFERROR(INDEX(Stammdaten!$B$5:$B$24,MATCH(F316,Stammdaten!$A$5:$A$24,0)),"unbekannt"))</f>
        <v/>
      </c>
      <c r="H316" s="16">
        <f>IF($B316="","",IF(AY316&lt;&gt;"","abgeschlossen",IF(AND(ISNUMBER(AX316),AX316&gt;=TODAY()),"zurückgestellt",IF(OR(AND(ISNUMBER(AA316),AA316&lt;TODAY(),Z316="",AJ316=""),AND(ISNUMBER(Z316),Z316&lt;TODAY(),AJ316=""),AND(ISNUMBER(AB316),AB316&lt;TODAY(),AK316=""),AND(ISNUMBER(AC316),AC316&lt;TODAY(),AO316=""),AND(ISNUMBER(AD316),AD316&lt;TODAY(),AQ316="")),"überfällig","offen"))))</f>
        <v/>
      </c>
      <c r="I316" s="16">
        <f>IF($B316="","",IF(AY316&lt;&gt;"","—",IF(AND(ISNUMBER(AA316),AA316&lt;TODAY(),Z316="",AJ316=""),"Abnahmetermin vereinbaren – Sollfrist verstrichen",IF(AND(ISNUMBER(Z316),Z316&lt;TODAY(),AJ316=""),"Wohnungsabnahme nachtragen – Termin war fällig",IF(AND(ISNUMBER(AB316),AB316&lt;TODAY(),AK316=""),"Handwerker aufbieten – Frist verstrichen",IF(AND(ISNUMBER(AC316),AC316&lt;TODAY(),AO316=""),"Vertrag retour mahnen – Frist verstrichen",IF(AND(ISNUMBER(AD316),AD316&lt;TODAY(),AQ316=""),"Schlüsselübergabe nachtragen – Termin war fällig",IF(M316="","Haftungsdatum erfassen",IF(E316="","ex-Mieter erfassen",IF(AE316="","Kündigung bestätigen / G-Rem",IF(AF316="","Werke / EGT melden",IF(AG316="","Vorbesichtigung (oder n.e.)",IF(AH316="","VMZ aktualisieren",IF(AI316="","Inserat aufschalten",IF(AND(Z316="",AJ316=""),"Abnahmetermin vereinbaren",IF(AJ316="","Wohnungsabnahme durchführen",IF(AK316="","Handwerker aufbieten",IF(AL316="","Zustimmungserklärung einholen",IF(AM316="","Instandstellungen beauftragen",IF(R316="","Nachmieter erfassen",IF(AN316="","Vertrag versenden",IF(AO316="","Vertrag retour erfassen",IF(S316="","Vermietet per erfassen",IF(AP316="","Werke / EGT über Einzug informieren",IF(AND(AD316="",AQ316=""),"Schlüsselübergabe terminieren",IF(AQ316="","Schlüsselübergabe durchführen",IF(AR316="","Reinigung veranlassen",IF(AS316="","Namensschilder bestellen",IF(AT316="","Kaution prüfen / G-Rem mutieren",IF(AU316="","Instandstellungs-Rechnung erfassen",IF(AV316="","Schlussabrechnung erstellen",IF(AW316="","Zahlungseingang kontrollieren","Fall abschliessen"))))))))))))))))))))))))))))))))</f>
        <v/>
      </c>
      <c r="J316" s="17">
        <f>IF(M316="","",IF(S316&lt;&gt;"",MAX(0,S316-M316-1),MAX(0,TODAY()-M316)))</f>
        <v/>
      </c>
      <c r="K316" s="16">
        <f>IF($B316="","",TRIM(IF(AND(L316&lt;&gt;"",M316&lt;&gt;"",M316&lt;L316),"Haftungsdatum vor Kündigung. ","")&amp;IF(AND(S316&lt;&gt;"",M316&lt;&gt;"",S316&lt;M316),"Vermietung vor Leerstandsbeginn. ","")&amp;IF(AND(Z316&lt;&gt;"",L316&lt;&gt;"",Z316&lt;L316),"WA-Termin vor Kündigung. ","")&amp;IF(COUNTIFS($B$5:$B$404,$B316,$AY$5:$AY$404,"")&gt;1,"Zweiter offener Fall zum selben Objekt. ","")&amp;IF(AND($A316&lt;&gt;"",COUNTIFS($A$5:$A$404,$A316)&gt;1),"Fall-Nr. doppelt vergeben. ","")&amp;IF(E316="","ex-Mieter fehlt. ","")&amp;IF(M316="","Haftungsdatum fehlt. ","")&amp;IF(F316="","Bewirtschafter fehlt. ","")&amp;IF(AND(AY316&lt;&gt;"",AW316=""),"Abgeschlossen trotz offener Schlussabrechnung. ","")&amp;IF(AND(AY316="",S316="",ISNUMBER(J316),J316&gt;60),"Langläufer über 60 Tage. ","")))</f>
        <v/>
      </c>
      <c r="L316" s="18" t="n"/>
      <c r="M316" s="18" t="n"/>
      <c r="N316" s="19">
        <f>IF(M316="","",M316+1)</f>
        <v/>
      </c>
      <c r="O316" s="17">
        <f>IF(OR(L316="",M316=""),"",M316-L316)</f>
        <v/>
      </c>
      <c r="P316" s="16">
        <f>IF(M316="","",YEAR(M316+1)&amp;"-"&amp;TEXT(MONTH(M316+1),"00"))</f>
        <v/>
      </c>
      <c r="Q316" s="18" t="n"/>
      <c r="R316" s="15" t="n"/>
      <c r="S316" s="18" t="n"/>
      <c r="T316" s="16">
        <f>IF(U316="","",IF(LEFT(U316,1)="6","abgeschlossen",IF(OR(LEFT(U316,1)="1",LEFT(U316,1)="2"),"Kündigung &amp; Abnahme",IF(OR(LEFT(U316,1)="3",LEFT(U316,1)="4"),"Wiedervermietung","Schlussabrechnung"))))</f>
        <v/>
      </c>
      <c r="U316" s="16">
        <f>IF($B316="","",IF(AY316&lt;&gt;"","6 · abgeschlossen",IF(AW316&lt;&gt;"","5 · bereit zum Abschluss",IF(AT316&lt;&gt;"","5 · Schlussabrechnung",IF(AO316&lt;&gt;"","4 · Übergabe",IF(AM316&lt;&gt;"","3 · Neuvermietung",IF(M316&lt;&gt;"","2 · Abnahme &amp; Vermarktung","1 · Erfassung")))))))</f>
        <v/>
      </c>
      <c r="V316" s="15" t="n"/>
      <c r="W316" s="20" t="n"/>
      <c r="X316" s="15" t="n"/>
      <c r="Y316" s="15" t="n"/>
      <c r="Z316" s="18" t="n"/>
      <c r="AA316" s="19">
        <f>IF(M316="","",M316-30)</f>
        <v/>
      </c>
      <c r="AB316" s="19">
        <f>IF(ISNUMBER(AJ316),AJ316+3,"")</f>
        <v/>
      </c>
      <c r="AC316" s="18" t="n"/>
      <c r="AD316" s="18" t="n"/>
      <c r="AE316" s="18" t="n"/>
      <c r="AF316" s="18" t="n"/>
      <c r="AG316" s="18" t="n"/>
      <c r="AH316" s="18" t="n"/>
      <c r="AI316" s="18" t="n"/>
      <c r="AJ316" s="18" t="n"/>
      <c r="AK316" s="18" t="n"/>
      <c r="AL316" s="18" t="n"/>
      <c r="AM316" s="18" t="n"/>
      <c r="AN316" s="18" t="n"/>
      <c r="AO316" s="18" t="n"/>
      <c r="AP316" s="18" t="n"/>
      <c r="AQ316" s="18" t="n"/>
      <c r="AR316" s="18" t="n"/>
      <c r="AS316" s="18" t="n"/>
      <c r="AT316" s="18" t="n"/>
      <c r="AU316" s="18" t="n"/>
      <c r="AV316" s="18" t="n"/>
      <c r="AW316" s="18" t="n"/>
      <c r="AX316" s="18" t="n"/>
      <c r="AY316" s="18" t="n"/>
      <c r="AZ316" s="15" t="n"/>
    </row>
    <row r="317">
      <c r="A317" s="15" t="n"/>
      <c r="B317" s="15" t="n"/>
      <c r="C317" s="15" t="n"/>
      <c r="D317" s="15" t="n"/>
      <c r="E317" s="15" t="n"/>
      <c r="F317" s="15" t="n"/>
      <c r="G317" s="16">
        <f>IF(F317="","",IFERROR(INDEX(Stammdaten!$B$5:$B$24,MATCH(F317,Stammdaten!$A$5:$A$24,0)),"unbekannt"))</f>
        <v/>
      </c>
      <c r="H317" s="16">
        <f>IF($B317="","",IF(AY317&lt;&gt;"","abgeschlossen",IF(AND(ISNUMBER(AX317),AX317&gt;=TODAY()),"zurückgestellt",IF(OR(AND(ISNUMBER(AA317),AA317&lt;TODAY(),Z317="",AJ317=""),AND(ISNUMBER(Z317),Z317&lt;TODAY(),AJ317=""),AND(ISNUMBER(AB317),AB317&lt;TODAY(),AK317=""),AND(ISNUMBER(AC317),AC317&lt;TODAY(),AO317=""),AND(ISNUMBER(AD317),AD317&lt;TODAY(),AQ317="")),"überfällig","offen"))))</f>
        <v/>
      </c>
      <c r="I317" s="16">
        <f>IF($B317="","",IF(AY317&lt;&gt;"","—",IF(AND(ISNUMBER(AA317),AA317&lt;TODAY(),Z317="",AJ317=""),"Abnahmetermin vereinbaren – Sollfrist verstrichen",IF(AND(ISNUMBER(Z317),Z317&lt;TODAY(),AJ317=""),"Wohnungsabnahme nachtragen – Termin war fällig",IF(AND(ISNUMBER(AB317),AB317&lt;TODAY(),AK317=""),"Handwerker aufbieten – Frist verstrichen",IF(AND(ISNUMBER(AC317),AC317&lt;TODAY(),AO317=""),"Vertrag retour mahnen – Frist verstrichen",IF(AND(ISNUMBER(AD317),AD317&lt;TODAY(),AQ317=""),"Schlüsselübergabe nachtragen – Termin war fällig",IF(M317="","Haftungsdatum erfassen",IF(E317="","ex-Mieter erfassen",IF(AE317="","Kündigung bestätigen / G-Rem",IF(AF317="","Werke / EGT melden",IF(AG317="","Vorbesichtigung (oder n.e.)",IF(AH317="","VMZ aktualisieren",IF(AI317="","Inserat aufschalten",IF(AND(Z317="",AJ317=""),"Abnahmetermin vereinbaren",IF(AJ317="","Wohnungsabnahme durchführen",IF(AK317="","Handwerker aufbieten",IF(AL317="","Zustimmungserklärung einholen",IF(AM317="","Instandstellungen beauftragen",IF(R317="","Nachmieter erfassen",IF(AN317="","Vertrag versenden",IF(AO317="","Vertrag retour erfassen",IF(S317="","Vermietet per erfassen",IF(AP317="","Werke / EGT über Einzug informieren",IF(AND(AD317="",AQ317=""),"Schlüsselübergabe terminieren",IF(AQ317="","Schlüsselübergabe durchführen",IF(AR317="","Reinigung veranlassen",IF(AS317="","Namensschilder bestellen",IF(AT317="","Kaution prüfen / G-Rem mutieren",IF(AU317="","Instandstellungs-Rechnung erfassen",IF(AV317="","Schlussabrechnung erstellen",IF(AW317="","Zahlungseingang kontrollieren","Fall abschliessen"))))))))))))))))))))))))))))))))</f>
        <v/>
      </c>
      <c r="J317" s="17">
        <f>IF(M317="","",IF(S317&lt;&gt;"",MAX(0,S317-M317-1),MAX(0,TODAY()-M317)))</f>
        <v/>
      </c>
      <c r="K317" s="16">
        <f>IF($B317="","",TRIM(IF(AND(L317&lt;&gt;"",M317&lt;&gt;"",M317&lt;L317),"Haftungsdatum vor Kündigung. ","")&amp;IF(AND(S317&lt;&gt;"",M317&lt;&gt;"",S317&lt;M317),"Vermietung vor Leerstandsbeginn. ","")&amp;IF(AND(Z317&lt;&gt;"",L317&lt;&gt;"",Z317&lt;L317),"WA-Termin vor Kündigung. ","")&amp;IF(COUNTIFS($B$5:$B$404,$B317,$AY$5:$AY$404,"")&gt;1,"Zweiter offener Fall zum selben Objekt. ","")&amp;IF(AND($A317&lt;&gt;"",COUNTIFS($A$5:$A$404,$A317)&gt;1),"Fall-Nr. doppelt vergeben. ","")&amp;IF(E317="","ex-Mieter fehlt. ","")&amp;IF(M317="","Haftungsdatum fehlt. ","")&amp;IF(F317="","Bewirtschafter fehlt. ","")&amp;IF(AND(AY317&lt;&gt;"",AW317=""),"Abgeschlossen trotz offener Schlussabrechnung. ","")&amp;IF(AND(AY317="",S317="",ISNUMBER(J317),J317&gt;60),"Langläufer über 60 Tage. ","")))</f>
        <v/>
      </c>
      <c r="L317" s="18" t="n"/>
      <c r="M317" s="18" t="n"/>
      <c r="N317" s="19">
        <f>IF(M317="","",M317+1)</f>
        <v/>
      </c>
      <c r="O317" s="17">
        <f>IF(OR(L317="",M317=""),"",M317-L317)</f>
        <v/>
      </c>
      <c r="P317" s="16">
        <f>IF(M317="","",YEAR(M317+1)&amp;"-"&amp;TEXT(MONTH(M317+1),"00"))</f>
        <v/>
      </c>
      <c r="Q317" s="18" t="n"/>
      <c r="R317" s="15" t="n"/>
      <c r="S317" s="18" t="n"/>
      <c r="T317" s="16">
        <f>IF(U317="","",IF(LEFT(U317,1)="6","abgeschlossen",IF(OR(LEFT(U317,1)="1",LEFT(U317,1)="2"),"Kündigung &amp; Abnahme",IF(OR(LEFT(U317,1)="3",LEFT(U317,1)="4"),"Wiedervermietung","Schlussabrechnung"))))</f>
        <v/>
      </c>
      <c r="U317" s="16">
        <f>IF($B317="","",IF(AY317&lt;&gt;"","6 · abgeschlossen",IF(AW317&lt;&gt;"","5 · bereit zum Abschluss",IF(AT317&lt;&gt;"","5 · Schlussabrechnung",IF(AO317&lt;&gt;"","4 · Übergabe",IF(AM317&lt;&gt;"","3 · Neuvermietung",IF(M317&lt;&gt;"","2 · Abnahme &amp; Vermarktung","1 · Erfassung")))))))</f>
        <v/>
      </c>
      <c r="V317" s="15" t="n"/>
      <c r="W317" s="20" t="n"/>
      <c r="X317" s="15" t="n"/>
      <c r="Y317" s="15" t="n"/>
      <c r="Z317" s="18" t="n"/>
      <c r="AA317" s="19">
        <f>IF(M317="","",M317-30)</f>
        <v/>
      </c>
      <c r="AB317" s="19">
        <f>IF(ISNUMBER(AJ317),AJ317+3,"")</f>
        <v/>
      </c>
      <c r="AC317" s="18" t="n"/>
      <c r="AD317" s="18" t="n"/>
      <c r="AE317" s="18" t="n"/>
      <c r="AF317" s="18" t="n"/>
      <c r="AG317" s="18" t="n"/>
      <c r="AH317" s="18" t="n"/>
      <c r="AI317" s="18" t="n"/>
      <c r="AJ317" s="18" t="n"/>
      <c r="AK317" s="18" t="n"/>
      <c r="AL317" s="18" t="n"/>
      <c r="AM317" s="18" t="n"/>
      <c r="AN317" s="18" t="n"/>
      <c r="AO317" s="18" t="n"/>
      <c r="AP317" s="18" t="n"/>
      <c r="AQ317" s="18" t="n"/>
      <c r="AR317" s="18" t="n"/>
      <c r="AS317" s="18" t="n"/>
      <c r="AT317" s="18" t="n"/>
      <c r="AU317" s="18" t="n"/>
      <c r="AV317" s="18" t="n"/>
      <c r="AW317" s="18" t="n"/>
      <c r="AX317" s="18" t="n"/>
      <c r="AY317" s="18" t="n"/>
      <c r="AZ317" s="15" t="n"/>
    </row>
    <row r="318">
      <c r="A318" s="15" t="n"/>
      <c r="B318" s="15" t="n"/>
      <c r="C318" s="15" t="n"/>
      <c r="D318" s="15" t="n"/>
      <c r="E318" s="15" t="n"/>
      <c r="F318" s="15" t="n"/>
      <c r="G318" s="16">
        <f>IF(F318="","",IFERROR(INDEX(Stammdaten!$B$5:$B$24,MATCH(F318,Stammdaten!$A$5:$A$24,0)),"unbekannt"))</f>
        <v/>
      </c>
      <c r="H318" s="16">
        <f>IF($B318="","",IF(AY318&lt;&gt;"","abgeschlossen",IF(AND(ISNUMBER(AX318),AX318&gt;=TODAY()),"zurückgestellt",IF(OR(AND(ISNUMBER(AA318),AA318&lt;TODAY(),Z318="",AJ318=""),AND(ISNUMBER(Z318),Z318&lt;TODAY(),AJ318=""),AND(ISNUMBER(AB318),AB318&lt;TODAY(),AK318=""),AND(ISNUMBER(AC318),AC318&lt;TODAY(),AO318=""),AND(ISNUMBER(AD318),AD318&lt;TODAY(),AQ318="")),"überfällig","offen"))))</f>
        <v/>
      </c>
      <c r="I318" s="16">
        <f>IF($B318="","",IF(AY318&lt;&gt;"","—",IF(AND(ISNUMBER(AA318),AA318&lt;TODAY(),Z318="",AJ318=""),"Abnahmetermin vereinbaren – Sollfrist verstrichen",IF(AND(ISNUMBER(Z318),Z318&lt;TODAY(),AJ318=""),"Wohnungsabnahme nachtragen – Termin war fällig",IF(AND(ISNUMBER(AB318),AB318&lt;TODAY(),AK318=""),"Handwerker aufbieten – Frist verstrichen",IF(AND(ISNUMBER(AC318),AC318&lt;TODAY(),AO318=""),"Vertrag retour mahnen – Frist verstrichen",IF(AND(ISNUMBER(AD318),AD318&lt;TODAY(),AQ318=""),"Schlüsselübergabe nachtragen – Termin war fällig",IF(M318="","Haftungsdatum erfassen",IF(E318="","ex-Mieter erfassen",IF(AE318="","Kündigung bestätigen / G-Rem",IF(AF318="","Werke / EGT melden",IF(AG318="","Vorbesichtigung (oder n.e.)",IF(AH318="","VMZ aktualisieren",IF(AI318="","Inserat aufschalten",IF(AND(Z318="",AJ318=""),"Abnahmetermin vereinbaren",IF(AJ318="","Wohnungsabnahme durchführen",IF(AK318="","Handwerker aufbieten",IF(AL318="","Zustimmungserklärung einholen",IF(AM318="","Instandstellungen beauftragen",IF(R318="","Nachmieter erfassen",IF(AN318="","Vertrag versenden",IF(AO318="","Vertrag retour erfassen",IF(S318="","Vermietet per erfassen",IF(AP318="","Werke / EGT über Einzug informieren",IF(AND(AD318="",AQ318=""),"Schlüsselübergabe terminieren",IF(AQ318="","Schlüsselübergabe durchführen",IF(AR318="","Reinigung veranlassen",IF(AS318="","Namensschilder bestellen",IF(AT318="","Kaution prüfen / G-Rem mutieren",IF(AU318="","Instandstellungs-Rechnung erfassen",IF(AV318="","Schlussabrechnung erstellen",IF(AW318="","Zahlungseingang kontrollieren","Fall abschliessen"))))))))))))))))))))))))))))))))</f>
        <v/>
      </c>
      <c r="J318" s="17">
        <f>IF(M318="","",IF(S318&lt;&gt;"",MAX(0,S318-M318-1),MAX(0,TODAY()-M318)))</f>
        <v/>
      </c>
      <c r="K318" s="16">
        <f>IF($B318="","",TRIM(IF(AND(L318&lt;&gt;"",M318&lt;&gt;"",M318&lt;L318),"Haftungsdatum vor Kündigung. ","")&amp;IF(AND(S318&lt;&gt;"",M318&lt;&gt;"",S318&lt;M318),"Vermietung vor Leerstandsbeginn. ","")&amp;IF(AND(Z318&lt;&gt;"",L318&lt;&gt;"",Z318&lt;L318),"WA-Termin vor Kündigung. ","")&amp;IF(COUNTIFS($B$5:$B$404,$B318,$AY$5:$AY$404,"")&gt;1,"Zweiter offener Fall zum selben Objekt. ","")&amp;IF(AND($A318&lt;&gt;"",COUNTIFS($A$5:$A$404,$A318)&gt;1),"Fall-Nr. doppelt vergeben. ","")&amp;IF(E318="","ex-Mieter fehlt. ","")&amp;IF(M318="","Haftungsdatum fehlt. ","")&amp;IF(F318="","Bewirtschafter fehlt. ","")&amp;IF(AND(AY318&lt;&gt;"",AW318=""),"Abgeschlossen trotz offener Schlussabrechnung. ","")&amp;IF(AND(AY318="",S318="",ISNUMBER(J318),J318&gt;60),"Langläufer über 60 Tage. ","")))</f>
        <v/>
      </c>
      <c r="L318" s="18" t="n"/>
      <c r="M318" s="18" t="n"/>
      <c r="N318" s="19">
        <f>IF(M318="","",M318+1)</f>
        <v/>
      </c>
      <c r="O318" s="17">
        <f>IF(OR(L318="",M318=""),"",M318-L318)</f>
        <v/>
      </c>
      <c r="P318" s="16">
        <f>IF(M318="","",YEAR(M318+1)&amp;"-"&amp;TEXT(MONTH(M318+1),"00"))</f>
        <v/>
      </c>
      <c r="Q318" s="18" t="n"/>
      <c r="R318" s="15" t="n"/>
      <c r="S318" s="18" t="n"/>
      <c r="T318" s="16">
        <f>IF(U318="","",IF(LEFT(U318,1)="6","abgeschlossen",IF(OR(LEFT(U318,1)="1",LEFT(U318,1)="2"),"Kündigung &amp; Abnahme",IF(OR(LEFT(U318,1)="3",LEFT(U318,1)="4"),"Wiedervermietung","Schlussabrechnung"))))</f>
        <v/>
      </c>
      <c r="U318" s="16">
        <f>IF($B318="","",IF(AY318&lt;&gt;"","6 · abgeschlossen",IF(AW318&lt;&gt;"","5 · bereit zum Abschluss",IF(AT318&lt;&gt;"","5 · Schlussabrechnung",IF(AO318&lt;&gt;"","4 · Übergabe",IF(AM318&lt;&gt;"","3 · Neuvermietung",IF(M318&lt;&gt;"","2 · Abnahme &amp; Vermarktung","1 · Erfassung")))))))</f>
        <v/>
      </c>
      <c r="V318" s="15" t="n"/>
      <c r="W318" s="20" t="n"/>
      <c r="X318" s="15" t="n"/>
      <c r="Y318" s="15" t="n"/>
      <c r="Z318" s="18" t="n"/>
      <c r="AA318" s="19">
        <f>IF(M318="","",M318-30)</f>
        <v/>
      </c>
      <c r="AB318" s="19">
        <f>IF(ISNUMBER(AJ318),AJ318+3,"")</f>
        <v/>
      </c>
      <c r="AC318" s="18" t="n"/>
      <c r="AD318" s="18" t="n"/>
      <c r="AE318" s="18" t="n"/>
      <c r="AF318" s="18" t="n"/>
      <c r="AG318" s="18" t="n"/>
      <c r="AH318" s="18" t="n"/>
      <c r="AI318" s="18" t="n"/>
      <c r="AJ318" s="18" t="n"/>
      <c r="AK318" s="18" t="n"/>
      <c r="AL318" s="18" t="n"/>
      <c r="AM318" s="18" t="n"/>
      <c r="AN318" s="18" t="n"/>
      <c r="AO318" s="18" t="n"/>
      <c r="AP318" s="18" t="n"/>
      <c r="AQ318" s="18" t="n"/>
      <c r="AR318" s="18" t="n"/>
      <c r="AS318" s="18" t="n"/>
      <c r="AT318" s="18" t="n"/>
      <c r="AU318" s="18" t="n"/>
      <c r="AV318" s="18" t="n"/>
      <c r="AW318" s="18" t="n"/>
      <c r="AX318" s="18" t="n"/>
      <c r="AY318" s="18" t="n"/>
      <c r="AZ318" s="15" t="n"/>
    </row>
    <row r="319">
      <c r="A319" s="15" t="n"/>
      <c r="B319" s="15" t="n"/>
      <c r="C319" s="15" t="n"/>
      <c r="D319" s="15" t="n"/>
      <c r="E319" s="15" t="n"/>
      <c r="F319" s="15" t="n"/>
      <c r="G319" s="16">
        <f>IF(F319="","",IFERROR(INDEX(Stammdaten!$B$5:$B$24,MATCH(F319,Stammdaten!$A$5:$A$24,0)),"unbekannt"))</f>
        <v/>
      </c>
      <c r="H319" s="16">
        <f>IF($B319="","",IF(AY319&lt;&gt;"","abgeschlossen",IF(AND(ISNUMBER(AX319),AX319&gt;=TODAY()),"zurückgestellt",IF(OR(AND(ISNUMBER(AA319),AA319&lt;TODAY(),Z319="",AJ319=""),AND(ISNUMBER(Z319),Z319&lt;TODAY(),AJ319=""),AND(ISNUMBER(AB319),AB319&lt;TODAY(),AK319=""),AND(ISNUMBER(AC319),AC319&lt;TODAY(),AO319=""),AND(ISNUMBER(AD319),AD319&lt;TODAY(),AQ319="")),"überfällig","offen"))))</f>
        <v/>
      </c>
      <c r="I319" s="16">
        <f>IF($B319="","",IF(AY319&lt;&gt;"","—",IF(AND(ISNUMBER(AA319),AA319&lt;TODAY(),Z319="",AJ319=""),"Abnahmetermin vereinbaren – Sollfrist verstrichen",IF(AND(ISNUMBER(Z319),Z319&lt;TODAY(),AJ319=""),"Wohnungsabnahme nachtragen – Termin war fällig",IF(AND(ISNUMBER(AB319),AB319&lt;TODAY(),AK319=""),"Handwerker aufbieten – Frist verstrichen",IF(AND(ISNUMBER(AC319),AC319&lt;TODAY(),AO319=""),"Vertrag retour mahnen – Frist verstrichen",IF(AND(ISNUMBER(AD319),AD319&lt;TODAY(),AQ319=""),"Schlüsselübergabe nachtragen – Termin war fällig",IF(M319="","Haftungsdatum erfassen",IF(E319="","ex-Mieter erfassen",IF(AE319="","Kündigung bestätigen / G-Rem",IF(AF319="","Werke / EGT melden",IF(AG319="","Vorbesichtigung (oder n.e.)",IF(AH319="","VMZ aktualisieren",IF(AI319="","Inserat aufschalten",IF(AND(Z319="",AJ319=""),"Abnahmetermin vereinbaren",IF(AJ319="","Wohnungsabnahme durchführen",IF(AK319="","Handwerker aufbieten",IF(AL319="","Zustimmungserklärung einholen",IF(AM319="","Instandstellungen beauftragen",IF(R319="","Nachmieter erfassen",IF(AN319="","Vertrag versenden",IF(AO319="","Vertrag retour erfassen",IF(S319="","Vermietet per erfassen",IF(AP319="","Werke / EGT über Einzug informieren",IF(AND(AD319="",AQ319=""),"Schlüsselübergabe terminieren",IF(AQ319="","Schlüsselübergabe durchführen",IF(AR319="","Reinigung veranlassen",IF(AS319="","Namensschilder bestellen",IF(AT319="","Kaution prüfen / G-Rem mutieren",IF(AU319="","Instandstellungs-Rechnung erfassen",IF(AV319="","Schlussabrechnung erstellen",IF(AW319="","Zahlungseingang kontrollieren","Fall abschliessen"))))))))))))))))))))))))))))))))</f>
        <v/>
      </c>
      <c r="J319" s="17">
        <f>IF(M319="","",IF(S319&lt;&gt;"",MAX(0,S319-M319-1),MAX(0,TODAY()-M319)))</f>
        <v/>
      </c>
      <c r="K319" s="16">
        <f>IF($B319="","",TRIM(IF(AND(L319&lt;&gt;"",M319&lt;&gt;"",M319&lt;L319),"Haftungsdatum vor Kündigung. ","")&amp;IF(AND(S319&lt;&gt;"",M319&lt;&gt;"",S319&lt;M319),"Vermietung vor Leerstandsbeginn. ","")&amp;IF(AND(Z319&lt;&gt;"",L319&lt;&gt;"",Z319&lt;L319),"WA-Termin vor Kündigung. ","")&amp;IF(COUNTIFS($B$5:$B$404,$B319,$AY$5:$AY$404,"")&gt;1,"Zweiter offener Fall zum selben Objekt. ","")&amp;IF(AND($A319&lt;&gt;"",COUNTIFS($A$5:$A$404,$A319)&gt;1),"Fall-Nr. doppelt vergeben. ","")&amp;IF(E319="","ex-Mieter fehlt. ","")&amp;IF(M319="","Haftungsdatum fehlt. ","")&amp;IF(F319="","Bewirtschafter fehlt. ","")&amp;IF(AND(AY319&lt;&gt;"",AW319=""),"Abgeschlossen trotz offener Schlussabrechnung. ","")&amp;IF(AND(AY319="",S319="",ISNUMBER(J319),J319&gt;60),"Langläufer über 60 Tage. ","")))</f>
        <v/>
      </c>
      <c r="L319" s="18" t="n"/>
      <c r="M319" s="18" t="n"/>
      <c r="N319" s="19">
        <f>IF(M319="","",M319+1)</f>
        <v/>
      </c>
      <c r="O319" s="17">
        <f>IF(OR(L319="",M319=""),"",M319-L319)</f>
        <v/>
      </c>
      <c r="P319" s="16">
        <f>IF(M319="","",YEAR(M319+1)&amp;"-"&amp;TEXT(MONTH(M319+1),"00"))</f>
        <v/>
      </c>
      <c r="Q319" s="18" t="n"/>
      <c r="R319" s="15" t="n"/>
      <c r="S319" s="18" t="n"/>
      <c r="T319" s="16">
        <f>IF(U319="","",IF(LEFT(U319,1)="6","abgeschlossen",IF(OR(LEFT(U319,1)="1",LEFT(U319,1)="2"),"Kündigung &amp; Abnahme",IF(OR(LEFT(U319,1)="3",LEFT(U319,1)="4"),"Wiedervermietung","Schlussabrechnung"))))</f>
        <v/>
      </c>
      <c r="U319" s="16">
        <f>IF($B319="","",IF(AY319&lt;&gt;"","6 · abgeschlossen",IF(AW319&lt;&gt;"","5 · bereit zum Abschluss",IF(AT319&lt;&gt;"","5 · Schlussabrechnung",IF(AO319&lt;&gt;"","4 · Übergabe",IF(AM319&lt;&gt;"","3 · Neuvermietung",IF(M319&lt;&gt;"","2 · Abnahme &amp; Vermarktung","1 · Erfassung")))))))</f>
        <v/>
      </c>
      <c r="V319" s="15" t="n"/>
      <c r="W319" s="20" t="n"/>
      <c r="X319" s="15" t="n"/>
      <c r="Y319" s="15" t="n"/>
      <c r="Z319" s="18" t="n"/>
      <c r="AA319" s="19">
        <f>IF(M319="","",M319-30)</f>
        <v/>
      </c>
      <c r="AB319" s="19">
        <f>IF(ISNUMBER(AJ319),AJ319+3,"")</f>
        <v/>
      </c>
      <c r="AC319" s="18" t="n"/>
      <c r="AD319" s="18" t="n"/>
      <c r="AE319" s="18" t="n"/>
      <c r="AF319" s="18" t="n"/>
      <c r="AG319" s="18" t="n"/>
      <c r="AH319" s="18" t="n"/>
      <c r="AI319" s="18" t="n"/>
      <c r="AJ319" s="18" t="n"/>
      <c r="AK319" s="18" t="n"/>
      <c r="AL319" s="18" t="n"/>
      <c r="AM319" s="18" t="n"/>
      <c r="AN319" s="18" t="n"/>
      <c r="AO319" s="18" t="n"/>
      <c r="AP319" s="18" t="n"/>
      <c r="AQ319" s="18" t="n"/>
      <c r="AR319" s="18" t="n"/>
      <c r="AS319" s="18" t="n"/>
      <c r="AT319" s="18" t="n"/>
      <c r="AU319" s="18" t="n"/>
      <c r="AV319" s="18" t="n"/>
      <c r="AW319" s="18" t="n"/>
      <c r="AX319" s="18" t="n"/>
      <c r="AY319" s="18" t="n"/>
      <c r="AZ319" s="15" t="n"/>
    </row>
    <row r="320">
      <c r="A320" s="15" t="n"/>
      <c r="B320" s="15" t="n"/>
      <c r="C320" s="15" t="n"/>
      <c r="D320" s="15" t="n"/>
      <c r="E320" s="15" t="n"/>
      <c r="F320" s="15" t="n"/>
      <c r="G320" s="16">
        <f>IF(F320="","",IFERROR(INDEX(Stammdaten!$B$5:$B$24,MATCH(F320,Stammdaten!$A$5:$A$24,0)),"unbekannt"))</f>
        <v/>
      </c>
      <c r="H320" s="16">
        <f>IF($B320="","",IF(AY320&lt;&gt;"","abgeschlossen",IF(AND(ISNUMBER(AX320),AX320&gt;=TODAY()),"zurückgestellt",IF(OR(AND(ISNUMBER(AA320),AA320&lt;TODAY(),Z320="",AJ320=""),AND(ISNUMBER(Z320),Z320&lt;TODAY(),AJ320=""),AND(ISNUMBER(AB320),AB320&lt;TODAY(),AK320=""),AND(ISNUMBER(AC320),AC320&lt;TODAY(),AO320=""),AND(ISNUMBER(AD320),AD320&lt;TODAY(),AQ320="")),"überfällig","offen"))))</f>
        <v/>
      </c>
      <c r="I320" s="16">
        <f>IF($B320="","",IF(AY320&lt;&gt;"","—",IF(AND(ISNUMBER(AA320),AA320&lt;TODAY(),Z320="",AJ320=""),"Abnahmetermin vereinbaren – Sollfrist verstrichen",IF(AND(ISNUMBER(Z320),Z320&lt;TODAY(),AJ320=""),"Wohnungsabnahme nachtragen – Termin war fällig",IF(AND(ISNUMBER(AB320),AB320&lt;TODAY(),AK320=""),"Handwerker aufbieten – Frist verstrichen",IF(AND(ISNUMBER(AC320),AC320&lt;TODAY(),AO320=""),"Vertrag retour mahnen – Frist verstrichen",IF(AND(ISNUMBER(AD320),AD320&lt;TODAY(),AQ320=""),"Schlüsselübergabe nachtragen – Termin war fällig",IF(M320="","Haftungsdatum erfassen",IF(E320="","ex-Mieter erfassen",IF(AE320="","Kündigung bestätigen / G-Rem",IF(AF320="","Werke / EGT melden",IF(AG320="","Vorbesichtigung (oder n.e.)",IF(AH320="","VMZ aktualisieren",IF(AI320="","Inserat aufschalten",IF(AND(Z320="",AJ320=""),"Abnahmetermin vereinbaren",IF(AJ320="","Wohnungsabnahme durchführen",IF(AK320="","Handwerker aufbieten",IF(AL320="","Zustimmungserklärung einholen",IF(AM320="","Instandstellungen beauftragen",IF(R320="","Nachmieter erfassen",IF(AN320="","Vertrag versenden",IF(AO320="","Vertrag retour erfassen",IF(S320="","Vermietet per erfassen",IF(AP320="","Werke / EGT über Einzug informieren",IF(AND(AD320="",AQ320=""),"Schlüsselübergabe terminieren",IF(AQ320="","Schlüsselübergabe durchführen",IF(AR320="","Reinigung veranlassen",IF(AS320="","Namensschilder bestellen",IF(AT320="","Kaution prüfen / G-Rem mutieren",IF(AU320="","Instandstellungs-Rechnung erfassen",IF(AV320="","Schlussabrechnung erstellen",IF(AW320="","Zahlungseingang kontrollieren","Fall abschliessen"))))))))))))))))))))))))))))))))</f>
        <v/>
      </c>
      <c r="J320" s="17">
        <f>IF(M320="","",IF(S320&lt;&gt;"",MAX(0,S320-M320-1),MAX(0,TODAY()-M320)))</f>
        <v/>
      </c>
      <c r="K320" s="16">
        <f>IF($B320="","",TRIM(IF(AND(L320&lt;&gt;"",M320&lt;&gt;"",M320&lt;L320),"Haftungsdatum vor Kündigung. ","")&amp;IF(AND(S320&lt;&gt;"",M320&lt;&gt;"",S320&lt;M320),"Vermietung vor Leerstandsbeginn. ","")&amp;IF(AND(Z320&lt;&gt;"",L320&lt;&gt;"",Z320&lt;L320),"WA-Termin vor Kündigung. ","")&amp;IF(COUNTIFS($B$5:$B$404,$B320,$AY$5:$AY$404,"")&gt;1,"Zweiter offener Fall zum selben Objekt. ","")&amp;IF(AND($A320&lt;&gt;"",COUNTIFS($A$5:$A$404,$A320)&gt;1),"Fall-Nr. doppelt vergeben. ","")&amp;IF(E320="","ex-Mieter fehlt. ","")&amp;IF(M320="","Haftungsdatum fehlt. ","")&amp;IF(F320="","Bewirtschafter fehlt. ","")&amp;IF(AND(AY320&lt;&gt;"",AW320=""),"Abgeschlossen trotz offener Schlussabrechnung. ","")&amp;IF(AND(AY320="",S320="",ISNUMBER(J320),J320&gt;60),"Langläufer über 60 Tage. ","")))</f>
        <v/>
      </c>
      <c r="L320" s="18" t="n"/>
      <c r="M320" s="18" t="n"/>
      <c r="N320" s="19">
        <f>IF(M320="","",M320+1)</f>
        <v/>
      </c>
      <c r="O320" s="17">
        <f>IF(OR(L320="",M320=""),"",M320-L320)</f>
        <v/>
      </c>
      <c r="P320" s="16">
        <f>IF(M320="","",YEAR(M320+1)&amp;"-"&amp;TEXT(MONTH(M320+1),"00"))</f>
        <v/>
      </c>
      <c r="Q320" s="18" t="n"/>
      <c r="R320" s="15" t="n"/>
      <c r="S320" s="18" t="n"/>
      <c r="T320" s="16">
        <f>IF(U320="","",IF(LEFT(U320,1)="6","abgeschlossen",IF(OR(LEFT(U320,1)="1",LEFT(U320,1)="2"),"Kündigung &amp; Abnahme",IF(OR(LEFT(U320,1)="3",LEFT(U320,1)="4"),"Wiedervermietung","Schlussabrechnung"))))</f>
        <v/>
      </c>
      <c r="U320" s="16">
        <f>IF($B320="","",IF(AY320&lt;&gt;"","6 · abgeschlossen",IF(AW320&lt;&gt;"","5 · bereit zum Abschluss",IF(AT320&lt;&gt;"","5 · Schlussabrechnung",IF(AO320&lt;&gt;"","4 · Übergabe",IF(AM320&lt;&gt;"","3 · Neuvermietung",IF(M320&lt;&gt;"","2 · Abnahme &amp; Vermarktung","1 · Erfassung")))))))</f>
        <v/>
      </c>
      <c r="V320" s="15" t="n"/>
      <c r="W320" s="20" t="n"/>
      <c r="X320" s="15" t="n"/>
      <c r="Y320" s="15" t="n"/>
      <c r="Z320" s="18" t="n"/>
      <c r="AA320" s="19">
        <f>IF(M320="","",M320-30)</f>
        <v/>
      </c>
      <c r="AB320" s="19">
        <f>IF(ISNUMBER(AJ320),AJ320+3,"")</f>
        <v/>
      </c>
      <c r="AC320" s="18" t="n"/>
      <c r="AD320" s="18" t="n"/>
      <c r="AE320" s="18" t="n"/>
      <c r="AF320" s="18" t="n"/>
      <c r="AG320" s="18" t="n"/>
      <c r="AH320" s="18" t="n"/>
      <c r="AI320" s="18" t="n"/>
      <c r="AJ320" s="18" t="n"/>
      <c r="AK320" s="18" t="n"/>
      <c r="AL320" s="18" t="n"/>
      <c r="AM320" s="18" t="n"/>
      <c r="AN320" s="18" t="n"/>
      <c r="AO320" s="18" t="n"/>
      <c r="AP320" s="18" t="n"/>
      <c r="AQ320" s="18" t="n"/>
      <c r="AR320" s="18" t="n"/>
      <c r="AS320" s="18" t="n"/>
      <c r="AT320" s="18" t="n"/>
      <c r="AU320" s="18" t="n"/>
      <c r="AV320" s="18" t="n"/>
      <c r="AW320" s="18" t="n"/>
      <c r="AX320" s="18" t="n"/>
      <c r="AY320" s="18" t="n"/>
      <c r="AZ320" s="15" t="n"/>
    </row>
    <row r="321">
      <c r="A321" s="15" t="n"/>
      <c r="B321" s="15" t="n"/>
      <c r="C321" s="15" t="n"/>
      <c r="D321" s="15" t="n"/>
      <c r="E321" s="15" t="n"/>
      <c r="F321" s="15" t="n"/>
      <c r="G321" s="16">
        <f>IF(F321="","",IFERROR(INDEX(Stammdaten!$B$5:$B$24,MATCH(F321,Stammdaten!$A$5:$A$24,0)),"unbekannt"))</f>
        <v/>
      </c>
      <c r="H321" s="16">
        <f>IF($B321="","",IF(AY321&lt;&gt;"","abgeschlossen",IF(AND(ISNUMBER(AX321),AX321&gt;=TODAY()),"zurückgestellt",IF(OR(AND(ISNUMBER(AA321),AA321&lt;TODAY(),Z321="",AJ321=""),AND(ISNUMBER(Z321),Z321&lt;TODAY(),AJ321=""),AND(ISNUMBER(AB321),AB321&lt;TODAY(),AK321=""),AND(ISNUMBER(AC321),AC321&lt;TODAY(),AO321=""),AND(ISNUMBER(AD321),AD321&lt;TODAY(),AQ321="")),"überfällig","offen"))))</f>
        <v/>
      </c>
      <c r="I321" s="16">
        <f>IF($B321="","",IF(AY321&lt;&gt;"","—",IF(AND(ISNUMBER(AA321),AA321&lt;TODAY(),Z321="",AJ321=""),"Abnahmetermin vereinbaren – Sollfrist verstrichen",IF(AND(ISNUMBER(Z321),Z321&lt;TODAY(),AJ321=""),"Wohnungsabnahme nachtragen – Termin war fällig",IF(AND(ISNUMBER(AB321),AB321&lt;TODAY(),AK321=""),"Handwerker aufbieten – Frist verstrichen",IF(AND(ISNUMBER(AC321),AC321&lt;TODAY(),AO321=""),"Vertrag retour mahnen – Frist verstrichen",IF(AND(ISNUMBER(AD321),AD321&lt;TODAY(),AQ321=""),"Schlüsselübergabe nachtragen – Termin war fällig",IF(M321="","Haftungsdatum erfassen",IF(E321="","ex-Mieter erfassen",IF(AE321="","Kündigung bestätigen / G-Rem",IF(AF321="","Werke / EGT melden",IF(AG321="","Vorbesichtigung (oder n.e.)",IF(AH321="","VMZ aktualisieren",IF(AI321="","Inserat aufschalten",IF(AND(Z321="",AJ321=""),"Abnahmetermin vereinbaren",IF(AJ321="","Wohnungsabnahme durchführen",IF(AK321="","Handwerker aufbieten",IF(AL321="","Zustimmungserklärung einholen",IF(AM321="","Instandstellungen beauftragen",IF(R321="","Nachmieter erfassen",IF(AN321="","Vertrag versenden",IF(AO321="","Vertrag retour erfassen",IF(S321="","Vermietet per erfassen",IF(AP321="","Werke / EGT über Einzug informieren",IF(AND(AD321="",AQ321=""),"Schlüsselübergabe terminieren",IF(AQ321="","Schlüsselübergabe durchführen",IF(AR321="","Reinigung veranlassen",IF(AS321="","Namensschilder bestellen",IF(AT321="","Kaution prüfen / G-Rem mutieren",IF(AU321="","Instandstellungs-Rechnung erfassen",IF(AV321="","Schlussabrechnung erstellen",IF(AW321="","Zahlungseingang kontrollieren","Fall abschliessen"))))))))))))))))))))))))))))))))</f>
        <v/>
      </c>
      <c r="J321" s="17">
        <f>IF(M321="","",IF(S321&lt;&gt;"",MAX(0,S321-M321-1),MAX(0,TODAY()-M321)))</f>
        <v/>
      </c>
      <c r="K321" s="16">
        <f>IF($B321="","",TRIM(IF(AND(L321&lt;&gt;"",M321&lt;&gt;"",M321&lt;L321),"Haftungsdatum vor Kündigung. ","")&amp;IF(AND(S321&lt;&gt;"",M321&lt;&gt;"",S321&lt;M321),"Vermietung vor Leerstandsbeginn. ","")&amp;IF(AND(Z321&lt;&gt;"",L321&lt;&gt;"",Z321&lt;L321),"WA-Termin vor Kündigung. ","")&amp;IF(COUNTIFS($B$5:$B$404,$B321,$AY$5:$AY$404,"")&gt;1,"Zweiter offener Fall zum selben Objekt. ","")&amp;IF(AND($A321&lt;&gt;"",COUNTIFS($A$5:$A$404,$A321)&gt;1),"Fall-Nr. doppelt vergeben. ","")&amp;IF(E321="","ex-Mieter fehlt. ","")&amp;IF(M321="","Haftungsdatum fehlt. ","")&amp;IF(F321="","Bewirtschafter fehlt. ","")&amp;IF(AND(AY321&lt;&gt;"",AW321=""),"Abgeschlossen trotz offener Schlussabrechnung. ","")&amp;IF(AND(AY321="",S321="",ISNUMBER(J321),J321&gt;60),"Langläufer über 60 Tage. ","")))</f>
        <v/>
      </c>
      <c r="L321" s="18" t="n"/>
      <c r="M321" s="18" t="n"/>
      <c r="N321" s="19">
        <f>IF(M321="","",M321+1)</f>
        <v/>
      </c>
      <c r="O321" s="17">
        <f>IF(OR(L321="",M321=""),"",M321-L321)</f>
        <v/>
      </c>
      <c r="P321" s="16">
        <f>IF(M321="","",YEAR(M321+1)&amp;"-"&amp;TEXT(MONTH(M321+1),"00"))</f>
        <v/>
      </c>
      <c r="Q321" s="18" t="n"/>
      <c r="R321" s="15" t="n"/>
      <c r="S321" s="18" t="n"/>
      <c r="T321" s="16">
        <f>IF(U321="","",IF(LEFT(U321,1)="6","abgeschlossen",IF(OR(LEFT(U321,1)="1",LEFT(U321,1)="2"),"Kündigung &amp; Abnahme",IF(OR(LEFT(U321,1)="3",LEFT(U321,1)="4"),"Wiedervermietung","Schlussabrechnung"))))</f>
        <v/>
      </c>
      <c r="U321" s="16">
        <f>IF($B321="","",IF(AY321&lt;&gt;"","6 · abgeschlossen",IF(AW321&lt;&gt;"","5 · bereit zum Abschluss",IF(AT321&lt;&gt;"","5 · Schlussabrechnung",IF(AO321&lt;&gt;"","4 · Übergabe",IF(AM321&lt;&gt;"","3 · Neuvermietung",IF(M321&lt;&gt;"","2 · Abnahme &amp; Vermarktung","1 · Erfassung")))))))</f>
        <v/>
      </c>
      <c r="V321" s="15" t="n"/>
      <c r="W321" s="20" t="n"/>
      <c r="X321" s="15" t="n"/>
      <c r="Y321" s="15" t="n"/>
      <c r="Z321" s="18" t="n"/>
      <c r="AA321" s="19">
        <f>IF(M321="","",M321-30)</f>
        <v/>
      </c>
      <c r="AB321" s="19">
        <f>IF(ISNUMBER(AJ321),AJ321+3,"")</f>
        <v/>
      </c>
      <c r="AC321" s="18" t="n"/>
      <c r="AD321" s="18" t="n"/>
      <c r="AE321" s="18" t="n"/>
      <c r="AF321" s="18" t="n"/>
      <c r="AG321" s="18" t="n"/>
      <c r="AH321" s="18" t="n"/>
      <c r="AI321" s="18" t="n"/>
      <c r="AJ321" s="18" t="n"/>
      <c r="AK321" s="18" t="n"/>
      <c r="AL321" s="18" t="n"/>
      <c r="AM321" s="18" t="n"/>
      <c r="AN321" s="18" t="n"/>
      <c r="AO321" s="18" t="n"/>
      <c r="AP321" s="18" t="n"/>
      <c r="AQ321" s="18" t="n"/>
      <c r="AR321" s="18" t="n"/>
      <c r="AS321" s="18" t="n"/>
      <c r="AT321" s="18" t="n"/>
      <c r="AU321" s="18" t="n"/>
      <c r="AV321" s="18" t="n"/>
      <c r="AW321" s="18" t="n"/>
      <c r="AX321" s="18" t="n"/>
      <c r="AY321" s="18" t="n"/>
      <c r="AZ321" s="15" t="n"/>
    </row>
    <row r="322">
      <c r="A322" s="15" t="n"/>
      <c r="B322" s="15" t="n"/>
      <c r="C322" s="15" t="n"/>
      <c r="D322" s="15" t="n"/>
      <c r="E322" s="15" t="n"/>
      <c r="F322" s="15" t="n"/>
      <c r="G322" s="16">
        <f>IF(F322="","",IFERROR(INDEX(Stammdaten!$B$5:$B$24,MATCH(F322,Stammdaten!$A$5:$A$24,0)),"unbekannt"))</f>
        <v/>
      </c>
      <c r="H322" s="16">
        <f>IF($B322="","",IF(AY322&lt;&gt;"","abgeschlossen",IF(AND(ISNUMBER(AX322),AX322&gt;=TODAY()),"zurückgestellt",IF(OR(AND(ISNUMBER(AA322),AA322&lt;TODAY(),Z322="",AJ322=""),AND(ISNUMBER(Z322),Z322&lt;TODAY(),AJ322=""),AND(ISNUMBER(AB322),AB322&lt;TODAY(),AK322=""),AND(ISNUMBER(AC322),AC322&lt;TODAY(),AO322=""),AND(ISNUMBER(AD322),AD322&lt;TODAY(),AQ322="")),"überfällig","offen"))))</f>
        <v/>
      </c>
      <c r="I322" s="16">
        <f>IF($B322="","",IF(AY322&lt;&gt;"","—",IF(AND(ISNUMBER(AA322),AA322&lt;TODAY(),Z322="",AJ322=""),"Abnahmetermin vereinbaren – Sollfrist verstrichen",IF(AND(ISNUMBER(Z322),Z322&lt;TODAY(),AJ322=""),"Wohnungsabnahme nachtragen – Termin war fällig",IF(AND(ISNUMBER(AB322),AB322&lt;TODAY(),AK322=""),"Handwerker aufbieten – Frist verstrichen",IF(AND(ISNUMBER(AC322),AC322&lt;TODAY(),AO322=""),"Vertrag retour mahnen – Frist verstrichen",IF(AND(ISNUMBER(AD322),AD322&lt;TODAY(),AQ322=""),"Schlüsselübergabe nachtragen – Termin war fällig",IF(M322="","Haftungsdatum erfassen",IF(E322="","ex-Mieter erfassen",IF(AE322="","Kündigung bestätigen / G-Rem",IF(AF322="","Werke / EGT melden",IF(AG322="","Vorbesichtigung (oder n.e.)",IF(AH322="","VMZ aktualisieren",IF(AI322="","Inserat aufschalten",IF(AND(Z322="",AJ322=""),"Abnahmetermin vereinbaren",IF(AJ322="","Wohnungsabnahme durchführen",IF(AK322="","Handwerker aufbieten",IF(AL322="","Zustimmungserklärung einholen",IF(AM322="","Instandstellungen beauftragen",IF(R322="","Nachmieter erfassen",IF(AN322="","Vertrag versenden",IF(AO322="","Vertrag retour erfassen",IF(S322="","Vermietet per erfassen",IF(AP322="","Werke / EGT über Einzug informieren",IF(AND(AD322="",AQ322=""),"Schlüsselübergabe terminieren",IF(AQ322="","Schlüsselübergabe durchführen",IF(AR322="","Reinigung veranlassen",IF(AS322="","Namensschilder bestellen",IF(AT322="","Kaution prüfen / G-Rem mutieren",IF(AU322="","Instandstellungs-Rechnung erfassen",IF(AV322="","Schlussabrechnung erstellen",IF(AW322="","Zahlungseingang kontrollieren","Fall abschliessen"))))))))))))))))))))))))))))))))</f>
        <v/>
      </c>
      <c r="J322" s="17">
        <f>IF(M322="","",IF(S322&lt;&gt;"",MAX(0,S322-M322-1),MAX(0,TODAY()-M322)))</f>
        <v/>
      </c>
      <c r="K322" s="16">
        <f>IF($B322="","",TRIM(IF(AND(L322&lt;&gt;"",M322&lt;&gt;"",M322&lt;L322),"Haftungsdatum vor Kündigung. ","")&amp;IF(AND(S322&lt;&gt;"",M322&lt;&gt;"",S322&lt;M322),"Vermietung vor Leerstandsbeginn. ","")&amp;IF(AND(Z322&lt;&gt;"",L322&lt;&gt;"",Z322&lt;L322),"WA-Termin vor Kündigung. ","")&amp;IF(COUNTIFS($B$5:$B$404,$B322,$AY$5:$AY$404,"")&gt;1,"Zweiter offener Fall zum selben Objekt. ","")&amp;IF(AND($A322&lt;&gt;"",COUNTIFS($A$5:$A$404,$A322)&gt;1),"Fall-Nr. doppelt vergeben. ","")&amp;IF(E322="","ex-Mieter fehlt. ","")&amp;IF(M322="","Haftungsdatum fehlt. ","")&amp;IF(F322="","Bewirtschafter fehlt. ","")&amp;IF(AND(AY322&lt;&gt;"",AW322=""),"Abgeschlossen trotz offener Schlussabrechnung. ","")&amp;IF(AND(AY322="",S322="",ISNUMBER(J322),J322&gt;60),"Langläufer über 60 Tage. ","")))</f>
        <v/>
      </c>
      <c r="L322" s="18" t="n"/>
      <c r="M322" s="18" t="n"/>
      <c r="N322" s="19">
        <f>IF(M322="","",M322+1)</f>
        <v/>
      </c>
      <c r="O322" s="17">
        <f>IF(OR(L322="",M322=""),"",M322-L322)</f>
        <v/>
      </c>
      <c r="P322" s="16">
        <f>IF(M322="","",YEAR(M322+1)&amp;"-"&amp;TEXT(MONTH(M322+1),"00"))</f>
        <v/>
      </c>
      <c r="Q322" s="18" t="n"/>
      <c r="R322" s="15" t="n"/>
      <c r="S322" s="18" t="n"/>
      <c r="T322" s="16">
        <f>IF(U322="","",IF(LEFT(U322,1)="6","abgeschlossen",IF(OR(LEFT(U322,1)="1",LEFT(U322,1)="2"),"Kündigung &amp; Abnahme",IF(OR(LEFT(U322,1)="3",LEFT(U322,1)="4"),"Wiedervermietung","Schlussabrechnung"))))</f>
        <v/>
      </c>
      <c r="U322" s="16">
        <f>IF($B322="","",IF(AY322&lt;&gt;"","6 · abgeschlossen",IF(AW322&lt;&gt;"","5 · bereit zum Abschluss",IF(AT322&lt;&gt;"","5 · Schlussabrechnung",IF(AO322&lt;&gt;"","4 · Übergabe",IF(AM322&lt;&gt;"","3 · Neuvermietung",IF(M322&lt;&gt;"","2 · Abnahme &amp; Vermarktung","1 · Erfassung")))))))</f>
        <v/>
      </c>
      <c r="V322" s="15" t="n"/>
      <c r="W322" s="20" t="n"/>
      <c r="X322" s="15" t="n"/>
      <c r="Y322" s="15" t="n"/>
      <c r="Z322" s="18" t="n"/>
      <c r="AA322" s="19">
        <f>IF(M322="","",M322-30)</f>
        <v/>
      </c>
      <c r="AB322" s="19">
        <f>IF(ISNUMBER(AJ322),AJ322+3,"")</f>
        <v/>
      </c>
      <c r="AC322" s="18" t="n"/>
      <c r="AD322" s="18" t="n"/>
      <c r="AE322" s="18" t="n"/>
      <c r="AF322" s="18" t="n"/>
      <c r="AG322" s="18" t="n"/>
      <c r="AH322" s="18" t="n"/>
      <c r="AI322" s="18" t="n"/>
      <c r="AJ322" s="18" t="n"/>
      <c r="AK322" s="18" t="n"/>
      <c r="AL322" s="18" t="n"/>
      <c r="AM322" s="18" t="n"/>
      <c r="AN322" s="18" t="n"/>
      <c r="AO322" s="18" t="n"/>
      <c r="AP322" s="18" t="n"/>
      <c r="AQ322" s="18" t="n"/>
      <c r="AR322" s="18" t="n"/>
      <c r="AS322" s="18" t="n"/>
      <c r="AT322" s="18" t="n"/>
      <c r="AU322" s="18" t="n"/>
      <c r="AV322" s="18" t="n"/>
      <c r="AW322" s="18" t="n"/>
      <c r="AX322" s="18" t="n"/>
      <c r="AY322" s="18" t="n"/>
      <c r="AZ322" s="15" t="n"/>
    </row>
    <row r="323">
      <c r="A323" s="15" t="n"/>
      <c r="B323" s="15" t="n"/>
      <c r="C323" s="15" t="n"/>
      <c r="D323" s="15" t="n"/>
      <c r="E323" s="15" t="n"/>
      <c r="F323" s="15" t="n"/>
      <c r="G323" s="16">
        <f>IF(F323="","",IFERROR(INDEX(Stammdaten!$B$5:$B$24,MATCH(F323,Stammdaten!$A$5:$A$24,0)),"unbekannt"))</f>
        <v/>
      </c>
      <c r="H323" s="16">
        <f>IF($B323="","",IF(AY323&lt;&gt;"","abgeschlossen",IF(AND(ISNUMBER(AX323),AX323&gt;=TODAY()),"zurückgestellt",IF(OR(AND(ISNUMBER(AA323),AA323&lt;TODAY(),Z323="",AJ323=""),AND(ISNUMBER(Z323),Z323&lt;TODAY(),AJ323=""),AND(ISNUMBER(AB323),AB323&lt;TODAY(),AK323=""),AND(ISNUMBER(AC323),AC323&lt;TODAY(),AO323=""),AND(ISNUMBER(AD323),AD323&lt;TODAY(),AQ323="")),"überfällig","offen"))))</f>
        <v/>
      </c>
      <c r="I323" s="16">
        <f>IF($B323="","",IF(AY323&lt;&gt;"","—",IF(AND(ISNUMBER(AA323),AA323&lt;TODAY(),Z323="",AJ323=""),"Abnahmetermin vereinbaren – Sollfrist verstrichen",IF(AND(ISNUMBER(Z323),Z323&lt;TODAY(),AJ323=""),"Wohnungsabnahme nachtragen – Termin war fällig",IF(AND(ISNUMBER(AB323),AB323&lt;TODAY(),AK323=""),"Handwerker aufbieten – Frist verstrichen",IF(AND(ISNUMBER(AC323),AC323&lt;TODAY(),AO323=""),"Vertrag retour mahnen – Frist verstrichen",IF(AND(ISNUMBER(AD323),AD323&lt;TODAY(),AQ323=""),"Schlüsselübergabe nachtragen – Termin war fällig",IF(M323="","Haftungsdatum erfassen",IF(E323="","ex-Mieter erfassen",IF(AE323="","Kündigung bestätigen / G-Rem",IF(AF323="","Werke / EGT melden",IF(AG323="","Vorbesichtigung (oder n.e.)",IF(AH323="","VMZ aktualisieren",IF(AI323="","Inserat aufschalten",IF(AND(Z323="",AJ323=""),"Abnahmetermin vereinbaren",IF(AJ323="","Wohnungsabnahme durchführen",IF(AK323="","Handwerker aufbieten",IF(AL323="","Zustimmungserklärung einholen",IF(AM323="","Instandstellungen beauftragen",IF(R323="","Nachmieter erfassen",IF(AN323="","Vertrag versenden",IF(AO323="","Vertrag retour erfassen",IF(S323="","Vermietet per erfassen",IF(AP323="","Werke / EGT über Einzug informieren",IF(AND(AD323="",AQ323=""),"Schlüsselübergabe terminieren",IF(AQ323="","Schlüsselübergabe durchführen",IF(AR323="","Reinigung veranlassen",IF(AS323="","Namensschilder bestellen",IF(AT323="","Kaution prüfen / G-Rem mutieren",IF(AU323="","Instandstellungs-Rechnung erfassen",IF(AV323="","Schlussabrechnung erstellen",IF(AW323="","Zahlungseingang kontrollieren","Fall abschliessen"))))))))))))))))))))))))))))))))</f>
        <v/>
      </c>
      <c r="J323" s="17">
        <f>IF(M323="","",IF(S323&lt;&gt;"",MAX(0,S323-M323-1),MAX(0,TODAY()-M323)))</f>
        <v/>
      </c>
      <c r="K323" s="16">
        <f>IF($B323="","",TRIM(IF(AND(L323&lt;&gt;"",M323&lt;&gt;"",M323&lt;L323),"Haftungsdatum vor Kündigung. ","")&amp;IF(AND(S323&lt;&gt;"",M323&lt;&gt;"",S323&lt;M323),"Vermietung vor Leerstandsbeginn. ","")&amp;IF(AND(Z323&lt;&gt;"",L323&lt;&gt;"",Z323&lt;L323),"WA-Termin vor Kündigung. ","")&amp;IF(COUNTIFS($B$5:$B$404,$B323,$AY$5:$AY$404,"")&gt;1,"Zweiter offener Fall zum selben Objekt. ","")&amp;IF(AND($A323&lt;&gt;"",COUNTIFS($A$5:$A$404,$A323)&gt;1),"Fall-Nr. doppelt vergeben. ","")&amp;IF(E323="","ex-Mieter fehlt. ","")&amp;IF(M323="","Haftungsdatum fehlt. ","")&amp;IF(F323="","Bewirtschafter fehlt. ","")&amp;IF(AND(AY323&lt;&gt;"",AW323=""),"Abgeschlossen trotz offener Schlussabrechnung. ","")&amp;IF(AND(AY323="",S323="",ISNUMBER(J323),J323&gt;60),"Langläufer über 60 Tage. ","")))</f>
        <v/>
      </c>
      <c r="L323" s="18" t="n"/>
      <c r="M323" s="18" t="n"/>
      <c r="N323" s="19">
        <f>IF(M323="","",M323+1)</f>
        <v/>
      </c>
      <c r="O323" s="17">
        <f>IF(OR(L323="",M323=""),"",M323-L323)</f>
        <v/>
      </c>
      <c r="P323" s="16">
        <f>IF(M323="","",YEAR(M323+1)&amp;"-"&amp;TEXT(MONTH(M323+1),"00"))</f>
        <v/>
      </c>
      <c r="Q323" s="18" t="n"/>
      <c r="R323" s="15" t="n"/>
      <c r="S323" s="18" t="n"/>
      <c r="T323" s="16">
        <f>IF(U323="","",IF(LEFT(U323,1)="6","abgeschlossen",IF(OR(LEFT(U323,1)="1",LEFT(U323,1)="2"),"Kündigung &amp; Abnahme",IF(OR(LEFT(U323,1)="3",LEFT(U323,1)="4"),"Wiedervermietung","Schlussabrechnung"))))</f>
        <v/>
      </c>
      <c r="U323" s="16">
        <f>IF($B323="","",IF(AY323&lt;&gt;"","6 · abgeschlossen",IF(AW323&lt;&gt;"","5 · bereit zum Abschluss",IF(AT323&lt;&gt;"","5 · Schlussabrechnung",IF(AO323&lt;&gt;"","4 · Übergabe",IF(AM323&lt;&gt;"","3 · Neuvermietung",IF(M323&lt;&gt;"","2 · Abnahme &amp; Vermarktung","1 · Erfassung")))))))</f>
        <v/>
      </c>
      <c r="V323" s="15" t="n"/>
      <c r="W323" s="20" t="n"/>
      <c r="X323" s="15" t="n"/>
      <c r="Y323" s="15" t="n"/>
      <c r="Z323" s="18" t="n"/>
      <c r="AA323" s="19">
        <f>IF(M323="","",M323-30)</f>
        <v/>
      </c>
      <c r="AB323" s="19">
        <f>IF(ISNUMBER(AJ323),AJ323+3,"")</f>
        <v/>
      </c>
      <c r="AC323" s="18" t="n"/>
      <c r="AD323" s="18" t="n"/>
      <c r="AE323" s="18" t="n"/>
      <c r="AF323" s="18" t="n"/>
      <c r="AG323" s="18" t="n"/>
      <c r="AH323" s="18" t="n"/>
      <c r="AI323" s="18" t="n"/>
      <c r="AJ323" s="18" t="n"/>
      <c r="AK323" s="18" t="n"/>
      <c r="AL323" s="18" t="n"/>
      <c r="AM323" s="18" t="n"/>
      <c r="AN323" s="18" t="n"/>
      <c r="AO323" s="18" t="n"/>
      <c r="AP323" s="18" t="n"/>
      <c r="AQ323" s="18" t="n"/>
      <c r="AR323" s="18" t="n"/>
      <c r="AS323" s="18" t="n"/>
      <c r="AT323" s="18" t="n"/>
      <c r="AU323" s="18" t="n"/>
      <c r="AV323" s="18" t="n"/>
      <c r="AW323" s="18" t="n"/>
      <c r="AX323" s="18" t="n"/>
      <c r="AY323" s="18" t="n"/>
      <c r="AZ323" s="15" t="n"/>
    </row>
    <row r="324">
      <c r="A324" s="15" t="n"/>
      <c r="B324" s="15" t="n"/>
      <c r="C324" s="15" t="n"/>
      <c r="D324" s="15" t="n"/>
      <c r="E324" s="15" t="n"/>
      <c r="F324" s="15" t="n"/>
      <c r="G324" s="16">
        <f>IF(F324="","",IFERROR(INDEX(Stammdaten!$B$5:$B$24,MATCH(F324,Stammdaten!$A$5:$A$24,0)),"unbekannt"))</f>
        <v/>
      </c>
      <c r="H324" s="16">
        <f>IF($B324="","",IF(AY324&lt;&gt;"","abgeschlossen",IF(AND(ISNUMBER(AX324),AX324&gt;=TODAY()),"zurückgestellt",IF(OR(AND(ISNUMBER(AA324),AA324&lt;TODAY(),Z324="",AJ324=""),AND(ISNUMBER(Z324),Z324&lt;TODAY(),AJ324=""),AND(ISNUMBER(AB324),AB324&lt;TODAY(),AK324=""),AND(ISNUMBER(AC324),AC324&lt;TODAY(),AO324=""),AND(ISNUMBER(AD324),AD324&lt;TODAY(),AQ324="")),"überfällig","offen"))))</f>
        <v/>
      </c>
      <c r="I324" s="16">
        <f>IF($B324="","",IF(AY324&lt;&gt;"","—",IF(AND(ISNUMBER(AA324),AA324&lt;TODAY(),Z324="",AJ324=""),"Abnahmetermin vereinbaren – Sollfrist verstrichen",IF(AND(ISNUMBER(Z324),Z324&lt;TODAY(),AJ324=""),"Wohnungsabnahme nachtragen – Termin war fällig",IF(AND(ISNUMBER(AB324),AB324&lt;TODAY(),AK324=""),"Handwerker aufbieten – Frist verstrichen",IF(AND(ISNUMBER(AC324),AC324&lt;TODAY(),AO324=""),"Vertrag retour mahnen – Frist verstrichen",IF(AND(ISNUMBER(AD324),AD324&lt;TODAY(),AQ324=""),"Schlüsselübergabe nachtragen – Termin war fällig",IF(M324="","Haftungsdatum erfassen",IF(E324="","ex-Mieter erfassen",IF(AE324="","Kündigung bestätigen / G-Rem",IF(AF324="","Werke / EGT melden",IF(AG324="","Vorbesichtigung (oder n.e.)",IF(AH324="","VMZ aktualisieren",IF(AI324="","Inserat aufschalten",IF(AND(Z324="",AJ324=""),"Abnahmetermin vereinbaren",IF(AJ324="","Wohnungsabnahme durchführen",IF(AK324="","Handwerker aufbieten",IF(AL324="","Zustimmungserklärung einholen",IF(AM324="","Instandstellungen beauftragen",IF(R324="","Nachmieter erfassen",IF(AN324="","Vertrag versenden",IF(AO324="","Vertrag retour erfassen",IF(S324="","Vermietet per erfassen",IF(AP324="","Werke / EGT über Einzug informieren",IF(AND(AD324="",AQ324=""),"Schlüsselübergabe terminieren",IF(AQ324="","Schlüsselübergabe durchführen",IF(AR324="","Reinigung veranlassen",IF(AS324="","Namensschilder bestellen",IF(AT324="","Kaution prüfen / G-Rem mutieren",IF(AU324="","Instandstellungs-Rechnung erfassen",IF(AV324="","Schlussabrechnung erstellen",IF(AW324="","Zahlungseingang kontrollieren","Fall abschliessen"))))))))))))))))))))))))))))))))</f>
        <v/>
      </c>
      <c r="J324" s="17">
        <f>IF(M324="","",IF(S324&lt;&gt;"",MAX(0,S324-M324-1),MAX(0,TODAY()-M324)))</f>
        <v/>
      </c>
      <c r="K324" s="16">
        <f>IF($B324="","",TRIM(IF(AND(L324&lt;&gt;"",M324&lt;&gt;"",M324&lt;L324),"Haftungsdatum vor Kündigung. ","")&amp;IF(AND(S324&lt;&gt;"",M324&lt;&gt;"",S324&lt;M324),"Vermietung vor Leerstandsbeginn. ","")&amp;IF(AND(Z324&lt;&gt;"",L324&lt;&gt;"",Z324&lt;L324),"WA-Termin vor Kündigung. ","")&amp;IF(COUNTIFS($B$5:$B$404,$B324,$AY$5:$AY$404,"")&gt;1,"Zweiter offener Fall zum selben Objekt. ","")&amp;IF(AND($A324&lt;&gt;"",COUNTIFS($A$5:$A$404,$A324)&gt;1),"Fall-Nr. doppelt vergeben. ","")&amp;IF(E324="","ex-Mieter fehlt. ","")&amp;IF(M324="","Haftungsdatum fehlt. ","")&amp;IF(F324="","Bewirtschafter fehlt. ","")&amp;IF(AND(AY324&lt;&gt;"",AW324=""),"Abgeschlossen trotz offener Schlussabrechnung. ","")&amp;IF(AND(AY324="",S324="",ISNUMBER(J324),J324&gt;60),"Langläufer über 60 Tage. ","")))</f>
        <v/>
      </c>
      <c r="L324" s="18" t="n"/>
      <c r="M324" s="18" t="n"/>
      <c r="N324" s="19">
        <f>IF(M324="","",M324+1)</f>
        <v/>
      </c>
      <c r="O324" s="17">
        <f>IF(OR(L324="",M324=""),"",M324-L324)</f>
        <v/>
      </c>
      <c r="P324" s="16">
        <f>IF(M324="","",YEAR(M324+1)&amp;"-"&amp;TEXT(MONTH(M324+1),"00"))</f>
        <v/>
      </c>
      <c r="Q324" s="18" t="n"/>
      <c r="R324" s="15" t="n"/>
      <c r="S324" s="18" t="n"/>
      <c r="T324" s="16">
        <f>IF(U324="","",IF(LEFT(U324,1)="6","abgeschlossen",IF(OR(LEFT(U324,1)="1",LEFT(U324,1)="2"),"Kündigung &amp; Abnahme",IF(OR(LEFT(U324,1)="3",LEFT(U324,1)="4"),"Wiedervermietung","Schlussabrechnung"))))</f>
        <v/>
      </c>
      <c r="U324" s="16">
        <f>IF($B324="","",IF(AY324&lt;&gt;"","6 · abgeschlossen",IF(AW324&lt;&gt;"","5 · bereit zum Abschluss",IF(AT324&lt;&gt;"","5 · Schlussabrechnung",IF(AO324&lt;&gt;"","4 · Übergabe",IF(AM324&lt;&gt;"","3 · Neuvermietung",IF(M324&lt;&gt;"","2 · Abnahme &amp; Vermarktung","1 · Erfassung")))))))</f>
        <v/>
      </c>
      <c r="V324" s="15" t="n"/>
      <c r="W324" s="20" t="n"/>
      <c r="X324" s="15" t="n"/>
      <c r="Y324" s="15" t="n"/>
      <c r="Z324" s="18" t="n"/>
      <c r="AA324" s="19">
        <f>IF(M324="","",M324-30)</f>
        <v/>
      </c>
      <c r="AB324" s="19">
        <f>IF(ISNUMBER(AJ324),AJ324+3,"")</f>
        <v/>
      </c>
      <c r="AC324" s="18" t="n"/>
      <c r="AD324" s="18" t="n"/>
      <c r="AE324" s="18" t="n"/>
      <c r="AF324" s="18" t="n"/>
      <c r="AG324" s="18" t="n"/>
      <c r="AH324" s="18" t="n"/>
      <c r="AI324" s="18" t="n"/>
      <c r="AJ324" s="18" t="n"/>
      <c r="AK324" s="18" t="n"/>
      <c r="AL324" s="18" t="n"/>
      <c r="AM324" s="18" t="n"/>
      <c r="AN324" s="18" t="n"/>
      <c r="AO324" s="18" t="n"/>
      <c r="AP324" s="18" t="n"/>
      <c r="AQ324" s="18" t="n"/>
      <c r="AR324" s="18" t="n"/>
      <c r="AS324" s="18" t="n"/>
      <c r="AT324" s="18" t="n"/>
      <c r="AU324" s="18" t="n"/>
      <c r="AV324" s="18" t="n"/>
      <c r="AW324" s="18" t="n"/>
      <c r="AX324" s="18" t="n"/>
      <c r="AY324" s="18" t="n"/>
      <c r="AZ324" s="15" t="n"/>
    </row>
    <row r="325">
      <c r="A325" s="15" t="n"/>
      <c r="B325" s="15" t="n"/>
      <c r="C325" s="15" t="n"/>
      <c r="D325" s="15" t="n"/>
      <c r="E325" s="15" t="n"/>
      <c r="F325" s="15" t="n"/>
      <c r="G325" s="16">
        <f>IF(F325="","",IFERROR(INDEX(Stammdaten!$B$5:$B$24,MATCH(F325,Stammdaten!$A$5:$A$24,0)),"unbekannt"))</f>
        <v/>
      </c>
      <c r="H325" s="16">
        <f>IF($B325="","",IF(AY325&lt;&gt;"","abgeschlossen",IF(AND(ISNUMBER(AX325),AX325&gt;=TODAY()),"zurückgestellt",IF(OR(AND(ISNUMBER(AA325),AA325&lt;TODAY(),Z325="",AJ325=""),AND(ISNUMBER(Z325),Z325&lt;TODAY(),AJ325=""),AND(ISNUMBER(AB325),AB325&lt;TODAY(),AK325=""),AND(ISNUMBER(AC325),AC325&lt;TODAY(),AO325=""),AND(ISNUMBER(AD325),AD325&lt;TODAY(),AQ325="")),"überfällig","offen"))))</f>
        <v/>
      </c>
      <c r="I325" s="16">
        <f>IF($B325="","",IF(AY325&lt;&gt;"","—",IF(AND(ISNUMBER(AA325),AA325&lt;TODAY(),Z325="",AJ325=""),"Abnahmetermin vereinbaren – Sollfrist verstrichen",IF(AND(ISNUMBER(Z325),Z325&lt;TODAY(),AJ325=""),"Wohnungsabnahme nachtragen – Termin war fällig",IF(AND(ISNUMBER(AB325),AB325&lt;TODAY(),AK325=""),"Handwerker aufbieten – Frist verstrichen",IF(AND(ISNUMBER(AC325),AC325&lt;TODAY(),AO325=""),"Vertrag retour mahnen – Frist verstrichen",IF(AND(ISNUMBER(AD325),AD325&lt;TODAY(),AQ325=""),"Schlüsselübergabe nachtragen – Termin war fällig",IF(M325="","Haftungsdatum erfassen",IF(E325="","ex-Mieter erfassen",IF(AE325="","Kündigung bestätigen / G-Rem",IF(AF325="","Werke / EGT melden",IF(AG325="","Vorbesichtigung (oder n.e.)",IF(AH325="","VMZ aktualisieren",IF(AI325="","Inserat aufschalten",IF(AND(Z325="",AJ325=""),"Abnahmetermin vereinbaren",IF(AJ325="","Wohnungsabnahme durchführen",IF(AK325="","Handwerker aufbieten",IF(AL325="","Zustimmungserklärung einholen",IF(AM325="","Instandstellungen beauftragen",IF(R325="","Nachmieter erfassen",IF(AN325="","Vertrag versenden",IF(AO325="","Vertrag retour erfassen",IF(S325="","Vermietet per erfassen",IF(AP325="","Werke / EGT über Einzug informieren",IF(AND(AD325="",AQ325=""),"Schlüsselübergabe terminieren",IF(AQ325="","Schlüsselübergabe durchführen",IF(AR325="","Reinigung veranlassen",IF(AS325="","Namensschilder bestellen",IF(AT325="","Kaution prüfen / G-Rem mutieren",IF(AU325="","Instandstellungs-Rechnung erfassen",IF(AV325="","Schlussabrechnung erstellen",IF(AW325="","Zahlungseingang kontrollieren","Fall abschliessen"))))))))))))))))))))))))))))))))</f>
        <v/>
      </c>
      <c r="J325" s="17">
        <f>IF(M325="","",IF(S325&lt;&gt;"",MAX(0,S325-M325-1),MAX(0,TODAY()-M325)))</f>
        <v/>
      </c>
      <c r="K325" s="16">
        <f>IF($B325="","",TRIM(IF(AND(L325&lt;&gt;"",M325&lt;&gt;"",M325&lt;L325),"Haftungsdatum vor Kündigung. ","")&amp;IF(AND(S325&lt;&gt;"",M325&lt;&gt;"",S325&lt;M325),"Vermietung vor Leerstandsbeginn. ","")&amp;IF(AND(Z325&lt;&gt;"",L325&lt;&gt;"",Z325&lt;L325),"WA-Termin vor Kündigung. ","")&amp;IF(COUNTIFS($B$5:$B$404,$B325,$AY$5:$AY$404,"")&gt;1,"Zweiter offener Fall zum selben Objekt. ","")&amp;IF(AND($A325&lt;&gt;"",COUNTIFS($A$5:$A$404,$A325)&gt;1),"Fall-Nr. doppelt vergeben. ","")&amp;IF(E325="","ex-Mieter fehlt. ","")&amp;IF(M325="","Haftungsdatum fehlt. ","")&amp;IF(F325="","Bewirtschafter fehlt. ","")&amp;IF(AND(AY325&lt;&gt;"",AW325=""),"Abgeschlossen trotz offener Schlussabrechnung. ","")&amp;IF(AND(AY325="",S325="",ISNUMBER(J325),J325&gt;60),"Langläufer über 60 Tage. ","")))</f>
        <v/>
      </c>
      <c r="L325" s="18" t="n"/>
      <c r="M325" s="18" t="n"/>
      <c r="N325" s="19">
        <f>IF(M325="","",M325+1)</f>
        <v/>
      </c>
      <c r="O325" s="17">
        <f>IF(OR(L325="",M325=""),"",M325-L325)</f>
        <v/>
      </c>
      <c r="P325" s="16">
        <f>IF(M325="","",YEAR(M325+1)&amp;"-"&amp;TEXT(MONTH(M325+1),"00"))</f>
        <v/>
      </c>
      <c r="Q325" s="18" t="n"/>
      <c r="R325" s="15" t="n"/>
      <c r="S325" s="18" t="n"/>
      <c r="T325" s="16">
        <f>IF(U325="","",IF(LEFT(U325,1)="6","abgeschlossen",IF(OR(LEFT(U325,1)="1",LEFT(U325,1)="2"),"Kündigung &amp; Abnahme",IF(OR(LEFT(U325,1)="3",LEFT(U325,1)="4"),"Wiedervermietung","Schlussabrechnung"))))</f>
        <v/>
      </c>
      <c r="U325" s="16">
        <f>IF($B325="","",IF(AY325&lt;&gt;"","6 · abgeschlossen",IF(AW325&lt;&gt;"","5 · bereit zum Abschluss",IF(AT325&lt;&gt;"","5 · Schlussabrechnung",IF(AO325&lt;&gt;"","4 · Übergabe",IF(AM325&lt;&gt;"","3 · Neuvermietung",IF(M325&lt;&gt;"","2 · Abnahme &amp; Vermarktung","1 · Erfassung")))))))</f>
        <v/>
      </c>
      <c r="V325" s="15" t="n"/>
      <c r="W325" s="20" t="n"/>
      <c r="X325" s="15" t="n"/>
      <c r="Y325" s="15" t="n"/>
      <c r="Z325" s="18" t="n"/>
      <c r="AA325" s="19">
        <f>IF(M325="","",M325-30)</f>
        <v/>
      </c>
      <c r="AB325" s="19">
        <f>IF(ISNUMBER(AJ325),AJ325+3,"")</f>
        <v/>
      </c>
      <c r="AC325" s="18" t="n"/>
      <c r="AD325" s="18" t="n"/>
      <c r="AE325" s="18" t="n"/>
      <c r="AF325" s="18" t="n"/>
      <c r="AG325" s="18" t="n"/>
      <c r="AH325" s="18" t="n"/>
      <c r="AI325" s="18" t="n"/>
      <c r="AJ325" s="18" t="n"/>
      <c r="AK325" s="18" t="n"/>
      <c r="AL325" s="18" t="n"/>
      <c r="AM325" s="18" t="n"/>
      <c r="AN325" s="18" t="n"/>
      <c r="AO325" s="18" t="n"/>
      <c r="AP325" s="18" t="n"/>
      <c r="AQ325" s="18" t="n"/>
      <c r="AR325" s="18" t="n"/>
      <c r="AS325" s="18" t="n"/>
      <c r="AT325" s="18" t="n"/>
      <c r="AU325" s="18" t="n"/>
      <c r="AV325" s="18" t="n"/>
      <c r="AW325" s="18" t="n"/>
      <c r="AX325" s="18" t="n"/>
      <c r="AY325" s="18" t="n"/>
      <c r="AZ325" s="15" t="n"/>
    </row>
    <row r="326">
      <c r="A326" s="15" t="n"/>
      <c r="B326" s="15" t="n"/>
      <c r="C326" s="15" t="n"/>
      <c r="D326" s="15" t="n"/>
      <c r="E326" s="15" t="n"/>
      <c r="F326" s="15" t="n"/>
      <c r="G326" s="16">
        <f>IF(F326="","",IFERROR(INDEX(Stammdaten!$B$5:$B$24,MATCH(F326,Stammdaten!$A$5:$A$24,0)),"unbekannt"))</f>
        <v/>
      </c>
      <c r="H326" s="16">
        <f>IF($B326="","",IF(AY326&lt;&gt;"","abgeschlossen",IF(AND(ISNUMBER(AX326),AX326&gt;=TODAY()),"zurückgestellt",IF(OR(AND(ISNUMBER(AA326),AA326&lt;TODAY(),Z326="",AJ326=""),AND(ISNUMBER(Z326),Z326&lt;TODAY(),AJ326=""),AND(ISNUMBER(AB326),AB326&lt;TODAY(),AK326=""),AND(ISNUMBER(AC326),AC326&lt;TODAY(),AO326=""),AND(ISNUMBER(AD326),AD326&lt;TODAY(),AQ326="")),"überfällig","offen"))))</f>
        <v/>
      </c>
      <c r="I326" s="16">
        <f>IF($B326="","",IF(AY326&lt;&gt;"","—",IF(AND(ISNUMBER(AA326),AA326&lt;TODAY(),Z326="",AJ326=""),"Abnahmetermin vereinbaren – Sollfrist verstrichen",IF(AND(ISNUMBER(Z326),Z326&lt;TODAY(),AJ326=""),"Wohnungsabnahme nachtragen – Termin war fällig",IF(AND(ISNUMBER(AB326),AB326&lt;TODAY(),AK326=""),"Handwerker aufbieten – Frist verstrichen",IF(AND(ISNUMBER(AC326),AC326&lt;TODAY(),AO326=""),"Vertrag retour mahnen – Frist verstrichen",IF(AND(ISNUMBER(AD326),AD326&lt;TODAY(),AQ326=""),"Schlüsselübergabe nachtragen – Termin war fällig",IF(M326="","Haftungsdatum erfassen",IF(E326="","ex-Mieter erfassen",IF(AE326="","Kündigung bestätigen / G-Rem",IF(AF326="","Werke / EGT melden",IF(AG326="","Vorbesichtigung (oder n.e.)",IF(AH326="","VMZ aktualisieren",IF(AI326="","Inserat aufschalten",IF(AND(Z326="",AJ326=""),"Abnahmetermin vereinbaren",IF(AJ326="","Wohnungsabnahme durchführen",IF(AK326="","Handwerker aufbieten",IF(AL326="","Zustimmungserklärung einholen",IF(AM326="","Instandstellungen beauftragen",IF(R326="","Nachmieter erfassen",IF(AN326="","Vertrag versenden",IF(AO326="","Vertrag retour erfassen",IF(S326="","Vermietet per erfassen",IF(AP326="","Werke / EGT über Einzug informieren",IF(AND(AD326="",AQ326=""),"Schlüsselübergabe terminieren",IF(AQ326="","Schlüsselübergabe durchführen",IF(AR326="","Reinigung veranlassen",IF(AS326="","Namensschilder bestellen",IF(AT326="","Kaution prüfen / G-Rem mutieren",IF(AU326="","Instandstellungs-Rechnung erfassen",IF(AV326="","Schlussabrechnung erstellen",IF(AW326="","Zahlungseingang kontrollieren","Fall abschliessen"))))))))))))))))))))))))))))))))</f>
        <v/>
      </c>
      <c r="J326" s="17">
        <f>IF(M326="","",IF(S326&lt;&gt;"",MAX(0,S326-M326-1),MAX(0,TODAY()-M326)))</f>
        <v/>
      </c>
      <c r="K326" s="16">
        <f>IF($B326="","",TRIM(IF(AND(L326&lt;&gt;"",M326&lt;&gt;"",M326&lt;L326),"Haftungsdatum vor Kündigung. ","")&amp;IF(AND(S326&lt;&gt;"",M326&lt;&gt;"",S326&lt;M326),"Vermietung vor Leerstandsbeginn. ","")&amp;IF(AND(Z326&lt;&gt;"",L326&lt;&gt;"",Z326&lt;L326),"WA-Termin vor Kündigung. ","")&amp;IF(COUNTIFS($B$5:$B$404,$B326,$AY$5:$AY$404,"")&gt;1,"Zweiter offener Fall zum selben Objekt. ","")&amp;IF(AND($A326&lt;&gt;"",COUNTIFS($A$5:$A$404,$A326)&gt;1),"Fall-Nr. doppelt vergeben. ","")&amp;IF(E326="","ex-Mieter fehlt. ","")&amp;IF(M326="","Haftungsdatum fehlt. ","")&amp;IF(F326="","Bewirtschafter fehlt. ","")&amp;IF(AND(AY326&lt;&gt;"",AW326=""),"Abgeschlossen trotz offener Schlussabrechnung. ","")&amp;IF(AND(AY326="",S326="",ISNUMBER(J326),J326&gt;60),"Langläufer über 60 Tage. ","")))</f>
        <v/>
      </c>
      <c r="L326" s="18" t="n"/>
      <c r="M326" s="18" t="n"/>
      <c r="N326" s="19">
        <f>IF(M326="","",M326+1)</f>
        <v/>
      </c>
      <c r="O326" s="17">
        <f>IF(OR(L326="",M326=""),"",M326-L326)</f>
        <v/>
      </c>
      <c r="P326" s="16">
        <f>IF(M326="","",YEAR(M326+1)&amp;"-"&amp;TEXT(MONTH(M326+1),"00"))</f>
        <v/>
      </c>
      <c r="Q326" s="18" t="n"/>
      <c r="R326" s="15" t="n"/>
      <c r="S326" s="18" t="n"/>
      <c r="T326" s="16">
        <f>IF(U326="","",IF(LEFT(U326,1)="6","abgeschlossen",IF(OR(LEFT(U326,1)="1",LEFT(U326,1)="2"),"Kündigung &amp; Abnahme",IF(OR(LEFT(U326,1)="3",LEFT(U326,1)="4"),"Wiedervermietung","Schlussabrechnung"))))</f>
        <v/>
      </c>
      <c r="U326" s="16">
        <f>IF($B326="","",IF(AY326&lt;&gt;"","6 · abgeschlossen",IF(AW326&lt;&gt;"","5 · bereit zum Abschluss",IF(AT326&lt;&gt;"","5 · Schlussabrechnung",IF(AO326&lt;&gt;"","4 · Übergabe",IF(AM326&lt;&gt;"","3 · Neuvermietung",IF(M326&lt;&gt;"","2 · Abnahme &amp; Vermarktung","1 · Erfassung")))))))</f>
        <v/>
      </c>
      <c r="V326" s="15" t="n"/>
      <c r="W326" s="20" t="n"/>
      <c r="X326" s="15" t="n"/>
      <c r="Y326" s="15" t="n"/>
      <c r="Z326" s="18" t="n"/>
      <c r="AA326" s="19">
        <f>IF(M326="","",M326-30)</f>
        <v/>
      </c>
      <c r="AB326" s="19">
        <f>IF(ISNUMBER(AJ326),AJ326+3,"")</f>
        <v/>
      </c>
      <c r="AC326" s="18" t="n"/>
      <c r="AD326" s="18" t="n"/>
      <c r="AE326" s="18" t="n"/>
      <c r="AF326" s="18" t="n"/>
      <c r="AG326" s="18" t="n"/>
      <c r="AH326" s="18" t="n"/>
      <c r="AI326" s="18" t="n"/>
      <c r="AJ326" s="18" t="n"/>
      <c r="AK326" s="18" t="n"/>
      <c r="AL326" s="18" t="n"/>
      <c r="AM326" s="18" t="n"/>
      <c r="AN326" s="18" t="n"/>
      <c r="AO326" s="18" t="n"/>
      <c r="AP326" s="18" t="n"/>
      <c r="AQ326" s="18" t="n"/>
      <c r="AR326" s="18" t="n"/>
      <c r="AS326" s="18" t="n"/>
      <c r="AT326" s="18" t="n"/>
      <c r="AU326" s="18" t="n"/>
      <c r="AV326" s="18" t="n"/>
      <c r="AW326" s="18" t="n"/>
      <c r="AX326" s="18" t="n"/>
      <c r="AY326" s="18" t="n"/>
      <c r="AZ326" s="15" t="n"/>
    </row>
    <row r="327">
      <c r="A327" s="15" t="n"/>
      <c r="B327" s="15" t="n"/>
      <c r="C327" s="15" t="n"/>
      <c r="D327" s="15" t="n"/>
      <c r="E327" s="15" t="n"/>
      <c r="F327" s="15" t="n"/>
      <c r="G327" s="16">
        <f>IF(F327="","",IFERROR(INDEX(Stammdaten!$B$5:$B$24,MATCH(F327,Stammdaten!$A$5:$A$24,0)),"unbekannt"))</f>
        <v/>
      </c>
      <c r="H327" s="16">
        <f>IF($B327="","",IF(AY327&lt;&gt;"","abgeschlossen",IF(AND(ISNUMBER(AX327),AX327&gt;=TODAY()),"zurückgestellt",IF(OR(AND(ISNUMBER(AA327),AA327&lt;TODAY(),Z327="",AJ327=""),AND(ISNUMBER(Z327),Z327&lt;TODAY(),AJ327=""),AND(ISNUMBER(AB327),AB327&lt;TODAY(),AK327=""),AND(ISNUMBER(AC327),AC327&lt;TODAY(),AO327=""),AND(ISNUMBER(AD327),AD327&lt;TODAY(),AQ327="")),"überfällig","offen"))))</f>
        <v/>
      </c>
      <c r="I327" s="16">
        <f>IF($B327="","",IF(AY327&lt;&gt;"","—",IF(AND(ISNUMBER(AA327),AA327&lt;TODAY(),Z327="",AJ327=""),"Abnahmetermin vereinbaren – Sollfrist verstrichen",IF(AND(ISNUMBER(Z327),Z327&lt;TODAY(),AJ327=""),"Wohnungsabnahme nachtragen – Termin war fällig",IF(AND(ISNUMBER(AB327),AB327&lt;TODAY(),AK327=""),"Handwerker aufbieten – Frist verstrichen",IF(AND(ISNUMBER(AC327),AC327&lt;TODAY(),AO327=""),"Vertrag retour mahnen – Frist verstrichen",IF(AND(ISNUMBER(AD327),AD327&lt;TODAY(),AQ327=""),"Schlüsselübergabe nachtragen – Termin war fällig",IF(M327="","Haftungsdatum erfassen",IF(E327="","ex-Mieter erfassen",IF(AE327="","Kündigung bestätigen / G-Rem",IF(AF327="","Werke / EGT melden",IF(AG327="","Vorbesichtigung (oder n.e.)",IF(AH327="","VMZ aktualisieren",IF(AI327="","Inserat aufschalten",IF(AND(Z327="",AJ327=""),"Abnahmetermin vereinbaren",IF(AJ327="","Wohnungsabnahme durchführen",IF(AK327="","Handwerker aufbieten",IF(AL327="","Zustimmungserklärung einholen",IF(AM327="","Instandstellungen beauftragen",IF(R327="","Nachmieter erfassen",IF(AN327="","Vertrag versenden",IF(AO327="","Vertrag retour erfassen",IF(S327="","Vermietet per erfassen",IF(AP327="","Werke / EGT über Einzug informieren",IF(AND(AD327="",AQ327=""),"Schlüsselübergabe terminieren",IF(AQ327="","Schlüsselübergabe durchführen",IF(AR327="","Reinigung veranlassen",IF(AS327="","Namensschilder bestellen",IF(AT327="","Kaution prüfen / G-Rem mutieren",IF(AU327="","Instandstellungs-Rechnung erfassen",IF(AV327="","Schlussabrechnung erstellen",IF(AW327="","Zahlungseingang kontrollieren","Fall abschliessen"))))))))))))))))))))))))))))))))</f>
        <v/>
      </c>
      <c r="J327" s="17">
        <f>IF(M327="","",IF(S327&lt;&gt;"",MAX(0,S327-M327-1),MAX(0,TODAY()-M327)))</f>
        <v/>
      </c>
      <c r="K327" s="16">
        <f>IF($B327="","",TRIM(IF(AND(L327&lt;&gt;"",M327&lt;&gt;"",M327&lt;L327),"Haftungsdatum vor Kündigung. ","")&amp;IF(AND(S327&lt;&gt;"",M327&lt;&gt;"",S327&lt;M327),"Vermietung vor Leerstandsbeginn. ","")&amp;IF(AND(Z327&lt;&gt;"",L327&lt;&gt;"",Z327&lt;L327),"WA-Termin vor Kündigung. ","")&amp;IF(COUNTIFS($B$5:$B$404,$B327,$AY$5:$AY$404,"")&gt;1,"Zweiter offener Fall zum selben Objekt. ","")&amp;IF(AND($A327&lt;&gt;"",COUNTIFS($A$5:$A$404,$A327)&gt;1),"Fall-Nr. doppelt vergeben. ","")&amp;IF(E327="","ex-Mieter fehlt. ","")&amp;IF(M327="","Haftungsdatum fehlt. ","")&amp;IF(F327="","Bewirtschafter fehlt. ","")&amp;IF(AND(AY327&lt;&gt;"",AW327=""),"Abgeschlossen trotz offener Schlussabrechnung. ","")&amp;IF(AND(AY327="",S327="",ISNUMBER(J327),J327&gt;60),"Langläufer über 60 Tage. ","")))</f>
        <v/>
      </c>
      <c r="L327" s="18" t="n"/>
      <c r="M327" s="18" t="n"/>
      <c r="N327" s="19">
        <f>IF(M327="","",M327+1)</f>
        <v/>
      </c>
      <c r="O327" s="17">
        <f>IF(OR(L327="",M327=""),"",M327-L327)</f>
        <v/>
      </c>
      <c r="P327" s="16">
        <f>IF(M327="","",YEAR(M327+1)&amp;"-"&amp;TEXT(MONTH(M327+1),"00"))</f>
        <v/>
      </c>
      <c r="Q327" s="18" t="n"/>
      <c r="R327" s="15" t="n"/>
      <c r="S327" s="18" t="n"/>
      <c r="T327" s="16">
        <f>IF(U327="","",IF(LEFT(U327,1)="6","abgeschlossen",IF(OR(LEFT(U327,1)="1",LEFT(U327,1)="2"),"Kündigung &amp; Abnahme",IF(OR(LEFT(U327,1)="3",LEFT(U327,1)="4"),"Wiedervermietung","Schlussabrechnung"))))</f>
        <v/>
      </c>
      <c r="U327" s="16">
        <f>IF($B327="","",IF(AY327&lt;&gt;"","6 · abgeschlossen",IF(AW327&lt;&gt;"","5 · bereit zum Abschluss",IF(AT327&lt;&gt;"","5 · Schlussabrechnung",IF(AO327&lt;&gt;"","4 · Übergabe",IF(AM327&lt;&gt;"","3 · Neuvermietung",IF(M327&lt;&gt;"","2 · Abnahme &amp; Vermarktung","1 · Erfassung")))))))</f>
        <v/>
      </c>
      <c r="V327" s="15" t="n"/>
      <c r="W327" s="20" t="n"/>
      <c r="X327" s="15" t="n"/>
      <c r="Y327" s="15" t="n"/>
      <c r="Z327" s="18" t="n"/>
      <c r="AA327" s="19">
        <f>IF(M327="","",M327-30)</f>
        <v/>
      </c>
      <c r="AB327" s="19">
        <f>IF(ISNUMBER(AJ327),AJ327+3,"")</f>
        <v/>
      </c>
      <c r="AC327" s="18" t="n"/>
      <c r="AD327" s="18" t="n"/>
      <c r="AE327" s="18" t="n"/>
      <c r="AF327" s="18" t="n"/>
      <c r="AG327" s="18" t="n"/>
      <c r="AH327" s="18" t="n"/>
      <c r="AI327" s="18" t="n"/>
      <c r="AJ327" s="18" t="n"/>
      <c r="AK327" s="18" t="n"/>
      <c r="AL327" s="18" t="n"/>
      <c r="AM327" s="18" t="n"/>
      <c r="AN327" s="18" t="n"/>
      <c r="AO327" s="18" t="n"/>
      <c r="AP327" s="18" t="n"/>
      <c r="AQ327" s="18" t="n"/>
      <c r="AR327" s="18" t="n"/>
      <c r="AS327" s="18" t="n"/>
      <c r="AT327" s="18" t="n"/>
      <c r="AU327" s="18" t="n"/>
      <c r="AV327" s="18" t="n"/>
      <c r="AW327" s="18" t="n"/>
      <c r="AX327" s="18" t="n"/>
      <c r="AY327" s="18" t="n"/>
      <c r="AZ327" s="15" t="n"/>
    </row>
    <row r="328">
      <c r="A328" s="15" t="n"/>
      <c r="B328" s="15" t="n"/>
      <c r="C328" s="15" t="n"/>
      <c r="D328" s="15" t="n"/>
      <c r="E328" s="15" t="n"/>
      <c r="F328" s="15" t="n"/>
      <c r="G328" s="16">
        <f>IF(F328="","",IFERROR(INDEX(Stammdaten!$B$5:$B$24,MATCH(F328,Stammdaten!$A$5:$A$24,0)),"unbekannt"))</f>
        <v/>
      </c>
      <c r="H328" s="16">
        <f>IF($B328="","",IF(AY328&lt;&gt;"","abgeschlossen",IF(AND(ISNUMBER(AX328),AX328&gt;=TODAY()),"zurückgestellt",IF(OR(AND(ISNUMBER(AA328),AA328&lt;TODAY(),Z328="",AJ328=""),AND(ISNUMBER(Z328),Z328&lt;TODAY(),AJ328=""),AND(ISNUMBER(AB328),AB328&lt;TODAY(),AK328=""),AND(ISNUMBER(AC328),AC328&lt;TODAY(),AO328=""),AND(ISNUMBER(AD328),AD328&lt;TODAY(),AQ328="")),"überfällig","offen"))))</f>
        <v/>
      </c>
      <c r="I328" s="16">
        <f>IF($B328="","",IF(AY328&lt;&gt;"","—",IF(AND(ISNUMBER(AA328),AA328&lt;TODAY(),Z328="",AJ328=""),"Abnahmetermin vereinbaren – Sollfrist verstrichen",IF(AND(ISNUMBER(Z328),Z328&lt;TODAY(),AJ328=""),"Wohnungsabnahme nachtragen – Termin war fällig",IF(AND(ISNUMBER(AB328),AB328&lt;TODAY(),AK328=""),"Handwerker aufbieten – Frist verstrichen",IF(AND(ISNUMBER(AC328),AC328&lt;TODAY(),AO328=""),"Vertrag retour mahnen – Frist verstrichen",IF(AND(ISNUMBER(AD328),AD328&lt;TODAY(),AQ328=""),"Schlüsselübergabe nachtragen – Termin war fällig",IF(M328="","Haftungsdatum erfassen",IF(E328="","ex-Mieter erfassen",IF(AE328="","Kündigung bestätigen / G-Rem",IF(AF328="","Werke / EGT melden",IF(AG328="","Vorbesichtigung (oder n.e.)",IF(AH328="","VMZ aktualisieren",IF(AI328="","Inserat aufschalten",IF(AND(Z328="",AJ328=""),"Abnahmetermin vereinbaren",IF(AJ328="","Wohnungsabnahme durchführen",IF(AK328="","Handwerker aufbieten",IF(AL328="","Zustimmungserklärung einholen",IF(AM328="","Instandstellungen beauftragen",IF(R328="","Nachmieter erfassen",IF(AN328="","Vertrag versenden",IF(AO328="","Vertrag retour erfassen",IF(S328="","Vermietet per erfassen",IF(AP328="","Werke / EGT über Einzug informieren",IF(AND(AD328="",AQ328=""),"Schlüsselübergabe terminieren",IF(AQ328="","Schlüsselübergabe durchführen",IF(AR328="","Reinigung veranlassen",IF(AS328="","Namensschilder bestellen",IF(AT328="","Kaution prüfen / G-Rem mutieren",IF(AU328="","Instandstellungs-Rechnung erfassen",IF(AV328="","Schlussabrechnung erstellen",IF(AW328="","Zahlungseingang kontrollieren","Fall abschliessen"))))))))))))))))))))))))))))))))</f>
        <v/>
      </c>
      <c r="J328" s="17">
        <f>IF(M328="","",IF(S328&lt;&gt;"",MAX(0,S328-M328-1),MAX(0,TODAY()-M328)))</f>
        <v/>
      </c>
      <c r="K328" s="16">
        <f>IF($B328="","",TRIM(IF(AND(L328&lt;&gt;"",M328&lt;&gt;"",M328&lt;L328),"Haftungsdatum vor Kündigung. ","")&amp;IF(AND(S328&lt;&gt;"",M328&lt;&gt;"",S328&lt;M328),"Vermietung vor Leerstandsbeginn. ","")&amp;IF(AND(Z328&lt;&gt;"",L328&lt;&gt;"",Z328&lt;L328),"WA-Termin vor Kündigung. ","")&amp;IF(COUNTIFS($B$5:$B$404,$B328,$AY$5:$AY$404,"")&gt;1,"Zweiter offener Fall zum selben Objekt. ","")&amp;IF(AND($A328&lt;&gt;"",COUNTIFS($A$5:$A$404,$A328)&gt;1),"Fall-Nr. doppelt vergeben. ","")&amp;IF(E328="","ex-Mieter fehlt. ","")&amp;IF(M328="","Haftungsdatum fehlt. ","")&amp;IF(F328="","Bewirtschafter fehlt. ","")&amp;IF(AND(AY328&lt;&gt;"",AW328=""),"Abgeschlossen trotz offener Schlussabrechnung. ","")&amp;IF(AND(AY328="",S328="",ISNUMBER(J328),J328&gt;60),"Langläufer über 60 Tage. ","")))</f>
        <v/>
      </c>
      <c r="L328" s="18" t="n"/>
      <c r="M328" s="18" t="n"/>
      <c r="N328" s="19">
        <f>IF(M328="","",M328+1)</f>
        <v/>
      </c>
      <c r="O328" s="17">
        <f>IF(OR(L328="",M328=""),"",M328-L328)</f>
        <v/>
      </c>
      <c r="P328" s="16">
        <f>IF(M328="","",YEAR(M328+1)&amp;"-"&amp;TEXT(MONTH(M328+1),"00"))</f>
        <v/>
      </c>
      <c r="Q328" s="18" t="n"/>
      <c r="R328" s="15" t="n"/>
      <c r="S328" s="18" t="n"/>
      <c r="T328" s="16">
        <f>IF(U328="","",IF(LEFT(U328,1)="6","abgeschlossen",IF(OR(LEFT(U328,1)="1",LEFT(U328,1)="2"),"Kündigung &amp; Abnahme",IF(OR(LEFT(U328,1)="3",LEFT(U328,1)="4"),"Wiedervermietung","Schlussabrechnung"))))</f>
        <v/>
      </c>
      <c r="U328" s="16">
        <f>IF($B328="","",IF(AY328&lt;&gt;"","6 · abgeschlossen",IF(AW328&lt;&gt;"","5 · bereit zum Abschluss",IF(AT328&lt;&gt;"","5 · Schlussabrechnung",IF(AO328&lt;&gt;"","4 · Übergabe",IF(AM328&lt;&gt;"","3 · Neuvermietung",IF(M328&lt;&gt;"","2 · Abnahme &amp; Vermarktung","1 · Erfassung")))))))</f>
        <v/>
      </c>
      <c r="V328" s="15" t="n"/>
      <c r="W328" s="20" t="n"/>
      <c r="X328" s="15" t="n"/>
      <c r="Y328" s="15" t="n"/>
      <c r="Z328" s="18" t="n"/>
      <c r="AA328" s="19">
        <f>IF(M328="","",M328-30)</f>
        <v/>
      </c>
      <c r="AB328" s="19">
        <f>IF(ISNUMBER(AJ328),AJ328+3,"")</f>
        <v/>
      </c>
      <c r="AC328" s="18" t="n"/>
      <c r="AD328" s="18" t="n"/>
      <c r="AE328" s="18" t="n"/>
      <c r="AF328" s="18" t="n"/>
      <c r="AG328" s="18" t="n"/>
      <c r="AH328" s="18" t="n"/>
      <c r="AI328" s="18" t="n"/>
      <c r="AJ328" s="18" t="n"/>
      <c r="AK328" s="18" t="n"/>
      <c r="AL328" s="18" t="n"/>
      <c r="AM328" s="18" t="n"/>
      <c r="AN328" s="18" t="n"/>
      <c r="AO328" s="18" t="n"/>
      <c r="AP328" s="18" t="n"/>
      <c r="AQ328" s="18" t="n"/>
      <c r="AR328" s="18" t="n"/>
      <c r="AS328" s="18" t="n"/>
      <c r="AT328" s="18" t="n"/>
      <c r="AU328" s="18" t="n"/>
      <c r="AV328" s="18" t="n"/>
      <c r="AW328" s="18" t="n"/>
      <c r="AX328" s="18" t="n"/>
      <c r="AY328" s="18" t="n"/>
      <c r="AZ328" s="15" t="n"/>
    </row>
    <row r="329">
      <c r="A329" s="15" t="n"/>
      <c r="B329" s="15" t="n"/>
      <c r="C329" s="15" t="n"/>
      <c r="D329" s="15" t="n"/>
      <c r="E329" s="15" t="n"/>
      <c r="F329" s="15" t="n"/>
      <c r="G329" s="16">
        <f>IF(F329="","",IFERROR(INDEX(Stammdaten!$B$5:$B$24,MATCH(F329,Stammdaten!$A$5:$A$24,0)),"unbekannt"))</f>
        <v/>
      </c>
      <c r="H329" s="16">
        <f>IF($B329="","",IF(AY329&lt;&gt;"","abgeschlossen",IF(AND(ISNUMBER(AX329),AX329&gt;=TODAY()),"zurückgestellt",IF(OR(AND(ISNUMBER(AA329),AA329&lt;TODAY(),Z329="",AJ329=""),AND(ISNUMBER(Z329),Z329&lt;TODAY(),AJ329=""),AND(ISNUMBER(AB329),AB329&lt;TODAY(),AK329=""),AND(ISNUMBER(AC329),AC329&lt;TODAY(),AO329=""),AND(ISNUMBER(AD329),AD329&lt;TODAY(),AQ329="")),"überfällig","offen"))))</f>
        <v/>
      </c>
      <c r="I329" s="16">
        <f>IF($B329="","",IF(AY329&lt;&gt;"","—",IF(AND(ISNUMBER(AA329),AA329&lt;TODAY(),Z329="",AJ329=""),"Abnahmetermin vereinbaren – Sollfrist verstrichen",IF(AND(ISNUMBER(Z329),Z329&lt;TODAY(),AJ329=""),"Wohnungsabnahme nachtragen – Termin war fällig",IF(AND(ISNUMBER(AB329),AB329&lt;TODAY(),AK329=""),"Handwerker aufbieten – Frist verstrichen",IF(AND(ISNUMBER(AC329),AC329&lt;TODAY(),AO329=""),"Vertrag retour mahnen – Frist verstrichen",IF(AND(ISNUMBER(AD329),AD329&lt;TODAY(),AQ329=""),"Schlüsselübergabe nachtragen – Termin war fällig",IF(M329="","Haftungsdatum erfassen",IF(E329="","ex-Mieter erfassen",IF(AE329="","Kündigung bestätigen / G-Rem",IF(AF329="","Werke / EGT melden",IF(AG329="","Vorbesichtigung (oder n.e.)",IF(AH329="","VMZ aktualisieren",IF(AI329="","Inserat aufschalten",IF(AND(Z329="",AJ329=""),"Abnahmetermin vereinbaren",IF(AJ329="","Wohnungsabnahme durchführen",IF(AK329="","Handwerker aufbieten",IF(AL329="","Zustimmungserklärung einholen",IF(AM329="","Instandstellungen beauftragen",IF(R329="","Nachmieter erfassen",IF(AN329="","Vertrag versenden",IF(AO329="","Vertrag retour erfassen",IF(S329="","Vermietet per erfassen",IF(AP329="","Werke / EGT über Einzug informieren",IF(AND(AD329="",AQ329=""),"Schlüsselübergabe terminieren",IF(AQ329="","Schlüsselübergabe durchführen",IF(AR329="","Reinigung veranlassen",IF(AS329="","Namensschilder bestellen",IF(AT329="","Kaution prüfen / G-Rem mutieren",IF(AU329="","Instandstellungs-Rechnung erfassen",IF(AV329="","Schlussabrechnung erstellen",IF(AW329="","Zahlungseingang kontrollieren","Fall abschliessen"))))))))))))))))))))))))))))))))</f>
        <v/>
      </c>
      <c r="J329" s="17">
        <f>IF(M329="","",IF(S329&lt;&gt;"",MAX(0,S329-M329-1),MAX(0,TODAY()-M329)))</f>
        <v/>
      </c>
      <c r="K329" s="16">
        <f>IF($B329="","",TRIM(IF(AND(L329&lt;&gt;"",M329&lt;&gt;"",M329&lt;L329),"Haftungsdatum vor Kündigung. ","")&amp;IF(AND(S329&lt;&gt;"",M329&lt;&gt;"",S329&lt;M329),"Vermietung vor Leerstandsbeginn. ","")&amp;IF(AND(Z329&lt;&gt;"",L329&lt;&gt;"",Z329&lt;L329),"WA-Termin vor Kündigung. ","")&amp;IF(COUNTIFS($B$5:$B$404,$B329,$AY$5:$AY$404,"")&gt;1,"Zweiter offener Fall zum selben Objekt. ","")&amp;IF(AND($A329&lt;&gt;"",COUNTIFS($A$5:$A$404,$A329)&gt;1),"Fall-Nr. doppelt vergeben. ","")&amp;IF(E329="","ex-Mieter fehlt. ","")&amp;IF(M329="","Haftungsdatum fehlt. ","")&amp;IF(F329="","Bewirtschafter fehlt. ","")&amp;IF(AND(AY329&lt;&gt;"",AW329=""),"Abgeschlossen trotz offener Schlussabrechnung. ","")&amp;IF(AND(AY329="",S329="",ISNUMBER(J329),J329&gt;60),"Langläufer über 60 Tage. ","")))</f>
        <v/>
      </c>
      <c r="L329" s="18" t="n"/>
      <c r="M329" s="18" t="n"/>
      <c r="N329" s="19">
        <f>IF(M329="","",M329+1)</f>
        <v/>
      </c>
      <c r="O329" s="17">
        <f>IF(OR(L329="",M329=""),"",M329-L329)</f>
        <v/>
      </c>
      <c r="P329" s="16">
        <f>IF(M329="","",YEAR(M329+1)&amp;"-"&amp;TEXT(MONTH(M329+1),"00"))</f>
        <v/>
      </c>
      <c r="Q329" s="18" t="n"/>
      <c r="R329" s="15" t="n"/>
      <c r="S329" s="18" t="n"/>
      <c r="T329" s="16">
        <f>IF(U329="","",IF(LEFT(U329,1)="6","abgeschlossen",IF(OR(LEFT(U329,1)="1",LEFT(U329,1)="2"),"Kündigung &amp; Abnahme",IF(OR(LEFT(U329,1)="3",LEFT(U329,1)="4"),"Wiedervermietung","Schlussabrechnung"))))</f>
        <v/>
      </c>
      <c r="U329" s="16">
        <f>IF($B329="","",IF(AY329&lt;&gt;"","6 · abgeschlossen",IF(AW329&lt;&gt;"","5 · bereit zum Abschluss",IF(AT329&lt;&gt;"","5 · Schlussabrechnung",IF(AO329&lt;&gt;"","4 · Übergabe",IF(AM329&lt;&gt;"","3 · Neuvermietung",IF(M329&lt;&gt;"","2 · Abnahme &amp; Vermarktung","1 · Erfassung")))))))</f>
        <v/>
      </c>
      <c r="V329" s="15" t="n"/>
      <c r="W329" s="20" t="n"/>
      <c r="X329" s="15" t="n"/>
      <c r="Y329" s="15" t="n"/>
      <c r="Z329" s="18" t="n"/>
      <c r="AA329" s="19">
        <f>IF(M329="","",M329-30)</f>
        <v/>
      </c>
      <c r="AB329" s="19">
        <f>IF(ISNUMBER(AJ329),AJ329+3,"")</f>
        <v/>
      </c>
      <c r="AC329" s="18" t="n"/>
      <c r="AD329" s="18" t="n"/>
      <c r="AE329" s="18" t="n"/>
      <c r="AF329" s="18" t="n"/>
      <c r="AG329" s="18" t="n"/>
      <c r="AH329" s="18" t="n"/>
      <c r="AI329" s="18" t="n"/>
      <c r="AJ329" s="18" t="n"/>
      <c r="AK329" s="18" t="n"/>
      <c r="AL329" s="18" t="n"/>
      <c r="AM329" s="18" t="n"/>
      <c r="AN329" s="18" t="n"/>
      <c r="AO329" s="18" t="n"/>
      <c r="AP329" s="18" t="n"/>
      <c r="AQ329" s="18" t="n"/>
      <c r="AR329" s="18" t="n"/>
      <c r="AS329" s="18" t="n"/>
      <c r="AT329" s="18" t="n"/>
      <c r="AU329" s="18" t="n"/>
      <c r="AV329" s="18" t="n"/>
      <c r="AW329" s="18" t="n"/>
      <c r="AX329" s="18" t="n"/>
      <c r="AY329" s="18" t="n"/>
      <c r="AZ329" s="15" t="n"/>
    </row>
    <row r="330">
      <c r="A330" s="15" t="n"/>
      <c r="B330" s="15" t="n"/>
      <c r="C330" s="15" t="n"/>
      <c r="D330" s="15" t="n"/>
      <c r="E330" s="15" t="n"/>
      <c r="F330" s="15" t="n"/>
      <c r="G330" s="16">
        <f>IF(F330="","",IFERROR(INDEX(Stammdaten!$B$5:$B$24,MATCH(F330,Stammdaten!$A$5:$A$24,0)),"unbekannt"))</f>
        <v/>
      </c>
      <c r="H330" s="16">
        <f>IF($B330="","",IF(AY330&lt;&gt;"","abgeschlossen",IF(AND(ISNUMBER(AX330),AX330&gt;=TODAY()),"zurückgestellt",IF(OR(AND(ISNUMBER(AA330),AA330&lt;TODAY(),Z330="",AJ330=""),AND(ISNUMBER(Z330),Z330&lt;TODAY(),AJ330=""),AND(ISNUMBER(AB330),AB330&lt;TODAY(),AK330=""),AND(ISNUMBER(AC330),AC330&lt;TODAY(),AO330=""),AND(ISNUMBER(AD330),AD330&lt;TODAY(),AQ330="")),"überfällig","offen"))))</f>
        <v/>
      </c>
      <c r="I330" s="16">
        <f>IF($B330="","",IF(AY330&lt;&gt;"","—",IF(AND(ISNUMBER(AA330),AA330&lt;TODAY(),Z330="",AJ330=""),"Abnahmetermin vereinbaren – Sollfrist verstrichen",IF(AND(ISNUMBER(Z330),Z330&lt;TODAY(),AJ330=""),"Wohnungsabnahme nachtragen – Termin war fällig",IF(AND(ISNUMBER(AB330),AB330&lt;TODAY(),AK330=""),"Handwerker aufbieten – Frist verstrichen",IF(AND(ISNUMBER(AC330),AC330&lt;TODAY(),AO330=""),"Vertrag retour mahnen – Frist verstrichen",IF(AND(ISNUMBER(AD330),AD330&lt;TODAY(),AQ330=""),"Schlüsselübergabe nachtragen – Termin war fällig",IF(M330="","Haftungsdatum erfassen",IF(E330="","ex-Mieter erfassen",IF(AE330="","Kündigung bestätigen / G-Rem",IF(AF330="","Werke / EGT melden",IF(AG330="","Vorbesichtigung (oder n.e.)",IF(AH330="","VMZ aktualisieren",IF(AI330="","Inserat aufschalten",IF(AND(Z330="",AJ330=""),"Abnahmetermin vereinbaren",IF(AJ330="","Wohnungsabnahme durchführen",IF(AK330="","Handwerker aufbieten",IF(AL330="","Zustimmungserklärung einholen",IF(AM330="","Instandstellungen beauftragen",IF(R330="","Nachmieter erfassen",IF(AN330="","Vertrag versenden",IF(AO330="","Vertrag retour erfassen",IF(S330="","Vermietet per erfassen",IF(AP330="","Werke / EGT über Einzug informieren",IF(AND(AD330="",AQ330=""),"Schlüsselübergabe terminieren",IF(AQ330="","Schlüsselübergabe durchführen",IF(AR330="","Reinigung veranlassen",IF(AS330="","Namensschilder bestellen",IF(AT330="","Kaution prüfen / G-Rem mutieren",IF(AU330="","Instandstellungs-Rechnung erfassen",IF(AV330="","Schlussabrechnung erstellen",IF(AW330="","Zahlungseingang kontrollieren","Fall abschliessen"))))))))))))))))))))))))))))))))</f>
        <v/>
      </c>
      <c r="J330" s="17">
        <f>IF(M330="","",IF(S330&lt;&gt;"",MAX(0,S330-M330-1),MAX(0,TODAY()-M330)))</f>
        <v/>
      </c>
      <c r="K330" s="16">
        <f>IF($B330="","",TRIM(IF(AND(L330&lt;&gt;"",M330&lt;&gt;"",M330&lt;L330),"Haftungsdatum vor Kündigung. ","")&amp;IF(AND(S330&lt;&gt;"",M330&lt;&gt;"",S330&lt;M330),"Vermietung vor Leerstandsbeginn. ","")&amp;IF(AND(Z330&lt;&gt;"",L330&lt;&gt;"",Z330&lt;L330),"WA-Termin vor Kündigung. ","")&amp;IF(COUNTIFS($B$5:$B$404,$B330,$AY$5:$AY$404,"")&gt;1,"Zweiter offener Fall zum selben Objekt. ","")&amp;IF(AND($A330&lt;&gt;"",COUNTIFS($A$5:$A$404,$A330)&gt;1),"Fall-Nr. doppelt vergeben. ","")&amp;IF(E330="","ex-Mieter fehlt. ","")&amp;IF(M330="","Haftungsdatum fehlt. ","")&amp;IF(F330="","Bewirtschafter fehlt. ","")&amp;IF(AND(AY330&lt;&gt;"",AW330=""),"Abgeschlossen trotz offener Schlussabrechnung. ","")&amp;IF(AND(AY330="",S330="",ISNUMBER(J330),J330&gt;60),"Langläufer über 60 Tage. ","")))</f>
        <v/>
      </c>
      <c r="L330" s="18" t="n"/>
      <c r="M330" s="18" t="n"/>
      <c r="N330" s="19">
        <f>IF(M330="","",M330+1)</f>
        <v/>
      </c>
      <c r="O330" s="17">
        <f>IF(OR(L330="",M330=""),"",M330-L330)</f>
        <v/>
      </c>
      <c r="P330" s="16">
        <f>IF(M330="","",YEAR(M330+1)&amp;"-"&amp;TEXT(MONTH(M330+1),"00"))</f>
        <v/>
      </c>
      <c r="Q330" s="18" t="n"/>
      <c r="R330" s="15" t="n"/>
      <c r="S330" s="18" t="n"/>
      <c r="T330" s="16">
        <f>IF(U330="","",IF(LEFT(U330,1)="6","abgeschlossen",IF(OR(LEFT(U330,1)="1",LEFT(U330,1)="2"),"Kündigung &amp; Abnahme",IF(OR(LEFT(U330,1)="3",LEFT(U330,1)="4"),"Wiedervermietung","Schlussabrechnung"))))</f>
        <v/>
      </c>
      <c r="U330" s="16">
        <f>IF($B330="","",IF(AY330&lt;&gt;"","6 · abgeschlossen",IF(AW330&lt;&gt;"","5 · bereit zum Abschluss",IF(AT330&lt;&gt;"","5 · Schlussabrechnung",IF(AO330&lt;&gt;"","4 · Übergabe",IF(AM330&lt;&gt;"","3 · Neuvermietung",IF(M330&lt;&gt;"","2 · Abnahme &amp; Vermarktung","1 · Erfassung")))))))</f>
        <v/>
      </c>
      <c r="V330" s="15" t="n"/>
      <c r="W330" s="20" t="n"/>
      <c r="X330" s="15" t="n"/>
      <c r="Y330" s="15" t="n"/>
      <c r="Z330" s="18" t="n"/>
      <c r="AA330" s="19">
        <f>IF(M330="","",M330-30)</f>
        <v/>
      </c>
      <c r="AB330" s="19">
        <f>IF(ISNUMBER(AJ330),AJ330+3,"")</f>
        <v/>
      </c>
      <c r="AC330" s="18" t="n"/>
      <c r="AD330" s="18" t="n"/>
      <c r="AE330" s="18" t="n"/>
      <c r="AF330" s="18" t="n"/>
      <c r="AG330" s="18" t="n"/>
      <c r="AH330" s="18" t="n"/>
      <c r="AI330" s="18" t="n"/>
      <c r="AJ330" s="18" t="n"/>
      <c r="AK330" s="18" t="n"/>
      <c r="AL330" s="18" t="n"/>
      <c r="AM330" s="18" t="n"/>
      <c r="AN330" s="18" t="n"/>
      <c r="AO330" s="18" t="n"/>
      <c r="AP330" s="18" t="n"/>
      <c r="AQ330" s="18" t="n"/>
      <c r="AR330" s="18" t="n"/>
      <c r="AS330" s="18" t="n"/>
      <c r="AT330" s="18" t="n"/>
      <c r="AU330" s="18" t="n"/>
      <c r="AV330" s="18" t="n"/>
      <c r="AW330" s="18" t="n"/>
      <c r="AX330" s="18" t="n"/>
      <c r="AY330" s="18" t="n"/>
      <c r="AZ330" s="15" t="n"/>
    </row>
    <row r="331">
      <c r="A331" s="15" t="n"/>
      <c r="B331" s="15" t="n"/>
      <c r="C331" s="15" t="n"/>
      <c r="D331" s="15" t="n"/>
      <c r="E331" s="15" t="n"/>
      <c r="F331" s="15" t="n"/>
      <c r="G331" s="16">
        <f>IF(F331="","",IFERROR(INDEX(Stammdaten!$B$5:$B$24,MATCH(F331,Stammdaten!$A$5:$A$24,0)),"unbekannt"))</f>
        <v/>
      </c>
      <c r="H331" s="16">
        <f>IF($B331="","",IF(AY331&lt;&gt;"","abgeschlossen",IF(AND(ISNUMBER(AX331),AX331&gt;=TODAY()),"zurückgestellt",IF(OR(AND(ISNUMBER(AA331),AA331&lt;TODAY(),Z331="",AJ331=""),AND(ISNUMBER(Z331),Z331&lt;TODAY(),AJ331=""),AND(ISNUMBER(AB331),AB331&lt;TODAY(),AK331=""),AND(ISNUMBER(AC331),AC331&lt;TODAY(),AO331=""),AND(ISNUMBER(AD331),AD331&lt;TODAY(),AQ331="")),"überfällig","offen"))))</f>
        <v/>
      </c>
      <c r="I331" s="16">
        <f>IF($B331="","",IF(AY331&lt;&gt;"","—",IF(AND(ISNUMBER(AA331),AA331&lt;TODAY(),Z331="",AJ331=""),"Abnahmetermin vereinbaren – Sollfrist verstrichen",IF(AND(ISNUMBER(Z331),Z331&lt;TODAY(),AJ331=""),"Wohnungsabnahme nachtragen – Termin war fällig",IF(AND(ISNUMBER(AB331),AB331&lt;TODAY(),AK331=""),"Handwerker aufbieten – Frist verstrichen",IF(AND(ISNUMBER(AC331),AC331&lt;TODAY(),AO331=""),"Vertrag retour mahnen – Frist verstrichen",IF(AND(ISNUMBER(AD331),AD331&lt;TODAY(),AQ331=""),"Schlüsselübergabe nachtragen – Termin war fällig",IF(M331="","Haftungsdatum erfassen",IF(E331="","ex-Mieter erfassen",IF(AE331="","Kündigung bestätigen / G-Rem",IF(AF331="","Werke / EGT melden",IF(AG331="","Vorbesichtigung (oder n.e.)",IF(AH331="","VMZ aktualisieren",IF(AI331="","Inserat aufschalten",IF(AND(Z331="",AJ331=""),"Abnahmetermin vereinbaren",IF(AJ331="","Wohnungsabnahme durchführen",IF(AK331="","Handwerker aufbieten",IF(AL331="","Zustimmungserklärung einholen",IF(AM331="","Instandstellungen beauftragen",IF(R331="","Nachmieter erfassen",IF(AN331="","Vertrag versenden",IF(AO331="","Vertrag retour erfassen",IF(S331="","Vermietet per erfassen",IF(AP331="","Werke / EGT über Einzug informieren",IF(AND(AD331="",AQ331=""),"Schlüsselübergabe terminieren",IF(AQ331="","Schlüsselübergabe durchführen",IF(AR331="","Reinigung veranlassen",IF(AS331="","Namensschilder bestellen",IF(AT331="","Kaution prüfen / G-Rem mutieren",IF(AU331="","Instandstellungs-Rechnung erfassen",IF(AV331="","Schlussabrechnung erstellen",IF(AW331="","Zahlungseingang kontrollieren","Fall abschliessen"))))))))))))))))))))))))))))))))</f>
        <v/>
      </c>
      <c r="J331" s="17">
        <f>IF(M331="","",IF(S331&lt;&gt;"",MAX(0,S331-M331-1),MAX(0,TODAY()-M331)))</f>
        <v/>
      </c>
      <c r="K331" s="16">
        <f>IF($B331="","",TRIM(IF(AND(L331&lt;&gt;"",M331&lt;&gt;"",M331&lt;L331),"Haftungsdatum vor Kündigung. ","")&amp;IF(AND(S331&lt;&gt;"",M331&lt;&gt;"",S331&lt;M331),"Vermietung vor Leerstandsbeginn. ","")&amp;IF(AND(Z331&lt;&gt;"",L331&lt;&gt;"",Z331&lt;L331),"WA-Termin vor Kündigung. ","")&amp;IF(COUNTIFS($B$5:$B$404,$B331,$AY$5:$AY$404,"")&gt;1,"Zweiter offener Fall zum selben Objekt. ","")&amp;IF(AND($A331&lt;&gt;"",COUNTIFS($A$5:$A$404,$A331)&gt;1),"Fall-Nr. doppelt vergeben. ","")&amp;IF(E331="","ex-Mieter fehlt. ","")&amp;IF(M331="","Haftungsdatum fehlt. ","")&amp;IF(F331="","Bewirtschafter fehlt. ","")&amp;IF(AND(AY331&lt;&gt;"",AW331=""),"Abgeschlossen trotz offener Schlussabrechnung. ","")&amp;IF(AND(AY331="",S331="",ISNUMBER(J331),J331&gt;60),"Langläufer über 60 Tage. ","")))</f>
        <v/>
      </c>
      <c r="L331" s="18" t="n"/>
      <c r="M331" s="18" t="n"/>
      <c r="N331" s="19">
        <f>IF(M331="","",M331+1)</f>
        <v/>
      </c>
      <c r="O331" s="17">
        <f>IF(OR(L331="",M331=""),"",M331-L331)</f>
        <v/>
      </c>
      <c r="P331" s="16">
        <f>IF(M331="","",YEAR(M331+1)&amp;"-"&amp;TEXT(MONTH(M331+1),"00"))</f>
        <v/>
      </c>
      <c r="Q331" s="18" t="n"/>
      <c r="R331" s="15" t="n"/>
      <c r="S331" s="18" t="n"/>
      <c r="T331" s="16">
        <f>IF(U331="","",IF(LEFT(U331,1)="6","abgeschlossen",IF(OR(LEFT(U331,1)="1",LEFT(U331,1)="2"),"Kündigung &amp; Abnahme",IF(OR(LEFT(U331,1)="3",LEFT(U331,1)="4"),"Wiedervermietung","Schlussabrechnung"))))</f>
        <v/>
      </c>
      <c r="U331" s="16">
        <f>IF($B331="","",IF(AY331&lt;&gt;"","6 · abgeschlossen",IF(AW331&lt;&gt;"","5 · bereit zum Abschluss",IF(AT331&lt;&gt;"","5 · Schlussabrechnung",IF(AO331&lt;&gt;"","4 · Übergabe",IF(AM331&lt;&gt;"","3 · Neuvermietung",IF(M331&lt;&gt;"","2 · Abnahme &amp; Vermarktung","1 · Erfassung")))))))</f>
        <v/>
      </c>
      <c r="V331" s="15" t="n"/>
      <c r="W331" s="20" t="n"/>
      <c r="X331" s="15" t="n"/>
      <c r="Y331" s="15" t="n"/>
      <c r="Z331" s="18" t="n"/>
      <c r="AA331" s="19">
        <f>IF(M331="","",M331-30)</f>
        <v/>
      </c>
      <c r="AB331" s="19">
        <f>IF(ISNUMBER(AJ331),AJ331+3,"")</f>
        <v/>
      </c>
      <c r="AC331" s="18" t="n"/>
      <c r="AD331" s="18" t="n"/>
      <c r="AE331" s="18" t="n"/>
      <c r="AF331" s="18" t="n"/>
      <c r="AG331" s="18" t="n"/>
      <c r="AH331" s="18" t="n"/>
      <c r="AI331" s="18" t="n"/>
      <c r="AJ331" s="18" t="n"/>
      <c r="AK331" s="18" t="n"/>
      <c r="AL331" s="18" t="n"/>
      <c r="AM331" s="18" t="n"/>
      <c r="AN331" s="18" t="n"/>
      <c r="AO331" s="18" t="n"/>
      <c r="AP331" s="18" t="n"/>
      <c r="AQ331" s="18" t="n"/>
      <c r="AR331" s="18" t="n"/>
      <c r="AS331" s="18" t="n"/>
      <c r="AT331" s="18" t="n"/>
      <c r="AU331" s="18" t="n"/>
      <c r="AV331" s="18" t="n"/>
      <c r="AW331" s="18" t="n"/>
      <c r="AX331" s="18" t="n"/>
      <c r="AY331" s="18" t="n"/>
      <c r="AZ331" s="15" t="n"/>
    </row>
    <row r="332">
      <c r="A332" s="15" t="n"/>
      <c r="B332" s="15" t="n"/>
      <c r="C332" s="15" t="n"/>
      <c r="D332" s="15" t="n"/>
      <c r="E332" s="15" t="n"/>
      <c r="F332" s="15" t="n"/>
      <c r="G332" s="16">
        <f>IF(F332="","",IFERROR(INDEX(Stammdaten!$B$5:$B$24,MATCH(F332,Stammdaten!$A$5:$A$24,0)),"unbekannt"))</f>
        <v/>
      </c>
      <c r="H332" s="16">
        <f>IF($B332="","",IF(AY332&lt;&gt;"","abgeschlossen",IF(AND(ISNUMBER(AX332),AX332&gt;=TODAY()),"zurückgestellt",IF(OR(AND(ISNUMBER(AA332),AA332&lt;TODAY(),Z332="",AJ332=""),AND(ISNUMBER(Z332),Z332&lt;TODAY(),AJ332=""),AND(ISNUMBER(AB332),AB332&lt;TODAY(),AK332=""),AND(ISNUMBER(AC332),AC332&lt;TODAY(),AO332=""),AND(ISNUMBER(AD332),AD332&lt;TODAY(),AQ332="")),"überfällig","offen"))))</f>
        <v/>
      </c>
      <c r="I332" s="16">
        <f>IF($B332="","",IF(AY332&lt;&gt;"","—",IF(AND(ISNUMBER(AA332),AA332&lt;TODAY(),Z332="",AJ332=""),"Abnahmetermin vereinbaren – Sollfrist verstrichen",IF(AND(ISNUMBER(Z332),Z332&lt;TODAY(),AJ332=""),"Wohnungsabnahme nachtragen – Termin war fällig",IF(AND(ISNUMBER(AB332),AB332&lt;TODAY(),AK332=""),"Handwerker aufbieten – Frist verstrichen",IF(AND(ISNUMBER(AC332),AC332&lt;TODAY(),AO332=""),"Vertrag retour mahnen – Frist verstrichen",IF(AND(ISNUMBER(AD332),AD332&lt;TODAY(),AQ332=""),"Schlüsselübergabe nachtragen – Termin war fällig",IF(M332="","Haftungsdatum erfassen",IF(E332="","ex-Mieter erfassen",IF(AE332="","Kündigung bestätigen / G-Rem",IF(AF332="","Werke / EGT melden",IF(AG332="","Vorbesichtigung (oder n.e.)",IF(AH332="","VMZ aktualisieren",IF(AI332="","Inserat aufschalten",IF(AND(Z332="",AJ332=""),"Abnahmetermin vereinbaren",IF(AJ332="","Wohnungsabnahme durchführen",IF(AK332="","Handwerker aufbieten",IF(AL332="","Zustimmungserklärung einholen",IF(AM332="","Instandstellungen beauftragen",IF(R332="","Nachmieter erfassen",IF(AN332="","Vertrag versenden",IF(AO332="","Vertrag retour erfassen",IF(S332="","Vermietet per erfassen",IF(AP332="","Werke / EGT über Einzug informieren",IF(AND(AD332="",AQ332=""),"Schlüsselübergabe terminieren",IF(AQ332="","Schlüsselübergabe durchführen",IF(AR332="","Reinigung veranlassen",IF(AS332="","Namensschilder bestellen",IF(AT332="","Kaution prüfen / G-Rem mutieren",IF(AU332="","Instandstellungs-Rechnung erfassen",IF(AV332="","Schlussabrechnung erstellen",IF(AW332="","Zahlungseingang kontrollieren","Fall abschliessen"))))))))))))))))))))))))))))))))</f>
        <v/>
      </c>
      <c r="J332" s="17">
        <f>IF(M332="","",IF(S332&lt;&gt;"",MAX(0,S332-M332-1),MAX(0,TODAY()-M332)))</f>
        <v/>
      </c>
      <c r="K332" s="16">
        <f>IF($B332="","",TRIM(IF(AND(L332&lt;&gt;"",M332&lt;&gt;"",M332&lt;L332),"Haftungsdatum vor Kündigung. ","")&amp;IF(AND(S332&lt;&gt;"",M332&lt;&gt;"",S332&lt;M332),"Vermietung vor Leerstandsbeginn. ","")&amp;IF(AND(Z332&lt;&gt;"",L332&lt;&gt;"",Z332&lt;L332),"WA-Termin vor Kündigung. ","")&amp;IF(COUNTIFS($B$5:$B$404,$B332,$AY$5:$AY$404,"")&gt;1,"Zweiter offener Fall zum selben Objekt. ","")&amp;IF(AND($A332&lt;&gt;"",COUNTIFS($A$5:$A$404,$A332)&gt;1),"Fall-Nr. doppelt vergeben. ","")&amp;IF(E332="","ex-Mieter fehlt. ","")&amp;IF(M332="","Haftungsdatum fehlt. ","")&amp;IF(F332="","Bewirtschafter fehlt. ","")&amp;IF(AND(AY332&lt;&gt;"",AW332=""),"Abgeschlossen trotz offener Schlussabrechnung. ","")&amp;IF(AND(AY332="",S332="",ISNUMBER(J332),J332&gt;60),"Langläufer über 60 Tage. ","")))</f>
        <v/>
      </c>
      <c r="L332" s="18" t="n"/>
      <c r="M332" s="18" t="n"/>
      <c r="N332" s="19">
        <f>IF(M332="","",M332+1)</f>
        <v/>
      </c>
      <c r="O332" s="17">
        <f>IF(OR(L332="",M332=""),"",M332-L332)</f>
        <v/>
      </c>
      <c r="P332" s="16">
        <f>IF(M332="","",YEAR(M332+1)&amp;"-"&amp;TEXT(MONTH(M332+1),"00"))</f>
        <v/>
      </c>
      <c r="Q332" s="18" t="n"/>
      <c r="R332" s="15" t="n"/>
      <c r="S332" s="18" t="n"/>
      <c r="T332" s="16">
        <f>IF(U332="","",IF(LEFT(U332,1)="6","abgeschlossen",IF(OR(LEFT(U332,1)="1",LEFT(U332,1)="2"),"Kündigung &amp; Abnahme",IF(OR(LEFT(U332,1)="3",LEFT(U332,1)="4"),"Wiedervermietung","Schlussabrechnung"))))</f>
        <v/>
      </c>
      <c r="U332" s="16">
        <f>IF($B332="","",IF(AY332&lt;&gt;"","6 · abgeschlossen",IF(AW332&lt;&gt;"","5 · bereit zum Abschluss",IF(AT332&lt;&gt;"","5 · Schlussabrechnung",IF(AO332&lt;&gt;"","4 · Übergabe",IF(AM332&lt;&gt;"","3 · Neuvermietung",IF(M332&lt;&gt;"","2 · Abnahme &amp; Vermarktung","1 · Erfassung")))))))</f>
        <v/>
      </c>
      <c r="V332" s="15" t="n"/>
      <c r="W332" s="20" t="n"/>
      <c r="X332" s="15" t="n"/>
      <c r="Y332" s="15" t="n"/>
      <c r="Z332" s="18" t="n"/>
      <c r="AA332" s="19">
        <f>IF(M332="","",M332-30)</f>
        <v/>
      </c>
      <c r="AB332" s="19">
        <f>IF(ISNUMBER(AJ332),AJ332+3,"")</f>
        <v/>
      </c>
      <c r="AC332" s="18" t="n"/>
      <c r="AD332" s="18" t="n"/>
      <c r="AE332" s="18" t="n"/>
      <c r="AF332" s="18" t="n"/>
      <c r="AG332" s="18" t="n"/>
      <c r="AH332" s="18" t="n"/>
      <c r="AI332" s="18" t="n"/>
      <c r="AJ332" s="18" t="n"/>
      <c r="AK332" s="18" t="n"/>
      <c r="AL332" s="18" t="n"/>
      <c r="AM332" s="18" t="n"/>
      <c r="AN332" s="18" t="n"/>
      <c r="AO332" s="18" t="n"/>
      <c r="AP332" s="18" t="n"/>
      <c r="AQ332" s="18" t="n"/>
      <c r="AR332" s="18" t="n"/>
      <c r="AS332" s="18" t="n"/>
      <c r="AT332" s="18" t="n"/>
      <c r="AU332" s="18" t="n"/>
      <c r="AV332" s="18" t="n"/>
      <c r="AW332" s="18" t="n"/>
      <c r="AX332" s="18" t="n"/>
      <c r="AY332" s="18" t="n"/>
      <c r="AZ332" s="15" t="n"/>
    </row>
    <row r="333">
      <c r="A333" s="15" t="n"/>
      <c r="B333" s="15" t="n"/>
      <c r="C333" s="15" t="n"/>
      <c r="D333" s="15" t="n"/>
      <c r="E333" s="15" t="n"/>
      <c r="F333" s="15" t="n"/>
      <c r="G333" s="16">
        <f>IF(F333="","",IFERROR(INDEX(Stammdaten!$B$5:$B$24,MATCH(F333,Stammdaten!$A$5:$A$24,0)),"unbekannt"))</f>
        <v/>
      </c>
      <c r="H333" s="16">
        <f>IF($B333="","",IF(AY333&lt;&gt;"","abgeschlossen",IF(AND(ISNUMBER(AX333),AX333&gt;=TODAY()),"zurückgestellt",IF(OR(AND(ISNUMBER(AA333),AA333&lt;TODAY(),Z333="",AJ333=""),AND(ISNUMBER(Z333),Z333&lt;TODAY(),AJ333=""),AND(ISNUMBER(AB333),AB333&lt;TODAY(),AK333=""),AND(ISNUMBER(AC333),AC333&lt;TODAY(),AO333=""),AND(ISNUMBER(AD333),AD333&lt;TODAY(),AQ333="")),"überfällig","offen"))))</f>
        <v/>
      </c>
      <c r="I333" s="16">
        <f>IF($B333="","",IF(AY333&lt;&gt;"","—",IF(AND(ISNUMBER(AA333),AA333&lt;TODAY(),Z333="",AJ333=""),"Abnahmetermin vereinbaren – Sollfrist verstrichen",IF(AND(ISNUMBER(Z333),Z333&lt;TODAY(),AJ333=""),"Wohnungsabnahme nachtragen – Termin war fällig",IF(AND(ISNUMBER(AB333),AB333&lt;TODAY(),AK333=""),"Handwerker aufbieten – Frist verstrichen",IF(AND(ISNUMBER(AC333),AC333&lt;TODAY(),AO333=""),"Vertrag retour mahnen – Frist verstrichen",IF(AND(ISNUMBER(AD333),AD333&lt;TODAY(),AQ333=""),"Schlüsselübergabe nachtragen – Termin war fällig",IF(M333="","Haftungsdatum erfassen",IF(E333="","ex-Mieter erfassen",IF(AE333="","Kündigung bestätigen / G-Rem",IF(AF333="","Werke / EGT melden",IF(AG333="","Vorbesichtigung (oder n.e.)",IF(AH333="","VMZ aktualisieren",IF(AI333="","Inserat aufschalten",IF(AND(Z333="",AJ333=""),"Abnahmetermin vereinbaren",IF(AJ333="","Wohnungsabnahme durchführen",IF(AK333="","Handwerker aufbieten",IF(AL333="","Zustimmungserklärung einholen",IF(AM333="","Instandstellungen beauftragen",IF(R333="","Nachmieter erfassen",IF(AN333="","Vertrag versenden",IF(AO333="","Vertrag retour erfassen",IF(S333="","Vermietet per erfassen",IF(AP333="","Werke / EGT über Einzug informieren",IF(AND(AD333="",AQ333=""),"Schlüsselübergabe terminieren",IF(AQ333="","Schlüsselübergabe durchführen",IF(AR333="","Reinigung veranlassen",IF(AS333="","Namensschilder bestellen",IF(AT333="","Kaution prüfen / G-Rem mutieren",IF(AU333="","Instandstellungs-Rechnung erfassen",IF(AV333="","Schlussabrechnung erstellen",IF(AW333="","Zahlungseingang kontrollieren","Fall abschliessen"))))))))))))))))))))))))))))))))</f>
        <v/>
      </c>
      <c r="J333" s="17">
        <f>IF(M333="","",IF(S333&lt;&gt;"",MAX(0,S333-M333-1),MAX(0,TODAY()-M333)))</f>
        <v/>
      </c>
      <c r="K333" s="16">
        <f>IF($B333="","",TRIM(IF(AND(L333&lt;&gt;"",M333&lt;&gt;"",M333&lt;L333),"Haftungsdatum vor Kündigung. ","")&amp;IF(AND(S333&lt;&gt;"",M333&lt;&gt;"",S333&lt;M333),"Vermietung vor Leerstandsbeginn. ","")&amp;IF(AND(Z333&lt;&gt;"",L333&lt;&gt;"",Z333&lt;L333),"WA-Termin vor Kündigung. ","")&amp;IF(COUNTIFS($B$5:$B$404,$B333,$AY$5:$AY$404,"")&gt;1,"Zweiter offener Fall zum selben Objekt. ","")&amp;IF(AND($A333&lt;&gt;"",COUNTIFS($A$5:$A$404,$A333)&gt;1),"Fall-Nr. doppelt vergeben. ","")&amp;IF(E333="","ex-Mieter fehlt. ","")&amp;IF(M333="","Haftungsdatum fehlt. ","")&amp;IF(F333="","Bewirtschafter fehlt. ","")&amp;IF(AND(AY333&lt;&gt;"",AW333=""),"Abgeschlossen trotz offener Schlussabrechnung. ","")&amp;IF(AND(AY333="",S333="",ISNUMBER(J333),J333&gt;60),"Langläufer über 60 Tage. ","")))</f>
        <v/>
      </c>
      <c r="L333" s="18" t="n"/>
      <c r="M333" s="18" t="n"/>
      <c r="N333" s="19">
        <f>IF(M333="","",M333+1)</f>
        <v/>
      </c>
      <c r="O333" s="17">
        <f>IF(OR(L333="",M333=""),"",M333-L333)</f>
        <v/>
      </c>
      <c r="P333" s="16">
        <f>IF(M333="","",YEAR(M333+1)&amp;"-"&amp;TEXT(MONTH(M333+1),"00"))</f>
        <v/>
      </c>
      <c r="Q333" s="18" t="n"/>
      <c r="R333" s="15" t="n"/>
      <c r="S333" s="18" t="n"/>
      <c r="T333" s="16">
        <f>IF(U333="","",IF(LEFT(U333,1)="6","abgeschlossen",IF(OR(LEFT(U333,1)="1",LEFT(U333,1)="2"),"Kündigung &amp; Abnahme",IF(OR(LEFT(U333,1)="3",LEFT(U333,1)="4"),"Wiedervermietung","Schlussabrechnung"))))</f>
        <v/>
      </c>
      <c r="U333" s="16">
        <f>IF($B333="","",IF(AY333&lt;&gt;"","6 · abgeschlossen",IF(AW333&lt;&gt;"","5 · bereit zum Abschluss",IF(AT333&lt;&gt;"","5 · Schlussabrechnung",IF(AO333&lt;&gt;"","4 · Übergabe",IF(AM333&lt;&gt;"","3 · Neuvermietung",IF(M333&lt;&gt;"","2 · Abnahme &amp; Vermarktung","1 · Erfassung")))))))</f>
        <v/>
      </c>
      <c r="V333" s="15" t="n"/>
      <c r="W333" s="20" t="n"/>
      <c r="X333" s="15" t="n"/>
      <c r="Y333" s="15" t="n"/>
      <c r="Z333" s="18" t="n"/>
      <c r="AA333" s="19">
        <f>IF(M333="","",M333-30)</f>
        <v/>
      </c>
      <c r="AB333" s="19">
        <f>IF(ISNUMBER(AJ333),AJ333+3,"")</f>
        <v/>
      </c>
      <c r="AC333" s="18" t="n"/>
      <c r="AD333" s="18" t="n"/>
      <c r="AE333" s="18" t="n"/>
      <c r="AF333" s="18" t="n"/>
      <c r="AG333" s="18" t="n"/>
      <c r="AH333" s="18" t="n"/>
      <c r="AI333" s="18" t="n"/>
      <c r="AJ333" s="18" t="n"/>
      <c r="AK333" s="18" t="n"/>
      <c r="AL333" s="18" t="n"/>
      <c r="AM333" s="18" t="n"/>
      <c r="AN333" s="18" t="n"/>
      <c r="AO333" s="18" t="n"/>
      <c r="AP333" s="18" t="n"/>
      <c r="AQ333" s="18" t="n"/>
      <c r="AR333" s="18" t="n"/>
      <c r="AS333" s="18" t="n"/>
      <c r="AT333" s="18" t="n"/>
      <c r="AU333" s="18" t="n"/>
      <c r="AV333" s="18" t="n"/>
      <c r="AW333" s="18" t="n"/>
      <c r="AX333" s="18" t="n"/>
      <c r="AY333" s="18" t="n"/>
      <c r="AZ333" s="15" t="n"/>
    </row>
    <row r="334">
      <c r="A334" s="15" t="n"/>
      <c r="B334" s="15" t="n"/>
      <c r="C334" s="15" t="n"/>
      <c r="D334" s="15" t="n"/>
      <c r="E334" s="15" t="n"/>
      <c r="F334" s="15" t="n"/>
      <c r="G334" s="16">
        <f>IF(F334="","",IFERROR(INDEX(Stammdaten!$B$5:$B$24,MATCH(F334,Stammdaten!$A$5:$A$24,0)),"unbekannt"))</f>
        <v/>
      </c>
      <c r="H334" s="16">
        <f>IF($B334="","",IF(AY334&lt;&gt;"","abgeschlossen",IF(AND(ISNUMBER(AX334),AX334&gt;=TODAY()),"zurückgestellt",IF(OR(AND(ISNUMBER(AA334),AA334&lt;TODAY(),Z334="",AJ334=""),AND(ISNUMBER(Z334),Z334&lt;TODAY(),AJ334=""),AND(ISNUMBER(AB334),AB334&lt;TODAY(),AK334=""),AND(ISNUMBER(AC334),AC334&lt;TODAY(),AO334=""),AND(ISNUMBER(AD334),AD334&lt;TODAY(),AQ334="")),"überfällig","offen"))))</f>
        <v/>
      </c>
      <c r="I334" s="16">
        <f>IF($B334="","",IF(AY334&lt;&gt;"","—",IF(AND(ISNUMBER(AA334),AA334&lt;TODAY(),Z334="",AJ334=""),"Abnahmetermin vereinbaren – Sollfrist verstrichen",IF(AND(ISNUMBER(Z334),Z334&lt;TODAY(),AJ334=""),"Wohnungsabnahme nachtragen – Termin war fällig",IF(AND(ISNUMBER(AB334),AB334&lt;TODAY(),AK334=""),"Handwerker aufbieten – Frist verstrichen",IF(AND(ISNUMBER(AC334),AC334&lt;TODAY(),AO334=""),"Vertrag retour mahnen – Frist verstrichen",IF(AND(ISNUMBER(AD334),AD334&lt;TODAY(),AQ334=""),"Schlüsselübergabe nachtragen – Termin war fällig",IF(M334="","Haftungsdatum erfassen",IF(E334="","ex-Mieter erfassen",IF(AE334="","Kündigung bestätigen / G-Rem",IF(AF334="","Werke / EGT melden",IF(AG334="","Vorbesichtigung (oder n.e.)",IF(AH334="","VMZ aktualisieren",IF(AI334="","Inserat aufschalten",IF(AND(Z334="",AJ334=""),"Abnahmetermin vereinbaren",IF(AJ334="","Wohnungsabnahme durchführen",IF(AK334="","Handwerker aufbieten",IF(AL334="","Zustimmungserklärung einholen",IF(AM334="","Instandstellungen beauftragen",IF(R334="","Nachmieter erfassen",IF(AN334="","Vertrag versenden",IF(AO334="","Vertrag retour erfassen",IF(S334="","Vermietet per erfassen",IF(AP334="","Werke / EGT über Einzug informieren",IF(AND(AD334="",AQ334=""),"Schlüsselübergabe terminieren",IF(AQ334="","Schlüsselübergabe durchführen",IF(AR334="","Reinigung veranlassen",IF(AS334="","Namensschilder bestellen",IF(AT334="","Kaution prüfen / G-Rem mutieren",IF(AU334="","Instandstellungs-Rechnung erfassen",IF(AV334="","Schlussabrechnung erstellen",IF(AW334="","Zahlungseingang kontrollieren","Fall abschliessen"))))))))))))))))))))))))))))))))</f>
        <v/>
      </c>
      <c r="J334" s="17">
        <f>IF(M334="","",IF(S334&lt;&gt;"",MAX(0,S334-M334-1),MAX(0,TODAY()-M334)))</f>
        <v/>
      </c>
      <c r="K334" s="16">
        <f>IF($B334="","",TRIM(IF(AND(L334&lt;&gt;"",M334&lt;&gt;"",M334&lt;L334),"Haftungsdatum vor Kündigung. ","")&amp;IF(AND(S334&lt;&gt;"",M334&lt;&gt;"",S334&lt;M334),"Vermietung vor Leerstandsbeginn. ","")&amp;IF(AND(Z334&lt;&gt;"",L334&lt;&gt;"",Z334&lt;L334),"WA-Termin vor Kündigung. ","")&amp;IF(COUNTIFS($B$5:$B$404,$B334,$AY$5:$AY$404,"")&gt;1,"Zweiter offener Fall zum selben Objekt. ","")&amp;IF(AND($A334&lt;&gt;"",COUNTIFS($A$5:$A$404,$A334)&gt;1),"Fall-Nr. doppelt vergeben. ","")&amp;IF(E334="","ex-Mieter fehlt. ","")&amp;IF(M334="","Haftungsdatum fehlt. ","")&amp;IF(F334="","Bewirtschafter fehlt. ","")&amp;IF(AND(AY334&lt;&gt;"",AW334=""),"Abgeschlossen trotz offener Schlussabrechnung. ","")&amp;IF(AND(AY334="",S334="",ISNUMBER(J334),J334&gt;60),"Langläufer über 60 Tage. ","")))</f>
        <v/>
      </c>
      <c r="L334" s="18" t="n"/>
      <c r="M334" s="18" t="n"/>
      <c r="N334" s="19">
        <f>IF(M334="","",M334+1)</f>
        <v/>
      </c>
      <c r="O334" s="17">
        <f>IF(OR(L334="",M334=""),"",M334-L334)</f>
        <v/>
      </c>
      <c r="P334" s="16">
        <f>IF(M334="","",YEAR(M334+1)&amp;"-"&amp;TEXT(MONTH(M334+1),"00"))</f>
        <v/>
      </c>
      <c r="Q334" s="18" t="n"/>
      <c r="R334" s="15" t="n"/>
      <c r="S334" s="18" t="n"/>
      <c r="T334" s="16">
        <f>IF(U334="","",IF(LEFT(U334,1)="6","abgeschlossen",IF(OR(LEFT(U334,1)="1",LEFT(U334,1)="2"),"Kündigung &amp; Abnahme",IF(OR(LEFT(U334,1)="3",LEFT(U334,1)="4"),"Wiedervermietung","Schlussabrechnung"))))</f>
        <v/>
      </c>
      <c r="U334" s="16">
        <f>IF($B334="","",IF(AY334&lt;&gt;"","6 · abgeschlossen",IF(AW334&lt;&gt;"","5 · bereit zum Abschluss",IF(AT334&lt;&gt;"","5 · Schlussabrechnung",IF(AO334&lt;&gt;"","4 · Übergabe",IF(AM334&lt;&gt;"","3 · Neuvermietung",IF(M334&lt;&gt;"","2 · Abnahme &amp; Vermarktung","1 · Erfassung")))))))</f>
        <v/>
      </c>
      <c r="V334" s="15" t="n"/>
      <c r="W334" s="20" t="n"/>
      <c r="X334" s="15" t="n"/>
      <c r="Y334" s="15" t="n"/>
      <c r="Z334" s="18" t="n"/>
      <c r="AA334" s="19">
        <f>IF(M334="","",M334-30)</f>
        <v/>
      </c>
      <c r="AB334" s="19">
        <f>IF(ISNUMBER(AJ334),AJ334+3,"")</f>
        <v/>
      </c>
      <c r="AC334" s="18" t="n"/>
      <c r="AD334" s="18" t="n"/>
      <c r="AE334" s="18" t="n"/>
      <c r="AF334" s="18" t="n"/>
      <c r="AG334" s="18" t="n"/>
      <c r="AH334" s="18" t="n"/>
      <c r="AI334" s="18" t="n"/>
      <c r="AJ334" s="18" t="n"/>
      <c r="AK334" s="18" t="n"/>
      <c r="AL334" s="18" t="n"/>
      <c r="AM334" s="18" t="n"/>
      <c r="AN334" s="18" t="n"/>
      <c r="AO334" s="18" t="n"/>
      <c r="AP334" s="18" t="n"/>
      <c r="AQ334" s="18" t="n"/>
      <c r="AR334" s="18" t="n"/>
      <c r="AS334" s="18" t="n"/>
      <c r="AT334" s="18" t="n"/>
      <c r="AU334" s="18" t="n"/>
      <c r="AV334" s="18" t="n"/>
      <c r="AW334" s="18" t="n"/>
      <c r="AX334" s="18" t="n"/>
      <c r="AY334" s="18" t="n"/>
      <c r="AZ334" s="15" t="n"/>
    </row>
    <row r="335">
      <c r="A335" s="15" t="n"/>
      <c r="B335" s="15" t="n"/>
      <c r="C335" s="15" t="n"/>
      <c r="D335" s="15" t="n"/>
      <c r="E335" s="15" t="n"/>
      <c r="F335" s="15" t="n"/>
      <c r="G335" s="16">
        <f>IF(F335="","",IFERROR(INDEX(Stammdaten!$B$5:$B$24,MATCH(F335,Stammdaten!$A$5:$A$24,0)),"unbekannt"))</f>
        <v/>
      </c>
      <c r="H335" s="16">
        <f>IF($B335="","",IF(AY335&lt;&gt;"","abgeschlossen",IF(AND(ISNUMBER(AX335),AX335&gt;=TODAY()),"zurückgestellt",IF(OR(AND(ISNUMBER(AA335),AA335&lt;TODAY(),Z335="",AJ335=""),AND(ISNUMBER(Z335),Z335&lt;TODAY(),AJ335=""),AND(ISNUMBER(AB335),AB335&lt;TODAY(),AK335=""),AND(ISNUMBER(AC335),AC335&lt;TODAY(),AO335=""),AND(ISNUMBER(AD335),AD335&lt;TODAY(),AQ335="")),"überfällig","offen"))))</f>
        <v/>
      </c>
      <c r="I335" s="16">
        <f>IF($B335="","",IF(AY335&lt;&gt;"","—",IF(AND(ISNUMBER(AA335),AA335&lt;TODAY(),Z335="",AJ335=""),"Abnahmetermin vereinbaren – Sollfrist verstrichen",IF(AND(ISNUMBER(Z335),Z335&lt;TODAY(),AJ335=""),"Wohnungsabnahme nachtragen – Termin war fällig",IF(AND(ISNUMBER(AB335),AB335&lt;TODAY(),AK335=""),"Handwerker aufbieten – Frist verstrichen",IF(AND(ISNUMBER(AC335),AC335&lt;TODAY(),AO335=""),"Vertrag retour mahnen – Frist verstrichen",IF(AND(ISNUMBER(AD335),AD335&lt;TODAY(),AQ335=""),"Schlüsselübergabe nachtragen – Termin war fällig",IF(M335="","Haftungsdatum erfassen",IF(E335="","ex-Mieter erfassen",IF(AE335="","Kündigung bestätigen / G-Rem",IF(AF335="","Werke / EGT melden",IF(AG335="","Vorbesichtigung (oder n.e.)",IF(AH335="","VMZ aktualisieren",IF(AI335="","Inserat aufschalten",IF(AND(Z335="",AJ335=""),"Abnahmetermin vereinbaren",IF(AJ335="","Wohnungsabnahme durchführen",IF(AK335="","Handwerker aufbieten",IF(AL335="","Zustimmungserklärung einholen",IF(AM335="","Instandstellungen beauftragen",IF(R335="","Nachmieter erfassen",IF(AN335="","Vertrag versenden",IF(AO335="","Vertrag retour erfassen",IF(S335="","Vermietet per erfassen",IF(AP335="","Werke / EGT über Einzug informieren",IF(AND(AD335="",AQ335=""),"Schlüsselübergabe terminieren",IF(AQ335="","Schlüsselübergabe durchführen",IF(AR335="","Reinigung veranlassen",IF(AS335="","Namensschilder bestellen",IF(AT335="","Kaution prüfen / G-Rem mutieren",IF(AU335="","Instandstellungs-Rechnung erfassen",IF(AV335="","Schlussabrechnung erstellen",IF(AW335="","Zahlungseingang kontrollieren","Fall abschliessen"))))))))))))))))))))))))))))))))</f>
        <v/>
      </c>
      <c r="J335" s="17">
        <f>IF(M335="","",IF(S335&lt;&gt;"",MAX(0,S335-M335-1),MAX(0,TODAY()-M335)))</f>
        <v/>
      </c>
      <c r="K335" s="16">
        <f>IF($B335="","",TRIM(IF(AND(L335&lt;&gt;"",M335&lt;&gt;"",M335&lt;L335),"Haftungsdatum vor Kündigung. ","")&amp;IF(AND(S335&lt;&gt;"",M335&lt;&gt;"",S335&lt;M335),"Vermietung vor Leerstandsbeginn. ","")&amp;IF(AND(Z335&lt;&gt;"",L335&lt;&gt;"",Z335&lt;L335),"WA-Termin vor Kündigung. ","")&amp;IF(COUNTIFS($B$5:$B$404,$B335,$AY$5:$AY$404,"")&gt;1,"Zweiter offener Fall zum selben Objekt. ","")&amp;IF(AND($A335&lt;&gt;"",COUNTIFS($A$5:$A$404,$A335)&gt;1),"Fall-Nr. doppelt vergeben. ","")&amp;IF(E335="","ex-Mieter fehlt. ","")&amp;IF(M335="","Haftungsdatum fehlt. ","")&amp;IF(F335="","Bewirtschafter fehlt. ","")&amp;IF(AND(AY335&lt;&gt;"",AW335=""),"Abgeschlossen trotz offener Schlussabrechnung. ","")&amp;IF(AND(AY335="",S335="",ISNUMBER(J335),J335&gt;60),"Langläufer über 60 Tage. ","")))</f>
        <v/>
      </c>
      <c r="L335" s="18" t="n"/>
      <c r="M335" s="18" t="n"/>
      <c r="N335" s="19">
        <f>IF(M335="","",M335+1)</f>
        <v/>
      </c>
      <c r="O335" s="17">
        <f>IF(OR(L335="",M335=""),"",M335-L335)</f>
        <v/>
      </c>
      <c r="P335" s="16">
        <f>IF(M335="","",YEAR(M335+1)&amp;"-"&amp;TEXT(MONTH(M335+1),"00"))</f>
        <v/>
      </c>
      <c r="Q335" s="18" t="n"/>
      <c r="R335" s="15" t="n"/>
      <c r="S335" s="18" t="n"/>
      <c r="T335" s="16">
        <f>IF(U335="","",IF(LEFT(U335,1)="6","abgeschlossen",IF(OR(LEFT(U335,1)="1",LEFT(U335,1)="2"),"Kündigung &amp; Abnahme",IF(OR(LEFT(U335,1)="3",LEFT(U335,1)="4"),"Wiedervermietung","Schlussabrechnung"))))</f>
        <v/>
      </c>
      <c r="U335" s="16">
        <f>IF($B335="","",IF(AY335&lt;&gt;"","6 · abgeschlossen",IF(AW335&lt;&gt;"","5 · bereit zum Abschluss",IF(AT335&lt;&gt;"","5 · Schlussabrechnung",IF(AO335&lt;&gt;"","4 · Übergabe",IF(AM335&lt;&gt;"","3 · Neuvermietung",IF(M335&lt;&gt;"","2 · Abnahme &amp; Vermarktung","1 · Erfassung")))))))</f>
        <v/>
      </c>
      <c r="V335" s="15" t="n"/>
      <c r="W335" s="20" t="n"/>
      <c r="X335" s="15" t="n"/>
      <c r="Y335" s="15" t="n"/>
      <c r="Z335" s="18" t="n"/>
      <c r="AA335" s="19">
        <f>IF(M335="","",M335-30)</f>
        <v/>
      </c>
      <c r="AB335" s="19">
        <f>IF(ISNUMBER(AJ335),AJ335+3,"")</f>
        <v/>
      </c>
      <c r="AC335" s="18" t="n"/>
      <c r="AD335" s="18" t="n"/>
      <c r="AE335" s="18" t="n"/>
      <c r="AF335" s="18" t="n"/>
      <c r="AG335" s="18" t="n"/>
      <c r="AH335" s="18" t="n"/>
      <c r="AI335" s="18" t="n"/>
      <c r="AJ335" s="18" t="n"/>
      <c r="AK335" s="18" t="n"/>
      <c r="AL335" s="18" t="n"/>
      <c r="AM335" s="18" t="n"/>
      <c r="AN335" s="18" t="n"/>
      <c r="AO335" s="18" t="n"/>
      <c r="AP335" s="18" t="n"/>
      <c r="AQ335" s="18" t="n"/>
      <c r="AR335" s="18" t="n"/>
      <c r="AS335" s="18" t="n"/>
      <c r="AT335" s="18" t="n"/>
      <c r="AU335" s="18" t="n"/>
      <c r="AV335" s="18" t="n"/>
      <c r="AW335" s="18" t="n"/>
      <c r="AX335" s="18" t="n"/>
      <c r="AY335" s="18" t="n"/>
      <c r="AZ335" s="15" t="n"/>
    </row>
    <row r="336">
      <c r="A336" s="15" t="n"/>
      <c r="B336" s="15" t="n"/>
      <c r="C336" s="15" t="n"/>
      <c r="D336" s="15" t="n"/>
      <c r="E336" s="15" t="n"/>
      <c r="F336" s="15" t="n"/>
      <c r="G336" s="16">
        <f>IF(F336="","",IFERROR(INDEX(Stammdaten!$B$5:$B$24,MATCH(F336,Stammdaten!$A$5:$A$24,0)),"unbekannt"))</f>
        <v/>
      </c>
      <c r="H336" s="16">
        <f>IF($B336="","",IF(AY336&lt;&gt;"","abgeschlossen",IF(AND(ISNUMBER(AX336),AX336&gt;=TODAY()),"zurückgestellt",IF(OR(AND(ISNUMBER(AA336),AA336&lt;TODAY(),Z336="",AJ336=""),AND(ISNUMBER(Z336),Z336&lt;TODAY(),AJ336=""),AND(ISNUMBER(AB336),AB336&lt;TODAY(),AK336=""),AND(ISNUMBER(AC336),AC336&lt;TODAY(),AO336=""),AND(ISNUMBER(AD336),AD336&lt;TODAY(),AQ336="")),"überfällig","offen"))))</f>
        <v/>
      </c>
      <c r="I336" s="16">
        <f>IF($B336="","",IF(AY336&lt;&gt;"","—",IF(AND(ISNUMBER(AA336),AA336&lt;TODAY(),Z336="",AJ336=""),"Abnahmetermin vereinbaren – Sollfrist verstrichen",IF(AND(ISNUMBER(Z336),Z336&lt;TODAY(),AJ336=""),"Wohnungsabnahme nachtragen – Termin war fällig",IF(AND(ISNUMBER(AB336),AB336&lt;TODAY(),AK336=""),"Handwerker aufbieten – Frist verstrichen",IF(AND(ISNUMBER(AC336),AC336&lt;TODAY(),AO336=""),"Vertrag retour mahnen – Frist verstrichen",IF(AND(ISNUMBER(AD336),AD336&lt;TODAY(),AQ336=""),"Schlüsselübergabe nachtragen – Termin war fällig",IF(M336="","Haftungsdatum erfassen",IF(E336="","ex-Mieter erfassen",IF(AE336="","Kündigung bestätigen / G-Rem",IF(AF336="","Werke / EGT melden",IF(AG336="","Vorbesichtigung (oder n.e.)",IF(AH336="","VMZ aktualisieren",IF(AI336="","Inserat aufschalten",IF(AND(Z336="",AJ336=""),"Abnahmetermin vereinbaren",IF(AJ336="","Wohnungsabnahme durchführen",IF(AK336="","Handwerker aufbieten",IF(AL336="","Zustimmungserklärung einholen",IF(AM336="","Instandstellungen beauftragen",IF(R336="","Nachmieter erfassen",IF(AN336="","Vertrag versenden",IF(AO336="","Vertrag retour erfassen",IF(S336="","Vermietet per erfassen",IF(AP336="","Werke / EGT über Einzug informieren",IF(AND(AD336="",AQ336=""),"Schlüsselübergabe terminieren",IF(AQ336="","Schlüsselübergabe durchführen",IF(AR336="","Reinigung veranlassen",IF(AS336="","Namensschilder bestellen",IF(AT336="","Kaution prüfen / G-Rem mutieren",IF(AU336="","Instandstellungs-Rechnung erfassen",IF(AV336="","Schlussabrechnung erstellen",IF(AW336="","Zahlungseingang kontrollieren","Fall abschliessen"))))))))))))))))))))))))))))))))</f>
        <v/>
      </c>
      <c r="J336" s="17">
        <f>IF(M336="","",IF(S336&lt;&gt;"",MAX(0,S336-M336-1),MAX(0,TODAY()-M336)))</f>
        <v/>
      </c>
      <c r="K336" s="16">
        <f>IF($B336="","",TRIM(IF(AND(L336&lt;&gt;"",M336&lt;&gt;"",M336&lt;L336),"Haftungsdatum vor Kündigung. ","")&amp;IF(AND(S336&lt;&gt;"",M336&lt;&gt;"",S336&lt;M336),"Vermietung vor Leerstandsbeginn. ","")&amp;IF(AND(Z336&lt;&gt;"",L336&lt;&gt;"",Z336&lt;L336),"WA-Termin vor Kündigung. ","")&amp;IF(COUNTIFS($B$5:$B$404,$B336,$AY$5:$AY$404,"")&gt;1,"Zweiter offener Fall zum selben Objekt. ","")&amp;IF(AND($A336&lt;&gt;"",COUNTIFS($A$5:$A$404,$A336)&gt;1),"Fall-Nr. doppelt vergeben. ","")&amp;IF(E336="","ex-Mieter fehlt. ","")&amp;IF(M336="","Haftungsdatum fehlt. ","")&amp;IF(F336="","Bewirtschafter fehlt. ","")&amp;IF(AND(AY336&lt;&gt;"",AW336=""),"Abgeschlossen trotz offener Schlussabrechnung. ","")&amp;IF(AND(AY336="",S336="",ISNUMBER(J336),J336&gt;60),"Langläufer über 60 Tage. ","")))</f>
        <v/>
      </c>
      <c r="L336" s="18" t="n"/>
      <c r="M336" s="18" t="n"/>
      <c r="N336" s="19">
        <f>IF(M336="","",M336+1)</f>
        <v/>
      </c>
      <c r="O336" s="17">
        <f>IF(OR(L336="",M336=""),"",M336-L336)</f>
        <v/>
      </c>
      <c r="P336" s="16">
        <f>IF(M336="","",YEAR(M336+1)&amp;"-"&amp;TEXT(MONTH(M336+1),"00"))</f>
        <v/>
      </c>
      <c r="Q336" s="18" t="n"/>
      <c r="R336" s="15" t="n"/>
      <c r="S336" s="18" t="n"/>
      <c r="T336" s="16">
        <f>IF(U336="","",IF(LEFT(U336,1)="6","abgeschlossen",IF(OR(LEFT(U336,1)="1",LEFT(U336,1)="2"),"Kündigung &amp; Abnahme",IF(OR(LEFT(U336,1)="3",LEFT(U336,1)="4"),"Wiedervermietung","Schlussabrechnung"))))</f>
        <v/>
      </c>
      <c r="U336" s="16">
        <f>IF($B336="","",IF(AY336&lt;&gt;"","6 · abgeschlossen",IF(AW336&lt;&gt;"","5 · bereit zum Abschluss",IF(AT336&lt;&gt;"","5 · Schlussabrechnung",IF(AO336&lt;&gt;"","4 · Übergabe",IF(AM336&lt;&gt;"","3 · Neuvermietung",IF(M336&lt;&gt;"","2 · Abnahme &amp; Vermarktung","1 · Erfassung")))))))</f>
        <v/>
      </c>
      <c r="V336" s="15" t="n"/>
      <c r="W336" s="20" t="n"/>
      <c r="X336" s="15" t="n"/>
      <c r="Y336" s="15" t="n"/>
      <c r="Z336" s="18" t="n"/>
      <c r="AA336" s="19">
        <f>IF(M336="","",M336-30)</f>
        <v/>
      </c>
      <c r="AB336" s="19">
        <f>IF(ISNUMBER(AJ336),AJ336+3,"")</f>
        <v/>
      </c>
      <c r="AC336" s="18" t="n"/>
      <c r="AD336" s="18" t="n"/>
      <c r="AE336" s="18" t="n"/>
      <c r="AF336" s="18" t="n"/>
      <c r="AG336" s="18" t="n"/>
      <c r="AH336" s="18" t="n"/>
      <c r="AI336" s="18" t="n"/>
      <c r="AJ336" s="18" t="n"/>
      <c r="AK336" s="18" t="n"/>
      <c r="AL336" s="18" t="n"/>
      <c r="AM336" s="18" t="n"/>
      <c r="AN336" s="18" t="n"/>
      <c r="AO336" s="18" t="n"/>
      <c r="AP336" s="18" t="n"/>
      <c r="AQ336" s="18" t="n"/>
      <c r="AR336" s="18" t="n"/>
      <c r="AS336" s="18" t="n"/>
      <c r="AT336" s="18" t="n"/>
      <c r="AU336" s="18" t="n"/>
      <c r="AV336" s="18" t="n"/>
      <c r="AW336" s="18" t="n"/>
      <c r="AX336" s="18" t="n"/>
      <c r="AY336" s="18" t="n"/>
      <c r="AZ336" s="15" t="n"/>
    </row>
    <row r="337">
      <c r="A337" s="15" t="n"/>
      <c r="B337" s="15" t="n"/>
      <c r="C337" s="15" t="n"/>
      <c r="D337" s="15" t="n"/>
      <c r="E337" s="15" t="n"/>
      <c r="F337" s="15" t="n"/>
      <c r="G337" s="16">
        <f>IF(F337="","",IFERROR(INDEX(Stammdaten!$B$5:$B$24,MATCH(F337,Stammdaten!$A$5:$A$24,0)),"unbekannt"))</f>
        <v/>
      </c>
      <c r="H337" s="16">
        <f>IF($B337="","",IF(AY337&lt;&gt;"","abgeschlossen",IF(AND(ISNUMBER(AX337),AX337&gt;=TODAY()),"zurückgestellt",IF(OR(AND(ISNUMBER(AA337),AA337&lt;TODAY(),Z337="",AJ337=""),AND(ISNUMBER(Z337),Z337&lt;TODAY(),AJ337=""),AND(ISNUMBER(AB337),AB337&lt;TODAY(),AK337=""),AND(ISNUMBER(AC337),AC337&lt;TODAY(),AO337=""),AND(ISNUMBER(AD337),AD337&lt;TODAY(),AQ337="")),"überfällig","offen"))))</f>
        <v/>
      </c>
      <c r="I337" s="16">
        <f>IF($B337="","",IF(AY337&lt;&gt;"","—",IF(AND(ISNUMBER(AA337),AA337&lt;TODAY(),Z337="",AJ337=""),"Abnahmetermin vereinbaren – Sollfrist verstrichen",IF(AND(ISNUMBER(Z337),Z337&lt;TODAY(),AJ337=""),"Wohnungsabnahme nachtragen – Termin war fällig",IF(AND(ISNUMBER(AB337),AB337&lt;TODAY(),AK337=""),"Handwerker aufbieten – Frist verstrichen",IF(AND(ISNUMBER(AC337),AC337&lt;TODAY(),AO337=""),"Vertrag retour mahnen – Frist verstrichen",IF(AND(ISNUMBER(AD337),AD337&lt;TODAY(),AQ337=""),"Schlüsselübergabe nachtragen – Termin war fällig",IF(M337="","Haftungsdatum erfassen",IF(E337="","ex-Mieter erfassen",IF(AE337="","Kündigung bestätigen / G-Rem",IF(AF337="","Werke / EGT melden",IF(AG337="","Vorbesichtigung (oder n.e.)",IF(AH337="","VMZ aktualisieren",IF(AI337="","Inserat aufschalten",IF(AND(Z337="",AJ337=""),"Abnahmetermin vereinbaren",IF(AJ337="","Wohnungsabnahme durchführen",IF(AK337="","Handwerker aufbieten",IF(AL337="","Zustimmungserklärung einholen",IF(AM337="","Instandstellungen beauftragen",IF(R337="","Nachmieter erfassen",IF(AN337="","Vertrag versenden",IF(AO337="","Vertrag retour erfassen",IF(S337="","Vermietet per erfassen",IF(AP337="","Werke / EGT über Einzug informieren",IF(AND(AD337="",AQ337=""),"Schlüsselübergabe terminieren",IF(AQ337="","Schlüsselübergabe durchführen",IF(AR337="","Reinigung veranlassen",IF(AS337="","Namensschilder bestellen",IF(AT337="","Kaution prüfen / G-Rem mutieren",IF(AU337="","Instandstellungs-Rechnung erfassen",IF(AV337="","Schlussabrechnung erstellen",IF(AW337="","Zahlungseingang kontrollieren","Fall abschliessen"))))))))))))))))))))))))))))))))</f>
        <v/>
      </c>
      <c r="J337" s="17">
        <f>IF(M337="","",IF(S337&lt;&gt;"",MAX(0,S337-M337-1),MAX(0,TODAY()-M337)))</f>
        <v/>
      </c>
      <c r="K337" s="16">
        <f>IF($B337="","",TRIM(IF(AND(L337&lt;&gt;"",M337&lt;&gt;"",M337&lt;L337),"Haftungsdatum vor Kündigung. ","")&amp;IF(AND(S337&lt;&gt;"",M337&lt;&gt;"",S337&lt;M337),"Vermietung vor Leerstandsbeginn. ","")&amp;IF(AND(Z337&lt;&gt;"",L337&lt;&gt;"",Z337&lt;L337),"WA-Termin vor Kündigung. ","")&amp;IF(COUNTIFS($B$5:$B$404,$B337,$AY$5:$AY$404,"")&gt;1,"Zweiter offener Fall zum selben Objekt. ","")&amp;IF(AND($A337&lt;&gt;"",COUNTIFS($A$5:$A$404,$A337)&gt;1),"Fall-Nr. doppelt vergeben. ","")&amp;IF(E337="","ex-Mieter fehlt. ","")&amp;IF(M337="","Haftungsdatum fehlt. ","")&amp;IF(F337="","Bewirtschafter fehlt. ","")&amp;IF(AND(AY337&lt;&gt;"",AW337=""),"Abgeschlossen trotz offener Schlussabrechnung. ","")&amp;IF(AND(AY337="",S337="",ISNUMBER(J337),J337&gt;60),"Langläufer über 60 Tage. ","")))</f>
        <v/>
      </c>
      <c r="L337" s="18" t="n"/>
      <c r="M337" s="18" t="n"/>
      <c r="N337" s="19">
        <f>IF(M337="","",M337+1)</f>
        <v/>
      </c>
      <c r="O337" s="17">
        <f>IF(OR(L337="",M337=""),"",M337-L337)</f>
        <v/>
      </c>
      <c r="P337" s="16">
        <f>IF(M337="","",YEAR(M337+1)&amp;"-"&amp;TEXT(MONTH(M337+1),"00"))</f>
        <v/>
      </c>
      <c r="Q337" s="18" t="n"/>
      <c r="R337" s="15" t="n"/>
      <c r="S337" s="18" t="n"/>
      <c r="T337" s="16">
        <f>IF(U337="","",IF(LEFT(U337,1)="6","abgeschlossen",IF(OR(LEFT(U337,1)="1",LEFT(U337,1)="2"),"Kündigung &amp; Abnahme",IF(OR(LEFT(U337,1)="3",LEFT(U337,1)="4"),"Wiedervermietung","Schlussabrechnung"))))</f>
        <v/>
      </c>
      <c r="U337" s="16">
        <f>IF($B337="","",IF(AY337&lt;&gt;"","6 · abgeschlossen",IF(AW337&lt;&gt;"","5 · bereit zum Abschluss",IF(AT337&lt;&gt;"","5 · Schlussabrechnung",IF(AO337&lt;&gt;"","4 · Übergabe",IF(AM337&lt;&gt;"","3 · Neuvermietung",IF(M337&lt;&gt;"","2 · Abnahme &amp; Vermarktung","1 · Erfassung")))))))</f>
        <v/>
      </c>
      <c r="V337" s="15" t="n"/>
      <c r="W337" s="20" t="n"/>
      <c r="X337" s="15" t="n"/>
      <c r="Y337" s="15" t="n"/>
      <c r="Z337" s="18" t="n"/>
      <c r="AA337" s="19">
        <f>IF(M337="","",M337-30)</f>
        <v/>
      </c>
      <c r="AB337" s="19">
        <f>IF(ISNUMBER(AJ337),AJ337+3,"")</f>
        <v/>
      </c>
      <c r="AC337" s="18" t="n"/>
      <c r="AD337" s="18" t="n"/>
      <c r="AE337" s="18" t="n"/>
      <c r="AF337" s="18" t="n"/>
      <c r="AG337" s="18" t="n"/>
      <c r="AH337" s="18" t="n"/>
      <c r="AI337" s="18" t="n"/>
      <c r="AJ337" s="18" t="n"/>
      <c r="AK337" s="18" t="n"/>
      <c r="AL337" s="18" t="n"/>
      <c r="AM337" s="18" t="n"/>
      <c r="AN337" s="18" t="n"/>
      <c r="AO337" s="18" t="n"/>
      <c r="AP337" s="18" t="n"/>
      <c r="AQ337" s="18" t="n"/>
      <c r="AR337" s="18" t="n"/>
      <c r="AS337" s="18" t="n"/>
      <c r="AT337" s="18" t="n"/>
      <c r="AU337" s="18" t="n"/>
      <c r="AV337" s="18" t="n"/>
      <c r="AW337" s="18" t="n"/>
      <c r="AX337" s="18" t="n"/>
      <c r="AY337" s="18" t="n"/>
      <c r="AZ337" s="15" t="n"/>
    </row>
    <row r="338">
      <c r="A338" s="15" t="n"/>
      <c r="B338" s="15" t="n"/>
      <c r="C338" s="15" t="n"/>
      <c r="D338" s="15" t="n"/>
      <c r="E338" s="15" t="n"/>
      <c r="F338" s="15" t="n"/>
      <c r="G338" s="16">
        <f>IF(F338="","",IFERROR(INDEX(Stammdaten!$B$5:$B$24,MATCH(F338,Stammdaten!$A$5:$A$24,0)),"unbekannt"))</f>
        <v/>
      </c>
      <c r="H338" s="16">
        <f>IF($B338="","",IF(AY338&lt;&gt;"","abgeschlossen",IF(AND(ISNUMBER(AX338),AX338&gt;=TODAY()),"zurückgestellt",IF(OR(AND(ISNUMBER(AA338),AA338&lt;TODAY(),Z338="",AJ338=""),AND(ISNUMBER(Z338),Z338&lt;TODAY(),AJ338=""),AND(ISNUMBER(AB338),AB338&lt;TODAY(),AK338=""),AND(ISNUMBER(AC338),AC338&lt;TODAY(),AO338=""),AND(ISNUMBER(AD338),AD338&lt;TODAY(),AQ338="")),"überfällig","offen"))))</f>
        <v/>
      </c>
      <c r="I338" s="16">
        <f>IF($B338="","",IF(AY338&lt;&gt;"","—",IF(AND(ISNUMBER(AA338),AA338&lt;TODAY(),Z338="",AJ338=""),"Abnahmetermin vereinbaren – Sollfrist verstrichen",IF(AND(ISNUMBER(Z338),Z338&lt;TODAY(),AJ338=""),"Wohnungsabnahme nachtragen – Termin war fällig",IF(AND(ISNUMBER(AB338),AB338&lt;TODAY(),AK338=""),"Handwerker aufbieten – Frist verstrichen",IF(AND(ISNUMBER(AC338),AC338&lt;TODAY(),AO338=""),"Vertrag retour mahnen – Frist verstrichen",IF(AND(ISNUMBER(AD338),AD338&lt;TODAY(),AQ338=""),"Schlüsselübergabe nachtragen – Termin war fällig",IF(M338="","Haftungsdatum erfassen",IF(E338="","ex-Mieter erfassen",IF(AE338="","Kündigung bestätigen / G-Rem",IF(AF338="","Werke / EGT melden",IF(AG338="","Vorbesichtigung (oder n.e.)",IF(AH338="","VMZ aktualisieren",IF(AI338="","Inserat aufschalten",IF(AND(Z338="",AJ338=""),"Abnahmetermin vereinbaren",IF(AJ338="","Wohnungsabnahme durchführen",IF(AK338="","Handwerker aufbieten",IF(AL338="","Zustimmungserklärung einholen",IF(AM338="","Instandstellungen beauftragen",IF(R338="","Nachmieter erfassen",IF(AN338="","Vertrag versenden",IF(AO338="","Vertrag retour erfassen",IF(S338="","Vermietet per erfassen",IF(AP338="","Werke / EGT über Einzug informieren",IF(AND(AD338="",AQ338=""),"Schlüsselübergabe terminieren",IF(AQ338="","Schlüsselübergabe durchführen",IF(AR338="","Reinigung veranlassen",IF(AS338="","Namensschilder bestellen",IF(AT338="","Kaution prüfen / G-Rem mutieren",IF(AU338="","Instandstellungs-Rechnung erfassen",IF(AV338="","Schlussabrechnung erstellen",IF(AW338="","Zahlungseingang kontrollieren","Fall abschliessen"))))))))))))))))))))))))))))))))</f>
        <v/>
      </c>
      <c r="J338" s="17">
        <f>IF(M338="","",IF(S338&lt;&gt;"",MAX(0,S338-M338-1),MAX(0,TODAY()-M338)))</f>
        <v/>
      </c>
      <c r="K338" s="16">
        <f>IF($B338="","",TRIM(IF(AND(L338&lt;&gt;"",M338&lt;&gt;"",M338&lt;L338),"Haftungsdatum vor Kündigung. ","")&amp;IF(AND(S338&lt;&gt;"",M338&lt;&gt;"",S338&lt;M338),"Vermietung vor Leerstandsbeginn. ","")&amp;IF(AND(Z338&lt;&gt;"",L338&lt;&gt;"",Z338&lt;L338),"WA-Termin vor Kündigung. ","")&amp;IF(COUNTIFS($B$5:$B$404,$B338,$AY$5:$AY$404,"")&gt;1,"Zweiter offener Fall zum selben Objekt. ","")&amp;IF(AND($A338&lt;&gt;"",COUNTIFS($A$5:$A$404,$A338)&gt;1),"Fall-Nr. doppelt vergeben. ","")&amp;IF(E338="","ex-Mieter fehlt. ","")&amp;IF(M338="","Haftungsdatum fehlt. ","")&amp;IF(F338="","Bewirtschafter fehlt. ","")&amp;IF(AND(AY338&lt;&gt;"",AW338=""),"Abgeschlossen trotz offener Schlussabrechnung. ","")&amp;IF(AND(AY338="",S338="",ISNUMBER(J338),J338&gt;60),"Langläufer über 60 Tage. ","")))</f>
        <v/>
      </c>
      <c r="L338" s="18" t="n"/>
      <c r="M338" s="18" t="n"/>
      <c r="N338" s="19">
        <f>IF(M338="","",M338+1)</f>
        <v/>
      </c>
      <c r="O338" s="17">
        <f>IF(OR(L338="",M338=""),"",M338-L338)</f>
        <v/>
      </c>
      <c r="P338" s="16">
        <f>IF(M338="","",YEAR(M338+1)&amp;"-"&amp;TEXT(MONTH(M338+1),"00"))</f>
        <v/>
      </c>
      <c r="Q338" s="18" t="n"/>
      <c r="R338" s="15" t="n"/>
      <c r="S338" s="18" t="n"/>
      <c r="T338" s="16">
        <f>IF(U338="","",IF(LEFT(U338,1)="6","abgeschlossen",IF(OR(LEFT(U338,1)="1",LEFT(U338,1)="2"),"Kündigung &amp; Abnahme",IF(OR(LEFT(U338,1)="3",LEFT(U338,1)="4"),"Wiedervermietung","Schlussabrechnung"))))</f>
        <v/>
      </c>
      <c r="U338" s="16">
        <f>IF($B338="","",IF(AY338&lt;&gt;"","6 · abgeschlossen",IF(AW338&lt;&gt;"","5 · bereit zum Abschluss",IF(AT338&lt;&gt;"","5 · Schlussabrechnung",IF(AO338&lt;&gt;"","4 · Übergabe",IF(AM338&lt;&gt;"","3 · Neuvermietung",IF(M338&lt;&gt;"","2 · Abnahme &amp; Vermarktung","1 · Erfassung")))))))</f>
        <v/>
      </c>
      <c r="V338" s="15" t="n"/>
      <c r="W338" s="20" t="n"/>
      <c r="X338" s="15" t="n"/>
      <c r="Y338" s="15" t="n"/>
      <c r="Z338" s="18" t="n"/>
      <c r="AA338" s="19">
        <f>IF(M338="","",M338-30)</f>
        <v/>
      </c>
      <c r="AB338" s="19">
        <f>IF(ISNUMBER(AJ338),AJ338+3,"")</f>
        <v/>
      </c>
      <c r="AC338" s="18" t="n"/>
      <c r="AD338" s="18" t="n"/>
      <c r="AE338" s="18" t="n"/>
      <c r="AF338" s="18" t="n"/>
      <c r="AG338" s="18" t="n"/>
      <c r="AH338" s="18" t="n"/>
      <c r="AI338" s="18" t="n"/>
      <c r="AJ338" s="18" t="n"/>
      <c r="AK338" s="18" t="n"/>
      <c r="AL338" s="18" t="n"/>
      <c r="AM338" s="18" t="n"/>
      <c r="AN338" s="18" t="n"/>
      <c r="AO338" s="18" t="n"/>
      <c r="AP338" s="18" t="n"/>
      <c r="AQ338" s="18" t="n"/>
      <c r="AR338" s="18" t="n"/>
      <c r="AS338" s="18" t="n"/>
      <c r="AT338" s="18" t="n"/>
      <c r="AU338" s="18" t="n"/>
      <c r="AV338" s="18" t="n"/>
      <c r="AW338" s="18" t="n"/>
      <c r="AX338" s="18" t="n"/>
      <c r="AY338" s="18" t="n"/>
      <c r="AZ338" s="15" t="n"/>
    </row>
    <row r="339">
      <c r="A339" s="15" t="n"/>
      <c r="B339" s="15" t="n"/>
      <c r="C339" s="15" t="n"/>
      <c r="D339" s="15" t="n"/>
      <c r="E339" s="15" t="n"/>
      <c r="F339" s="15" t="n"/>
      <c r="G339" s="16">
        <f>IF(F339="","",IFERROR(INDEX(Stammdaten!$B$5:$B$24,MATCH(F339,Stammdaten!$A$5:$A$24,0)),"unbekannt"))</f>
        <v/>
      </c>
      <c r="H339" s="16">
        <f>IF($B339="","",IF(AY339&lt;&gt;"","abgeschlossen",IF(AND(ISNUMBER(AX339),AX339&gt;=TODAY()),"zurückgestellt",IF(OR(AND(ISNUMBER(AA339),AA339&lt;TODAY(),Z339="",AJ339=""),AND(ISNUMBER(Z339),Z339&lt;TODAY(),AJ339=""),AND(ISNUMBER(AB339),AB339&lt;TODAY(),AK339=""),AND(ISNUMBER(AC339),AC339&lt;TODAY(),AO339=""),AND(ISNUMBER(AD339),AD339&lt;TODAY(),AQ339="")),"überfällig","offen"))))</f>
        <v/>
      </c>
      <c r="I339" s="16">
        <f>IF($B339="","",IF(AY339&lt;&gt;"","—",IF(AND(ISNUMBER(AA339),AA339&lt;TODAY(),Z339="",AJ339=""),"Abnahmetermin vereinbaren – Sollfrist verstrichen",IF(AND(ISNUMBER(Z339),Z339&lt;TODAY(),AJ339=""),"Wohnungsabnahme nachtragen – Termin war fällig",IF(AND(ISNUMBER(AB339),AB339&lt;TODAY(),AK339=""),"Handwerker aufbieten – Frist verstrichen",IF(AND(ISNUMBER(AC339),AC339&lt;TODAY(),AO339=""),"Vertrag retour mahnen – Frist verstrichen",IF(AND(ISNUMBER(AD339),AD339&lt;TODAY(),AQ339=""),"Schlüsselübergabe nachtragen – Termin war fällig",IF(M339="","Haftungsdatum erfassen",IF(E339="","ex-Mieter erfassen",IF(AE339="","Kündigung bestätigen / G-Rem",IF(AF339="","Werke / EGT melden",IF(AG339="","Vorbesichtigung (oder n.e.)",IF(AH339="","VMZ aktualisieren",IF(AI339="","Inserat aufschalten",IF(AND(Z339="",AJ339=""),"Abnahmetermin vereinbaren",IF(AJ339="","Wohnungsabnahme durchführen",IF(AK339="","Handwerker aufbieten",IF(AL339="","Zustimmungserklärung einholen",IF(AM339="","Instandstellungen beauftragen",IF(R339="","Nachmieter erfassen",IF(AN339="","Vertrag versenden",IF(AO339="","Vertrag retour erfassen",IF(S339="","Vermietet per erfassen",IF(AP339="","Werke / EGT über Einzug informieren",IF(AND(AD339="",AQ339=""),"Schlüsselübergabe terminieren",IF(AQ339="","Schlüsselübergabe durchführen",IF(AR339="","Reinigung veranlassen",IF(AS339="","Namensschilder bestellen",IF(AT339="","Kaution prüfen / G-Rem mutieren",IF(AU339="","Instandstellungs-Rechnung erfassen",IF(AV339="","Schlussabrechnung erstellen",IF(AW339="","Zahlungseingang kontrollieren","Fall abschliessen"))))))))))))))))))))))))))))))))</f>
        <v/>
      </c>
      <c r="J339" s="17">
        <f>IF(M339="","",IF(S339&lt;&gt;"",MAX(0,S339-M339-1),MAX(0,TODAY()-M339)))</f>
        <v/>
      </c>
      <c r="K339" s="16">
        <f>IF($B339="","",TRIM(IF(AND(L339&lt;&gt;"",M339&lt;&gt;"",M339&lt;L339),"Haftungsdatum vor Kündigung. ","")&amp;IF(AND(S339&lt;&gt;"",M339&lt;&gt;"",S339&lt;M339),"Vermietung vor Leerstandsbeginn. ","")&amp;IF(AND(Z339&lt;&gt;"",L339&lt;&gt;"",Z339&lt;L339),"WA-Termin vor Kündigung. ","")&amp;IF(COUNTIFS($B$5:$B$404,$B339,$AY$5:$AY$404,"")&gt;1,"Zweiter offener Fall zum selben Objekt. ","")&amp;IF(AND($A339&lt;&gt;"",COUNTIFS($A$5:$A$404,$A339)&gt;1),"Fall-Nr. doppelt vergeben. ","")&amp;IF(E339="","ex-Mieter fehlt. ","")&amp;IF(M339="","Haftungsdatum fehlt. ","")&amp;IF(F339="","Bewirtschafter fehlt. ","")&amp;IF(AND(AY339&lt;&gt;"",AW339=""),"Abgeschlossen trotz offener Schlussabrechnung. ","")&amp;IF(AND(AY339="",S339="",ISNUMBER(J339),J339&gt;60),"Langläufer über 60 Tage. ","")))</f>
        <v/>
      </c>
      <c r="L339" s="18" t="n"/>
      <c r="M339" s="18" t="n"/>
      <c r="N339" s="19">
        <f>IF(M339="","",M339+1)</f>
        <v/>
      </c>
      <c r="O339" s="17">
        <f>IF(OR(L339="",M339=""),"",M339-L339)</f>
        <v/>
      </c>
      <c r="P339" s="16">
        <f>IF(M339="","",YEAR(M339+1)&amp;"-"&amp;TEXT(MONTH(M339+1),"00"))</f>
        <v/>
      </c>
      <c r="Q339" s="18" t="n"/>
      <c r="R339" s="15" t="n"/>
      <c r="S339" s="18" t="n"/>
      <c r="T339" s="16">
        <f>IF(U339="","",IF(LEFT(U339,1)="6","abgeschlossen",IF(OR(LEFT(U339,1)="1",LEFT(U339,1)="2"),"Kündigung &amp; Abnahme",IF(OR(LEFT(U339,1)="3",LEFT(U339,1)="4"),"Wiedervermietung","Schlussabrechnung"))))</f>
        <v/>
      </c>
      <c r="U339" s="16">
        <f>IF($B339="","",IF(AY339&lt;&gt;"","6 · abgeschlossen",IF(AW339&lt;&gt;"","5 · bereit zum Abschluss",IF(AT339&lt;&gt;"","5 · Schlussabrechnung",IF(AO339&lt;&gt;"","4 · Übergabe",IF(AM339&lt;&gt;"","3 · Neuvermietung",IF(M339&lt;&gt;"","2 · Abnahme &amp; Vermarktung","1 · Erfassung")))))))</f>
        <v/>
      </c>
      <c r="V339" s="15" t="n"/>
      <c r="W339" s="20" t="n"/>
      <c r="X339" s="15" t="n"/>
      <c r="Y339" s="15" t="n"/>
      <c r="Z339" s="18" t="n"/>
      <c r="AA339" s="19">
        <f>IF(M339="","",M339-30)</f>
        <v/>
      </c>
      <c r="AB339" s="19">
        <f>IF(ISNUMBER(AJ339),AJ339+3,"")</f>
        <v/>
      </c>
      <c r="AC339" s="18" t="n"/>
      <c r="AD339" s="18" t="n"/>
      <c r="AE339" s="18" t="n"/>
      <c r="AF339" s="18" t="n"/>
      <c r="AG339" s="18" t="n"/>
      <c r="AH339" s="18" t="n"/>
      <c r="AI339" s="18" t="n"/>
      <c r="AJ339" s="18" t="n"/>
      <c r="AK339" s="18" t="n"/>
      <c r="AL339" s="18" t="n"/>
      <c r="AM339" s="18" t="n"/>
      <c r="AN339" s="18" t="n"/>
      <c r="AO339" s="18" t="n"/>
      <c r="AP339" s="18" t="n"/>
      <c r="AQ339" s="18" t="n"/>
      <c r="AR339" s="18" t="n"/>
      <c r="AS339" s="18" t="n"/>
      <c r="AT339" s="18" t="n"/>
      <c r="AU339" s="18" t="n"/>
      <c r="AV339" s="18" t="n"/>
      <c r="AW339" s="18" t="n"/>
      <c r="AX339" s="18" t="n"/>
      <c r="AY339" s="18" t="n"/>
      <c r="AZ339" s="15" t="n"/>
    </row>
    <row r="340">
      <c r="A340" s="15" t="n"/>
      <c r="B340" s="15" t="n"/>
      <c r="C340" s="15" t="n"/>
      <c r="D340" s="15" t="n"/>
      <c r="E340" s="15" t="n"/>
      <c r="F340" s="15" t="n"/>
      <c r="G340" s="16">
        <f>IF(F340="","",IFERROR(INDEX(Stammdaten!$B$5:$B$24,MATCH(F340,Stammdaten!$A$5:$A$24,0)),"unbekannt"))</f>
        <v/>
      </c>
      <c r="H340" s="16">
        <f>IF($B340="","",IF(AY340&lt;&gt;"","abgeschlossen",IF(AND(ISNUMBER(AX340),AX340&gt;=TODAY()),"zurückgestellt",IF(OR(AND(ISNUMBER(AA340),AA340&lt;TODAY(),Z340="",AJ340=""),AND(ISNUMBER(Z340),Z340&lt;TODAY(),AJ340=""),AND(ISNUMBER(AB340),AB340&lt;TODAY(),AK340=""),AND(ISNUMBER(AC340),AC340&lt;TODAY(),AO340=""),AND(ISNUMBER(AD340),AD340&lt;TODAY(),AQ340="")),"überfällig","offen"))))</f>
        <v/>
      </c>
      <c r="I340" s="16">
        <f>IF($B340="","",IF(AY340&lt;&gt;"","—",IF(AND(ISNUMBER(AA340),AA340&lt;TODAY(),Z340="",AJ340=""),"Abnahmetermin vereinbaren – Sollfrist verstrichen",IF(AND(ISNUMBER(Z340),Z340&lt;TODAY(),AJ340=""),"Wohnungsabnahme nachtragen – Termin war fällig",IF(AND(ISNUMBER(AB340),AB340&lt;TODAY(),AK340=""),"Handwerker aufbieten – Frist verstrichen",IF(AND(ISNUMBER(AC340),AC340&lt;TODAY(),AO340=""),"Vertrag retour mahnen – Frist verstrichen",IF(AND(ISNUMBER(AD340),AD340&lt;TODAY(),AQ340=""),"Schlüsselübergabe nachtragen – Termin war fällig",IF(M340="","Haftungsdatum erfassen",IF(E340="","ex-Mieter erfassen",IF(AE340="","Kündigung bestätigen / G-Rem",IF(AF340="","Werke / EGT melden",IF(AG340="","Vorbesichtigung (oder n.e.)",IF(AH340="","VMZ aktualisieren",IF(AI340="","Inserat aufschalten",IF(AND(Z340="",AJ340=""),"Abnahmetermin vereinbaren",IF(AJ340="","Wohnungsabnahme durchführen",IF(AK340="","Handwerker aufbieten",IF(AL340="","Zustimmungserklärung einholen",IF(AM340="","Instandstellungen beauftragen",IF(R340="","Nachmieter erfassen",IF(AN340="","Vertrag versenden",IF(AO340="","Vertrag retour erfassen",IF(S340="","Vermietet per erfassen",IF(AP340="","Werke / EGT über Einzug informieren",IF(AND(AD340="",AQ340=""),"Schlüsselübergabe terminieren",IF(AQ340="","Schlüsselübergabe durchführen",IF(AR340="","Reinigung veranlassen",IF(AS340="","Namensschilder bestellen",IF(AT340="","Kaution prüfen / G-Rem mutieren",IF(AU340="","Instandstellungs-Rechnung erfassen",IF(AV340="","Schlussabrechnung erstellen",IF(AW340="","Zahlungseingang kontrollieren","Fall abschliessen"))))))))))))))))))))))))))))))))</f>
        <v/>
      </c>
      <c r="J340" s="17">
        <f>IF(M340="","",IF(S340&lt;&gt;"",MAX(0,S340-M340-1),MAX(0,TODAY()-M340)))</f>
        <v/>
      </c>
      <c r="K340" s="16">
        <f>IF($B340="","",TRIM(IF(AND(L340&lt;&gt;"",M340&lt;&gt;"",M340&lt;L340),"Haftungsdatum vor Kündigung. ","")&amp;IF(AND(S340&lt;&gt;"",M340&lt;&gt;"",S340&lt;M340),"Vermietung vor Leerstandsbeginn. ","")&amp;IF(AND(Z340&lt;&gt;"",L340&lt;&gt;"",Z340&lt;L340),"WA-Termin vor Kündigung. ","")&amp;IF(COUNTIFS($B$5:$B$404,$B340,$AY$5:$AY$404,"")&gt;1,"Zweiter offener Fall zum selben Objekt. ","")&amp;IF(AND($A340&lt;&gt;"",COUNTIFS($A$5:$A$404,$A340)&gt;1),"Fall-Nr. doppelt vergeben. ","")&amp;IF(E340="","ex-Mieter fehlt. ","")&amp;IF(M340="","Haftungsdatum fehlt. ","")&amp;IF(F340="","Bewirtschafter fehlt. ","")&amp;IF(AND(AY340&lt;&gt;"",AW340=""),"Abgeschlossen trotz offener Schlussabrechnung. ","")&amp;IF(AND(AY340="",S340="",ISNUMBER(J340),J340&gt;60),"Langläufer über 60 Tage. ","")))</f>
        <v/>
      </c>
      <c r="L340" s="18" t="n"/>
      <c r="M340" s="18" t="n"/>
      <c r="N340" s="19">
        <f>IF(M340="","",M340+1)</f>
        <v/>
      </c>
      <c r="O340" s="17">
        <f>IF(OR(L340="",M340=""),"",M340-L340)</f>
        <v/>
      </c>
      <c r="P340" s="16">
        <f>IF(M340="","",YEAR(M340+1)&amp;"-"&amp;TEXT(MONTH(M340+1),"00"))</f>
        <v/>
      </c>
      <c r="Q340" s="18" t="n"/>
      <c r="R340" s="15" t="n"/>
      <c r="S340" s="18" t="n"/>
      <c r="T340" s="16">
        <f>IF(U340="","",IF(LEFT(U340,1)="6","abgeschlossen",IF(OR(LEFT(U340,1)="1",LEFT(U340,1)="2"),"Kündigung &amp; Abnahme",IF(OR(LEFT(U340,1)="3",LEFT(U340,1)="4"),"Wiedervermietung","Schlussabrechnung"))))</f>
        <v/>
      </c>
      <c r="U340" s="16">
        <f>IF($B340="","",IF(AY340&lt;&gt;"","6 · abgeschlossen",IF(AW340&lt;&gt;"","5 · bereit zum Abschluss",IF(AT340&lt;&gt;"","5 · Schlussabrechnung",IF(AO340&lt;&gt;"","4 · Übergabe",IF(AM340&lt;&gt;"","3 · Neuvermietung",IF(M340&lt;&gt;"","2 · Abnahme &amp; Vermarktung","1 · Erfassung")))))))</f>
        <v/>
      </c>
      <c r="V340" s="15" t="n"/>
      <c r="W340" s="20" t="n"/>
      <c r="X340" s="15" t="n"/>
      <c r="Y340" s="15" t="n"/>
      <c r="Z340" s="18" t="n"/>
      <c r="AA340" s="19">
        <f>IF(M340="","",M340-30)</f>
        <v/>
      </c>
      <c r="AB340" s="19">
        <f>IF(ISNUMBER(AJ340),AJ340+3,"")</f>
        <v/>
      </c>
      <c r="AC340" s="18" t="n"/>
      <c r="AD340" s="18" t="n"/>
      <c r="AE340" s="18" t="n"/>
      <c r="AF340" s="18" t="n"/>
      <c r="AG340" s="18" t="n"/>
      <c r="AH340" s="18" t="n"/>
      <c r="AI340" s="18" t="n"/>
      <c r="AJ340" s="18" t="n"/>
      <c r="AK340" s="18" t="n"/>
      <c r="AL340" s="18" t="n"/>
      <c r="AM340" s="18" t="n"/>
      <c r="AN340" s="18" t="n"/>
      <c r="AO340" s="18" t="n"/>
      <c r="AP340" s="18" t="n"/>
      <c r="AQ340" s="18" t="n"/>
      <c r="AR340" s="18" t="n"/>
      <c r="AS340" s="18" t="n"/>
      <c r="AT340" s="18" t="n"/>
      <c r="AU340" s="18" t="n"/>
      <c r="AV340" s="18" t="n"/>
      <c r="AW340" s="18" t="n"/>
      <c r="AX340" s="18" t="n"/>
      <c r="AY340" s="18" t="n"/>
      <c r="AZ340" s="15" t="n"/>
    </row>
    <row r="341">
      <c r="A341" s="15" t="n"/>
      <c r="B341" s="15" t="n"/>
      <c r="C341" s="15" t="n"/>
      <c r="D341" s="15" t="n"/>
      <c r="E341" s="15" t="n"/>
      <c r="F341" s="15" t="n"/>
      <c r="G341" s="16">
        <f>IF(F341="","",IFERROR(INDEX(Stammdaten!$B$5:$B$24,MATCH(F341,Stammdaten!$A$5:$A$24,0)),"unbekannt"))</f>
        <v/>
      </c>
      <c r="H341" s="16">
        <f>IF($B341="","",IF(AY341&lt;&gt;"","abgeschlossen",IF(AND(ISNUMBER(AX341),AX341&gt;=TODAY()),"zurückgestellt",IF(OR(AND(ISNUMBER(AA341),AA341&lt;TODAY(),Z341="",AJ341=""),AND(ISNUMBER(Z341),Z341&lt;TODAY(),AJ341=""),AND(ISNUMBER(AB341),AB341&lt;TODAY(),AK341=""),AND(ISNUMBER(AC341),AC341&lt;TODAY(),AO341=""),AND(ISNUMBER(AD341),AD341&lt;TODAY(),AQ341="")),"überfällig","offen"))))</f>
        <v/>
      </c>
      <c r="I341" s="16">
        <f>IF($B341="","",IF(AY341&lt;&gt;"","—",IF(AND(ISNUMBER(AA341),AA341&lt;TODAY(),Z341="",AJ341=""),"Abnahmetermin vereinbaren – Sollfrist verstrichen",IF(AND(ISNUMBER(Z341),Z341&lt;TODAY(),AJ341=""),"Wohnungsabnahme nachtragen – Termin war fällig",IF(AND(ISNUMBER(AB341),AB341&lt;TODAY(),AK341=""),"Handwerker aufbieten – Frist verstrichen",IF(AND(ISNUMBER(AC341),AC341&lt;TODAY(),AO341=""),"Vertrag retour mahnen – Frist verstrichen",IF(AND(ISNUMBER(AD341),AD341&lt;TODAY(),AQ341=""),"Schlüsselübergabe nachtragen – Termin war fällig",IF(M341="","Haftungsdatum erfassen",IF(E341="","ex-Mieter erfassen",IF(AE341="","Kündigung bestätigen / G-Rem",IF(AF341="","Werke / EGT melden",IF(AG341="","Vorbesichtigung (oder n.e.)",IF(AH341="","VMZ aktualisieren",IF(AI341="","Inserat aufschalten",IF(AND(Z341="",AJ341=""),"Abnahmetermin vereinbaren",IF(AJ341="","Wohnungsabnahme durchführen",IF(AK341="","Handwerker aufbieten",IF(AL341="","Zustimmungserklärung einholen",IF(AM341="","Instandstellungen beauftragen",IF(R341="","Nachmieter erfassen",IF(AN341="","Vertrag versenden",IF(AO341="","Vertrag retour erfassen",IF(S341="","Vermietet per erfassen",IF(AP341="","Werke / EGT über Einzug informieren",IF(AND(AD341="",AQ341=""),"Schlüsselübergabe terminieren",IF(AQ341="","Schlüsselübergabe durchführen",IF(AR341="","Reinigung veranlassen",IF(AS341="","Namensschilder bestellen",IF(AT341="","Kaution prüfen / G-Rem mutieren",IF(AU341="","Instandstellungs-Rechnung erfassen",IF(AV341="","Schlussabrechnung erstellen",IF(AW341="","Zahlungseingang kontrollieren","Fall abschliessen"))))))))))))))))))))))))))))))))</f>
        <v/>
      </c>
      <c r="J341" s="17">
        <f>IF(M341="","",IF(S341&lt;&gt;"",MAX(0,S341-M341-1),MAX(0,TODAY()-M341)))</f>
        <v/>
      </c>
      <c r="K341" s="16">
        <f>IF($B341="","",TRIM(IF(AND(L341&lt;&gt;"",M341&lt;&gt;"",M341&lt;L341),"Haftungsdatum vor Kündigung. ","")&amp;IF(AND(S341&lt;&gt;"",M341&lt;&gt;"",S341&lt;M341),"Vermietung vor Leerstandsbeginn. ","")&amp;IF(AND(Z341&lt;&gt;"",L341&lt;&gt;"",Z341&lt;L341),"WA-Termin vor Kündigung. ","")&amp;IF(COUNTIFS($B$5:$B$404,$B341,$AY$5:$AY$404,"")&gt;1,"Zweiter offener Fall zum selben Objekt. ","")&amp;IF(AND($A341&lt;&gt;"",COUNTIFS($A$5:$A$404,$A341)&gt;1),"Fall-Nr. doppelt vergeben. ","")&amp;IF(E341="","ex-Mieter fehlt. ","")&amp;IF(M341="","Haftungsdatum fehlt. ","")&amp;IF(F341="","Bewirtschafter fehlt. ","")&amp;IF(AND(AY341&lt;&gt;"",AW341=""),"Abgeschlossen trotz offener Schlussabrechnung. ","")&amp;IF(AND(AY341="",S341="",ISNUMBER(J341),J341&gt;60),"Langläufer über 60 Tage. ","")))</f>
        <v/>
      </c>
      <c r="L341" s="18" t="n"/>
      <c r="M341" s="18" t="n"/>
      <c r="N341" s="19">
        <f>IF(M341="","",M341+1)</f>
        <v/>
      </c>
      <c r="O341" s="17">
        <f>IF(OR(L341="",M341=""),"",M341-L341)</f>
        <v/>
      </c>
      <c r="P341" s="16">
        <f>IF(M341="","",YEAR(M341+1)&amp;"-"&amp;TEXT(MONTH(M341+1),"00"))</f>
        <v/>
      </c>
      <c r="Q341" s="18" t="n"/>
      <c r="R341" s="15" t="n"/>
      <c r="S341" s="18" t="n"/>
      <c r="T341" s="16">
        <f>IF(U341="","",IF(LEFT(U341,1)="6","abgeschlossen",IF(OR(LEFT(U341,1)="1",LEFT(U341,1)="2"),"Kündigung &amp; Abnahme",IF(OR(LEFT(U341,1)="3",LEFT(U341,1)="4"),"Wiedervermietung","Schlussabrechnung"))))</f>
        <v/>
      </c>
      <c r="U341" s="16">
        <f>IF($B341="","",IF(AY341&lt;&gt;"","6 · abgeschlossen",IF(AW341&lt;&gt;"","5 · bereit zum Abschluss",IF(AT341&lt;&gt;"","5 · Schlussabrechnung",IF(AO341&lt;&gt;"","4 · Übergabe",IF(AM341&lt;&gt;"","3 · Neuvermietung",IF(M341&lt;&gt;"","2 · Abnahme &amp; Vermarktung","1 · Erfassung")))))))</f>
        <v/>
      </c>
      <c r="V341" s="15" t="n"/>
      <c r="W341" s="20" t="n"/>
      <c r="X341" s="15" t="n"/>
      <c r="Y341" s="15" t="n"/>
      <c r="Z341" s="18" t="n"/>
      <c r="AA341" s="19">
        <f>IF(M341="","",M341-30)</f>
        <v/>
      </c>
      <c r="AB341" s="19">
        <f>IF(ISNUMBER(AJ341),AJ341+3,"")</f>
        <v/>
      </c>
      <c r="AC341" s="18" t="n"/>
      <c r="AD341" s="18" t="n"/>
      <c r="AE341" s="18" t="n"/>
      <c r="AF341" s="18" t="n"/>
      <c r="AG341" s="18" t="n"/>
      <c r="AH341" s="18" t="n"/>
      <c r="AI341" s="18" t="n"/>
      <c r="AJ341" s="18" t="n"/>
      <c r="AK341" s="18" t="n"/>
      <c r="AL341" s="18" t="n"/>
      <c r="AM341" s="18" t="n"/>
      <c r="AN341" s="18" t="n"/>
      <c r="AO341" s="18" t="n"/>
      <c r="AP341" s="18" t="n"/>
      <c r="AQ341" s="18" t="n"/>
      <c r="AR341" s="18" t="n"/>
      <c r="AS341" s="18" t="n"/>
      <c r="AT341" s="18" t="n"/>
      <c r="AU341" s="18" t="n"/>
      <c r="AV341" s="18" t="n"/>
      <c r="AW341" s="18" t="n"/>
      <c r="AX341" s="18" t="n"/>
      <c r="AY341" s="18" t="n"/>
      <c r="AZ341" s="15" t="n"/>
    </row>
    <row r="342">
      <c r="A342" s="15" t="n"/>
      <c r="B342" s="15" t="n"/>
      <c r="C342" s="15" t="n"/>
      <c r="D342" s="15" t="n"/>
      <c r="E342" s="15" t="n"/>
      <c r="F342" s="15" t="n"/>
      <c r="G342" s="16">
        <f>IF(F342="","",IFERROR(INDEX(Stammdaten!$B$5:$B$24,MATCH(F342,Stammdaten!$A$5:$A$24,0)),"unbekannt"))</f>
        <v/>
      </c>
      <c r="H342" s="16">
        <f>IF($B342="","",IF(AY342&lt;&gt;"","abgeschlossen",IF(AND(ISNUMBER(AX342),AX342&gt;=TODAY()),"zurückgestellt",IF(OR(AND(ISNUMBER(AA342),AA342&lt;TODAY(),Z342="",AJ342=""),AND(ISNUMBER(Z342),Z342&lt;TODAY(),AJ342=""),AND(ISNUMBER(AB342),AB342&lt;TODAY(),AK342=""),AND(ISNUMBER(AC342),AC342&lt;TODAY(),AO342=""),AND(ISNUMBER(AD342),AD342&lt;TODAY(),AQ342="")),"überfällig","offen"))))</f>
        <v/>
      </c>
      <c r="I342" s="16">
        <f>IF($B342="","",IF(AY342&lt;&gt;"","—",IF(AND(ISNUMBER(AA342),AA342&lt;TODAY(),Z342="",AJ342=""),"Abnahmetermin vereinbaren – Sollfrist verstrichen",IF(AND(ISNUMBER(Z342),Z342&lt;TODAY(),AJ342=""),"Wohnungsabnahme nachtragen – Termin war fällig",IF(AND(ISNUMBER(AB342),AB342&lt;TODAY(),AK342=""),"Handwerker aufbieten – Frist verstrichen",IF(AND(ISNUMBER(AC342),AC342&lt;TODAY(),AO342=""),"Vertrag retour mahnen – Frist verstrichen",IF(AND(ISNUMBER(AD342),AD342&lt;TODAY(),AQ342=""),"Schlüsselübergabe nachtragen – Termin war fällig",IF(M342="","Haftungsdatum erfassen",IF(E342="","ex-Mieter erfassen",IF(AE342="","Kündigung bestätigen / G-Rem",IF(AF342="","Werke / EGT melden",IF(AG342="","Vorbesichtigung (oder n.e.)",IF(AH342="","VMZ aktualisieren",IF(AI342="","Inserat aufschalten",IF(AND(Z342="",AJ342=""),"Abnahmetermin vereinbaren",IF(AJ342="","Wohnungsabnahme durchführen",IF(AK342="","Handwerker aufbieten",IF(AL342="","Zustimmungserklärung einholen",IF(AM342="","Instandstellungen beauftragen",IF(R342="","Nachmieter erfassen",IF(AN342="","Vertrag versenden",IF(AO342="","Vertrag retour erfassen",IF(S342="","Vermietet per erfassen",IF(AP342="","Werke / EGT über Einzug informieren",IF(AND(AD342="",AQ342=""),"Schlüsselübergabe terminieren",IF(AQ342="","Schlüsselübergabe durchführen",IF(AR342="","Reinigung veranlassen",IF(AS342="","Namensschilder bestellen",IF(AT342="","Kaution prüfen / G-Rem mutieren",IF(AU342="","Instandstellungs-Rechnung erfassen",IF(AV342="","Schlussabrechnung erstellen",IF(AW342="","Zahlungseingang kontrollieren","Fall abschliessen"))))))))))))))))))))))))))))))))</f>
        <v/>
      </c>
      <c r="J342" s="17">
        <f>IF(M342="","",IF(S342&lt;&gt;"",MAX(0,S342-M342-1),MAX(0,TODAY()-M342)))</f>
        <v/>
      </c>
      <c r="K342" s="16">
        <f>IF($B342="","",TRIM(IF(AND(L342&lt;&gt;"",M342&lt;&gt;"",M342&lt;L342),"Haftungsdatum vor Kündigung. ","")&amp;IF(AND(S342&lt;&gt;"",M342&lt;&gt;"",S342&lt;M342),"Vermietung vor Leerstandsbeginn. ","")&amp;IF(AND(Z342&lt;&gt;"",L342&lt;&gt;"",Z342&lt;L342),"WA-Termin vor Kündigung. ","")&amp;IF(COUNTIFS($B$5:$B$404,$B342,$AY$5:$AY$404,"")&gt;1,"Zweiter offener Fall zum selben Objekt. ","")&amp;IF(AND($A342&lt;&gt;"",COUNTIFS($A$5:$A$404,$A342)&gt;1),"Fall-Nr. doppelt vergeben. ","")&amp;IF(E342="","ex-Mieter fehlt. ","")&amp;IF(M342="","Haftungsdatum fehlt. ","")&amp;IF(F342="","Bewirtschafter fehlt. ","")&amp;IF(AND(AY342&lt;&gt;"",AW342=""),"Abgeschlossen trotz offener Schlussabrechnung. ","")&amp;IF(AND(AY342="",S342="",ISNUMBER(J342),J342&gt;60),"Langläufer über 60 Tage. ","")))</f>
        <v/>
      </c>
      <c r="L342" s="18" t="n"/>
      <c r="M342" s="18" t="n"/>
      <c r="N342" s="19">
        <f>IF(M342="","",M342+1)</f>
        <v/>
      </c>
      <c r="O342" s="17">
        <f>IF(OR(L342="",M342=""),"",M342-L342)</f>
        <v/>
      </c>
      <c r="P342" s="16">
        <f>IF(M342="","",YEAR(M342+1)&amp;"-"&amp;TEXT(MONTH(M342+1),"00"))</f>
        <v/>
      </c>
      <c r="Q342" s="18" t="n"/>
      <c r="R342" s="15" t="n"/>
      <c r="S342" s="18" t="n"/>
      <c r="T342" s="16">
        <f>IF(U342="","",IF(LEFT(U342,1)="6","abgeschlossen",IF(OR(LEFT(U342,1)="1",LEFT(U342,1)="2"),"Kündigung &amp; Abnahme",IF(OR(LEFT(U342,1)="3",LEFT(U342,1)="4"),"Wiedervermietung","Schlussabrechnung"))))</f>
        <v/>
      </c>
      <c r="U342" s="16">
        <f>IF($B342="","",IF(AY342&lt;&gt;"","6 · abgeschlossen",IF(AW342&lt;&gt;"","5 · bereit zum Abschluss",IF(AT342&lt;&gt;"","5 · Schlussabrechnung",IF(AO342&lt;&gt;"","4 · Übergabe",IF(AM342&lt;&gt;"","3 · Neuvermietung",IF(M342&lt;&gt;"","2 · Abnahme &amp; Vermarktung","1 · Erfassung")))))))</f>
        <v/>
      </c>
      <c r="V342" s="15" t="n"/>
      <c r="W342" s="20" t="n"/>
      <c r="X342" s="15" t="n"/>
      <c r="Y342" s="15" t="n"/>
      <c r="Z342" s="18" t="n"/>
      <c r="AA342" s="19">
        <f>IF(M342="","",M342-30)</f>
        <v/>
      </c>
      <c r="AB342" s="19">
        <f>IF(ISNUMBER(AJ342),AJ342+3,"")</f>
        <v/>
      </c>
      <c r="AC342" s="18" t="n"/>
      <c r="AD342" s="18" t="n"/>
      <c r="AE342" s="18" t="n"/>
      <c r="AF342" s="18" t="n"/>
      <c r="AG342" s="18" t="n"/>
      <c r="AH342" s="18" t="n"/>
      <c r="AI342" s="18" t="n"/>
      <c r="AJ342" s="18" t="n"/>
      <c r="AK342" s="18" t="n"/>
      <c r="AL342" s="18" t="n"/>
      <c r="AM342" s="18" t="n"/>
      <c r="AN342" s="18" t="n"/>
      <c r="AO342" s="18" t="n"/>
      <c r="AP342" s="18" t="n"/>
      <c r="AQ342" s="18" t="n"/>
      <c r="AR342" s="18" t="n"/>
      <c r="AS342" s="18" t="n"/>
      <c r="AT342" s="18" t="n"/>
      <c r="AU342" s="18" t="n"/>
      <c r="AV342" s="18" t="n"/>
      <c r="AW342" s="18" t="n"/>
      <c r="AX342" s="18" t="n"/>
      <c r="AY342" s="18" t="n"/>
      <c r="AZ342" s="15" t="n"/>
    </row>
    <row r="343">
      <c r="A343" s="15" t="n"/>
      <c r="B343" s="15" t="n"/>
      <c r="C343" s="15" t="n"/>
      <c r="D343" s="15" t="n"/>
      <c r="E343" s="15" t="n"/>
      <c r="F343" s="15" t="n"/>
      <c r="G343" s="16">
        <f>IF(F343="","",IFERROR(INDEX(Stammdaten!$B$5:$B$24,MATCH(F343,Stammdaten!$A$5:$A$24,0)),"unbekannt"))</f>
        <v/>
      </c>
      <c r="H343" s="16">
        <f>IF($B343="","",IF(AY343&lt;&gt;"","abgeschlossen",IF(AND(ISNUMBER(AX343),AX343&gt;=TODAY()),"zurückgestellt",IF(OR(AND(ISNUMBER(AA343),AA343&lt;TODAY(),Z343="",AJ343=""),AND(ISNUMBER(Z343),Z343&lt;TODAY(),AJ343=""),AND(ISNUMBER(AB343),AB343&lt;TODAY(),AK343=""),AND(ISNUMBER(AC343),AC343&lt;TODAY(),AO343=""),AND(ISNUMBER(AD343),AD343&lt;TODAY(),AQ343="")),"überfällig","offen"))))</f>
        <v/>
      </c>
      <c r="I343" s="16">
        <f>IF($B343="","",IF(AY343&lt;&gt;"","—",IF(AND(ISNUMBER(AA343),AA343&lt;TODAY(),Z343="",AJ343=""),"Abnahmetermin vereinbaren – Sollfrist verstrichen",IF(AND(ISNUMBER(Z343),Z343&lt;TODAY(),AJ343=""),"Wohnungsabnahme nachtragen – Termin war fällig",IF(AND(ISNUMBER(AB343),AB343&lt;TODAY(),AK343=""),"Handwerker aufbieten – Frist verstrichen",IF(AND(ISNUMBER(AC343),AC343&lt;TODAY(),AO343=""),"Vertrag retour mahnen – Frist verstrichen",IF(AND(ISNUMBER(AD343),AD343&lt;TODAY(),AQ343=""),"Schlüsselübergabe nachtragen – Termin war fällig",IF(M343="","Haftungsdatum erfassen",IF(E343="","ex-Mieter erfassen",IF(AE343="","Kündigung bestätigen / G-Rem",IF(AF343="","Werke / EGT melden",IF(AG343="","Vorbesichtigung (oder n.e.)",IF(AH343="","VMZ aktualisieren",IF(AI343="","Inserat aufschalten",IF(AND(Z343="",AJ343=""),"Abnahmetermin vereinbaren",IF(AJ343="","Wohnungsabnahme durchführen",IF(AK343="","Handwerker aufbieten",IF(AL343="","Zustimmungserklärung einholen",IF(AM343="","Instandstellungen beauftragen",IF(R343="","Nachmieter erfassen",IF(AN343="","Vertrag versenden",IF(AO343="","Vertrag retour erfassen",IF(S343="","Vermietet per erfassen",IF(AP343="","Werke / EGT über Einzug informieren",IF(AND(AD343="",AQ343=""),"Schlüsselübergabe terminieren",IF(AQ343="","Schlüsselübergabe durchführen",IF(AR343="","Reinigung veranlassen",IF(AS343="","Namensschilder bestellen",IF(AT343="","Kaution prüfen / G-Rem mutieren",IF(AU343="","Instandstellungs-Rechnung erfassen",IF(AV343="","Schlussabrechnung erstellen",IF(AW343="","Zahlungseingang kontrollieren","Fall abschliessen"))))))))))))))))))))))))))))))))</f>
        <v/>
      </c>
      <c r="J343" s="17">
        <f>IF(M343="","",IF(S343&lt;&gt;"",MAX(0,S343-M343-1),MAX(0,TODAY()-M343)))</f>
        <v/>
      </c>
      <c r="K343" s="16">
        <f>IF($B343="","",TRIM(IF(AND(L343&lt;&gt;"",M343&lt;&gt;"",M343&lt;L343),"Haftungsdatum vor Kündigung. ","")&amp;IF(AND(S343&lt;&gt;"",M343&lt;&gt;"",S343&lt;M343),"Vermietung vor Leerstandsbeginn. ","")&amp;IF(AND(Z343&lt;&gt;"",L343&lt;&gt;"",Z343&lt;L343),"WA-Termin vor Kündigung. ","")&amp;IF(COUNTIFS($B$5:$B$404,$B343,$AY$5:$AY$404,"")&gt;1,"Zweiter offener Fall zum selben Objekt. ","")&amp;IF(AND($A343&lt;&gt;"",COUNTIFS($A$5:$A$404,$A343)&gt;1),"Fall-Nr. doppelt vergeben. ","")&amp;IF(E343="","ex-Mieter fehlt. ","")&amp;IF(M343="","Haftungsdatum fehlt. ","")&amp;IF(F343="","Bewirtschafter fehlt. ","")&amp;IF(AND(AY343&lt;&gt;"",AW343=""),"Abgeschlossen trotz offener Schlussabrechnung. ","")&amp;IF(AND(AY343="",S343="",ISNUMBER(J343),J343&gt;60),"Langläufer über 60 Tage. ","")))</f>
        <v/>
      </c>
      <c r="L343" s="18" t="n"/>
      <c r="M343" s="18" t="n"/>
      <c r="N343" s="19">
        <f>IF(M343="","",M343+1)</f>
        <v/>
      </c>
      <c r="O343" s="17">
        <f>IF(OR(L343="",M343=""),"",M343-L343)</f>
        <v/>
      </c>
      <c r="P343" s="16">
        <f>IF(M343="","",YEAR(M343+1)&amp;"-"&amp;TEXT(MONTH(M343+1),"00"))</f>
        <v/>
      </c>
      <c r="Q343" s="18" t="n"/>
      <c r="R343" s="15" t="n"/>
      <c r="S343" s="18" t="n"/>
      <c r="T343" s="16">
        <f>IF(U343="","",IF(LEFT(U343,1)="6","abgeschlossen",IF(OR(LEFT(U343,1)="1",LEFT(U343,1)="2"),"Kündigung &amp; Abnahme",IF(OR(LEFT(U343,1)="3",LEFT(U343,1)="4"),"Wiedervermietung","Schlussabrechnung"))))</f>
        <v/>
      </c>
      <c r="U343" s="16">
        <f>IF($B343="","",IF(AY343&lt;&gt;"","6 · abgeschlossen",IF(AW343&lt;&gt;"","5 · bereit zum Abschluss",IF(AT343&lt;&gt;"","5 · Schlussabrechnung",IF(AO343&lt;&gt;"","4 · Übergabe",IF(AM343&lt;&gt;"","3 · Neuvermietung",IF(M343&lt;&gt;"","2 · Abnahme &amp; Vermarktung","1 · Erfassung")))))))</f>
        <v/>
      </c>
      <c r="V343" s="15" t="n"/>
      <c r="W343" s="20" t="n"/>
      <c r="X343" s="15" t="n"/>
      <c r="Y343" s="15" t="n"/>
      <c r="Z343" s="18" t="n"/>
      <c r="AA343" s="19">
        <f>IF(M343="","",M343-30)</f>
        <v/>
      </c>
      <c r="AB343" s="19">
        <f>IF(ISNUMBER(AJ343),AJ343+3,"")</f>
        <v/>
      </c>
      <c r="AC343" s="18" t="n"/>
      <c r="AD343" s="18" t="n"/>
      <c r="AE343" s="18" t="n"/>
      <c r="AF343" s="18" t="n"/>
      <c r="AG343" s="18" t="n"/>
      <c r="AH343" s="18" t="n"/>
      <c r="AI343" s="18" t="n"/>
      <c r="AJ343" s="18" t="n"/>
      <c r="AK343" s="18" t="n"/>
      <c r="AL343" s="18" t="n"/>
      <c r="AM343" s="18" t="n"/>
      <c r="AN343" s="18" t="n"/>
      <c r="AO343" s="18" t="n"/>
      <c r="AP343" s="18" t="n"/>
      <c r="AQ343" s="18" t="n"/>
      <c r="AR343" s="18" t="n"/>
      <c r="AS343" s="18" t="n"/>
      <c r="AT343" s="18" t="n"/>
      <c r="AU343" s="18" t="n"/>
      <c r="AV343" s="18" t="n"/>
      <c r="AW343" s="18" t="n"/>
      <c r="AX343" s="18" t="n"/>
      <c r="AY343" s="18" t="n"/>
      <c r="AZ343" s="15" t="n"/>
    </row>
    <row r="344">
      <c r="A344" s="15" t="n"/>
      <c r="B344" s="15" t="n"/>
      <c r="C344" s="15" t="n"/>
      <c r="D344" s="15" t="n"/>
      <c r="E344" s="15" t="n"/>
      <c r="F344" s="15" t="n"/>
      <c r="G344" s="16">
        <f>IF(F344="","",IFERROR(INDEX(Stammdaten!$B$5:$B$24,MATCH(F344,Stammdaten!$A$5:$A$24,0)),"unbekannt"))</f>
        <v/>
      </c>
      <c r="H344" s="16">
        <f>IF($B344="","",IF(AY344&lt;&gt;"","abgeschlossen",IF(AND(ISNUMBER(AX344),AX344&gt;=TODAY()),"zurückgestellt",IF(OR(AND(ISNUMBER(AA344),AA344&lt;TODAY(),Z344="",AJ344=""),AND(ISNUMBER(Z344),Z344&lt;TODAY(),AJ344=""),AND(ISNUMBER(AB344),AB344&lt;TODAY(),AK344=""),AND(ISNUMBER(AC344),AC344&lt;TODAY(),AO344=""),AND(ISNUMBER(AD344),AD344&lt;TODAY(),AQ344="")),"überfällig","offen"))))</f>
        <v/>
      </c>
      <c r="I344" s="16">
        <f>IF($B344="","",IF(AY344&lt;&gt;"","—",IF(AND(ISNUMBER(AA344),AA344&lt;TODAY(),Z344="",AJ344=""),"Abnahmetermin vereinbaren – Sollfrist verstrichen",IF(AND(ISNUMBER(Z344),Z344&lt;TODAY(),AJ344=""),"Wohnungsabnahme nachtragen – Termin war fällig",IF(AND(ISNUMBER(AB344),AB344&lt;TODAY(),AK344=""),"Handwerker aufbieten – Frist verstrichen",IF(AND(ISNUMBER(AC344),AC344&lt;TODAY(),AO344=""),"Vertrag retour mahnen – Frist verstrichen",IF(AND(ISNUMBER(AD344),AD344&lt;TODAY(),AQ344=""),"Schlüsselübergabe nachtragen – Termin war fällig",IF(M344="","Haftungsdatum erfassen",IF(E344="","ex-Mieter erfassen",IF(AE344="","Kündigung bestätigen / G-Rem",IF(AF344="","Werke / EGT melden",IF(AG344="","Vorbesichtigung (oder n.e.)",IF(AH344="","VMZ aktualisieren",IF(AI344="","Inserat aufschalten",IF(AND(Z344="",AJ344=""),"Abnahmetermin vereinbaren",IF(AJ344="","Wohnungsabnahme durchführen",IF(AK344="","Handwerker aufbieten",IF(AL344="","Zustimmungserklärung einholen",IF(AM344="","Instandstellungen beauftragen",IF(R344="","Nachmieter erfassen",IF(AN344="","Vertrag versenden",IF(AO344="","Vertrag retour erfassen",IF(S344="","Vermietet per erfassen",IF(AP344="","Werke / EGT über Einzug informieren",IF(AND(AD344="",AQ344=""),"Schlüsselübergabe terminieren",IF(AQ344="","Schlüsselübergabe durchführen",IF(AR344="","Reinigung veranlassen",IF(AS344="","Namensschilder bestellen",IF(AT344="","Kaution prüfen / G-Rem mutieren",IF(AU344="","Instandstellungs-Rechnung erfassen",IF(AV344="","Schlussabrechnung erstellen",IF(AW344="","Zahlungseingang kontrollieren","Fall abschliessen"))))))))))))))))))))))))))))))))</f>
        <v/>
      </c>
      <c r="J344" s="17">
        <f>IF(M344="","",IF(S344&lt;&gt;"",MAX(0,S344-M344-1),MAX(0,TODAY()-M344)))</f>
        <v/>
      </c>
      <c r="K344" s="16">
        <f>IF($B344="","",TRIM(IF(AND(L344&lt;&gt;"",M344&lt;&gt;"",M344&lt;L344),"Haftungsdatum vor Kündigung. ","")&amp;IF(AND(S344&lt;&gt;"",M344&lt;&gt;"",S344&lt;M344),"Vermietung vor Leerstandsbeginn. ","")&amp;IF(AND(Z344&lt;&gt;"",L344&lt;&gt;"",Z344&lt;L344),"WA-Termin vor Kündigung. ","")&amp;IF(COUNTIFS($B$5:$B$404,$B344,$AY$5:$AY$404,"")&gt;1,"Zweiter offener Fall zum selben Objekt. ","")&amp;IF(AND($A344&lt;&gt;"",COUNTIFS($A$5:$A$404,$A344)&gt;1),"Fall-Nr. doppelt vergeben. ","")&amp;IF(E344="","ex-Mieter fehlt. ","")&amp;IF(M344="","Haftungsdatum fehlt. ","")&amp;IF(F344="","Bewirtschafter fehlt. ","")&amp;IF(AND(AY344&lt;&gt;"",AW344=""),"Abgeschlossen trotz offener Schlussabrechnung. ","")&amp;IF(AND(AY344="",S344="",ISNUMBER(J344),J344&gt;60),"Langläufer über 60 Tage. ","")))</f>
        <v/>
      </c>
      <c r="L344" s="18" t="n"/>
      <c r="M344" s="18" t="n"/>
      <c r="N344" s="19">
        <f>IF(M344="","",M344+1)</f>
        <v/>
      </c>
      <c r="O344" s="17">
        <f>IF(OR(L344="",M344=""),"",M344-L344)</f>
        <v/>
      </c>
      <c r="P344" s="16">
        <f>IF(M344="","",YEAR(M344+1)&amp;"-"&amp;TEXT(MONTH(M344+1),"00"))</f>
        <v/>
      </c>
      <c r="Q344" s="18" t="n"/>
      <c r="R344" s="15" t="n"/>
      <c r="S344" s="18" t="n"/>
      <c r="T344" s="16">
        <f>IF(U344="","",IF(LEFT(U344,1)="6","abgeschlossen",IF(OR(LEFT(U344,1)="1",LEFT(U344,1)="2"),"Kündigung &amp; Abnahme",IF(OR(LEFT(U344,1)="3",LEFT(U344,1)="4"),"Wiedervermietung","Schlussabrechnung"))))</f>
        <v/>
      </c>
      <c r="U344" s="16">
        <f>IF($B344="","",IF(AY344&lt;&gt;"","6 · abgeschlossen",IF(AW344&lt;&gt;"","5 · bereit zum Abschluss",IF(AT344&lt;&gt;"","5 · Schlussabrechnung",IF(AO344&lt;&gt;"","4 · Übergabe",IF(AM344&lt;&gt;"","3 · Neuvermietung",IF(M344&lt;&gt;"","2 · Abnahme &amp; Vermarktung","1 · Erfassung")))))))</f>
        <v/>
      </c>
      <c r="V344" s="15" t="n"/>
      <c r="W344" s="20" t="n"/>
      <c r="X344" s="15" t="n"/>
      <c r="Y344" s="15" t="n"/>
      <c r="Z344" s="18" t="n"/>
      <c r="AA344" s="19">
        <f>IF(M344="","",M344-30)</f>
        <v/>
      </c>
      <c r="AB344" s="19">
        <f>IF(ISNUMBER(AJ344),AJ344+3,"")</f>
        <v/>
      </c>
      <c r="AC344" s="18" t="n"/>
      <c r="AD344" s="18" t="n"/>
      <c r="AE344" s="18" t="n"/>
      <c r="AF344" s="18" t="n"/>
      <c r="AG344" s="18" t="n"/>
      <c r="AH344" s="18" t="n"/>
      <c r="AI344" s="18" t="n"/>
      <c r="AJ344" s="18" t="n"/>
      <c r="AK344" s="18" t="n"/>
      <c r="AL344" s="18" t="n"/>
      <c r="AM344" s="18" t="n"/>
      <c r="AN344" s="18" t="n"/>
      <c r="AO344" s="18" t="n"/>
      <c r="AP344" s="18" t="n"/>
      <c r="AQ344" s="18" t="n"/>
      <c r="AR344" s="18" t="n"/>
      <c r="AS344" s="18" t="n"/>
      <c r="AT344" s="18" t="n"/>
      <c r="AU344" s="18" t="n"/>
      <c r="AV344" s="18" t="n"/>
      <c r="AW344" s="18" t="n"/>
      <c r="AX344" s="18" t="n"/>
      <c r="AY344" s="18" t="n"/>
      <c r="AZ344" s="15" t="n"/>
    </row>
    <row r="345">
      <c r="A345" s="15" t="n"/>
      <c r="B345" s="15" t="n"/>
      <c r="C345" s="15" t="n"/>
      <c r="D345" s="15" t="n"/>
      <c r="E345" s="15" t="n"/>
      <c r="F345" s="15" t="n"/>
      <c r="G345" s="16">
        <f>IF(F345="","",IFERROR(INDEX(Stammdaten!$B$5:$B$24,MATCH(F345,Stammdaten!$A$5:$A$24,0)),"unbekannt"))</f>
        <v/>
      </c>
      <c r="H345" s="16">
        <f>IF($B345="","",IF(AY345&lt;&gt;"","abgeschlossen",IF(AND(ISNUMBER(AX345),AX345&gt;=TODAY()),"zurückgestellt",IF(OR(AND(ISNUMBER(AA345),AA345&lt;TODAY(),Z345="",AJ345=""),AND(ISNUMBER(Z345),Z345&lt;TODAY(),AJ345=""),AND(ISNUMBER(AB345),AB345&lt;TODAY(),AK345=""),AND(ISNUMBER(AC345),AC345&lt;TODAY(),AO345=""),AND(ISNUMBER(AD345),AD345&lt;TODAY(),AQ345="")),"überfällig","offen"))))</f>
        <v/>
      </c>
      <c r="I345" s="16">
        <f>IF($B345="","",IF(AY345&lt;&gt;"","—",IF(AND(ISNUMBER(AA345),AA345&lt;TODAY(),Z345="",AJ345=""),"Abnahmetermin vereinbaren – Sollfrist verstrichen",IF(AND(ISNUMBER(Z345),Z345&lt;TODAY(),AJ345=""),"Wohnungsabnahme nachtragen – Termin war fällig",IF(AND(ISNUMBER(AB345),AB345&lt;TODAY(),AK345=""),"Handwerker aufbieten – Frist verstrichen",IF(AND(ISNUMBER(AC345),AC345&lt;TODAY(),AO345=""),"Vertrag retour mahnen – Frist verstrichen",IF(AND(ISNUMBER(AD345),AD345&lt;TODAY(),AQ345=""),"Schlüsselübergabe nachtragen – Termin war fällig",IF(M345="","Haftungsdatum erfassen",IF(E345="","ex-Mieter erfassen",IF(AE345="","Kündigung bestätigen / G-Rem",IF(AF345="","Werke / EGT melden",IF(AG345="","Vorbesichtigung (oder n.e.)",IF(AH345="","VMZ aktualisieren",IF(AI345="","Inserat aufschalten",IF(AND(Z345="",AJ345=""),"Abnahmetermin vereinbaren",IF(AJ345="","Wohnungsabnahme durchführen",IF(AK345="","Handwerker aufbieten",IF(AL345="","Zustimmungserklärung einholen",IF(AM345="","Instandstellungen beauftragen",IF(R345="","Nachmieter erfassen",IF(AN345="","Vertrag versenden",IF(AO345="","Vertrag retour erfassen",IF(S345="","Vermietet per erfassen",IF(AP345="","Werke / EGT über Einzug informieren",IF(AND(AD345="",AQ345=""),"Schlüsselübergabe terminieren",IF(AQ345="","Schlüsselübergabe durchführen",IF(AR345="","Reinigung veranlassen",IF(AS345="","Namensschilder bestellen",IF(AT345="","Kaution prüfen / G-Rem mutieren",IF(AU345="","Instandstellungs-Rechnung erfassen",IF(AV345="","Schlussabrechnung erstellen",IF(AW345="","Zahlungseingang kontrollieren","Fall abschliessen"))))))))))))))))))))))))))))))))</f>
        <v/>
      </c>
      <c r="J345" s="17">
        <f>IF(M345="","",IF(S345&lt;&gt;"",MAX(0,S345-M345-1),MAX(0,TODAY()-M345)))</f>
        <v/>
      </c>
      <c r="K345" s="16">
        <f>IF($B345="","",TRIM(IF(AND(L345&lt;&gt;"",M345&lt;&gt;"",M345&lt;L345),"Haftungsdatum vor Kündigung. ","")&amp;IF(AND(S345&lt;&gt;"",M345&lt;&gt;"",S345&lt;M345),"Vermietung vor Leerstandsbeginn. ","")&amp;IF(AND(Z345&lt;&gt;"",L345&lt;&gt;"",Z345&lt;L345),"WA-Termin vor Kündigung. ","")&amp;IF(COUNTIFS($B$5:$B$404,$B345,$AY$5:$AY$404,"")&gt;1,"Zweiter offener Fall zum selben Objekt. ","")&amp;IF(AND($A345&lt;&gt;"",COUNTIFS($A$5:$A$404,$A345)&gt;1),"Fall-Nr. doppelt vergeben. ","")&amp;IF(E345="","ex-Mieter fehlt. ","")&amp;IF(M345="","Haftungsdatum fehlt. ","")&amp;IF(F345="","Bewirtschafter fehlt. ","")&amp;IF(AND(AY345&lt;&gt;"",AW345=""),"Abgeschlossen trotz offener Schlussabrechnung. ","")&amp;IF(AND(AY345="",S345="",ISNUMBER(J345),J345&gt;60),"Langläufer über 60 Tage. ","")))</f>
        <v/>
      </c>
      <c r="L345" s="18" t="n"/>
      <c r="M345" s="18" t="n"/>
      <c r="N345" s="19">
        <f>IF(M345="","",M345+1)</f>
        <v/>
      </c>
      <c r="O345" s="17">
        <f>IF(OR(L345="",M345=""),"",M345-L345)</f>
        <v/>
      </c>
      <c r="P345" s="16">
        <f>IF(M345="","",YEAR(M345+1)&amp;"-"&amp;TEXT(MONTH(M345+1),"00"))</f>
        <v/>
      </c>
      <c r="Q345" s="18" t="n"/>
      <c r="R345" s="15" t="n"/>
      <c r="S345" s="18" t="n"/>
      <c r="T345" s="16">
        <f>IF(U345="","",IF(LEFT(U345,1)="6","abgeschlossen",IF(OR(LEFT(U345,1)="1",LEFT(U345,1)="2"),"Kündigung &amp; Abnahme",IF(OR(LEFT(U345,1)="3",LEFT(U345,1)="4"),"Wiedervermietung","Schlussabrechnung"))))</f>
        <v/>
      </c>
      <c r="U345" s="16">
        <f>IF($B345="","",IF(AY345&lt;&gt;"","6 · abgeschlossen",IF(AW345&lt;&gt;"","5 · bereit zum Abschluss",IF(AT345&lt;&gt;"","5 · Schlussabrechnung",IF(AO345&lt;&gt;"","4 · Übergabe",IF(AM345&lt;&gt;"","3 · Neuvermietung",IF(M345&lt;&gt;"","2 · Abnahme &amp; Vermarktung","1 · Erfassung")))))))</f>
        <v/>
      </c>
      <c r="V345" s="15" t="n"/>
      <c r="W345" s="20" t="n"/>
      <c r="X345" s="15" t="n"/>
      <c r="Y345" s="15" t="n"/>
      <c r="Z345" s="18" t="n"/>
      <c r="AA345" s="19">
        <f>IF(M345="","",M345-30)</f>
        <v/>
      </c>
      <c r="AB345" s="19">
        <f>IF(ISNUMBER(AJ345),AJ345+3,"")</f>
        <v/>
      </c>
      <c r="AC345" s="18" t="n"/>
      <c r="AD345" s="18" t="n"/>
      <c r="AE345" s="18" t="n"/>
      <c r="AF345" s="18" t="n"/>
      <c r="AG345" s="18" t="n"/>
      <c r="AH345" s="18" t="n"/>
      <c r="AI345" s="18" t="n"/>
      <c r="AJ345" s="18" t="n"/>
      <c r="AK345" s="18" t="n"/>
      <c r="AL345" s="18" t="n"/>
      <c r="AM345" s="18" t="n"/>
      <c r="AN345" s="18" t="n"/>
      <c r="AO345" s="18" t="n"/>
      <c r="AP345" s="18" t="n"/>
      <c r="AQ345" s="18" t="n"/>
      <c r="AR345" s="18" t="n"/>
      <c r="AS345" s="18" t="n"/>
      <c r="AT345" s="18" t="n"/>
      <c r="AU345" s="18" t="n"/>
      <c r="AV345" s="18" t="n"/>
      <c r="AW345" s="18" t="n"/>
      <c r="AX345" s="18" t="n"/>
      <c r="AY345" s="18" t="n"/>
      <c r="AZ345" s="15" t="n"/>
    </row>
    <row r="346">
      <c r="A346" s="15" t="n"/>
      <c r="B346" s="15" t="n"/>
      <c r="C346" s="15" t="n"/>
      <c r="D346" s="15" t="n"/>
      <c r="E346" s="15" t="n"/>
      <c r="F346" s="15" t="n"/>
      <c r="G346" s="16">
        <f>IF(F346="","",IFERROR(INDEX(Stammdaten!$B$5:$B$24,MATCH(F346,Stammdaten!$A$5:$A$24,0)),"unbekannt"))</f>
        <v/>
      </c>
      <c r="H346" s="16">
        <f>IF($B346="","",IF(AY346&lt;&gt;"","abgeschlossen",IF(AND(ISNUMBER(AX346),AX346&gt;=TODAY()),"zurückgestellt",IF(OR(AND(ISNUMBER(AA346),AA346&lt;TODAY(),Z346="",AJ346=""),AND(ISNUMBER(Z346),Z346&lt;TODAY(),AJ346=""),AND(ISNUMBER(AB346),AB346&lt;TODAY(),AK346=""),AND(ISNUMBER(AC346),AC346&lt;TODAY(),AO346=""),AND(ISNUMBER(AD346),AD346&lt;TODAY(),AQ346="")),"überfällig","offen"))))</f>
        <v/>
      </c>
      <c r="I346" s="16">
        <f>IF($B346="","",IF(AY346&lt;&gt;"","—",IF(AND(ISNUMBER(AA346),AA346&lt;TODAY(),Z346="",AJ346=""),"Abnahmetermin vereinbaren – Sollfrist verstrichen",IF(AND(ISNUMBER(Z346),Z346&lt;TODAY(),AJ346=""),"Wohnungsabnahme nachtragen – Termin war fällig",IF(AND(ISNUMBER(AB346),AB346&lt;TODAY(),AK346=""),"Handwerker aufbieten – Frist verstrichen",IF(AND(ISNUMBER(AC346),AC346&lt;TODAY(),AO346=""),"Vertrag retour mahnen – Frist verstrichen",IF(AND(ISNUMBER(AD346),AD346&lt;TODAY(),AQ346=""),"Schlüsselübergabe nachtragen – Termin war fällig",IF(M346="","Haftungsdatum erfassen",IF(E346="","ex-Mieter erfassen",IF(AE346="","Kündigung bestätigen / G-Rem",IF(AF346="","Werke / EGT melden",IF(AG346="","Vorbesichtigung (oder n.e.)",IF(AH346="","VMZ aktualisieren",IF(AI346="","Inserat aufschalten",IF(AND(Z346="",AJ346=""),"Abnahmetermin vereinbaren",IF(AJ346="","Wohnungsabnahme durchführen",IF(AK346="","Handwerker aufbieten",IF(AL346="","Zustimmungserklärung einholen",IF(AM346="","Instandstellungen beauftragen",IF(R346="","Nachmieter erfassen",IF(AN346="","Vertrag versenden",IF(AO346="","Vertrag retour erfassen",IF(S346="","Vermietet per erfassen",IF(AP346="","Werke / EGT über Einzug informieren",IF(AND(AD346="",AQ346=""),"Schlüsselübergabe terminieren",IF(AQ346="","Schlüsselübergabe durchführen",IF(AR346="","Reinigung veranlassen",IF(AS346="","Namensschilder bestellen",IF(AT346="","Kaution prüfen / G-Rem mutieren",IF(AU346="","Instandstellungs-Rechnung erfassen",IF(AV346="","Schlussabrechnung erstellen",IF(AW346="","Zahlungseingang kontrollieren","Fall abschliessen"))))))))))))))))))))))))))))))))</f>
        <v/>
      </c>
      <c r="J346" s="17">
        <f>IF(M346="","",IF(S346&lt;&gt;"",MAX(0,S346-M346-1),MAX(0,TODAY()-M346)))</f>
        <v/>
      </c>
      <c r="K346" s="16">
        <f>IF($B346="","",TRIM(IF(AND(L346&lt;&gt;"",M346&lt;&gt;"",M346&lt;L346),"Haftungsdatum vor Kündigung. ","")&amp;IF(AND(S346&lt;&gt;"",M346&lt;&gt;"",S346&lt;M346),"Vermietung vor Leerstandsbeginn. ","")&amp;IF(AND(Z346&lt;&gt;"",L346&lt;&gt;"",Z346&lt;L346),"WA-Termin vor Kündigung. ","")&amp;IF(COUNTIFS($B$5:$B$404,$B346,$AY$5:$AY$404,"")&gt;1,"Zweiter offener Fall zum selben Objekt. ","")&amp;IF(AND($A346&lt;&gt;"",COUNTIFS($A$5:$A$404,$A346)&gt;1),"Fall-Nr. doppelt vergeben. ","")&amp;IF(E346="","ex-Mieter fehlt. ","")&amp;IF(M346="","Haftungsdatum fehlt. ","")&amp;IF(F346="","Bewirtschafter fehlt. ","")&amp;IF(AND(AY346&lt;&gt;"",AW346=""),"Abgeschlossen trotz offener Schlussabrechnung. ","")&amp;IF(AND(AY346="",S346="",ISNUMBER(J346),J346&gt;60),"Langläufer über 60 Tage. ","")))</f>
        <v/>
      </c>
      <c r="L346" s="18" t="n"/>
      <c r="M346" s="18" t="n"/>
      <c r="N346" s="19">
        <f>IF(M346="","",M346+1)</f>
        <v/>
      </c>
      <c r="O346" s="17">
        <f>IF(OR(L346="",M346=""),"",M346-L346)</f>
        <v/>
      </c>
      <c r="P346" s="16">
        <f>IF(M346="","",YEAR(M346+1)&amp;"-"&amp;TEXT(MONTH(M346+1),"00"))</f>
        <v/>
      </c>
      <c r="Q346" s="18" t="n"/>
      <c r="R346" s="15" t="n"/>
      <c r="S346" s="18" t="n"/>
      <c r="T346" s="16">
        <f>IF(U346="","",IF(LEFT(U346,1)="6","abgeschlossen",IF(OR(LEFT(U346,1)="1",LEFT(U346,1)="2"),"Kündigung &amp; Abnahme",IF(OR(LEFT(U346,1)="3",LEFT(U346,1)="4"),"Wiedervermietung","Schlussabrechnung"))))</f>
        <v/>
      </c>
      <c r="U346" s="16">
        <f>IF($B346="","",IF(AY346&lt;&gt;"","6 · abgeschlossen",IF(AW346&lt;&gt;"","5 · bereit zum Abschluss",IF(AT346&lt;&gt;"","5 · Schlussabrechnung",IF(AO346&lt;&gt;"","4 · Übergabe",IF(AM346&lt;&gt;"","3 · Neuvermietung",IF(M346&lt;&gt;"","2 · Abnahme &amp; Vermarktung","1 · Erfassung")))))))</f>
        <v/>
      </c>
      <c r="V346" s="15" t="n"/>
      <c r="W346" s="20" t="n"/>
      <c r="X346" s="15" t="n"/>
      <c r="Y346" s="15" t="n"/>
      <c r="Z346" s="18" t="n"/>
      <c r="AA346" s="19">
        <f>IF(M346="","",M346-30)</f>
        <v/>
      </c>
      <c r="AB346" s="19">
        <f>IF(ISNUMBER(AJ346),AJ346+3,"")</f>
        <v/>
      </c>
      <c r="AC346" s="18" t="n"/>
      <c r="AD346" s="18" t="n"/>
      <c r="AE346" s="18" t="n"/>
      <c r="AF346" s="18" t="n"/>
      <c r="AG346" s="18" t="n"/>
      <c r="AH346" s="18" t="n"/>
      <c r="AI346" s="18" t="n"/>
      <c r="AJ346" s="18" t="n"/>
      <c r="AK346" s="18" t="n"/>
      <c r="AL346" s="18" t="n"/>
      <c r="AM346" s="18" t="n"/>
      <c r="AN346" s="18" t="n"/>
      <c r="AO346" s="18" t="n"/>
      <c r="AP346" s="18" t="n"/>
      <c r="AQ346" s="18" t="n"/>
      <c r="AR346" s="18" t="n"/>
      <c r="AS346" s="18" t="n"/>
      <c r="AT346" s="18" t="n"/>
      <c r="AU346" s="18" t="n"/>
      <c r="AV346" s="18" t="n"/>
      <c r="AW346" s="18" t="n"/>
      <c r="AX346" s="18" t="n"/>
      <c r="AY346" s="18" t="n"/>
      <c r="AZ346" s="15" t="n"/>
    </row>
    <row r="347">
      <c r="A347" s="15" t="n"/>
      <c r="B347" s="15" t="n"/>
      <c r="C347" s="15" t="n"/>
      <c r="D347" s="15" t="n"/>
      <c r="E347" s="15" t="n"/>
      <c r="F347" s="15" t="n"/>
      <c r="G347" s="16">
        <f>IF(F347="","",IFERROR(INDEX(Stammdaten!$B$5:$B$24,MATCH(F347,Stammdaten!$A$5:$A$24,0)),"unbekannt"))</f>
        <v/>
      </c>
      <c r="H347" s="16">
        <f>IF($B347="","",IF(AY347&lt;&gt;"","abgeschlossen",IF(AND(ISNUMBER(AX347),AX347&gt;=TODAY()),"zurückgestellt",IF(OR(AND(ISNUMBER(AA347),AA347&lt;TODAY(),Z347="",AJ347=""),AND(ISNUMBER(Z347),Z347&lt;TODAY(),AJ347=""),AND(ISNUMBER(AB347),AB347&lt;TODAY(),AK347=""),AND(ISNUMBER(AC347),AC347&lt;TODAY(),AO347=""),AND(ISNUMBER(AD347),AD347&lt;TODAY(),AQ347="")),"überfällig","offen"))))</f>
        <v/>
      </c>
      <c r="I347" s="16">
        <f>IF($B347="","",IF(AY347&lt;&gt;"","—",IF(AND(ISNUMBER(AA347),AA347&lt;TODAY(),Z347="",AJ347=""),"Abnahmetermin vereinbaren – Sollfrist verstrichen",IF(AND(ISNUMBER(Z347),Z347&lt;TODAY(),AJ347=""),"Wohnungsabnahme nachtragen – Termin war fällig",IF(AND(ISNUMBER(AB347),AB347&lt;TODAY(),AK347=""),"Handwerker aufbieten – Frist verstrichen",IF(AND(ISNUMBER(AC347),AC347&lt;TODAY(),AO347=""),"Vertrag retour mahnen – Frist verstrichen",IF(AND(ISNUMBER(AD347),AD347&lt;TODAY(),AQ347=""),"Schlüsselübergabe nachtragen – Termin war fällig",IF(M347="","Haftungsdatum erfassen",IF(E347="","ex-Mieter erfassen",IF(AE347="","Kündigung bestätigen / G-Rem",IF(AF347="","Werke / EGT melden",IF(AG347="","Vorbesichtigung (oder n.e.)",IF(AH347="","VMZ aktualisieren",IF(AI347="","Inserat aufschalten",IF(AND(Z347="",AJ347=""),"Abnahmetermin vereinbaren",IF(AJ347="","Wohnungsabnahme durchführen",IF(AK347="","Handwerker aufbieten",IF(AL347="","Zustimmungserklärung einholen",IF(AM347="","Instandstellungen beauftragen",IF(R347="","Nachmieter erfassen",IF(AN347="","Vertrag versenden",IF(AO347="","Vertrag retour erfassen",IF(S347="","Vermietet per erfassen",IF(AP347="","Werke / EGT über Einzug informieren",IF(AND(AD347="",AQ347=""),"Schlüsselübergabe terminieren",IF(AQ347="","Schlüsselübergabe durchführen",IF(AR347="","Reinigung veranlassen",IF(AS347="","Namensschilder bestellen",IF(AT347="","Kaution prüfen / G-Rem mutieren",IF(AU347="","Instandstellungs-Rechnung erfassen",IF(AV347="","Schlussabrechnung erstellen",IF(AW347="","Zahlungseingang kontrollieren","Fall abschliessen"))))))))))))))))))))))))))))))))</f>
        <v/>
      </c>
      <c r="J347" s="17">
        <f>IF(M347="","",IF(S347&lt;&gt;"",MAX(0,S347-M347-1),MAX(0,TODAY()-M347)))</f>
        <v/>
      </c>
      <c r="K347" s="16">
        <f>IF($B347="","",TRIM(IF(AND(L347&lt;&gt;"",M347&lt;&gt;"",M347&lt;L347),"Haftungsdatum vor Kündigung. ","")&amp;IF(AND(S347&lt;&gt;"",M347&lt;&gt;"",S347&lt;M347),"Vermietung vor Leerstandsbeginn. ","")&amp;IF(AND(Z347&lt;&gt;"",L347&lt;&gt;"",Z347&lt;L347),"WA-Termin vor Kündigung. ","")&amp;IF(COUNTIFS($B$5:$B$404,$B347,$AY$5:$AY$404,"")&gt;1,"Zweiter offener Fall zum selben Objekt. ","")&amp;IF(AND($A347&lt;&gt;"",COUNTIFS($A$5:$A$404,$A347)&gt;1),"Fall-Nr. doppelt vergeben. ","")&amp;IF(E347="","ex-Mieter fehlt. ","")&amp;IF(M347="","Haftungsdatum fehlt. ","")&amp;IF(F347="","Bewirtschafter fehlt. ","")&amp;IF(AND(AY347&lt;&gt;"",AW347=""),"Abgeschlossen trotz offener Schlussabrechnung. ","")&amp;IF(AND(AY347="",S347="",ISNUMBER(J347),J347&gt;60),"Langläufer über 60 Tage. ","")))</f>
        <v/>
      </c>
      <c r="L347" s="18" t="n"/>
      <c r="M347" s="18" t="n"/>
      <c r="N347" s="19">
        <f>IF(M347="","",M347+1)</f>
        <v/>
      </c>
      <c r="O347" s="17">
        <f>IF(OR(L347="",M347=""),"",M347-L347)</f>
        <v/>
      </c>
      <c r="P347" s="16">
        <f>IF(M347="","",YEAR(M347+1)&amp;"-"&amp;TEXT(MONTH(M347+1),"00"))</f>
        <v/>
      </c>
      <c r="Q347" s="18" t="n"/>
      <c r="R347" s="15" t="n"/>
      <c r="S347" s="18" t="n"/>
      <c r="T347" s="16">
        <f>IF(U347="","",IF(LEFT(U347,1)="6","abgeschlossen",IF(OR(LEFT(U347,1)="1",LEFT(U347,1)="2"),"Kündigung &amp; Abnahme",IF(OR(LEFT(U347,1)="3",LEFT(U347,1)="4"),"Wiedervermietung","Schlussabrechnung"))))</f>
        <v/>
      </c>
      <c r="U347" s="16">
        <f>IF($B347="","",IF(AY347&lt;&gt;"","6 · abgeschlossen",IF(AW347&lt;&gt;"","5 · bereit zum Abschluss",IF(AT347&lt;&gt;"","5 · Schlussabrechnung",IF(AO347&lt;&gt;"","4 · Übergabe",IF(AM347&lt;&gt;"","3 · Neuvermietung",IF(M347&lt;&gt;"","2 · Abnahme &amp; Vermarktung","1 · Erfassung")))))))</f>
        <v/>
      </c>
      <c r="V347" s="15" t="n"/>
      <c r="W347" s="20" t="n"/>
      <c r="X347" s="15" t="n"/>
      <c r="Y347" s="15" t="n"/>
      <c r="Z347" s="18" t="n"/>
      <c r="AA347" s="19">
        <f>IF(M347="","",M347-30)</f>
        <v/>
      </c>
      <c r="AB347" s="19">
        <f>IF(ISNUMBER(AJ347),AJ347+3,"")</f>
        <v/>
      </c>
      <c r="AC347" s="18" t="n"/>
      <c r="AD347" s="18" t="n"/>
      <c r="AE347" s="18" t="n"/>
      <c r="AF347" s="18" t="n"/>
      <c r="AG347" s="18" t="n"/>
      <c r="AH347" s="18" t="n"/>
      <c r="AI347" s="18" t="n"/>
      <c r="AJ347" s="18" t="n"/>
      <c r="AK347" s="18" t="n"/>
      <c r="AL347" s="18" t="n"/>
      <c r="AM347" s="18" t="n"/>
      <c r="AN347" s="18" t="n"/>
      <c r="AO347" s="18" t="n"/>
      <c r="AP347" s="18" t="n"/>
      <c r="AQ347" s="18" t="n"/>
      <c r="AR347" s="18" t="n"/>
      <c r="AS347" s="18" t="n"/>
      <c r="AT347" s="18" t="n"/>
      <c r="AU347" s="18" t="n"/>
      <c r="AV347" s="18" t="n"/>
      <c r="AW347" s="18" t="n"/>
      <c r="AX347" s="18" t="n"/>
      <c r="AY347" s="18" t="n"/>
      <c r="AZ347" s="15" t="n"/>
    </row>
    <row r="348">
      <c r="A348" s="15" t="n"/>
      <c r="B348" s="15" t="n"/>
      <c r="C348" s="15" t="n"/>
      <c r="D348" s="15" t="n"/>
      <c r="E348" s="15" t="n"/>
      <c r="F348" s="15" t="n"/>
      <c r="G348" s="16">
        <f>IF(F348="","",IFERROR(INDEX(Stammdaten!$B$5:$B$24,MATCH(F348,Stammdaten!$A$5:$A$24,0)),"unbekannt"))</f>
        <v/>
      </c>
      <c r="H348" s="16">
        <f>IF($B348="","",IF(AY348&lt;&gt;"","abgeschlossen",IF(AND(ISNUMBER(AX348),AX348&gt;=TODAY()),"zurückgestellt",IF(OR(AND(ISNUMBER(AA348),AA348&lt;TODAY(),Z348="",AJ348=""),AND(ISNUMBER(Z348),Z348&lt;TODAY(),AJ348=""),AND(ISNUMBER(AB348),AB348&lt;TODAY(),AK348=""),AND(ISNUMBER(AC348),AC348&lt;TODAY(),AO348=""),AND(ISNUMBER(AD348),AD348&lt;TODAY(),AQ348="")),"überfällig","offen"))))</f>
        <v/>
      </c>
      <c r="I348" s="16">
        <f>IF($B348="","",IF(AY348&lt;&gt;"","—",IF(AND(ISNUMBER(AA348),AA348&lt;TODAY(),Z348="",AJ348=""),"Abnahmetermin vereinbaren – Sollfrist verstrichen",IF(AND(ISNUMBER(Z348),Z348&lt;TODAY(),AJ348=""),"Wohnungsabnahme nachtragen – Termin war fällig",IF(AND(ISNUMBER(AB348),AB348&lt;TODAY(),AK348=""),"Handwerker aufbieten – Frist verstrichen",IF(AND(ISNUMBER(AC348),AC348&lt;TODAY(),AO348=""),"Vertrag retour mahnen – Frist verstrichen",IF(AND(ISNUMBER(AD348),AD348&lt;TODAY(),AQ348=""),"Schlüsselübergabe nachtragen – Termin war fällig",IF(M348="","Haftungsdatum erfassen",IF(E348="","ex-Mieter erfassen",IF(AE348="","Kündigung bestätigen / G-Rem",IF(AF348="","Werke / EGT melden",IF(AG348="","Vorbesichtigung (oder n.e.)",IF(AH348="","VMZ aktualisieren",IF(AI348="","Inserat aufschalten",IF(AND(Z348="",AJ348=""),"Abnahmetermin vereinbaren",IF(AJ348="","Wohnungsabnahme durchführen",IF(AK348="","Handwerker aufbieten",IF(AL348="","Zustimmungserklärung einholen",IF(AM348="","Instandstellungen beauftragen",IF(R348="","Nachmieter erfassen",IF(AN348="","Vertrag versenden",IF(AO348="","Vertrag retour erfassen",IF(S348="","Vermietet per erfassen",IF(AP348="","Werke / EGT über Einzug informieren",IF(AND(AD348="",AQ348=""),"Schlüsselübergabe terminieren",IF(AQ348="","Schlüsselübergabe durchführen",IF(AR348="","Reinigung veranlassen",IF(AS348="","Namensschilder bestellen",IF(AT348="","Kaution prüfen / G-Rem mutieren",IF(AU348="","Instandstellungs-Rechnung erfassen",IF(AV348="","Schlussabrechnung erstellen",IF(AW348="","Zahlungseingang kontrollieren","Fall abschliessen"))))))))))))))))))))))))))))))))</f>
        <v/>
      </c>
      <c r="J348" s="17">
        <f>IF(M348="","",IF(S348&lt;&gt;"",MAX(0,S348-M348-1),MAX(0,TODAY()-M348)))</f>
        <v/>
      </c>
      <c r="K348" s="16">
        <f>IF($B348="","",TRIM(IF(AND(L348&lt;&gt;"",M348&lt;&gt;"",M348&lt;L348),"Haftungsdatum vor Kündigung. ","")&amp;IF(AND(S348&lt;&gt;"",M348&lt;&gt;"",S348&lt;M348),"Vermietung vor Leerstandsbeginn. ","")&amp;IF(AND(Z348&lt;&gt;"",L348&lt;&gt;"",Z348&lt;L348),"WA-Termin vor Kündigung. ","")&amp;IF(COUNTIFS($B$5:$B$404,$B348,$AY$5:$AY$404,"")&gt;1,"Zweiter offener Fall zum selben Objekt. ","")&amp;IF(AND($A348&lt;&gt;"",COUNTIFS($A$5:$A$404,$A348)&gt;1),"Fall-Nr. doppelt vergeben. ","")&amp;IF(E348="","ex-Mieter fehlt. ","")&amp;IF(M348="","Haftungsdatum fehlt. ","")&amp;IF(F348="","Bewirtschafter fehlt. ","")&amp;IF(AND(AY348&lt;&gt;"",AW348=""),"Abgeschlossen trotz offener Schlussabrechnung. ","")&amp;IF(AND(AY348="",S348="",ISNUMBER(J348),J348&gt;60),"Langläufer über 60 Tage. ","")))</f>
        <v/>
      </c>
      <c r="L348" s="18" t="n"/>
      <c r="M348" s="18" t="n"/>
      <c r="N348" s="19">
        <f>IF(M348="","",M348+1)</f>
        <v/>
      </c>
      <c r="O348" s="17">
        <f>IF(OR(L348="",M348=""),"",M348-L348)</f>
        <v/>
      </c>
      <c r="P348" s="16">
        <f>IF(M348="","",YEAR(M348+1)&amp;"-"&amp;TEXT(MONTH(M348+1),"00"))</f>
        <v/>
      </c>
      <c r="Q348" s="18" t="n"/>
      <c r="R348" s="15" t="n"/>
      <c r="S348" s="18" t="n"/>
      <c r="T348" s="16">
        <f>IF(U348="","",IF(LEFT(U348,1)="6","abgeschlossen",IF(OR(LEFT(U348,1)="1",LEFT(U348,1)="2"),"Kündigung &amp; Abnahme",IF(OR(LEFT(U348,1)="3",LEFT(U348,1)="4"),"Wiedervermietung","Schlussabrechnung"))))</f>
        <v/>
      </c>
      <c r="U348" s="16">
        <f>IF($B348="","",IF(AY348&lt;&gt;"","6 · abgeschlossen",IF(AW348&lt;&gt;"","5 · bereit zum Abschluss",IF(AT348&lt;&gt;"","5 · Schlussabrechnung",IF(AO348&lt;&gt;"","4 · Übergabe",IF(AM348&lt;&gt;"","3 · Neuvermietung",IF(M348&lt;&gt;"","2 · Abnahme &amp; Vermarktung","1 · Erfassung")))))))</f>
        <v/>
      </c>
      <c r="V348" s="15" t="n"/>
      <c r="W348" s="20" t="n"/>
      <c r="X348" s="15" t="n"/>
      <c r="Y348" s="15" t="n"/>
      <c r="Z348" s="18" t="n"/>
      <c r="AA348" s="19">
        <f>IF(M348="","",M348-30)</f>
        <v/>
      </c>
      <c r="AB348" s="19">
        <f>IF(ISNUMBER(AJ348),AJ348+3,"")</f>
        <v/>
      </c>
      <c r="AC348" s="18" t="n"/>
      <c r="AD348" s="18" t="n"/>
      <c r="AE348" s="18" t="n"/>
      <c r="AF348" s="18" t="n"/>
      <c r="AG348" s="18" t="n"/>
      <c r="AH348" s="18" t="n"/>
      <c r="AI348" s="18" t="n"/>
      <c r="AJ348" s="18" t="n"/>
      <c r="AK348" s="18" t="n"/>
      <c r="AL348" s="18" t="n"/>
      <c r="AM348" s="18" t="n"/>
      <c r="AN348" s="18" t="n"/>
      <c r="AO348" s="18" t="n"/>
      <c r="AP348" s="18" t="n"/>
      <c r="AQ348" s="18" t="n"/>
      <c r="AR348" s="18" t="n"/>
      <c r="AS348" s="18" t="n"/>
      <c r="AT348" s="18" t="n"/>
      <c r="AU348" s="18" t="n"/>
      <c r="AV348" s="18" t="n"/>
      <c r="AW348" s="18" t="n"/>
      <c r="AX348" s="18" t="n"/>
      <c r="AY348" s="18" t="n"/>
      <c r="AZ348" s="15" t="n"/>
    </row>
    <row r="349">
      <c r="A349" s="15" t="n"/>
      <c r="B349" s="15" t="n"/>
      <c r="C349" s="15" t="n"/>
      <c r="D349" s="15" t="n"/>
      <c r="E349" s="15" t="n"/>
      <c r="F349" s="15" t="n"/>
      <c r="G349" s="16">
        <f>IF(F349="","",IFERROR(INDEX(Stammdaten!$B$5:$B$24,MATCH(F349,Stammdaten!$A$5:$A$24,0)),"unbekannt"))</f>
        <v/>
      </c>
      <c r="H349" s="16">
        <f>IF($B349="","",IF(AY349&lt;&gt;"","abgeschlossen",IF(AND(ISNUMBER(AX349),AX349&gt;=TODAY()),"zurückgestellt",IF(OR(AND(ISNUMBER(AA349),AA349&lt;TODAY(),Z349="",AJ349=""),AND(ISNUMBER(Z349),Z349&lt;TODAY(),AJ349=""),AND(ISNUMBER(AB349),AB349&lt;TODAY(),AK349=""),AND(ISNUMBER(AC349),AC349&lt;TODAY(),AO349=""),AND(ISNUMBER(AD349),AD349&lt;TODAY(),AQ349="")),"überfällig","offen"))))</f>
        <v/>
      </c>
      <c r="I349" s="16">
        <f>IF($B349="","",IF(AY349&lt;&gt;"","—",IF(AND(ISNUMBER(AA349),AA349&lt;TODAY(),Z349="",AJ349=""),"Abnahmetermin vereinbaren – Sollfrist verstrichen",IF(AND(ISNUMBER(Z349),Z349&lt;TODAY(),AJ349=""),"Wohnungsabnahme nachtragen – Termin war fällig",IF(AND(ISNUMBER(AB349),AB349&lt;TODAY(),AK349=""),"Handwerker aufbieten – Frist verstrichen",IF(AND(ISNUMBER(AC349),AC349&lt;TODAY(),AO349=""),"Vertrag retour mahnen – Frist verstrichen",IF(AND(ISNUMBER(AD349),AD349&lt;TODAY(),AQ349=""),"Schlüsselübergabe nachtragen – Termin war fällig",IF(M349="","Haftungsdatum erfassen",IF(E349="","ex-Mieter erfassen",IF(AE349="","Kündigung bestätigen / G-Rem",IF(AF349="","Werke / EGT melden",IF(AG349="","Vorbesichtigung (oder n.e.)",IF(AH349="","VMZ aktualisieren",IF(AI349="","Inserat aufschalten",IF(AND(Z349="",AJ349=""),"Abnahmetermin vereinbaren",IF(AJ349="","Wohnungsabnahme durchführen",IF(AK349="","Handwerker aufbieten",IF(AL349="","Zustimmungserklärung einholen",IF(AM349="","Instandstellungen beauftragen",IF(R349="","Nachmieter erfassen",IF(AN349="","Vertrag versenden",IF(AO349="","Vertrag retour erfassen",IF(S349="","Vermietet per erfassen",IF(AP349="","Werke / EGT über Einzug informieren",IF(AND(AD349="",AQ349=""),"Schlüsselübergabe terminieren",IF(AQ349="","Schlüsselübergabe durchführen",IF(AR349="","Reinigung veranlassen",IF(AS349="","Namensschilder bestellen",IF(AT349="","Kaution prüfen / G-Rem mutieren",IF(AU349="","Instandstellungs-Rechnung erfassen",IF(AV349="","Schlussabrechnung erstellen",IF(AW349="","Zahlungseingang kontrollieren","Fall abschliessen"))))))))))))))))))))))))))))))))</f>
        <v/>
      </c>
      <c r="J349" s="17">
        <f>IF(M349="","",IF(S349&lt;&gt;"",MAX(0,S349-M349-1),MAX(0,TODAY()-M349)))</f>
        <v/>
      </c>
      <c r="K349" s="16">
        <f>IF($B349="","",TRIM(IF(AND(L349&lt;&gt;"",M349&lt;&gt;"",M349&lt;L349),"Haftungsdatum vor Kündigung. ","")&amp;IF(AND(S349&lt;&gt;"",M349&lt;&gt;"",S349&lt;M349),"Vermietung vor Leerstandsbeginn. ","")&amp;IF(AND(Z349&lt;&gt;"",L349&lt;&gt;"",Z349&lt;L349),"WA-Termin vor Kündigung. ","")&amp;IF(COUNTIFS($B$5:$B$404,$B349,$AY$5:$AY$404,"")&gt;1,"Zweiter offener Fall zum selben Objekt. ","")&amp;IF(AND($A349&lt;&gt;"",COUNTIFS($A$5:$A$404,$A349)&gt;1),"Fall-Nr. doppelt vergeben. ","")&amp;IF(E349="","ex-Mieter fehlt. ","")&amp;IF(M349="","Haftungsdatum fehlt. ","")&amp;IF(F349="","Bewirtschafter fehlt. ","")&amp;IF(AND(AY349&lt;&gt;"",AW349=""),"Abgeschlossen trotz offener Schlussabrechnung. ","")&amp;IF(AND(AY349="",S349="",ISNUMBER(J349),J349&gt;60),"Langläufer über 60 Tage. ","")))</f>
        <v/>
      </c>
      <c r="L349" s="18" t="n"/>
      <c r="M349" s="18" t="n"/>
      <c r="N349" s="19">
        <f>IF(M349="","",M349+1)</f>
        <v/>
      </c>
      <c r="O349" s="17">
        <f>IF(OR(L349="",M349=""),"",M349-L349)</f>
        <v/>
      </c>
      <c r="P349" s="16">
        <f>IF(M349="","",YEAR(M349+1)&amp;"-"&amp;TEXT(MONTH(M349+1),"00"))</f>
        <v/>
      </c>
      <c r="Q349" s="18" t="n"/>
      <c r="R349" s="15" t="n"/>
      <c r="S349" s="18" t="n"/>
      <c r="T349" s="16">
        <f>IF(U349="","",IF(LEFT(U349,1)="6","abgeschlossen",IF(OR(LEFT(U349,1)="1",LEFT(U349,1)="2"),"Kündigung &amp; Abnahme",IF(OR(LEFT(U349,1)="3",LEFT(U349,1)="4"),"Wiedervermietung","Schlussabrechnung"))))</f>
        <v/>
      </c>
      <c r="U349" s="16">
        <f>IF($B349="","",IF(AY349&lt;&gt;"","6 · abgeschlossen",IF(AW349&lt;&gt;"","5 · bereit zum Abschluss",IF(AT349&lt;&gt;"","5 · Schlussabrechnung",IF(AO349&lt;&gt;"","4 · Übergabe",IF(AM349&lt;&gt;"","3 · Neuvermietung",IF(M349&lt;&gt;"","2 · Abnahme &amp; Vermarktung","1 · Erfassung")))))))</f>
        <v/>
      </c>
      <c r="V349" s="15" t="n"/>
      <c r="W349" s="20" t="n"/>
      <c r="X349" s="15" t="n"/>
      <c r="Y349" s="15" t="n"/>
      <c r="Z349" s="18" t="n"/>
      <c r="AA349" s="19">
        <f>IF(M349="","",M349-30)</f>
        <v/>
      </c>
      <c r="AB349" s="19">
        <f>IF(ISNUMBER(AJ349),AJ349+3,"")</f>
        <v/>
      </c>
      <c r="AC349" s="18" t="n"/>
      <c r="AD349" s="18" t="n"/>
      <c r="AE349" s="18" t="n"/>
      <c r="AF349" s="18" t="n"/>
      <c r="AG349" s="18" t="n"/>
      <c r="AH349" s="18" t="n"/>
      <c r="AI349" s="18" t="n"/>
      <c r="AJ349" s="18" t="n"/>
      <c r="AK349" s="18" t="n"/>
      <c r="AL349" s="18" t="n"/>
      <c r="AM349" s="18" t="n"/>
      <c r="AN349" s="18" t="n"/>
      <c r="AO349" s="18" t="n"/>
      <c r="AP349" s="18" t="n"/>
      <c r="AQ349" s="18" t="n"/>
      <c r="AR349" s="18" t="n"/>
      <c r="AS349" s="18" t="n"/>
      <c r="AT349" s="18" t="n"/>
      <c r="AU349" s="18" t="n"/>
      <c r="AV349" s="18" t="n"/>
      <c r="AW349" s="18" t="n"/>
      <c r="AX349" s="18" t="n"/>
      <c r="AY349" s="18" t="n"/>
      <c r="AZ349" s="15" t="n"/>
    </row>
    <row r="350">
      <c r="A350" s="15" t="n"/>
      <c r="B350" s="15" t="n"/>
      <c r="C350" s="15" t="n"/>
      <c r="D350" s="15" t="n"/>
      <c r="E350" s="15" t="n"/>
      <c r="F350" s="15" t="n"/>
      <c r="G350" s="16">
        <f>IF(F350="","",IFERROR(INDEX(Stammdaten!$B$5:$B$24,MATCH(F350,Stammdaten!$A$5:$A$24,0)),"unbekannt"))</f>
        <v/>
      </c>
      <c r="H350" s="16">
        <f>IF($B350="","",IF(AY350&lt;&gt;"","abgeschlossen",IF(AND(ISNUMBER(AX350),AX350&gt;=TODAY()),"zurückgestellt",IF(OR(AND(ISNUMBER(AA350),AA350&lt;TODAY(),Z350="",AJ350=""),AND(ISNUMBER(Z350),Z350&lt;TODAY(),AJ350=""),AND(ISNUMBER(AB350),AB350&lt;TODAY(),AK350=""),AND(ISNUMBER(AC350),AC350&lt;TODAY(),AO350=""),AND(ISNUMBER(AD350),AD350&lt;TODAY(),AQ350="")),"überfällig","offen"))))</f>
        <v/>
      </c>
      <c r="I350" s="16">
        <f>IF($B350="","",IF(AY350&lt;&gt;"","—",IF(AND(ISNUMBER(AA350),AA350&lt;TODAY(),Z350="",AJ350=""),"Abnahmetermin vereinbaren – Sollfrist verstrichen",IF(AND(ISNUMBER(Z350),Z350&lt;TODAY(),AJ350=""),"Wohnungsabnahme nachtragen – Termin war fällig",IF(AND(ISNUMBER(AB350),AB350&lt;TODAY(),AK350=""),"Handwerker aufbieten – Frist verstrichen",IF(AND(ISNUMBER(AC350),AC350&lt;TODAY(),AO350=""),"Vertrag retour mahnen – Frist verstrichen",IF(AND(ISNUMBER(AD350),AD350&lt;TODAY(),AQ350=""),"Schlüsselübergabe nachtragen – Termin war fällig",IF(M350="","Haftungsdatum erfassen",IF(E350="","ex-Mieter erfassen",IF(AE350="","Kündigung bestätigen / G-Rem",IF(AF350="","Werke / EGT melden",IF(AG350="","Vorbesichtigung (oder n.e.)",IF(AH350="","VMZ aktualisieren",IF(AI350="","Inserat aufschalten",IF(AND(Z350="",AJ350=""),"Abnahmetermin vereinbaren",IF(AJ350="","Wohnungsabnahme durchführen",IF(AK350="","Handwerker aufbieten",IF(AL350="","Zustimmungserklärung einholen",IF(AM350="","Instandstellungen beauftragen",IF(R350="","Nachmieter erfassen",IF(AN350="","Vertrag versenden",IF(AO350="","Vertrag retour erfassen",IF(S350="","Vermietet per erfassen",IF(AP350="","Werke / EGT über Einzug informieren",IF(AND(AD350="",AQ350=""),"Schlüsselübergabe terminieren",IF(AQ350="","Schlüsselübergabe durchführen",IF(AR350="","Reinigung veranlassen",IF(AS350="","Namensschilder bestellen",IF(AT350="","Kaution prüfen / G-Rem mutieren",IF(AU350="","Instandstellungs-Rechnung erfassen",IF(AV350="","Schlussabrechnung erstellen",IF(AW350="","Zahlungseingang kontrollieren","Fall abschliessen"))))))))))))))))))))))))))))))))</f>
        <v/>
      </c>
      <c r="J350" s="17">
        <f>IF(M350="","",IF(S350&lt;&gt;"",MAX(0,S350-M350-1),MAX(0,TODAY()-M350)))</f>
        <v/>
      </c>
      <c r="K350" s="16">
        <f>IF($B350="","",TRIM(IF(AND(L350&lt;&gt;"",M350&lt;&gt;"",M350&lt;L350),"Haftungsdatum vor Kündigung. ","")&amp;IF(AND(S350&lt;&gt;"",M350&lt;&gt;"",S350&lt;M350),"Vermietung vor Leerstandsbeginn. ","")&amp;IF(AND(Z350&lt;&gt;"",L350&lt;&gt;"",Z350&lt;L350),"WA-Termin vor Kündigung. ","")&amp;IF(COUNTIFS($B$5:$B$404,$B350,$AY$5:$AY$404,"")&gt;1,"Zweiter offener Fall zum selben Objekt. ","")&amp;IF(AND($A350&lt;&gt;"",COUNTIFS($A$5:$A$404,$A350)&gt;1),"Fall-Nr. doppelt vergeben. ","")&amp;IF(E350="","ex-Mieter fehlt. ","")&amp;IF(M350="","Haftungsdatum fehlt. ","")&amp;IF(F350="","Bewirtschafter fehlt. ","")&amp;IF(AND(AY350&lt;&gt;"",AW350=""),"Abgeschlossen trotz offener Schlussabrechnung. ","")&amp;IF(AND(AY350="",S350="",ISNUMBER(J350),J350&gt;60),"Langläufer über 60 Tage. ","")))</f>
        <v/>
      </c>
      <c r="L350" s="18" t="n"/>
      <c r="M350" s="18" t="n"/>
      <c r="N350" s="19">
        <f>IF(M350="","",M350+1)</f>
        <v/>
      </c>
      <c r="O350" s="17">
        <f>IF(OR(L350="",M350=""),"",M350-L350)</f>
        <v/>
      </c>
      <c r="P350" s="16">
        <f>IF(M350="","",YEAR(M350+1)&amp;"-"&amp;TEXT(MONTH(M350+1),"00"))</f>
        <v/>
      </c>
      <c r="Q350" s="18" t="n"/>
      <c r="R350" s="15" t="n"/>
      <c r="S350" s="18" t="n"/>
      <c r="T350" s="16">
        <f>IF(U350="","",IF(LEFT(U350,1)="6","abgeschlossen",IF(OR(LEFT(U350,1)="1",LEFT(U350,1)="2"),"Kündigung &amp; Abnahme",IF(OR(LEFT(U350,1)="3",LEFT(U350,1)="4"),"Wiedervermietung","Schlussabrechnung"))))</f>
        <v/>
      </c>
      <c r="U350" s="16">
        <f>IF($B350="","",IF(AY350&lt;&gt;"","6 · abgeschlossen",IF(AW350&lt;&gt;"","5 · bereit zum Abschluss",IF(AT350&lt;&gt;"","5 · Schlussabrechnung",IF(AO350&lt;&gt;"","4 · Übergabe",IF(AM350&lt;&gt;"","3 · Neuvermietung",IF(M350&lt;&gt;"","2 · Abnahme &amp; Vermarktung","1 · Erfassung")))))))</f>
        <v/>
      </c>
      <c r="V350" s="15" t="n"/>
      <c r="W350" s="20" t="n"/>
      <c r="X350" s="15" t="n"/>
      <c r="Y350" s="15" t="n"/>
      <c r="Z350" s="18" t="n"/>
      <c r="AA350" s="19">
        <f>IF(M350="","",M350-30)</f>
        <v/>
      </c>
      <c r="AB350" s="19">
        <f>IF(ISNUMBER(AJ350),AJ350+3,"")</f>
        <v/>
      </c>
      <c r="AC350" s="18" t="n"/>
      <c r="AD350" s="18" t="n"/>
      <c r="AE350" s="18" t="n"/>
      <c r="AF350" s="18" t="n"/>
      <c r="AG350" s="18" t="n"/>
      <c r="AH350" s="18" t="n"/>
      <c r="AI350" s="18" t="n"/>
      <c r="AJ350" s="18" t="n"/>
      <c r="AK350" s="18" t="n"/>
      <c r="AL350" s="18" t="n"/>
      <c r="AM350" s="18" t="n"/>
      <c r="AN350" s="18" t="n"/>
      <c r="AO350" s="18" t="n"/>
      <c r="AP350" s="18" t="n"/>
      <c r="AQ350" s="18" t="n"/>
      <c r="AR350" s="18" t="n"/>
      <c r="AS350" s="18" t="n"/>
      <c r="AT350" s="18" t="n"/>
      <c r="AU350" s="18" t="n"/>
      <c r="AV350" s="18" t="n"/>
      <c r="AW350" s="18" t="n"/>
      <c r="AX350" s="18" t="n"/>
      <c r="AY350" s="18" t="n"/>
      <c r="AZ350" s="15" t="n"/>
    </row>
    <row r="351">
      <c r="A351" s="15" t="n"/>
      <c r="B351" s="15" t="n"/>
      <c r="C351" s="15" t="n"/>
      <c r="D351" s="15" t="n"/>
      <c r="E351" s="15" t="n"/>
      <c r="F351" s="15" t="n"/>
      <c r="G351" s="16">
        <f>IF(F351="","",IFERROR(INDEX(Stammdaten!$B$5:$B$24,MATCH(F351,Stammdaten!$A$5:$A$24,0)),"unbekannt"))</f>
        <v/>
      </c>
      <c r="H351" s="16">
        <f>IF($B351="","",IF(AY351&lt;&gt;"","abgeschlossen",IF(AND(ISNUMBER(AX351),AX351&gt;=TODAY()),"zurückgestellt",IF(OR(AND(ISNUMBER(AA351),AA351&lt;TODAY(),Z351="",AJ351=""),AND(ISNUMBER(Z351),Z351&lt;TODAY(),AJ351=""),AND(ISNUMBER(AB351),AB351&lt;TODAY(),AK351=""),AND(ISNUMBER(AC351),AC351&lt;TODAY(),AO351=""),AND(ISNUMBER(AD351),AD351&lt;TODAY(),AQ351="")),"überfällig","offen"))))</f>
        <v/>
      </c>
      <c r="I351" s="16">
        <f>IF($B351="","",IF(AY351&lt;&gt;"","—",IF(AND(ISNUMBER(AA351),AA351&lt;TODAY(),Z351="",AJ351=""),"Abnahmetermin vereinbaren – Sollfrist verstrichen",IF(AND(ISNUMBER(Z351),Z351&lt;TODAY(),AJ351=""),"Wohnungsabnahme nachtragen – Termin war fällig",IF(AND(ISNUMBER(AB351),AB351&lt;TODAY(),AK351=""),"Handwerker aufbieten – Frist verstrichen",IF(AND(ISNUMBER(AC351),AC351&lt;TODAY(),AO351=""),"Vertrag retour mahnen – Frist verstrichen",IF(AND(ISNUMBER(AD351),AD351&lt;TODAY(),AQ351=""),"Schlüsselübergabe nachtragen – Termin war fällig",IF(M351="","Haftungsdatum erfassen",IF(E351="","ex-Mieter erfassen",IF(AE351="","Kündigung bestätigen / G-Rem",IF(AF351="","Werke / EGT melden",IF(AG351="","Vorbesichtigung (oder n.e.)",IF(AH351="","VMZ aktualisieren",IF(AI351="","Inserat aufschalten",IF(AND(Z351="",AJ351=""),"Abnahmetermin vereinbaren",IF(AJ351="","Wohnungsabnahme durchführen",IF(AK351="","Handwerker aufbieten",IF(AL351="","Zustimmungserklärung einholen",IF(AM351="","Instandstellungen beauftragen",IF(R351="","Nachmieter erfassen",IF(AN351="","Vertrag versenden",IF(AO351="","Vertrag retour erfassen",IF(S351="","Vermietet per erfassen",IF(AP351="","Werke / EGT über Einzug informieren",IF(AND(AD351="",AQ351=""),"Schlüsselübergabe terminieren",IF(AQ351="","Schlüsselübergabe durchführen",IF(AR351="","Reinigung veranlassen",IF(AS351="","Namensschilder bestellen",IF(AT351="","Kaution prüfen / G-Rem mutieren",IF(AU351="","Instandstellungs-Rechnung erfassen",IF(AV351="","Schlussabrechnung erstellen",IF(AW351="","Zahlungseingang kontrollieren","Fall abschliessen"))))))))))))))))))))))))))))))))</f>
        <v/>
      </c>
      <c r="J351" s="17">
        <f>IF(M351="","",IF(S351&lt;&gt;"",MAX(0,S351-M351-1),MAX(0,TODAY()-M351)))</f>
        <v/>
      </c>
      <c r="K351" s="16">
        <f>IF($B351="","",TRIM(IF(AND(L351&lt;&gt;"",M351&lt;&gt;"",M351&lt;L351),"Haftungsdatum vor Kündigung. ","")&amp;IF(AND(S351&lt;&gt;"",M351&lt;&gt;"",S351&lt;M351),"Vermietung vor Leerstandsbeginn. ","")&amp;IF(AND(Z351&lt;&gt;"",L351&lt;&gt;"",Z351&lt;L351),"WA-Termin vor Kündigung. ","")&amp;IF(COUNTIFS($B$5:$B$404,$B351,$AY$5:$AY$404,"")&gt;1,"Zweiter offener Fall zum selben Objekt. ","")&amp;IF(AND($A351&lt;&gt;"",COUNTIFS($A$5:$A$404,$A351)&gt;1),"Fall-Nr. doppelt vergeben. ","")&amp;IF(E351="","ex-Mieter fehlt. ","")&amp;IF(M351="","Haftungsdatum fehlt. ","")&amp;IF(F351="","Bewirtschafter fehlt. ","")&amp;IF(AND(AY351&lt;&gt;"",AW351=""),"Abgeschlossen trotz offener Schlussabrechnung. ","")&amp;IF(AND(AY351="",S351="",ISNUMBER(J351),J351&gt;60),"Langläufer über 60 Tage. ","")))</f>
        <v/>
      </c>
      <c r="L351" s="18" t="n"/>
      <c r="M351" s="18" t="n"/>
      <c r="N351" s="19">
        <f>IF(M351="","",M351+1)</f>
        <v/>
      </c>
      <c r="O351" s="17">
        <f>IF(OR(L351="",M351=""),"",M351-L351)</f>
        <v/>
      </c>
      <c r="P351" s="16">
        <f>IF(M351="","",YEAR(M351+1)&amp;"-"&amp;TEXT(MONTH(M351+1),"00"))</f>
        <v/>
      </c>
      <c r="Q351" s="18" t="n"/>
      <c r="R351" s="15" t="n"/>
      <c r="S351" s="18" t="n"/>
      <c r="T351" s="16">
        <f>IF(U351="","",IF(LEFT(U351,1)="6","abgeschlossen",IF(OR(LEFT(U351,1)="1",LEFT(U351,1)="2"),"Kündigung &amp; Abnahme",IF(OR(LEFT(U351,1)="3",LEFT(U351,1)="4"),"Wiedervermietung","Schlussabrechnung"))))</f>
        <v/>
      </c>
      <c r="U351" s="16">
        <f>IF($B351="","",IF(AY351&lt;&gt;"","6 · abgeschlossen",IF(AW351&lt;&gt;"","5 · bereit zum Abschluss",IF(AT351&lt;&gt;"","5 · Schlussabrechnung",IF(AO351&lt;&gt;"","4 · Übergabe",IF(AM351&lt;&gt;"","3 · Neuvermietung",IF(M351&lt;&gt;"","2 · Abnahme &amp; Vermarktung","1 · Erfassung")))))))</f>
        <v/>
      </c>
      <c r="V351" s="15" t="n"/>
      <c r="W351" s="20" t="n"/>
      <c r="X351" s="15" t="n"/>
      <c r="Y351" s="15" t="n"/>
      <c r="Z351" s="18" t="n"/>
      <c r="AA351" s="19">
        <f>IF(M351="","",M351-30)</f>
        <v/>
      </c>
      <c r="AB351" s="19">
        <f>IF(ISNUMBER(AJ351),AJ351+3,"")</f>
        <v/>
      </c>
      <c r="AC351" s="18" t="n"/>
      <c r="AD351" s="18" t="n"/>
      <c r="AE351" s="18" t="n"/>
      <c r="AF351" s="18" t="n"/>
      <c r="AG351" s="18" t="n"/>
      <c r="AH351" s="18" t="n"/>
      <c r="AI351" s="18" t="n"/>
      <c r="AJ351" s="18" t="n"/>
      <c r="AK351" s="18" t="n"/>
      <c r="AL351" s="18" t="n"/>
      <c r="AM351" s="18" t="n"/>
      <c r="AN351" s="18" t="n"/>
      <c r="AO351" s="18" t="n"/>
      <c r="AP351" s="18" t="n"/>
      <c r="AQ351" s="18" t="n"/>
      <c r="AR351" s="18" t="n"/>
      <c r="AS351" s="18" t="n"/>
      <c r="AT351" s="18" t="n"/>
      <c r="AU351" s="18" t="n"/>
      <c r="AV351" s="18" t="n"/>
      <c r="AW351" s="18" t="n"/>
      <c r="AX351" s="18" t="n"/>
      <c r="AY351" s="18" t="n"/>
      <c r="AZ351" s="15" t="n"/>
    </row>
    <row r="352">
      <c r="A352" s="15" t="n"/>
      <c r="B352" s="15" t="n"/>
      <c r="C352" s="15" t="n"/>
      <c r="D352" s="15" t="n"/>
      <c r="E352" s="15" t="n"/>
      <c r="F352" s="15" t="n"/>
      <c r="G352" s="16">
        <f>IF(F352="","",IFERROR(INDEX(Stammdaten!$B$5:$B$24,MATCH(F352,Stammdaten!$A$5:$A$24,0)),"unbekannt"))</f>
        <v/>
      </c>
      <c r="H352" s="16">
        <f>IF($B352="","",IF(AY352&lt;&gt;"","abgeschlossen",IF(AND(ISNUMBER(AX352),AX352&gt;=TODAY()),"zurückgestellt",IF(OR(AND(ISNUMBER(AA352),AA352&lt;TODAY(),Z352="",AJ352=""),AND(ISNUMBER(Z352),Z352&lt;TODAY(),AJ352=""),AND(ISNUMBER(AB352),AB352&lt;TODAY(),AK352=""),AND(ISNUMBER(AC352),AC352&lt;TODAY(),AO352=""),AND(ISNUMBER(AD352),AD352&lt;TODAY(),AQ352="")),"überfällig","offen"))))</f>
        <v/>
      </c>
      <c r="I352" s="16">
        <f>IF($B352="","",IF(AY352&lt;&gt;"","—",IF(AND(ISNUMBER(AA352),AA352&lt;TODAY(),Z352="",AJ352=""),"Abnahmetermin vereinbaren – Sollfrist verstrichen",IF(AND(ISNUMBER(Z352),Z352&lt;TODAY(),AJ352=""),"Wohnungsabnahme nachtragen – Termin war fällig",IF(AND(ISNUMBER(AB352),AB352&lt;TODAY(),AK352=""),"Handwerker aufbieten – Frist verstrichen",IF(AND(ISNUMBER(AC352),AC352&lt;TODAY(),AO352=""),"Vertrag retour mahnen – Frist verstrichen",IF(AND(ISNUMBER(AD352),AD352&lt;TODAY(),AQ352=""),"Schlüsselübergabe nachtragen – Termin war fällig",IF(M352="","Haftungsdatum erfassen",IF(E352="","ex-Mieter erfassen",IF(AE352="","Kündigung bestätigen / G-Rem",IF(AF352="","Werke / EGT melden",IF(AG352="","Vorbesichtigung (oder n.e.)",IF(AH352="","VMZ aktualisieren",IF(AI352="","Inserat aufschalten",IF(AND(Z352="",AJ352=""),"Abnahmetermin vereinbaren",IF(AJ352="","Wohnungsabnahme durchführen",IF(AK352="","Handwerker aufbieten",IF(AL352="","Zustimmungserklärung einholen",IF(AM352="","Instandstellungen beauftragen",IF(R352="","Nachmieter erfassen",IF(AN352="","Vertrag versenden",IF(AO352="","Vertrag retour erfassen",IF(S352="","Vermietet per erfassen",IF(AP352="","Werke / EGT über Einzug informieren",IF(AND(AD352="",AQ352=""),"Schlüsselübergabe terminieren",IF(AQ352="","Schlüsselübergabe durchführen",IF(AR352="","Reinigung veranlassen",IF(AS352="","Namensschilder bestellen",IF(AT352="","Kaution prüfen / G-Rem mutieren",IF(AU352="","Instandstellungs-Rechnung erfassen",IF(AV352="","Schlussabrechnung erstellen",IF(AW352="","Zahlungseingang kontrollieren","Fall abschliessen"))))))))))))))))))))))))))))))))</f>
        <v/>
      </c>
      <c r="J352" s="17">
        <f>IF(M352="","",IF(S352&lt;&gt;"",MAX(0,S352-M352-1),MAX(0,TODAY()-M352)))</f>
        <v/>
      </c>
      <c r="K352" s="16">
        <f>IF($B352="","",TRIM(IF(AND(L352&lt;&gt;"",M352&lt;&gt;"",M352&lt;L352),"Haftungsdatum vor Kündigung. ","")&amp;IF(AND(S352&lt;&gt;"",M352&lt;&gt;"",S352&lt;M352),"Vermietung vor Leerstandsbeginn. ","")&amp;IF(AND(Z352&lt;&gt;"",L352&lt;&gt;"",Z352&lt;L352),"WA-Termin vor Kündigung. ","")&amp;IF(COUNTIFS($B$5:$B$404,$B352,$AY$5:$AY$404,"")&gt;1,"Zweiter offener Fall zum selben Objekt. ","")&amp;IF(AND($A352&lt;&gt;"",COUNTIFS($A$5:$A$404,$A352)&gt;1),"Fall-Nr. doppelt vergeben. ","")&amp;IF(E352="","ex-Mieter fehlt. ","")&amp;IF(M352="","Haftungsdatum fehlt. ","")&amp;IF(F352="","Bewirtschafter fehlt. ","")&amp;IF(AND(AY352&lt;&gt;"",AW352=""),"Abgeschlossen trotz offener Schlussabrechnung. ","")&amp;IF(AND(AY352="",S352="",ISNUMBER(J352),J352&gt;60),"Langläufer über 60 Tage. ","")))</f>
        <v/>
      </c>
      <c r="L352" s="18" t="n"/>
      <c r="M352" s="18" t="n"/>
      <c r="N352" s="19">
        <f>IF(M352="","",M352+1)</f>
        <v/>
      </c>
      <c r="O352" s="17">
        <f>IF(OR(L352="",M352=""),"",M352-L352)</f>
        <v/>
      </c>
      <c r="P352" s="16">
        <f>IF(M352="","",YEAR(M352+1)&amp;"-"&amp;TEXT(MONTH(M352+1),"00"))</f>
        <v/>
      </c>
      <c r="Q352" s="18" t="n"/>
      <c r="R352" s="15" t="n"/>
      <c r="S352" s="18" t="n"/>
      <c r="T352" s="16">
        <f>IF(U352="","",IF(LEFT(U352,1)="6","abgeschlossen",IF(OR(LEFT(U352,1)="1",LEFT(U352,1)="2"),"Kündigung &amp; Abnahme",IF(OR(LEFT(U352,1)="3",LEFT(U352,1)="4"),"Wiedervermietung","Schlussabrechnung"))))</f>
        <v/>
      </c>
      <c r="U352" s="16">
        <f>IF($B352="","",IF(AY352&lt;&gt;"","6 · abgeschlossen",IF(AW352&lt;&gt;"","5 · bereit zum Abschluss",IF(AT352&lt;&gt;"","5 · Schlussabrechnung",IF(AO352&lt;&gt;"","4 · Übergabe",IF(AM352&lt;&gt;"","3 · Neuvermietung",IF(M352&lt;&gt;"","2 · Abnahme &amp; Vermarktung","1 · Erfassung")))))))</f>
        <v/>
      </c>
      <c r="V352" s="15" t="n"/>
      <c r="W352" s="20" t="n"/>
      <c r="X352" s="15" t="n"/>
      <c r="Y352" s="15" t="n"/>
      <c r="Z352" s="18" t="n"/>
      <c r="AA352" s="19">
        <f>IF(M352="","",M352-30)</f>
        <v/>
      </c>
      <c r="AB352" s="19">
        <f>IF(ISNUMBER(AJ352),AJ352+3,"")</f>
        <v/>
      </c>
      <c r="AC352" s="18" t="n"/>
      <c r="AD352" s="18" t="n"/>
      <c r="AE352" s="18" t="n"/>
      <c r="AF352" s="18" t="n"/>
      <c r="AG352" s="18" t="n"/>
      <c r="AH352" s="18" t="n"/>
      <c r="AI352" s="18" t="n"/>
      <c r="AJ352" s="18" t="n"/>
      <c r="AK352" s="18" t="n"/>
      <c r="AL352" s="18" t="n"/>
      <c r="AM352" s="18" t="n"/>
      <c r="AN352" s="18" t="n"/>
      <c r="AO352" s="18" t="n"/>
      <c r="AP352" s="18" t="n"/>
      <c r="AQ352" s="18" t="n"/>
      <c r="AR352" s="18" t="n"/>
      <c r="AS352" s="18" t="n"/>
      <c r="AT352" s="18" t="n"/>
      <c r="AU352" s="18" t="n"/>
      <c r="AV352" s="18" t="n"/>
      <c r="AW352" s="18" t="n"/>
      <c r="AX352" s="18" t="n"/>
      <c r="AY352" s="18" t="n"/>
      <c r="AZ352" s="15" t="n"/>
    </row>
    <row r="353">
      <c r="A353" s="15" t="n"/>
      <c r="B353" s="15" t="n"/>
      <c r="C353" s="15" t="n"/>
      <c r="D353" s="15" t="n"/>
      <c r="E353" s="15" t="n"/>
      <c r="F353" s="15" t="n"/>
      <c r="G353" s="16">
        <f>IF(F353="","",IFERROR(INDEX(Stammdaten!$B$5:$B$24,MATCH(F353,Stammdaten!$A$5:$A$24,0)),"unbekannt"))</f>
        <v/>
      </c>
      <c r="H353" s="16">
        <f>IF($B353="","",IF(AY353&lt;&gt;"","abgeschlossen",IF(AND(ISNUMBER(AX353),AX353&gt;=TODAY()),"zurückgestellt",IF(OR(AND(ISNUMBER(AA353),AA353&lt;TODAY(),Z353="",AJ353=""),AND(ISNUMBER(Z353),Z353&lt;TODAY(),AJ353=""),AND(ISNUMBER(AB353),AB353&lt;TODAY(),AK353=""),AND(ISNUMBER(AC353),AC353&lt;TODAY(),AO353=""),AND(ISNUMBER(AD353),AD353&lt;TODAY(),AQ353="")),"überfällig","offen"))))</f>
        <v/>
      </c>
      <c r="I353" s="16">
        <f>IF($B353="","",IF(AY353&lt;&gt;"","—",IF(AND(ISNUMBER(AA353),AA353&lt;TODAY(),Z353="",AJ353=""),"Abnahmetermin vereinbaren – Sollfrist verstrichen",IF(AND(ISNUMBER(Z353),Z353&lt;TODAY(),AJ353=""),"Wohnungsabnahme nachtragen – Termin war fällig",IF(AND(ISNUMBER(AB353),AB353&lt;TODAY(),AK353=""),"Handwerker aufbieten – Frist verstrichen",IF(AND(ISNUMBER(AC353),AC353&lt;TODAY(),AO353=""),"Vertrag retour mahnen – Frist verstrichen",IF(AND(ISNUMBER(AD353),AD353&lt;TODAY(),AQ353=""),"Schlüsselübergabe nachtragen – Termin war fällig",IF(M353="","Haftungsdatum erfassen",IF(E353="","ex-Mieter erfassen",IF(AE353="","Kündigung bestätigen / G-Rem",IF(AF353="","Werke / EGT melden",IF(AG353="","Vorbesichtigung (oder n.e.)",IF(AH353="","VMZ aktualisieren",IF(AI353="","Inserat aufschalten",IF(AND(Z353="",AJ353=""),"Abnahmetermin vereinbaren",IF(AJ353="","Wohnungsabnahme durchführen",IF(AK353="","Handwerker aufbieten",IF(AL353="","Zustimmungserklärung einholen",IF(AM353="","Instandstellungen beauftragen",IF(R353="","Nachmieter erfassen",IF(AN353="","Vertrag versenden",IF(AO353="","Vertrag retour erfassen",IF(S353="","Vermietet per erfassen",IF(AP353="","Werke / EGT über Einzug informieren",IF(AND(AD353="",AQ353=""),"Schlüsselübergabe terminieren",IF(AQ353="","Schlüsselübergabe durchführen",IF(AR353="","Reinigung veranlassen",IF(AS353="","Namensschilder bestellen",IF(AT353="","Kaution prüfen / G-Rem mutieren",IF(AU353="","Instandstellungs-Rechnung erfassen",IF(AV353="","Schlussabrechnung erstellen",IF(AW353="","Zahlungseingang kontrollieren","Fall abschliessen"))))))))))))))))))))))))))))))))</f>
        <v/>
      </c>
      <c r="J353" s="17">
        <f>IF(M353="","",IF(S353&lt;&gt;"",MAX(0,S353-M353-1),MAX(0,TODAY()-M353)))</f>
        <v/>
      </c>
      <c r="K353" s="16">
        <f>IF($B353="","",TRIM(IF(AND(L353&lt;&gt;"",M353&lt;&gt;"",M353&lt;L353),"Haftungsdatum vor Kündigung. ","")&amp;IF(AND(S353&lt;&gt;"",M353&lt;&gt;"",S353&lt;M353),"Vermietung vor Leerstandsbeginn. ","")&amp;IF(AND(Z353&lt;&gt;"",L353&lt;&gt;"",Z353&lt;L353),"WA-Termin vor Kündigung. ","")&amp;IF(COUNTIFS($B$5:$B$404,$B353,$AY$5:$AY$404,"")&gt;1,"Zweiter offener Fall zum selben Objekt. ","")&amp;IF(AND($A353&lt;&gt;"",COUNTIFS($A$5:$A$404,$A353)&gt;1),"Fall-Nr. doppelt vergeben. ","")&amp;IF(E353="","ex-Mieter fehlt. ","")&amp;IF(M353="","Haftungsdatum fehlt. ","")&amp;IF(F353="","Bewirtschafter fehlt. ","")&amp;IF(AND(AY353&lt;&gt;"",AW353=""),"Abgeschlossen trotz offener Schlussabrechnung. ","")&amp;IF(AND(AY353="",S353="",ISNUMBER(J353),J353&gt;60),"Langläufer über 60 Tage. ","")))</f>
        <v/>
      </c>
      <c r="L353" s="18" t="n"/>
      <c r="M353" s="18" t="n"/>
      <c r="N353" s="19">
        <f>IF(M353="","",M353+1)</f>
        <v/>
      </c>
      <c r="O353" s="17">
        <f>IF(OR(L353="",M353=""),"",M353-L353)</f>
        <v/>
      </c>
      <c r="P353" s="16">
        <f>IF(M353="","",YEAR(M353+1)&amp;"-"&amp;TEXT(MONTH(M353+1),"00"))</f>
        <v/>
      </c>
      <c r="Q353" s="18" t="n"/>
      <c r="R353" s="15" t="n"/>
      <c r="S353" s="18" t="n"/>
      <c r="T353" s="16">
        <f>IF(U353="","",IF(LEFT(U353,1)="6","abgeschlossen",IF(OR(LEFT(U353,1)="1",LEFT(U353,1)="2"),"Kündigung &amp; Abnahme",IF(OR(LEFT(U353,1)="3",LEFT(U353,1)="4"),"Wiedervermietung","Schlussabrechnung"))))</f>
        <v/>
      </c>
      <c r="U353" s="16">
        <f>IF($B353="","",IF(AY353&lt;&gt;"","6 · abgeschlossen",IF(AW353&lt;&gt;"","5 · bereit zum Abschluss",IF(AT353&lt;&gt;"","5 · Schlussabrechnung",IF(AO353&lt;&gt;"","4 · Übergabe",IF(AM353&lt;&gt;"","3 · Neuvermietung",IF(M353&lt;&gt;"","2 · Abnahme &amp; Vermarktung","1 · Erfassung")))))))</f>
        <v/>
      </c>
      <c r="V353" s="15" t="n"/>
      <c r="W353" s="20" t="n"/>
      <c r="X353" s="15" t="n"/>
      <c r="Y353" s="15" t="n"/>
      <c r="Z353" s="18" t="n"/>
      <c r="AA353" s="19">
        <f>IF(M353="","",M353-30)</f>
        <v/>
      </c>
      <c r="AB353" s="19">
        <f>IF(ISNUMBER(AJ353),AJ353+3,"")</f>
        <v/>
      </c>
      <c r="AC353" s="18" t="n"/>
      <c r="AD353" s="18" t="n"/>
      <c r="AE353" s="18" t="n"/>
      <c r="AF353" s="18" t="n"/>
      <c r="AG353" s="18" t="n"/>
      <c r="AH353" s="18" t="n"/>
      <c r="AI353" s="18" t="n"/>
      <c r="AJ353" s="18" t="n"/>
      <c r="AK353" s="18" t="n"/>
      <c r="AL353" s="18" t="n"/>
      <c r="AM353" s="18" t="n"/>
      <c r="AN353" s="18" t="n"/>
      <c r="AO353" s="18" t="n"/>
      <c r="AP353" s="18" t="n"/>
      <c r="AQ353" s="18" t="n"/>
      <c r="AR353" s="18" t="n"/>
      <c r="AS353" s="18" t="n"/>
      <c r="AT353" s="18" t="n"/>
      <c r="AU353" s="18" t="n"/>
      <c r="AV353" s="18" t="n"/>
      <c r="AW353" s="18" t="n"/>
      <c r="AX353" s="18" t="n"/>
      <c r="AY353" s="18" t="n"/>
      <c r="AZ353" s="15" t="n"/>
    </row>
    <row r="354">
      <c r="A354" s="15" t="n"/>
      <c r="B354" s="15" t="n"/>
      <c r="C354" s="15" t="n"/>
      <c r="D354" s="15" t="n"/>
      <c r="E354" s="15" t="n"/>
      <c r="F354" s="15" t="n"/>
      <c r="G354" s="16">
        <f>IF(F354="","",IFERROR(INDEX(Stammdaten!$B$5:$B$24,MATCH(F354,Stammdaten!$A$5:$A$24,0)),"unbekannt"))</f>
        <v/>
      </c>
      <c r="H354" s="16">
        <f>IF($B354="","",IF(AY354&lt;&gt;"","abgeschlossen",IF(AND(ISNUMBER(AX354),AX354&gt;=TODAY()),"zurückgestellt",IF(OR(AND(ISNUMBER(AA354),AA354&lt;TODAY(),Z354="",AJ354=""),AND(ISNUMBER(Z354),Z354&lt;TODAY(),AJ354=""),AND(ISNUMBER(AB354),AB354&lt;TODAY(),AK354=""),AND(ISNUMBER(AC354),AC354&lt;TODAY(),AO354=""),AND(ISNUMBER(AD354),AD354&lt;TODAY(),AQ354="")),"überfällig","offen"))))</f>
        <v/>
      </c>
      <c r="I354" s="16">
        <f>IF($B354="","",IF(AY354&lt;&gt;"","—",IF(AND(ISNUMBER(AA354),AA354&lt;TODAY(),Z354="",AJ354=""),"Abnahmetermin vereinbaren – Sollfrist verstrichen",IF(AND(ISNUMBER(Z354),Z354&lt;TODAY(),AJ354=""),"Wohnungsabnahme nachtragen – Termin war fällig",IF(AND(ISNUMBER(AB354),AB354&lt;TODAY(),AK354=""),"Handwerker aufbieten – Frist verstrichen",IF(AND(ISNUMBER(AC354),AC354&lt;TODAY(),AO354=""),"Vertrag retour mahnen – Frist verstrichen",IF(AND(ISNUMBER(AD354),AD354&lt;TODAY(),AQ354=""),"Schlüsselübergabe nachtragen – Termin war fällig",IF(M354="","Haftungsdatum erfassen",IF(E354="","ex-Mieter erfassen",IF(AE354="","Kündigung bestätigen / G-Rem",IF(AF354="","Werke / EGT melden",IF(AG354="","Vorbesichtigung (oder n.e.)",IF(AH354="","VMZ aktualisieren",IF(AI354="","Inserat aufschalten",IF(AND(Z354="",AJ354=""),"Abnahmetermin vereinbaren",IF(AJ354="","Wohnungsabnahme durchführen",IF(AK354="","Handwerker aufbieten",IF(AL354="","Zustimmungserklärung einholen",IF(AM354="","Instandstellungen beauftragen",IF(R354="","Nachmieter erfassen",IF(AN354="","Vertrag versenden",IF(AO354="","Vertrag retour erfassen",IF(S354="","Vermietet per erfassen",IF(AP354="","Werke / EGT über Einzug informieren",IF(AND(AD354="",AQ354=""),"Schlüsselübergabe terminieren",IF(AQ354="","Schlüsselübergabe durchführen",IF(AR354="","Reinigung veranlassen",IF(AS354="","Namensschilder bestellen",IF(AT354="","Kaution prüfen / G-Rem mutieren",IF(AU354="","Instandstellungs-Rechnung erfassen",IF(AV354="","Schlussabrechnung erstellen",IF(AW354="","Zahlungseingang kontrollieren","Fall abschliessen"))))))))))))))))))))))))))))))))</f>
        <v/>
      </c>
      <c r="J354" s="17">
        <f>IF(M354="","",IF(S354&lt;&gt;"",MAX(0,S354-M354-1),MAX(0,TODAY()-M354)))</f>
        <v/>
      </c>
      <c r="K354" s="16">
        <f>IF($B354="","",TRIM(IF(AND(L354&lt;&gt;"",M354&lt;&gt;"",M354&lt;L354),"Haftungsdatum vor Kündigung. ","")&amp;IF(AND(S354&lt;&gt;"",M354&lt;&gt;"",S354&lt;M354),"Vermietung vor Leerstandsbeginn. ","")&amp;IF(AND(Z354&lt;&gt;"",L354&lt;&gt;"",Z354&lt;L354),"WA-Termin vor Kündigung. ","")&amp;IF(COUNTIFS($B$5:$B$404,$B354,$AY$5:$AY$404,"")&gt;1,"Zweiter offener Fall zum selben Objekt. ","")&amp;IF(AND($A354&lt;&gt;"",COUNTIFS($A$5:$A$404,$A354)&gt;1),"Fall-Nr. doppelt vergeben. ","")&amp;IF(E354="","ex-Mieter fehlt. ","")&amp;IF(M354="","Haftungsdatum fehlt. ","")&amp;IF(F354="","Bewirtschafter fehlt. ","")&amp;IF(AND(AY354&lt;&gt;"",AW354=""),"Abgeschlossen trotz offener Schlussabrechnung. ","")&amp;IF(AND(AY354="",S354="",ISNUMBER(J354),J354&gt;60),"Langläufer über 60 Tage. ","")))</f>
        <v/>
      </c>
      <c r="L354" s="18" t="n"/>
      <c r="M354" s="18" t="n"/>
      <c r="N354" s="19">
        <f>IF(M354="","",M354+1)</f>
        <v/>
      </c>
      <c r="O354" s="17">
        <f>IF(OR(L354="",M354=""),"",M354-L354)</f>
        <v/>
      </c>
      <c r="P354" s="16">
        <f>IF(M354="","",YEAR(M354+1)&amp;"-"&amp;TEXT(MONTH(M354+1),"00"))</f>
        <v/>
      </c>
      <c r="Q354" s="18" t="n"/>
      <c r="R354" s="15" t="n"/>
      <c r="S354" s="18" t="n"/>
      <c r="T354" s="16">
        <f>IF(U354="","",IF(LEFT(U354,1)="6","abgeschlossen",IF(OR(LEFT(U354,1)="1",LEFT(U354,1)="2"),"Kündigung &amp; Abnahme",IF(OR(LEFT(U354,1)="3",LEFT(U354,1)="4"),"Wiedervermietung","Schlussabrechnung"))))</f>
        <v/>
      </c>
      <c r="U354" s="16">
        <f>IF($B354="","",IF(AY354&lt;&gt;"","6 · abgeschlossen",IF(AW354&lt;&gt;"","5 · bereit zum Abschluss",IF(AT354&lt;&gt;"","5 · Schlussabrechnung",IF(AO354&lt;&gt;"","4 · Übergabe",IF(AM354&lt;&gt;"","3 · Neuvermietung",IF(M354&lt;&gt;"","2 · Abnahme &amp; Vermarktung","1 · Erfassung")))))))</f>
        <v/>
      </c>
      <c r="V354" s="15" t="n"/>
      <c r="W354" s="20" t="n"/>
      <c r="X354" s="15" t="n"/>
      <c r="Y354" s="15" t="n"/>
      <c r="Z354" s="18" t="n"/>
      <c r="AA354" s="19">
        <f>IF(M354="","",M354-30)</f>
        <v/>
      </c>
      <c r="AB354" s="19">
        <f>IF(ISNUMBER(AJ354),AJ354+3,"")</f>
        <v/>
      </c>
      <c r="AC354" s="18" t="n"/>
      <c r="AD354" s="18" t="n"/>
      <c r="AE354" s="18" t="n"/>
      <c r="AF354" s="18" t="n"/>
      <c r="AG354" s="18" t="n"/>
      <c r="AH354" s="18" t="n"/>
      <c r="AI354" s="18" t="n"/>
      <c r="AJ354" s="18" t="n"/>
      <c r="AK354" s="18" t="n"/>
      <c r="AL354" s="18" t="n"/>
      <c r="AM354" s="18" t="n"/>
      <c r="AN354" s="18" t="n"/>
      <c r="AO354" s="18" t="n"/>
      <c r="AP354" s="18" t="n"/>
      <c r="AQ354" s="18" t="n"/>
      <c r="AR354" s="18" t="n"/>
      <c r="AS354" s="18" t="n"/>
      <c r="AT354" s="18" t="n"/>
      <c r="AU354" s="18" t="n"/>
      <c r="AV354" s="18" t="n"/>
      <c r="AW354" s="18" t="n"/>
      <c r="AX354" s="18" t="n"/>
      <c r="AY354" s="18" t="n"/>
      <c r="AZ354" s="15" t="n"/>
    </row>
    <row r="355">
      <c r="A355" s="15" t="n"/>
      <c r="B355" s="15" t="n"/>
      <c r="C355" s="15" t="n"/>
      <c r="D355" s="15" t="n"/>
      <c r="E355" s="15" t="n"/>
      <c r="F355" s="15" t="n"/>
      <c r="G355" s="16">
        <f>IF(F355="","",IFERROR(INDEX(Stammdaten!$B$5:$B$24,MATCH(F355,Stammdaten!$A$5:$A$24,0)),"unbekannt"))</f>
        <v/>
      </c>
      <c r="H355" s="16">
        <f>IF($B355="","",IF(AY355&lt;&gt;"","abgeschlossen",IF(AND(ISNUMBER(AX355),AX355&gt;=TODAY()),"zurückgestellt",IF(OR(AND(ISNUMBER(AA355),AA355&lt;TODAY(),Z355="",AJ355=""),AND(ISNUMBER(Z355),Z355&lt;TODAY(),AJ355=""),AND(ISNUMBER(AB355),AB355&lt;TODAY(),AK355=""),AND(ISNUMBER(AC355),AC355&lt;TODAY(),AO355=""),AND(ISNUMBER(AD355),AD355&lt;TODAY(),AQ355="")),"überfällig","offen"))))</f>
        <v/>
      </c>
      <c r="I355" s="16">
        <f>IF($B355="","",IF(AY355&lt;&gt;"","—",IF(AND(ISNUMBER(AA355),AA355&lt;TODAY(),Z355="",AJ355=""),"Abnahmetermin vereinbaren – Sollfrist verstrichen",IF(AND(ISNUMBER(Z355),Z355&lt;TODAY(),AJ355=""),"Wohnungsabnahme nachtragen – Termin war fällig",IF(AND(ISNUMBER(AB355),AB355&lt;TODAY(),AK355=""),"Handwerker aufbieten – Frist verstrichen",IF(AND(ISNUMBER(AC355),AC355&lt;TODAY(),AO355=""),"Vertrag retour mahnen – Frist verstrichen",IF(AND(ISNUMBER(AD355),AD355&lt;TODAY(),AQ355=""),"Schlüsselübergabe nachtragen – Termin war fällig",IF(M355="","Haftungsdatum erfassen",IF(E355="","ex-Mieter erfassen",IF(AE355="","Kündigung bestätigen / G-Rem",IF(AF355="","Werke / EGT melden",IF(AG355="","Vorbesichtigung (oder n.e.)",IF(AH355="","VMZ aktualisieren",IF(AI355="","Inserat aufschalten",IF(AND(Z355="",AJ355=""),"Abnahmetermin vereinbaren",IF(AJ355="","Wohnungsabnahme durchführen",IF(AK355="","Handwerker aufbieten",IF(AL355="","Zustimmungserklärung einholen",IF(AM355="","Instandstellungen beauftragen",IF(R355="","Nachmieter erfassen",IF(AN355="","Vertrag versenden",IF(AO355="","Vertrag retour erfassen",IF(S355="","Vermietet per erfassen",IF(AP355="","Werke / EGT über Einzug informieren",IF(AND(AD355="",AQ355=""),"Schlüsselübergabe terminieren",IF(AQ355="","Schlüsselübergabe durchführen",IF(AR355="","Reinigung veranlassen",IF(AS355="","Namensschilder bestellen",IF(AT355="","Kaution prüfen / G-Rem mutieren",IF(AU355="","Instandstellungs-Rechnung erfassen",IF(AV355="","Schlussabrechnung erstellen",IF(AW355="","Zahlungseingang kontrollieren","Fall abschliessen"))))))))))))))))))))))))))))))))</f>
        <v/>
      </c>
      <c r="J355" s="17">
        <f>IF(M355="","",IF(S355&lt;&gt;"",MAX(0,S355-M355-1),MAX(0,TODAY()-M355)))</f>
        <v/>
      </c>
      <c r="K355" s="16">
        <f>IF($B355="","",TRIM(IF(AND(L355&lt;&gt;"",M355&lt;&gt;"",M355&lt;L355),"Haftungsdatum vor Kündigung. ","")&amp;IF(AND(S355&lt;&gt;"",M355&lt;&gt;"",S355&lt;M355),"Vermietung vor Leerstandsbeginn. ","")&amp;IF(AND(Z355&lt;&gt;"",L355&lt;&gt;"",Z355&lt;L355),"WA-Termin vor Kündigung. ","")&amp;IF(COUNTIFS($B$5:$B$404,$B355,$AY$5:$AY$404,"")&gt;1,"Zweiter offener Fall zum selben Objekt. ","")&amp;IF(AND($A355&lt;&gt;"",COUNTIFS($A$5:$A$404,$A355)&gt;1),"Fall-Nr. doppelt vergeben. ","")&amp;IF(E355="","ex-Mieter fehlt. ","")&amp;IF(M355="","Haftungsdatum fehlt. ","")&amp;IF(F355="","Bewirtschafter fehlt. ","")&amp;IF(AND(AY355&lt;&gt;"",AW355=""),"Abgeschlossen trotz offener Schlussabrechnung. ","")&amp;IF(AND(AY355="",S355="",ISNUMBER(J355),J355&gt;60),"Langläufer über 60 Tage. ","")))</f>
        <v/>
      </c>
      <c r="L355" s="18" t="n"/>
      <c r="M355" s="18" t="n"/>
      <c r="N355" s="19">
        <f>IF(M355="","",M355+1)</f>
        <v/>
      </c>
      <c r="O355" s="17">
        <f>IF(OR(L355="",M355=""),"",M355-L355)</f>
        <v/>
      </c>
      <c r="P355" s="16">
        <f>IF(M355="","",YEAR(M355+1)&amp;"-"&amp;TEXT(MONTH(M355+1),"00"))</f>
        <v/>
      </c>
      <c r="Q355" s="18" t="n"/>
      <c r="R355" s="15" t="n"/>
      <c r="S355" s="18" t="n"/>
      <c r="T355" s="16">
        <f>IF(U355="","",IF(LEFT(U355,1)="6","abgeschlossen",IF(OR(LEFT(U355,1)="1",LEFT(U355,1)="2"),"Kündigung &amp; Abnahme",IF(OR(LEFT(U355,1)="3",LEFT(U355,1)="4"),"Wiedervermietung","Schlussabrechnung"))))</f>
        <v/>
      </c>
      <c r="U355" s="16">
        <f>IF($B355="","",IF(AY355&lt;&gt;"","6 · abgeschlossen",IF(AW355&lt;&gt;"","5 · bereit zum Abschluss",IF(AT355&lt;&gt;"","5 · Schlussabrechnung",IF(AO355&lt;&gt;"","4 · Übergabe",IF(AM355&lt;&gt;"","3 · Neuvermietung",IF(M355&lt;&gt;"","2 · Abnahme &amp; Vermarktung","1 · Erfassung")))))))</f>
        <v/>
      </c>
      <c r="V355" s="15" t="n"/>
      <c r="W355" s="20" t="n"/>
      <c r="X355" s="15" t="n"/>
      <c r="Y355" s="15" t="n"/>
      <c r="Z355" s="18" t="n"/>
      <c r="AA355" s="19">
        <f>IF(M355="","",M355-30)</f>
        <v/>
      </c>
      <c r="AB355" s="19">
        <f>IF(ISNUMBER(AJ355),AJ355+3,"")</f>
        <v/>
      </c>
      <c r="AC355" s="18" t="n"/>
      <c r="AD355" s="18" t="n"/>
      <c r="AE355" s="18" t="n"/>
      <c r="AF355" s="18" t="n"/>
      <c r="AG355" s="18" t="n"/>
      <c r="AH355" s="18" t="n"/>
      <c r="AI355" s="18" t="n"/>
      <c r="AJ355" s="18" t="n"/>
      <c r="AK355" s="18" t="n"/>
      <c r="AL355" s="18" t="n"/>
      <c r="AM355" s="18" t="n"/>
      <c r="AN355" s="18" t="n"/>
      <c r="AO355" s="18" t="n"/>
      <c r="AP355" s="18" t="n"/>
      <c r="AQ355" s="18" t="n"/>
      <c r="AR355" s="18" t="n"/>
      <c r="AS355" s="18" t="n"/>
      <c r="AT355" s="18" t="n"/>
      <c r="AU355" s="18" t="n"/>
      <c r="AV355" s="18" t="n"/>
      <c r="AW355" s="18" t="n"/>
      <c r="AX355" s="18" t="n"/>
      <c r="AY355" s="18" t="n"/>
      <c r="AZ355" s="15" t="n"/>
    </row>
    <row r="356">
      <c r="A356" s="15" t="n"/>
      <c r="B356" s="15" t="n"/>
      <c r="C356" s="15" t="n"/>
      <c r="D356" s="15" t="n"/>
      <c r="E356" s="15" t="n"/>
      <c r="F356" s="15" t="n"/>
      <c r="G356" s="16">
        <f>IF(F356="","",IFERROR(INDEX(Stammdaten!$B$5:$B$24,MATCH(F356,Stammdaten!$A$5:$A$24,0)),"unbekannt"))</f>
        <v/>
      </c>
      <c r="H356" s="16">
        <f>IF($B356="","",IF(AY356&lt;&gt;"","abgeschlossen",IF(AND(ISNUMBER(AX356),AX356&gt;=TODAY()),"zurückgestellt",IF(OR(AND(ISNUMBER(AA356),AA356&lt;TODAY(),Z356="",AJ356=""),AND(ISNUMBER(Z356),Z356&lt;TODAY(),AJ356=""),AND(ISNUMBER(AB356),AB356&lt;TODAY(),AK356=""),AND(ISNUMBER(AC356),AC356&lt;TODAY(),AO356=""),AND(ISNUMBER(AD356),AD356&lt;TODAY(),AQ356="")),"überfällig","offen"))))</f>
        <v/>
      </c>
      <c r="I356" s="16">
        <f>IF($B356="","",IF(AY356&lt;&gt;"","—",IF(AND(ISNUMBER(AA356),AA356&lt;TODAY(),Z356="",AJ356=""),"Abnahmetermin vereinbaren – Sollfrist verstrichen",IF(AND(ISNUMBER(Z356),Z356&lt;TODAY(),AJ356=""),"Wohnungsabnahme nachtragen – Termin war fällig",IF(AND(ISNUMBER(AB356),AB356&lt;TODAY(),AK356=""),"Handwerker aufbieten – Frist verstrichen",IF(AND(ISNUMBER(AC356),AC356&lt;TODAY(),AO356=""),"Vertrag retour mahnen – Frist verstrichen",IF(AND(ISNUMBER(AD356),AD356&lt;TODAY(),AQ356=""),"Schlüsselübergabe nachtragen – Termin war fällig",IF(M356="","Haftungsdatum erfassen",IF(E356="","ex-Mieter erfassen",IF(AE356="","Kündigung bestätigen / G-Rem",IF(AF356="","Werke / EGT melden",IF(AG356="","Vorbesichtigung (oder n.e.)",IF(AH356="","VMZ aktualisieren",IF(AI356="","Inserat aufschalten",IF(AND(Z356="",AJ356=""),"Abnahmetermin vereinbaren",IF(AJ356="","Wohnungsabnahme durchführen",IF(AK356="","Handwerker aufbieten",IF(AL356="","Zustimmungserklärung einholen",IF(AM356="","Instandstellungen beauftragen",IF(R356="","Nachmieter erfassen",IF(AN356="","Vertrag versenden",IF(AO356="","Vertrag retour erfassen",IF(S356="","Vermietet per erfassen",IF(AP356="","Werke / EGT über Einzug informieren",IF(AND(AD356="",AQ356=""),"Schlüsselübergabe terminieren",IF(AQ356="","Schlüsselübergabe durchführen",IF(AR356="","Reinigung veranlassen",IF(AS356="","Namensschilder bestellen",IF(AT356="","Kaution prüfen / G-Rem mutieren",IF(AU356="","Instandstellungs-Rechnung erfassen",IF(AV356="","Schlussabrechnung erstellen",IF(AW356="","Zahlungseingang kontrollieren","Fall abschliessen"))))))))))))))))))))))))))))))))</f>
        <v/>
      </c>
      <c r="J356" s="17">
        <f>IF(M356="","",IF(S356&lt;&gt;"",MAX(0,S356-M356-1),MAX(0,TODAY()-M356)))</f>
        <v/>
      </c>
      <c r="K356" s="16">
        <f>IF($B356="","",TRIM(IF(AND(L356&lt;&gt;"",M356&lt;&gt;"",M356&lt;L356),"Haftungsdatum vor Kündigung. ","")&amp;IF(AND(S356&lt;&gt;"",M356&lt;&gt;"",S356&lt;M356),"Vermietung vor Leerstandsbeginn. ","")&amp;IF(AND(Z356&lt;&gt;"",L356&lt;&gt;"",Z356&lt;L356),"WA-Termin vor Kündigung. ","")&amp;IF(COUNTIFS($B$5:$B$404,$B356,$AY$5:$AY$404,"")&gt;1,"Zweiter offener Fall zum selben Objekt. ","")&amp;IF(AND($A356&lt;&gt;"",COUNTIFS($A$5:$A$404,$A356)&gt;1),"Fall-Nr. doppelt vergeben. ","")&amp;IF(E356="","ex-Mieter fehlt. ","")&amp;IF(M356="","Haftungsdatum fehlt. ","")&amp;IF(F356="","Bewirtschafter fehlt. ","")&amp;IF(AND(AY356&lt;&gt;"",AW356=""),"Abgeschlossen trotz offener Schlussabrechnung. ","")&amp;IF(AND(AY356="",S356="",ISNUMBER(J356),J356&gt;60),"Langläufer über 60 Tage. ","")))</f>
        <v/>
      </c>
      <c r="L356" s="18" t="n"/>
      <c r="M356" s="18" t="n"/>
      <c r="N356" s="19">
        <f>IF(M356="","",M356+1)</f>
        <v/>
      </c>
      <c r="O356" s="17">
        <f>IF(OR(L356="",M356=""),"",M356-L356)</f>
        <v/>
      </c>
      <c r="P356" s="16">
        <f>IF(M356="","",YEAR(M356+1)&amp;"-"&amp;TEXT(MONTH(M356+1),"00"))</f>
        <v/>
      </c>
      <c r="Q356" s="18" t="n"/>
      <c r="R356" s="15" t="n"/>
      <c r="S356" s="18" t="n"/>
      <c r="T356" s="16">
        <f>IF(U356="","",IF(LEFT(U356,1)="6","abgeschlossen",IF(OR(LEFT(U356,1)="1",LEFT(U356,1)="2"),"Kündigung &amp; Abnahme",IF(OR(LEFT(U356,1)="3",LEFT(U356,1)="4"),"Wiedervermietung","Schlussabrechnung"))))</f>
        <v/>
      </c>
      <c r="U356" s="16">
        <f>IF($B356="","",IF(AY356&lt;&gt;"","6 · abgeschlossen",IF(AW356&lt;&gt;"","5 · bereit zum Abschluss",IF(AT356&lt;&gt;"","5 · Schlussabrechnung",IF(AO356&lt;&gt;"","4 · Übergabe",IF(AM356&lt;&gt;"","3 · Neuvermietung",IF(M356&lt;&gt;"","2 · Abnahme &amp; Vermarktung","1 · Erfassung")))))))</f>
        <v/>
      </c>
      <c r="V356" s="15" t="n"/>
      <c r="W356" s="20" t="n"/>
      <c r="X356" s="15" t="n"/>
      <c r="Y356" s="15" t="n"/>
      <c r="Z356" s="18" t="n"/>
      <c r="AA356" s="19">
        <f>IF(M356="","",M356-30)</f>
        <v/>
      </c>
      <c r="AB356" s="19">
        <f>IF(ISNUMBER(AJ356),AJ356+3,"")</f>
        <v/>
      </c>
      <c r="AC356" s="18" t="n"/>
      <c r="AD356" s="18" t="n"/>
      <c r="AE356" s="18" t="n"/>
      <c r="AF356" s="18" t="n"/>
      <c r="AG356" s="18" t="n"/>
      <c r="AH356" s="18" t="n"/>
      <c r="AI356" s="18" t="n"/>
      <c r="AJ356" s="18" t="n"/>
      <c r="AK356" s="18" t="n"/>
      <c r="AL356" s="18" t="n"/>
      <c r="AM356" s="18" t="n"/>
      <c r="AN356" s="18" t="n"/>
      <c r="AO356" s="18" t="n"/>
      <c r="AP356" s="18" t="n"/>
      <c r="AQ356" s="18" t="n"/>
      <c r="AR356" s="18" t="n"/>
      <c r="AS356" s="18" t="n"/>
      <c r="AT356" s="18" t="n"/>
      <c r="AU356" s="18" t="n"/>
      <c r="AV356" s="18" t="n"/>
      <c r="AW356" s="18" t="n"/>
      <c r="AX356" s="18" t="n"/>
      <c r="AY356" s="18" t="n"/>
      <c r="AZ356" s="15" t="n"/>
    </row>
    <row r="357">
      <c r="A357" s="15" t="n"/>
      <c r="B357" s="15" t="n"/>
      <c r="C357" s="15" t="n"/>
      <c r="D357" s="15" t="n"/>
      <c r="E357" s="15" t="n"/>
      <c r="F357" s="15" t="n"/>
      <c r="G357" s="16">
        <f>IF(F357="","",IFERROR(INDEX(Stammdaten!$B$5:$B$24,MATCH(F357,Stammdaten!$A$5:$A$24,0)),"unbekannt"))</f>
        <v/>
      </c>
      <c r="H357" s="16">
        <f>IF($B357="","",IF(AY357&lt;&gt;"","abgeschlossen",IF(AND(ISNUMBER(AX357),AX357&gt;=TODAY()),"zurückgestellt",IF(OR(AND(ISNUMBER(AA357),AA357&lt;TODAY(),Z357="",AJ357=""),AND(ISNUMBER(Z357),Z357&lt;TODAY(),AJ357=""),AND(ISNUMBER(AB357),AB357&lt;TODAY(),AK357=""),AND(ISNUMBER(AC357),AC357&lt;TODAY(),AO357=""),AND(ISNUMBER(AD357),AD357&lt;TODAY(),AQ357="")),"überfällig","offen"))))</f>
        <v/>
      </c>
      <c r="I357" s="16">
        <f>IF($B357="","",IF(AY357&lt;&gt;"","—",IF(AND(ISNUMBER(AA357),AA357&lt;TODAY(),Z357="",AJ357=""),"Abnahmetermin vereinbaren – Sollfrist verstrichen",IF(AND(ISNUMBER(Z357),Z357&lt;TODAY(),AJ357=""),"Wohnungsabnahme nachtragen – Termin war fällig",IF(AND(ISNUMBER(AB357),AB357&lt;TODAY(),AK357=""),"Handwerker aufbieten – Frist verstrichen",IF(AND(ISNUMBER(AC357),AC357&lt;TODAY(),AO357=""),"Vertrag retour mahnen – Frist verstrichen",IF(AND(ISNUMBER(AD357),AD357&lt;TODAY(),AQ357=""),"Schlüsselübergabe nachtragen – Termin war fällig",IF(M357="","Haftungsdatum erfassen",IF(E357="","ex-Mieter erfassen",IF(AE357="","Kündigung bestätigen / G-Rem",IF(AF357="","Werke / EGT melden",IF(AG357="","Vorbesichtigung (oder n.e.)",IF(AH357="","VMZ aktualisieren",IF(AI357="","Inserat aufschalten",IF(AND(Z357="",AJ357=""),"Abnahmetermin vereinbaren",IF(AJ357="","Wohnungsabnahme durchführen",IF(AK357="","Handwerker aufbieten",IF(AL357="","Zustimmungserklärung einholen",IF(AM357="","Instandstellungen beauftragen",IF(R357="","Nachmieter erfassen",IF(AN357="","Vertrag versenden",IF(AO357="","Vertrag retour erfassen",IF(S357="","Vermietet per erfassen",IF(AP357="","Werke / EGT über Einzug informieren",IF(AND(AD357="",AQ357=""),"Schlüsselübergabe terminieren",IF(AQ357="","Schlüsselübergabe durchführen",IF(AR357="","Reinigung veranlassen",IF(AS357="","Namensschilder bestellen",IF(AT357="","Kaution prüfen / G-Rem mutieren",IF(AU357="","Instandstellungs-Rechnung erfassen",IF(AV357="","Schlussabrechnung erstellen",IF(AW357="","Zahlungseingang kontrollieren","Fall abschliessen"))))))))))))))))))))))))))))))))</f>
        <v/>
      </c>
      <c r="J357" s="17">
        <f>IF(M357="","",IF(S357&lt;&gt;"",MAX(0,S357-M357-1),MAX(0,TODAY()-M357)))</f>
        <v/>
      </c>
      <c r="K357" s="16">
        <f>IF($B357="","",TRIM(IF(AND(L357&lt;&gt;"",M357&lt;&gt;"",M357&lt;L357),"Haftungsdatum vor Kündigung. ","")&amp;IF(AND(S357&lt;&gt;"",M357&lt;&gt;"",S357&lt;M357),"Vermietung vor Leerstandsbeginn. ","")&amp;IF(AND(Z357&lt;&gt;"",L357&lt;&gt;"",Z357&lt;L357),"WA-Termin vor Kündigung. ","")&amp;IF(COUNTIFS($B$5:$B$404,$B357,$AY$5:$AY$404,"")&gt;1,"Zweiter offener Fall zum selben Objekt. ","")&amp;IF(AND($A357&lt;&gt;"",COUNTIFS($A$5:$A$404,$A357)&gt;1),"Fall-Nr. doppelt vergeben. ","")&amp;IF(E357="","ex-Mieter fehlt. ","")&amp;IF(M357="","Haftungsdatum fehlt. ","")&amp;IF(F357="","Bewirtschafter fehlt. ","")&amp;IF(AND(AY357&lt;&gt;"",AW357=""),"Abgeschlossen trotz offener Schlussabrechnung. ","")&amp;IF(AND(AY357="",S357="",ISNUMBER(J357),J357&gt;60),"Langläufer über 60 Tage. ","")))</f>
        <v/>
      </c>
      <c r="L357" s="18" t="n"/>
      <c r="M357" s="18" t="n"/>
      <c r="N357" s="19">
        <f>IF(M357="","",M357+1)</f>
        <v/>
      </c>
      <c r="O357" s="17">
        <f>IF(OR(L357="",M357=""),"",M357-L357)</f>
        <v/>
      </c>
      <c r="P357" s="16">
        <f>IF(M357="","",YEAR(M357+1)&amp;"-"&amp;TEXT(MONTH(M357+1),"00"))</f>
        <v/>
      </c>
      <c r="Q357" s="18" t="n"/>
      <c r="R357" s="15" t="n"/>
      <c r="S357" s="18" t="n"/>
      <c r="T357" s="16">
        <f>IF(U357="","",IF(LEFT(U357,1)="6","abgeschlossen",IF(OR(LEFT(U357,1)="1",LEFT(U357,1)="2"),"Kündigung &amp; Abnahme",IF(OR(LEFT(U357,1)="3",LEFT(U357,1)="4"),"Wiedervermietung","Schlussabrechnung"))))</f>
        <v/>
      </c>
      <c r="U357" s="16">
        <f>IF($B357="","",IF(AY357&lt;&gt;"","6 · abgeschlossen",IF(AW357&lt;&gt;"","5 · bereit zum Abschluss",IF(AT357&lt;&gt;"","5 · Schlussabrechnung",IF(AO357&lt;&gt;"","4 · Übergabe",IF(AM357&lt;&gt;"","3 · Neuvermietung",IF(M357&lt;&gt;"","2 · Abnahme &amp; Vermarktung","1 · Erfassung")))))))</f>
        <v/>
      </c>
      <c r="V357" s="15" t="n"/>
      <c r="W357" s="20" t="n"/>
      <c r="X357" s="15" t="n"/>
      <c r="Y357" s="15" t="n"/>
      <c r="Z357" s="18" t="n"/>
      <c r="AA357" s="19">
        <f>IF(M357="","",M357-30)</f>
        <v/>
      </c>
      <c r="AB357" s="19">
        <f>IF(ISNUMBER(AJ357),AJ357+3,"")</f>
        <v/>
      </c>
      <c r="AC357" s="18" t="n"/>
      <c r="AD357" s="18" t="n"/>
      <c r="AE357" s="18" t="n"/>
      <c r="AF357" s="18" t="n"/>
      <c r="AG357" s="18" t="n"/>
      <c r="AH357" s="18" t="n"/>
      <c r="AI357" s="18" t="n"/>
      <c r="AJ357" s="18" t="n"/>
      <c r="AK357" s="18" t="n"/>
      <c r="AL357" s="18" t="n"/>
      <c r="AM357" s="18" t="n"/>
      <c r="AN357" s="18" t="n"/>
      <c r="AO357" s="18" t="n"/>
      <c r="AP357" s="18" t="n"/>
      <c r="AQ357" s="18" t="n"/>
      <c r="AR357" s="18" t="n"/>
      <c r="AS357" s="18" t="n"/>
      <c r="AT357" s="18" t="n"/>
      <c r="AU357" s="18" t="n"/>
      <c r="AV357" s="18" t="n"/>
      <c r="AW357" s="18" t="n"/>
      <c r="AX357" s="18" t="n"/>
      <c r="AY357" s="18" t="n"/>
      <c r="AZ357" s="15" t="n"/>
    </row>
    <row r="358">
      <c r="A358" s="15" t="n"/>
      <c r="B358" s="15" t="n"/>
      <c r="C358" s="15" t="n"/>
      <c r="D358" s="15" t="n"/>
      <c r="E358" s="15" t="n"/>
      <c r="F358" s="15" t="n"/>
      <c r="G358" s="16">
        <f>IF(F358="","",IFERROR(INDEX(Stammdaten!$B$5:$B$24,MATCH(F358,Stammdaten!$A$5:$A$24,0)),"unbekannt"))</f>
        <v/>
      </c>
      <c r="H358" s="16">
        <f>IF($B358="","",IF(AY358&lt;&gt;"","abgeschlossen",IF(AND(ISNUMBER(AX358),AX358&gt;=TODAY()),"zurückgestellt",IF(OR(AND(ISNUMBER(AA358),AA358&lt;TODAY(),Z358="",AJ358=""),AND(ISNUMBER(Z358),Z358&lt;TODAY(),AJ358=""),AND(ISNUMBER(AB358),AB358&lt;TODAY(),AK358=""),AND(ISNUMBER(AC358),AC358&lt;TODAY(),AO358=""),AND(ISNUMBER(AD358),AD358&lt;TODAY(),AQ358="")),"überfällig","offen"))))</f>
        <v/>
      </c>
      <c r="I358" s="16">
        <f>IF($B358="","",IF(AY358&lt;&gt;"","—",IF(AND(ISNUMBER(AA358),AA358&lt;TODAY(),Z358="",AJ358=""),"Abnahmetermin vereinbaren – Sollfrist verstrichen",IF(AND(ISNUMBER(Z358),Z358&lt;TODAY(),AJ358=""),"Wohnungsabnahme nachtragen – Termin war fällig",IF(AND(ISNUMBER(AB358),AB358&lt;TODAY(),AK358=""),"Handwerker aufbieten – Frist verstrichen",IF(AND(ISNUMBER(AC358),AC358&lt;TODAY(),AO358=""),"Vertrag retour mahnen – Frist verstrichen",IF(AND(ISNUMBER(AD358),AD358&lt;TODAY(),AQ358=""),"Schlüsselübergabe nachtragen – Termin war fällig",IF(M358="","Haftungsdatum erfassen",IF(E358="","ex-Mieter erfassen",IF(AE358="","Kündigung bestätigen / G-Rem",IF(AF358="","Werke / EGT melden",IF(AG358="","Vorbesichtigung (oder n.e.)",IF(AH358="","VMZ aktualisieren",IF(AI358="","Inserat aufschalten",IF(AND(Z358="",AJ358=""),"Abnahmetermin vereinbaren",IF(AJ358="","Wohnungsabnahme durchführen",IF(AK358="","Handwerker aufbieten",IF(AL358="","Zustimmungserklärung einholen",IF(AM358="","Instandstellungen beauftragen",IF(R358="","Nachmieter erfassen",IF(AN358="","Vertrag versenden",IF(AO358="","Vertrag retour erfassen",IF(S358="","Vermietet per erfassen",IF(AP358="","Werke / EGT über Einzug informieren",IF(AND(AD358="",AQ358=""),"Schlüsselübergabe terminieren",IF(AQ358="","Schlüsselübergabe durchführen",IF(AR358="","Reinigung veranlassen",IF(AS358="","Namensschilder bestellen",IF(AT358="","Kaution prüfen / G-Rem mutieren",IF(AU358="","Instandstellungs-Rechnung erfassen",IF(AV358="","Schlussabrechnung erstellen",IF(AW358="","Zahlungseingang kontrollieren","Fall abschliessen"))))))))))))))))))))))))))))))))</f>
        <v/>
      </c>
      <c r="J358" s="17">
        <f>IF(M358="","",IF(S358&lt;&gt;"",MAX(0,S358-M358-1),MAX(0,TODAY()-M358)))</f>
        <v/>
      </c>
      <c r="K358" s="16">
        <f>IF($B358="","",TRIM(IF(AND(L358&lt;&gt;"",M358&lt;&gt;"",M358&lt;L358),"Haftungsdatum vor Kündigung. ","")&amp;IF(AND(S358&lt;&gt;"",M358&lt;&gt;"",S358&lt;M358),"Vermietung vor Leerstandsbeginn. ","")&amp;IF(AND(Z358&lt;&gt;"",L358&lt;&gt;"",Z358&lt;L358),"WA-Termin vor Kündigung. ","")&amp;IF(COUNTIFS($B$5:$B$404,$B358,$AY$5:$AY$404,"")&gt;1,"Zweiter offener Fall zum selben Objekt. ","")&amp;IF(AND($A358&lt;&gt;"",COUNTIFS($A$5:$A$404,$A358)&gt;1),"Fall-Nr. doppelt vergeben. ","")&amp;IF(E358="","ex-Mieter fehlt. ","")&amp;IF(M358="","Haftungsdatum fehlt. ","")&amp;IF(F358="","Bewirtschafter fehlt. ","")&amp;IF(AND(AY358&lt;&gt;"",AW358=""),"Abgeschlossen trotz offener Schlussabrechnung. ","")&amp;IF(AND(AY358="",S358="",ISNUMBER(J358),J358&gt;60),"Langläufer über 60 Tage. ","")))</f>
        <v/>
      </c>
      <c r="L358" s="18" t="n"/>
      <c r="M358" s="18" t="n"/>
      <c r="N358" s="19">
        <f>IF(M358="","",M358+1)</f>
        <v/>
      </c>
      <c r="O358" s="17">
        <f>IF(OR(L358="",M358=""),"",M358-L358)</f>
        <v/>
      </c>
      <c r="P358" s="16">
        <f>IF(M358="","",YEAR(M358+1)&amp;"-"&amp;TEXT(MONTH(M358+1),"00"))</f>
        <v/>
      </c>
      <c r="Q358" s="18" t="n"/>
      <c r="R358" s="15" t="n"/>
      <c r="S358" s="18" t="n"/>
      <c r="T358" s="16">
        <f>IF(U358="","",IF(LEFT(U358,1)="6","abgeschlossen",IF(OR(LEFT(U358,1)="1",LEFT(U358,1)="2"),"Kündigung &amp; Abnahme",IF(OR(LEFT(U358,1)="3",LEFT(U358,1)="4"),"Wiedervermietung","Schlussabrechnung"))))</f>
        <v/>
      </c>
      <c r="U358" s="16">
        <f>IF($B358="","",IF(AY358&lt;&gt;"","6 · abgeschlossen",IF(AW358&lt;&gt;"","5 · bereit zum Abschluss",IF(AT358&lt;&gt;"","5 · Schlussabrechnung",IF(AO358&lt;&gt;"","4 · Übergabe",IF(AM358&lt;&gt;"","3 · Neuvermietung",IF(M358&lt;&gt;"","2 · Abnahme &amp; Vermarktung","1 · Erfassung")))))))</f>
        <v/>
      </c>
      <c r="V358" s="15" t="n"/>
      <c r="W358" s="20" t="n"/>
      <c r="X358" s="15" t="n"/>
      <c r="Y358" s="15" t="n"/>
      <c r="Z358" s="18" t="n"/>
      <c r="AA358" s="19">
        <f>IF(M358="","",M358-30)</f>
        <v/>
      </c>
      <c r="AB358" s="19">
        <f>IF(ISNUMBER(AJ358),AJ358+3,"")</f>
        <v/>
      </c>
      <c r="AC358" s="18" t="n"/>
      <c r="AD358" s="18" t="n"/>
      <c r="AE358" s="18" t="n"/>
      <c r="AF358" s="18" t="n"/>
      <c r="AG358" s="18" t="n"/>
      <c r="AH358" s="18" t="n"/>
      <c r="AI358" s="18" t="n"/>
      <c r="AJ358" s="18" t="n"/>
      <c r="AK358" s="18" t="n"/>
      <c r="AL358" s="18" t="n"/>
      <c r="AM358" s="18" t="n"/>
      <c r="AN358" s="18" t="n"/>
      <c r="AO358" s="18" t="n"/>
      <c r="AP358" s="18" t="n"/>
      <c r="AQ358" s="18" t="n"/>
      <c r="AR358" s="18" t="n"/>
      <c r="AS358" s="18" t="n"/>
      <c r="AT358" s="18" t="n"/>
      <c r="AU358" s="18" t="n"/>
      <c r="AV358" s="18" t="n"/>
      <c r="AW358" s="18" t="n"/>
      <c r="AX358" s="18" t="n"/>
      <c r="AY358" s="18" t="n"/>
      <c r="AZ358" s="15" t="n"/>
    </row>
    <row r="359">
      <c r="A359" s="15" t="n"/>
      <c r="B359" s="15" t="n"/>
      <c r="C359" s="15" t="n"/>
      <c r="D359" s="15" t="n"/>
      <c r="E359" s="15" t="n"/>
      <c r="F359" s="15" t="n"/>
      <c r="G359" s="16">
        <f>IF(F359="","",IFERROR(INDEX(Stammdaten!$B$5:$B$24,MATCH(F359,Stammdaten!$A$5:$A$24,0)),"unbekannt"))</f>
        <v/>
      </c>
      <c r="H359" s="16">
        <f>IF($B359="","",IF(AY359&lt;&gt;"","abgeschlossen",IF(AND(ISNUMBER(AX359),AX359&gt;=TODAY()),"zurückgestellt",IF(OR(AND(ISNUMBER(AA359),AA359&lt;TODAY(),Z359="",AJ359=""),AND(ISNUMBER(Z359),Z359&lt;TODAY(),AJ359=""),AND(ISNUMBER(AB359),AB359&lt;TODAY(),AK359=""),AND(ISNUMBER(AC359),AC359&lt;TODAY(),AO359=""),AND(ISNUMBER(AD359),AD359&lt;TODAY(),AQ359="")),"überfällig","offen"))))</f>
        <v/>
      </c>
      <c r="I359" s="16">
        <f>IF($B359="","",IF(AY359&lt;&gt;"","—",IF(AND(ISNUMBER(AA359),AA359&lt;TODAY(),Z359="",AJ359=""),"Abnahmetermin vereinbaren – Sollfrist verstrichen",IF(AND(ISNUMBER(Z359),Z359&lt;TODAY(),AJ359=""),"Wohnungsabnahme nachtragen – Termin war fällig",IF(AND(ISNUMBER(AB359),AB359&lt;TODAY(),AK359=""),"Handwerker aufbieten – Frist verstrichen",IF(AND(ISNUMBER(AC359),AC359&lt;TODAY(),AO359=""),"Vertrag retour mahnen – Frist verstrichen",IF(AND(ISNUMBER(AD359),AD359&lt;TODAY(),AQ359=""),"Schlüsselübergabe nachtragen – Termin war fällig",IF(M359="","Haftungsdatum erfassen",IF(E359="","ex-Mieter erfassen",IF(AE359="","Kündigung bestätigen / G-Rem",IF(AF359="","Werke / EGT melden",IF(AG359="","Vorbesichtigung (oder n.e.)",IF(AH359="","VMZ aktualisieren",IF(AI359="","Inserat aufschalten",IF(AND(Z359="",AJ359=""),"Abnahmetermin vereinbaren",IF(AJ359="","Wohnungsabnahme durchführen",IF(AK359="","Handwerker aufbieten",IF(AL359="","Zustimmungserklärung einholen",IF(AM359="","Instandstellungen beauftragen",IF(R359="","Nachmieter erfassen",IF(AN359="","Vertrag versenden",IF(AO359="","Vertrag retour erfassen",IF(S359="","Vermietet per erfassen",IF(AP359="","Werke / EGT über Einzug informieren",IF(AND(AD359="",AQ359=""),"Schlüsselübergabe terminieren",IF(AQ359="","Schlüsselübergabe durchführen",IF(AR359="","Reinigung veranlassen",IF(AS359="","Namensschilder bestellen",IF(AT359="","Kaution prüfen / G-Rem mutieren",IF(AU359="","Instandstellungs-Rechnung erfassen",IF(AV359="","Schlussabrechnung erstellen",IF(AW359="","Zahlungseingang kontrollieren","Fall abschliessen"))))))))))))))))))))))))))))))))</f>
        <v/>
      </c>
      <c r="J359" s="17">
        <f>IF(M359="","",IF(S359&lt;&gt;"",MAX(0,S359-M359-1),MAX(0,TODAY()-M359)))</f>
        <v/>
      </c>
      <c r="K359" s="16">
        <f>IF($B359="","",TRIM(IF(AND(L359&lt;&gt;"",M359&lt;&gt;"",M359&lt;L359),"Haftungsdatum vor Kündigung. ","")&amp;IF(AND(S359&lt;&gt;"",M359&lt;&gt;"",S359&lt;M359),"Vermietung vor Leerstandsbeginn. ","")&amp;IF(AND(Z359&lt;&gt;"",L359&lt;&gt;"",Z359&lt;L359),"WA-Termin vor Kündigung. ","")&amp;IF(COUNTIFS($B$5:$B$404,$B359,$AY$5:$AY$404,"")&gt;1,"Zweiter offener Fall zum selben Objekt. ","")&amp;IF(AND($A359&lt;&gt;"",COUNTIFS($A$5:$A$404,$A359)&gt;1),"Fall-Nr. doppelt vergeben. ","")&amp;IF(E359="","ex-Mieter fehlt. ","")&amp;IF(M359="","Haftungsdatum fehlt. ","")&amp;IF(F359="","Bewirtschafter fehlt. ","")&amp;IF(AND(AY359&lt;&gt;"",AW359=""),"Abgeschlossen trotz offener Schlussabrechnung. ","")&amp;IF(AND(AY359="",S359="",ISNUMBER(J359),J359&gt;60),"Langläufer über 60 Tage. ","")))</f>
        <v/>
      </c>
      <c r="L359" s="18" t="n"/>
      <c r="M359" s="18" t="n"/>
      <c r="N359" s="19">
        <f>IF(M359="","",M359+1)</f>
        <v/>
      </c>
      <c r="O359" s="17">
        <f>IF(OR(L359="",M359=""),"",M359-L359)</f>
        <v/>
      </c>
      <c r="P359" s="16">
        <f>IF(M359="","",YEAR(M359+1)&amp;"-"&amp;TEXT(MONTH(M359+1),"00"))</f>
        <v/>
      </c>
      <c r="Q359" s="18" t="n"/>
      <c r="R359" s="15" t="n"/>
      <c r="S359" s="18" t="n"/>
      <c r="T359" s="16">
        <f>IF(U359="","",IF(LEFT(U359,1)="6","abgeschlossen",IF(OR(LEFT(U359,1)="1",LEFT(U359,1)="2"),"Kündigung &amp; Abnahme",IF(OR(LEFT(U359,1)="3",LEFT(U359,1)="4"),"Wiedervermietung","Schlussabrechnung"))))</f>
        <v/>
      </c>
      <c r="U359" s="16">
        <f>IF($B359="","",IF(AY359&lt;&gt;"","6 · abgeschlossen",IF(AW359&lt;&gt;"","5 · bereit zum Abschluss",IF(AT359&lt;&gt;"","5 · Schlussabrechnung",IF(AO359&lt;&gt;"","4 · Übergabe",IF(AM359&lt;&gt;"","3 · Neuvermietung",IF(M359&lt;&gt;"","2 · Abnahme &amp; Vermarktung","1 · Erfassung")))))))</f>
        <v/>
      </c>
      <c r="V359" s="15" t="n"/>
      <c r="W359" s="20" t="n"/>
      <c r="X359" s="15" t="n"/>
      <c r="Y359" s="15" t="n"/>
      <c r="Z359" s="18" t="n"/>
      <c r="AA359" s="19">
        <f>IF(M359="","",M359-30)</f>
        <v/>
      </c>
      <c r="AB359" s="19">
        <f>IF(ISNUMBER(AJ359),AJ359+3,"")</f>
        <v/>
      </c>
      <c r="AC359" s="18" t="n"/>
      <c r="AD359" s="18" t="n"/>
      <c r="AE359" s="18" t="n"/>
      <c r="AF359" s="18" t="n"/>
      <c r="AG359" s="18" t="n"/>
      <c r="AH359" s="18" t="n"/>
      <c r="AI359" s="18" t="n"/>
      <c r="AJ359" s="18" t="n"/>
      <c r="AK359" s="18" t="n"/>
      <c r="AL359" s="18" t="n"/>
      <c r="AM359" s="18" t="n"/>
      <c r="AN359" s="18" t="n"/>
      <c r="AO359" s="18" t="n"/>
      <c r="AP359" s="18" t="n"/>
      <c r="AQ359" s="18" t="n"/>
      <c r="AR359" s="18" t="n"/>
      <c r="AS359" s="18" t="n"/>
      <c r="AT359" s="18" t="n"/>
      <c r="AU359" s="18" t="n"/>
      <c r="AV359" s="18" t="n"/>
      <c r="AW359" s="18" t="n"/>
      <c r="AX359" s="18" t="n"/>
      <c r="AY359" s="18" t="n"/>
      <c r="AZ359" s="15" t="n"/>
    </row>
    <row r="360">
      <c r="A360" s="15" t="n"/>
      <c r="B360" s="15" t="n"/>
      <c r="C360" s="15" t="n"/>
      <c r="D360" s="15" t="n"/>
      <c r="E360" s="15" t="n"/>
      <c r="F360" s="15" t="n"/>
      <c r="G360" s="16">
        <f>IF(F360="","",IFERROR(INDEX(Stammdaten!$B$5:$B$24,MATCH(F360,Stammdaten!$A$5:$A$24,0)),"unbekannt"))</f>
        <v/>
      </c>
      <c r="H360" s="16">
        <f>IF($B360="","",IF(AY360&lt;&gt;"","abgeschlossen",IF(AND(ISNUMBER(AX360),AX360&gt;=TODAY()),"zurückgestellt",IF(OR(AND(ISNUMBER(AA360),AA360&lt;TODAY(),Z360="",AJ360=""),AND(ISNUMBER(Z360),Z360&lt;TODAY(),AJ360=""),AND(ISNUMBER(AB360),AB360&lt;TODAY(),AK360=""),AND(ISNUMBER(AC360),AC360&lt;TODAY(),AO360=""),AND(ISNUMBER(AD360),AD360&lt;TODAY(),AQ360="")),"überfällig","offen"))))</f>
        <v/>
      </c>
      <c r="I360" s="16">
        <f>IF($B360="","",IF(AY360&lt;&gt;"","—",IF(AND(ISNUMBER(AA360),AA360&lt;TODAY(),Z360="",AJ360=""),"Abnahmetermin vereinbaren – Sollfrist verstrichen",IF(AND(ISNUMBER(Z360),Z360&lt;TODAY(),AJ360=""),"Wohnungsabnahme nachtragen – Termin war fällig",IF(AND(ISNUMBER(AB360),AB360&lt;TODAY(),AK360=""),"Handwerker aufbieten – Frist verstrichen",IF(AND(ISNUMBER(AC360),AC360&lt;TODAY(),AO360=""),"Vertrag retour mahnen – Frist verstrichen",IF(AND(ISNUMBER(AD360),AD360&lt;TODAY(),AQ360=""),"Schlüsselübergabe nachtragen – Termin war fällig",IF(M360="","Haftungsdatum erfassen",IF(E360="","ex-Mieter erfassen",IF(AE360="","Kündigung bestätigen / G-Rem",IF(AF360="","Werke / EGT melden",IF(AG360="","Vorbesichtigung (oder n.e.)",IF(AH360="","VMZ aktualisieren",IF(AI360="","Inserat aufschalten",IF(AND(Z360="",AJ360=""),"Abnahmetermin vereinbaren",IF(AJ360="","Wohnungsabnahme durchführen",IF(AK360="","Handwerker aufbieten",IF(AL360="","Zustimmungserklärung einholen",IF(AM360="","Instandstellungen beauftragen",IF(R360="","Nachmieter erfassen",IF(AN360="","Vertrag versenden",IF(AO360="","Vertrag retour erfassen",IF(S360="","Vermietet per erfassen",IF(AP360="","Werke / EGT über Einzug informieren",IF(AND(AD360="",AQ360=""),"Schlüsselübergabe terminieren",IF(AQ360="","Schlüsselübergabe durchführen",IF(AR360="","Reinigung veranlassen",IF(AS360="","Namensschilder bestellen",IF(AT360="","Kaution prüfen / G-Rem mutieren",IF(AU360="","Instandstellungs-Rechnung erfassen",IF(AV360="","Schlussabrechnung erstellen",IF(AW360="","Zahlungseingang kontrollieren","Fall abschliessen"))))))))))))))))))))))))))))))))</f>
        <v/>
      </c>
      <c r="J360" s="17">
        <f>IF(M360="","",IF(S360&lt;&gt;"",MAX(0,S360-M360-1),MAX(0,TODAY()-M360)))</f>
        <v/>
      </c>
      <c r="K360" s="16">
        <f>IF($B360="","",TRIM(IF(AND(L360&lt;&gt;"",M360&lt;&gt;"",M360&lt;L360),"Haftungsdatum vor Kündigung. ","")&amp;IF(AND(S360&lt;&gt;"",M360&lt;&gt;"",S360&lt;M360),"Vermietung vor Leerstandsbeginn. ","")&amp;IF(AND(Z360&lt;&gt;"",L360&lt;&gt;"",Z360&lt;L360),"WA-Termin vor Kündigung. ","")&amp;IF(COUNTIFS($B$5:$B$404,$B360,$AY$5:$AY$404,"")&gt;1,"Zweiter offener Fall zum selben Objekt. ","")&amp;IF(AND($A360&lt;&gt;"",COUNTIFS($A$5:$A$404,$A360)&gt;1),"Fall-Nr. doppelt vergeben. ","")&amp;IF(E360="","ex-Mieter fehlt. ","")&amp;IF(M360="","Haftungsdatum fehlt. ","")&amp;IF(F360="","Bewirtschafter fehlt. ","")&amp;IF(AND(AY360&lt;&gt;"",AW360=""),"Abgeschlossen trotz offener Schlussabrechnung. ","")&amp;IF(AND(AY360="",S360="",ISNUMBER(J360),J360&gt;60),"Langläufer über 60 Tage. ","")))</f>
        <v/>
      </c>
      <c r="L360" s="18" t="n"/>
      <c r="M360" s="18" t="n"/>
      <c r="N360" s="19">
        <f>IF(M360="","",M360+1)</f>
        <v/>
      </c>
      <c r="O360" s="17">
        <f>IF(OR(L360="",M360=""),"",M360-L360)</f>
        <v/>
      </c>
      <c r="P360" s="16">
        <f>IF(M360="","",YEAR(M360+1)&amp;"-"&amp;TEXT(MONTH(M360+1),"00"))</f>
        <v/>
      </c>
      <c r="Q360" s="18" t="n"/>
      <c r="R360" s="15" t="n"/>
      <c r="S360" s="18" t="n"/>
      <c r="T360" s="16">
        <f>IF(U360="","",IF(LEFT(U360,1)="6","abgeschlossen",IF(OR(LEFT(U360,1)="1",LEFT(U360,1)="2"),"Kündigung &amp; Abnahme",IF(OR(LEFT(U360,1)="3",LEFT(U360,1)="4"),"Wiedervermietung","Schlussabrechnung"))))</f>
        <v/>
      </c>
      <c r="U360" s="16">
        <f>IF($B360="","",IF(AY360&lt;&gt;"","6 · abgeschlossen",IF(AW360&lt;&gt;"","5 · bereit zum Abschluss",IF(AT360&lt;&gt;"","5 · Schlussabrechnung",IF(AO360&lt;&gt;"","4 · Übergabe",IF(AM360&lt;&gt;"","3 · Neuvermietung",IF(M360&lt;&gt;"","2 · Abnahme &amp; Vermarktung","1 · Erfassung")))))))</f>
        <v/>
      </c>
      <c r="V360" s="15" t="n"/>
      <c r="W360" s="20" t="n"/>
      <c r="X360" s="15" t="n"/>
      <c r="Y360" s="15" t="n"/>
      <c r="Z360" s="18" t="n"/>
      <c r="AA360" s="19">
        <f>IF(M360="","",M360-30)</f>
        <v/>
      </c>
      <c r="AB360" s="19">
        <f>IF(ISNUMBER(AJ360),AJ360+3,"")</f>
        <v/>
      </c>
      <c r="AC360" s="18" t="n"/>
      <c r="AD360" s="18" t="n"/>
      <c r="AE360" s="18" t="n"/>
      <c r="AF360" s="18" t="n"/>
      <c r="AG360" s="18" t="n"/>
      <c r="AH360" s="18" t="n"/>
      <c r="AI360" s="18" t="n"/>
      <c r="AJ360" s="18" t="n"/>
      <c r="AK360" s="18" t="n"/>
      <c r="AL360" s="18" t="n"/>
      <c r="AM360" s="18" t="n"/>
      <c r="AN360" s="18" t="n"/>
      <c r="AO360" s="18" t="n"/>
      <c r="AP360" s="18" t="n"/>
      <c r="AQ360" s="18" t="n"/>
      <c r="AR360" s="18" t="n"/>
      <c r="AS360" s="18" t="n"/>
      <c r="AT360" s="18" t="n"/>
      <c r="AU360" s="18" t="n"/>
      <c r="AV360" s="18" t="n"/>
      <c r="AW360" s="18" t="n"/>
      <c r="AX360" s="18" t="n"/>
      <c r="AY360" s="18" t="n"/>
      <c r="AZ360" s="15" t="n"/>
    </row>
    <row r="361">
      <c r="A361" s="15" t="n"/>
      <c r="B361" s="15" t="n"/>
      <c r="C361" s="15" t="n"/>
      <c r="D361" s="15" t="n"/>
      <c r="E361" s="15" t="n"/>
      <c r="F361" s="15" t="n"/>
      <c r="G361" s="16">
        <f>IF(F361="","",IFERROR(INDEX(Stammdaten!$B$5:$B$24,MATCH(F361,Stammdaten!$A$5:$A$24,0)),"unbekannt"))</f>
        <v/>
      </c>
      <c r="H361" s="16">
        <f>IF($B361="","",IF(AY361&lt;&gt;"","abgeschlossen",IF(AND(ISNUMBER(AX361),AX361&gt;=TODAY()),"zurückgestellt",IF(OR(AND(ISNUMBER(AA361),AA361&lt;TODAY(),Z361="",AJ361=""),AND(ISNUMBER(Z361),Z361&lt;TODAY(),AJ361=""),AND(ISNUMBER(AB361),AB361&lt;TODAY(),AK361=""),AND(ISNUMBER(AC361),AC361&lt;TODAY(),AO361=""),AND(ISNUMBER(AD361),AD361&lt;TODAY(),AQ361="")),"überfällig","offen"))))</f>
        <v/>
      </c>
      <c r="I361" s="16">
        <f>IF($B361="","",IF(AY361&lt;&gt;"","—",IF(AND(ISNUMBER(AA361),AA361&lt;TODAY(),Z361="",AJ361=""),"Abnahmetermin vereinbaren – Sollfrist verstrichen",IF(AND(ISNUMBER(Z361),Z361&lt;TODAY(),AJ361=""),"Wohnungsabnahme nachtragen – Termin war fällig",IF(AND(ISNUMBER(AB361),AB361&lt;TODAY(),AK361=""),"Handwerker aufbieten – Frist verstrichen",IF(AND(ISNUMBER(AC361),AC361&lt;TODAY(),AO361=""),"Vertrag retour mahnen – Frist verstrichen",IF(AND(ISNUMBER(AD361),AD361&lt;TODAY(),AQ361=""),"Schlüsselübergabe nachtragen – Termin war fällig",IF(M361="","Haftungsdatum erfassen",IF(E361="","ex-Mieter erfassen",IF(AE361="","Kündigung bestätigen / G-Rem",IF(AF361="","Werke / EGT melden",IF(AG361="","Vorbesichtigung (oder n.e.)",IF(AH361="","VMZ aktualisieren",IF(AI361="","Inserat aufschalten",IF(AND(Z361="",AJ361=""),"Abnahmetermin vereinbaren",IF(AJ361="","Wohnungsabnahme durchführen",IF(AK361="","Handwerker aufbieten",IF(AL361="","Zustimmungserklärung einholen",IF(AM361="","Instandstellungen beauftragen",IF(R361="","Nachmieter erfassen",IF(AN361="","Vertrag versenden",IF(AO361="","Vertrag retour erfassen",IF(S361="","Vermietet per erfassen",IF(AP361="","Werke / EGT über Einzug informieren",IF(AND(AD361="",AQ361=""),"Schlüsselübergabe terminieren",IF(AQ361="","Schlüsselübergabe durchführen",IF(AR361="","Reinigung veranlassen",IF(AS361="","Namensschilder bestellen",IF(AT361="","Kaution prüfen / G-Rem mutieren",IF(AU361="","Instandstellungs-Rechnung erfassen",IF(AV361="","Schlussabrechnung erstellen",IF(AW361="","Zahlungseingang kontrollieren","Fall abschliessen"))))))))))))))))))))))))))))))))</f>
        <v/>
      </c>
      <c r="J361" s="17">
        <f>IF(M361="","",IF(S361&lt;&gt;"",MAX(0,S361-M361-1),MAX(0,TODAY()-M361)))</f>
        <v/>
      </c>
      <c r="K361" s="16">
        <f>IF($B361="","",TRIM(IF(AND(L361&lt;&gt;"",M361&lt;&gt;"",M361&lt;L361),"Haftungsdatum vor Kündigung. ","")&amp;IF(AND(S361&lt;&gt;"",M361&lt;&gt;"",S361&lt;M361),"Vermietung vor Leerstandsbeginn. ","")&amp;IF(AND(Z361&lt;&gt;"",L361&lt;&gt;"",Z361&lt;L361),"WA-Termin vor Kündigung. ","")&amp;IF(COUNTIFS($B$5:$B$404,$B361,$AY$5:$AY$404,"")&gt;1,"Zweiter offener Fall zum selben Objekt. ","")&amp;IF(AND($A361&lt;&gt;"",COUNTIFS($A$5:$A$404,$A361)&gt;1),"Fall-Nr. doppelt vergeben. ","")&amp;IF(E361="","ex-Mieter fehlt. ","")&amp;IF(M361="","Haftungsdatum fehlt. ","")&amp;IF(F361="","Bewirtschafter fehlt. ","")&amp;IF(AND(AY361&lt;&gt;"",AW361=""),"Abgeschlossen trotz offener Schlussabrechnung. ","")&amp;IF(AND(AY361="",S361="",ISNUMBER(J361),J361&gt;60),"Langläufer über 60 Tage. ","")))</f>
        <v/>
      </c>
      <c r="L361" s="18" t="n"/>
      <c r="M361" s="18" t="n"/>
      <c r="N361" s="19">
        <f>IF(M361="","",M361+1)</f>
        <v/>
      </c>
      <c r="O361" s="17">
        <f>IF(OR(L361="",M361=""),"",M361-L361)</f>
        <v/>
      </c>
      <c r="P361" s="16">
        <f>IF(M361="","",YEAR(M361+1)&amp;"-"&amp;TEXT(MONTH(M361+1),"00"))</f>
        <v/>
      </c>
      <c r="Q361" s="18" t="n"/>
      <c r="R361" s="15" t="n"/>
      <c r="S361" s="18" t="n"/>
      <c r="T361" s="16">
        <f>IF(U361="","",IF(LEFT(U361,1)="6","abgeschlossen",IF(OR(LEFT(U361,1)="1",LEFT(U361,1)="2"),"Kündigung &amp; Abnahme",IF(OR(LEFT(U361,1)="3",LEFT(U361,1)="4"),"Wiedervermietung","Schlussabrechnung"))))</f>
        <v/>
      </c>
      <c r="U361" s="16">
        <f>IF($B361="","",IF(AY361&lt;&gt;"","6 · abgeschlossen",IF(AW361&lt;&gt;"","5 · bereit zum Abschluss",IF(AT361&lt;&gt;"","5 · Schlussabrechnung",IF(AO361&lt;&gt;"","4 · Übergabe",IF(AM361&lt;&gt;"","3 · Neuvermietung",IF(M361&lt;&gt;"","2 · Abnahme &amp; Vermarktung","1 · Erfassung")))))))</f>
        <v/>
      </c>
      <c r="V361" s="15" t="n"/>
      <c r="W361" s="20" t="n"/>
      <c r="X361" s="15" t="n"/>
      <c r="Y361" s="15" t="n"/>
      <c r="Z361" s="18" t="n"/>
      <c r="AA361" s="19">
        <f>IF(M361="","",M361-30)</f>
        <v/>
      </c>
      <c r="AB361" s="19">
        <f>IF(ISNUMBER(AJ361),AJ361+3,"")</f>
        <v/>
      </c>
      <c r="AC361" s="18" t="n"/>
      <c r="AD361" s="18" t="n"/>
      <c r="AE361" s="18" t="n"/>
      <c r="AF361" s="18" t="n"/>
      <c r="AG361" s="18" t="n"/>
      <c r="AH361" s="18" t="n"/>
      <c r="AI361" s="18" t="n"/>
      <c r="AJ361" s="18" t="n"/>
      <c r="AK361" s="18" t="n"/>
      <c r="AL361" s="18" t="n"/>
      <c r="AM361" s="18" t="n"/>
      <c r="AN361" s="18" t="n"/>
      <c r="AO361" s="18" t="n"/>
      <c r="AP361" s="18" t="n"/>
      <c r="AQ361" s="18" t="n"/>
      <c r="AR361" s="18" t="n"/>
      <c r="AS361" s="18" t="n"/>
      <c r="AT361" s="18" t="n"/>
      <c r="AU361" s="18" t="n"/>
      <c r="AV361" s="18" t="n"/>
      <c r="AW361" s="18" t="n"/>
      <c r="AX361" s="18" t="n"/>
      <c r="AY361" s="18" t="n"/>
      <c r="AZ361" s="15" t="n"/>
    </row>
    <row r="362">
      <c r="A362" s="15" t="n"/>
      <c r="B362" s="15" t="n"/>
      <c r="C362" s="15" t="n"/>
      <c r="D362" s="15" t="n"/>
      <c r="E362" s="15" t="n"/>
      <c r="F362" s="15" t="n"/>
      <c r="G362" s="16">
        <f>IF(F362="","",IFERROR(INDEX(Stammdaten!$B$5:$B$24,MATCH(F362,Stammdaten!$A$5:$A$24,0)),"unbekannt"))</f>
        <v/>
      </c>
      <c r="H362" s="16">
        <f>IF($B362="","",IF(AY362&lt;&gt;"","abgeschlossen",IF(AND(ISNUMBER(AX362),AX362&gt;=TODAY()),"zurückgestellt",IF(OR(AND(ISNUMBER(AA362),AA362&lt;TODAY(),Z362="",AJ362=""),AND(ISNUMBER(Z362),Z362&lt;TODAY(),AJ362=""),AND(ISNUMBER(AB362),AB362&lt;TODAY(),AK362=""),AND(ISNUMBER(AC362),AC362&lt;TODAY(),AO362=""),AND(ISNUMBER(AD362),AD362&lt;TODAY(),AQ362="")),"überfällig","offen"))))</f>
        <v/>
      </c>
      <c r="I362" s="16">
        <f>IF($B362="","",IF(AY362&lt;&gt;"","—",IF(AND(ISNUMBER(AA362),AA362&lt;TODAY(),Z362="",AJ362=""),"Abnahmetermin vereinbaren – Sollfrist verstrichen",IF(AND(ISNUMBER(Z362),Z362&lt;TODAY(),AJ362=""),"Wohnungsabnahme nachtragen – Termin war fällig",IF(AND(ISNUMBER(AB362),AB362&lt;TODAY(),AK362=""),"Handwerker aufbieten – Frist verstrichen",IF(AND(ISNUMBER(AC362),AC362&lt;TODAY(),AO362=""),"Vertrag retour mahnen – Frist verstrichen",IF(AND(ISNUMBER(AD362),AD362&lt;TODAY(),AQ362=""),"Schlüsselübergabe nachtragen – Termin war fällig",IF(M362="","Haftungsdatum erfassen",IF(E362="","ex-Mieter erfassen",IF(AE362="","Kündigung bestätigen / G-Rem",IF(AF362="","Werke / EGT melden",IF(AG362="","Vorbesichtigung (oder n.e.)",IF(AH362="","VMZ aktualisieren",IF(AI362="","Inserat aufschalten",IF(AND(Z362="",AJ362=""),"Abnahmetermin vereinbaren",IF(AJ362="","Wohnungsabnahme durchführen",IF(AK362="","Handwerker aufbieten",IF(AL362="","Zustimmungserklärung einholen",IF(AM362="","Instandstellungen beauftragen",IF(R362="","Nachmieter erfassen",IF(AN362="","Vertrag versenden",IF(AO362="","Vertrag retour erfassen",IF(S362="","Vermietet per erfassen",IF(AP362="","Werke / EGT über Einzug informieren",IF(AND(AD362="",AQ362=""),"Schlüsselübergabe terminieren",IF(AQ362="","Schlüsselübergabe durchführen",IF(AR362="","Reinigung veranlassen",IF(AS362="","Namensschilder bestellen",IF(AT362="","Kaution prüfen / G-Rem mutieren",IF(AU362="","Instandstellungs-Rechnung erfassen",IF(AV362="","Schlussabrechnung erstellen",IF(AW362="","Zahlungseingang kontrollieren","Fall abschliessen"))))))))))))))))))))))))))))))))</f>
        <v/>
      </c>
      <c r="J362" s="17">
        <f>IF(M362="","",IF(S362&lt;&gt;"",MAX(0,S362-M362-1),MAX(0,TODAY()-M362)))</f>
        <v/>
      </c>
      <c r="K362" s="16">
        <f>IF($B362="","",TRIM(IF(AND(L362&lt;&gt;"",M362&lt;&gt;"",M362&lt;L362),"Haftungsdatum vor Kündigung. ","")&amp;IF(AND(S362&lt;&gt;"",M362&lt;&gt;"",S362&lt;M362),"Vermietung vor Leerstandsbeginn. ","")&amp;IF(AND(Z362&lt;&gt;"",L362&lt;&gt;"",Z362&lt;L362),"WA-Termin vor Kündigung. ","")&amp;IF(COUNTIFS($B$5:$B$404,$B362,$AY$5:$AY$404,"")&gt;1,"Zweiter offener Fall zum selben Objekt. ","")&amp;IF(AND($A362&lt;&gt;"",COUNTIFS($A$5:$A$404,$A362)&gt;1),"Fall-Nr. doppelt vergeben. ","")&amp;IF(E362="","ex-Mieter fehlt. ","")&amp;IF(M362="","Haftungsdatum fehlt. ","")&amp;IF(F362="","Bewirtschafter fehlt. ","")&amp;IF(AND(AY362&lt;&gt;"",AW362=""),"Abgeschlossen trotz offener Schlussabrechnung. ","")&amp;IF(AND(AY362="",S362="",ISNUMBER(J362),J362&gt;60),"Langläufer über 60 Tage. ","")))</f>
        <v/>
      </c>
      <c r="L362" s="18" t="n"/>
      <c r="M362" s="18" t="n"/>
      <c r="N362" s="19">
        <f>IF(M362="","",M362+1)</f>
        <v/>
      </c>
      <c r="O362" s="17">
        <f>IF(OR(L362="",M362=""),"",M362-L362)</f>
        <v/>
      </c>
      <c r="P362" s="16">
        <f>IF(M362="","",YEAR(M362+1)&amp;"-"&amp;TEXT(MONTH(M362+1),"00"))</f>
        <v/>
      </c>
      <c r="Q362" s="18" t="n"/>
      <c r="R362" s="15" t="n"/>
      <c r="S362" s="18" t="n"/>
      <c r="T362" s="16">
        <f>IF(U362="","",IF(LEFT(U362,1)="6","abgeschlossen",IF(OR(LEFT(U362,1)="1",LEFT(U362,1)="2"),"Kündigung &amp; Abnahme",IF(OR(LEFT(U362,1)="3",LEFT(U362,1)="4"),"Wiedervermietung","Schlussabrechnung"))))</f>
        <v/>
      </c>
      <c r="U362" s="16">
        <f>IF($B362="","",IF(AY362&lt;&gt;"","6 · abgeschlossen",IF(AW362&lt;&gt;"","5 · bereit zum Abschluss",IF(AT362&lt;&gt;"","5 · Schlussabrechnung",IF(AO362&lt;&gt;"","4 · Übergabe",IF(AM362&lt;&gt;"","3 · Neuvermietung",IF(M362&lt;&gt;"","2 · Abnahme &amp; Vermarktung","1 · Erfassung")))))))</f>
        <v/>
      </c>
      <c r="V362" s="15" t="n"/>
      <c r="W362" s="20" t="n"/>
      <c r="X362" s="15" t="n"/>
      <c r="Y362" s="15" t="n"/>
      <c r="Z362" s="18" t="n"/>
      <c r="AA362" s="19">
        <f>IF(M362="","",M362-30)</f>
        <v/>
      </c>
      <c r="AB362" s="19">
        <f>IF(ISNUMBER(AJ362),AJ362+3,"")</f>
        <v/>
      </c>
      <c r="AC362" s="18" t="n"/>
      <c r="AD362" s="18" t="n"/>
      <c r="AE362" s="18" t="n"/>
      <c r="AF362" s="18" t="n"/>
      <c r="AG362" s="18" t="n"/>
      <c r="AH362" s="18" t="n"/>
      <c r="AI362" s="18" t="n"/>
      <c r="AJ362" s="18" t="n"/>
      <c r="AK362" s="18" t="n"/>
      <c r="AL362" s="18" t="n"/>
      <c r="AM362" s="18" t="n"/>
      <c r="AN362" s="18" t="n"/>
      <c r="AO362" s="18" t="n"/>
      <c r="AP362" s="18" t="n"/>
      <c r="AQ362" s="18" t="n"/>
      <c r="AR362" s="18" t="n"/>
      <c r="AS362" s="18" t="n"/>
      <c r="AT362" s="18" t="n"/>
      <c r="AU362" s="18" t="n"/>
      <c r="AV362" s="18" t="n"/>
      <c r="AW362" s="18" t="n"/>
      <c r="AX362" s="18" t="n"/>
      <c r="AY362" s="18" t="n"/>
      <c r="AZ362" s="15" t="n"/>
    </row>
    <row r="363">
      <c r="A363" s="15" t="n"/>
      <c r="B363" s="15" t="n"/>
      <c r="C363" s="15" t="n"/>
      <c r="D363" s="15" t="n"/>
      <c r="E363" s="15" t="n"/>
      <c r="F363" s="15" t="n"/>
      <c r="G363" s="16">
        <f>IF(F363="","",IFERROR(INDEX(Stammdaten!$B$5:$B$24,MATCH(F363,Stammdaten!$A$5:$A$24,0)),"unbekannt"))</f>
        <v/>
      </c>
      <c r="H363" s="16">
        <f>IF($B363="","",IF(AY363&lt;&gt;"","abgeschlossen",IF(AND(ISNUMBER(AX363),AX363&gt;=TODAY()),"zurückgestellt",IF(OR(AND(ISNUMBER(AA363),AA363&lt;TODAY(),Z363="",AJ363=""),AND(ISNUMBER(Z363),Z363&lt;TODAY(),AJ363=""),AND(ISNUMBER(AB363),AB363&lt;TODAY(),AK363=""),AND(ISNUMBER(AC363),AC363&lt;TODAY(),AO363=""),AND(ISNUMBER(AD363),AD363&lt;TODAY(),AQ363="")),"überfällig","offen"))))</f>
        <v/>
      </c>
      <c r="I363" s="16">
        <f>IF($B363="","",IF(AY363&lt;&gt;"","—",IF(AND(ISNUMBER(AA363),AA363&lt;TODAY(),Z363="",AJ363=""),"Abnahmetermin vereinbaren – Sollfrist verstrichen",IF(AND(ISNUMBER(Z363),Z363&lt;TODAY(),AJ363=""),"Wohnungsabnahme nachtragen – Termin war fällig",IF(AND(ISNUMBER(AB363),AB363&lt;TODAY(),AK363=""),"Handwerker aufbieten – Frist verstrichen",IF(AND(ISNUMBER(AC363),AC363&lt;TODAY(),AO363=""),"Vertrag retour mahnen – Frist verstrichen",IF(AND(ISNUMBER(AD363),AD363&lt;TODAY(),AQ363=""),"Schlüsselübergabe nachtragen – Termin war fällig",IF(M363="","Haftungsdatum erfassen",IF(E363="","ex-Mieter erfassen",IF(AE363="","Kündigung bestätigen / G-Rem",IF(AF363="","Werke / EGT melden",IF(AG363="","Vorbesichtigung (oder n.e.)",IF(AH363="","VMZ aktualisieren",IF(AI363="","Inserat aufschalten",IF(AND(Z363="",AJ363=""),"Abnahmetermin vereinbaren",IF(AJ363="","Wohnungsabnahme durchführen",IF(AK363="","Handwerker aufbieten",IF(AL363="","Zustimmungserklärung einholen",IF(AM363="","Instandstellungen beauftragen",IF(R363="","Nachmieter erfassen",IF(AN363="","Vertrag versenden",IF(AO363="","Vertrag retour erfassen",IF(S363="","Vermietet per erfassen",IF(AP363="","Werke / EGT über Einzug informieren",IF(AND(AD363="",AQ363=""),"Schlüsselübergabe terminieren",IF(AQ363="","Schlüsselübergabe durchführen",IF(AR363="","Reinigung veranlassen",IF(AS363="","Namensschilder bestellen",IF(AT363="","Kaution prüfen / G-Rem mutieren",IF(AU363="","Instandstellungs-Rechnung erfassen",IF(AV363="","Schlussabrechnung erstellen",IF(AW363="","Zahlungseingang kontrollieren","Fall abschliessen"))))))))))))))))))))))))))))))))</f>
        <v/>
      </c>
      <c r="J363" s="17">
        <f>IF(M363="","",IF(S363&lt;&gt;"",MAX(0,S363-M363-1),MAX(0,TODAY()-M363)))</f>
        <v/>
      </c>
      <c r="K363" s="16">
        <f>IF($B363="","",TRIM(IF(AND(L363&lt;&gt;"",M363&lt;&gt;"",M363&lt;L363),"Haftungsdatum vor Kündigung. ","")&amp;IF(AND(S363&lt;&gt;"",M363&lt;&gt;"",S363&lt;M363),"Vermietung vor Leerstandsbeginn. ","")&amp;IF(AND(Z363&lt;&gt;"",L363&lt;&gt;"",Z363&lt;L363),"WA-Termin vor Kündigung. ","")&amp;IF(COUNTIFS($B$5:$B$404,$B363,$AY$5:$AY$404,"")&gt;1,"Zweiter offener Fall zum selben Objekt. ","")&amp;IF(AND($A363&lt;&gt;"",COUNTIFS($A$5:$A$404,$A363)&gt;1),"Fall-Nr. doppelt vergeben. ","")&amp;IF(E363="","ex-Mieter fehlt. ","")&amp;IF(M363="","Haftungsdatum fehlt. ","")&amp;IF(F363="","Bewirtschafter fehlt. ","")&amp;IF(AND(AY363&lt;&gt;"",AW363=""),"Abgeschlossen trotz offener Schlussabrechnung. ","")&amp;IF(AND(AY363="",S363="",ISNUMBER(J363),J363&gt;60),"Langläufer über 60 Tage. ","")))</f>
        <v/>
      </c>
      <c r="L363" s="18" t="n"/>
      <c r="M363" s="18" t="n"/>
      <c r="N363" s="19">
        <f>IF(M363="","",M363+1)</f>
        <v/>
      </c>
      <c r="O363" s="17">
        <f>IF(OR(L363="",M363=""),"",M363-L363)</f>
        <v/>
      </c>
      <c r="P363" s="16">
        <f>IF(M363="","",YEAR(M363+1)&amp;"-"&amp;TEXT(MONTH(M363+1),"00"))</f>
        <v/>
      </c>
      <c r="Q363" s="18" t="n"/>
      <c r="R363" s="15" t="n"/>
      <c r="S363" s="18" t="n"/>
      <c r="T363" s="16">
        <f>IF(U363="","",IF(LEFT(U363,1)="6","abgeschlossen",IF(OR(LEFT(U363,1)="1",LEFT(U363,1)="2"),"Kündigung &amp; Abnahme",IF(OR(LEFT(U363,1)="3",LEFT(U363,1)="4"),"Wiedervermietung","Schlussabrechnung"))))</f>
        <v/>
      </c>
      <c r="U363" s="16">
        <f>IF($B363="","",IF(AY363&lt;&gt;"","6 · abgeschlossen",IF(AW363&lt;&gt;"","5 · bereit zum Abschluss",IF(AT363&lt;&gt;"","5 · Schlussabrechnung",IF(AO363&lt;&gt;"","4 · Übergabe",IF(AM363&lt;&gt;"","3 · Neuvermietung",IF(M363&lt;&gt;"","2 · Abnahme &amp; Vermarktung","1 · Erfassung")))))))</f>
        <v/>
      </c>
      <c r="V363" s="15" t="n"/>
      <c r="W363" s="20" t="n"/>
      <c r="X363" s="15" t="n"/>
      <c r="Y363" s="15" t="n"/>
      <c r="Z363" s="18" t="n"/>
      <c r="AA363" s="19">
        <f>IF(M363="","",M363-30)</f>
        <v/>
      </c>
      <c r="AB363" s="19">
        <f>IF(ISNUMBER(AJ363),AJ363+3,"")</f>
        <v/>
      </c>
      <c r="AC363" s="18" t="n"/>
      <c r="AD363" s="18" t="n"/>
      <c r="AE363" s="18" t="n"/>
      <c r="AF363" s="18" t="n"/>
      <c r="AG363" s="18" t="n"/>
      <c r="AH363" s="18" t="n"/>
      <c r="AI363" s="18" t="n"/>
      <c r="AJ363" s="18" t="n"/>
      <c r="AK363" s="18" t="n"/>
      <c r="AL363" s="18" t="n"/>
      <c r="AM363" s="18" t="n"/>
      <c r="AN363" s="18" t="n"/>
      <c r="AO363" s="18" t="n"/>
      <c r="AP363" s="18" t="n"/>
      <c r="AQ363" s="18" t="n"/>
      <c r="AR363" s="18" t="n"/>
      <c r="AS363" s="18" t="n"/>
      <c r="AT363" s="18" t="n"/>
      <c r="AU363" s="18" t="n"/>
      <c r="AV363" s="18" t="n"/>
      <c r="AW363" s="18" t="n"/>
      <c r="AX363" s="18" t="n"/>
      <c r="AY363" s="18" t="n"/>
      <c r="AZ363" s="15" t="n"/>
    </row>
    <row r="364">
      <c r="A364" s="15" t="n"/>
      <c r="B364" s="15" t="n"/>
      <c r="C364" s="15" t="n"/>
      <c r="D364" s="15" t="n"/>
      <c r="E364" s="15" t="n"/>
      <c r="F364" s="15" t="n"/>
      <c r="G364" s="16">
        <f>IF(F364="","",IFERROR(INDEX(Stammdaten!$B$5:$B$24,MATCH(F364,Stammdaten!$A$5:$A$24,0)),"unbekannt"))</f>
        <v/>
      </c>
      <c r="H364" s="16">
        <f>IF($B364="","",IF(AY364&lt;&gt;"","abgeschlossen",IF(AND(ISNUMBER(AX364),AX364&gt;=TODAY()),"zurückgestellt",IF(OR(AND(ISNUMBER(AA364),AA364&lt;TODAY(),Z364="",AJ364=""),AND(ISNUMBER(Z364),Z364&lt;TODAY(),AJ364=""),AND(ISNUMBER(AB364),AB364&lt;TODAY(),AK364=""),AND(ISNUMBER(AC364),AC364&lt;TODAY(),AO364=""),AND(ISNUMBER(AD364),AD364&lt;TODAY(),AQ364="")),"überfällig","offen"))))</f>
        <v/>
      </c>
      <c r="I364" s="16">
        <f>IF($B364="","",IF(AY364&lt;&gt;"","—",IF(AND(ISNUMBER(AA364),AA364&lt;TODAY(),Z364="",AJ364=""),"Abnahmetermin vereinbaren – Sollfrist verstrichen",IF(AND(ISNUMBER(Z364),Z364&lt;TODAY(),AJ364=""),"Wohnungsabnahme nachtragen – Termin war fällig",IF(AND(ISNUMBER(AB364),AB364&lt;TODAY(),AK364=""),"Handwerker aufbieten – Frist verstrichen",IF(AND(ISNUMBER(AC364),AC364&lt;TODAY(),AO364=""),"Vertrag retour mahnen – Frist verstrichen",IF(AND(ISNUMBER(AD364),AD364&lt;TODAY(),AQ364=""),"Schlüsselübergabe nachtragen – Termin war fällig",IF(M364="","Haftungsdatum erfassen",IF(E364="","ex-Mieter erfassen",IF(AE364="","Kündigung bestätigen / G-Rem",IF(AF364="","Werke / EGT melden",IF(AG364="","Vorbesichtigung (oder n.e.)",IF(AH364="","VMZ aktualisieren",IF(AI364="","Inserat aufschalten",IF(AND(Z364="",AJ364=""),"Abnahmetermin vereinbaren",IF(AJ364="","Wohnungsabnahme durchführen",IF(AK364="","Handwerker aufbieten",IF(AL364="","Zustimmungserklärung einholen",IF(AM364="","Instandstellungen beauftragen",IF(R364="","Nachmieter erfassen",IF(AN364="","Vertrag versenden",IF(AO364="","Vertrag retour erfassen",IF(S364="","Vermietet per erfassen",IF(AP364="","Werke / EGT über Einzug informieren",IF(AND(AD364="",AQ364=""),"Schlüsselübergabe terminieren",IF(AQ364="","Schlüsselübergabe durchführen",IF(AR364="","Reinigung veranlassen",IF(AS364="","Namensschilder bestellen",IF(AT364="","Kaution prüfen / G-Rem mutieren",IF(AU364="","Instandstellungs-Rechnung erfassen",IF(AV364="","Schlussabrechnung erstellen",IF(AW364="","Zahlungseingang kontrollieren","Fall abschliessen"))))))))))))))))))))))))))))))))</f>
        <v/>
      </c>
      <c r="J364" s="17">
        <f>IF(M364="","",IF(S364&lt;&gt;"",MAX(0,S364-M364-1),MAX(0,TODAY()-M364)))</f>
        <v/>
      </c>
      <c r="K364" s="16">
        <f>IF($B364="","",TRIM(IF(AND(L364&lt;&gt;"",M364&lt;&gt;"",M364&lt;L364),"Haftungsdatum vor Kündigung. ","")&amp;IF(AND(S364&lt;&gt;"",M364&lt;&gt;"",S364&lt;M364),"Vermietung vor Leerstandsbeginn. ","")&amp;IF(AND(Z364&lt;&gt;"",L364&lt;&gt;"",Z364&lt;L364),"WA-Termin vor Kündigung. ","")&amp;IF(COUNTIFS($B$5:$B$404,$B364,$AY$5:$AY$404,"")&gt;1,"Zweiter offener Fall zum selben Objekt. ","")&amp;IF(AND($A364&lt;&gt;"",COUNTIFS($A$5:$A$404,$A364)&gt;1),"Fall-Nr. doppelt vergeben. ","")&amp;IF(E364="","ex-Mieter fehlt. ","")&amp;IF(M364="","Haftungsdatum fehlt. ","")&amp;IF(F364="","Bewirtschafter fehlt. ","")&amp;IF(AND(AY364&lt;&gt;"",AW364=""),"Abgeschlossen trotz offener Schlussabrechnung. ","")&amp;IF(AND(AY364="",S364="",ISNUMBER(J364),J364&gt;60),"Langläufer über 60 Tage. ","")))</f>
        <v/>
      </c>
      <c r="L364" s="18" t="n"/>
      <c r="M364" s="18" t="n"/>
      <c r="N364" s="19">
        <f>IF(M364="","",M364+1)</f>
        <v/>
      </c>
      <c r="O364" s="17">
        <f>IF(OR(L364="",M364=""),"",M364-L364)</f>
        <v/>
      </c>
      <c r="P364" s="16">
        <f>IF(M364="","",YEAR(M364+1)&amp;"-"&amp;TEXT(MONTH(M364+1),"00"))</f>
        <v/>
      </c>
      <c r="Q364" s="18" t="n"/>
      <c r="R364" s="15" t="n"/>
      <c r="S364" s="18" t="n"/>
      <c r="T364" s="16">
        <f>IF(U364="","",IF(LEFT(U364,1)="6","abgeschlossen",IF(OR(LEFT(U364,1)="1",LEFT(U364,1)="2"),"Kündigung &amp; Abnahme",IF(OR(LEFT(U364,1)="3",LEFT(U364,1)="4"),"Wiedervermietung","Schlussabrechnung"))))</f>
        <v/>
      </c>
      <c r="U364" s="16">
        <f>IF($B364="","",IF(AY364&lt;&gt;"","6 · abgeschlossen",IF(AW364&lt;&gt;"","5 · bereit zum Abschluss",IF(AT364&lt;&gt;"","5 · Schlussabrechnung",IF(AO364&lt;&gt;"","4 · Übergabe",IF(AM364&lt;&gt;"","3 · Neuvermietung",IF(M364&lt;&gt;"","2 · Abnahme &amp; Vermarktung","1 · Erfassung")))))))</f>
        <v/>
      </c>
      <c r="V364" s="15" t="n"/>
      <c r="W364" s="20" t="n"/>
      <c r="X364" s="15" t="n"/>
      <c r="Y364" s="15" t="n"/>
      <c r="Z364" s="18" t="n"/>
      <c r="AA364" s="19">
        <f>IF(M364="","",M364-30)</f>
        <v/>
      </c>
      <c r="AB364" s="19">
        <f>IF(ISNUMBER(AJ364),AJ364+3,"")</f>
        <v/>
      </c>
      <c r="AC364" s="18" t="n"/>
      <c r="AD364" s="18" t="n"/>
      <c r="AE364" s="18" t="n"/>
      <c r="AF364" s="18" t="n"/>
      <c r="AG364" s="18" t="n"/>
      <c r="AH364" s="18" t="n"/>
      <c r="AI364" s="18" t="n"/>
      <c r="AJ364" s="18" t="n"/>
      <c r="AK364" s="18" t="n"/>
      <c r="AL364" s="18" t="n"/>
      <c r="AM364" s="18" t="n"/>
      <c r="AN364" s="18" t="n"/>
      <c r="AO364" s="18" t="n"/>
      <c r="AP364" s="18" t="n"/>
      <c r="AQ364" s="18" t="n"/>
      <c r="AR364" s="18" t="n"/>
      <c r="AS364" s="18" t="n"/>
      <c r="AT364" s="18" t="n"/>
      <c r="AU364" s="18" t="n"/>
      <c r="AV364" s="18" t="n"/>
      <c r="AW364" s="18" t="n"/>
      <c r="AX364" s="18" t="n"/>
      <c r="AY364" s="18" t="n"/>
      <c r="AZ364" s="15" t="n"/>
    </row>
    <row r="365">
      <c r="A365" s="15" t="n"/>
      <c r="B365" s="15" t="n"/>
      <c r="C365" s="15" t="n"/>
      <c r="D365" s="15" t="n"/>
      <c r="E365" s="15" t="n"/>
      <c r="F365" s="15" t="n"/>
      <c r="G365" s="16">
        <f>IF(F365="","",IFERROR(INDEX(Stammdaten!$B$5:$B$24,MATCH(F365,Stammdaten!$A$5:$A$24,0)),"unbekannt"))</f>
        <v/>
      </c>
      <c r="H365" s="16">
        <f>IF($B365="","",IF(AY365&lt;&gt;"","abgeschlossen",IF(AND(ISNUMBER(AX365),AX365&gt;=TODAY()),"zurückgestellt",IF(OR(AND(ISNUMBER(AA365),AA365&lt;TODAY(),Z365="",AJ365=""),AND(ISNUMBER(Z365),Z365&lt;TODAY(),AJ365=""),AND(ISNUMBER(AB365),AB365&lt;TODAY(),AK365=""),AND(ISNUMBER(AC365),AC365&lt;TODAY(),AO365=""),AND(ISNUMBER(AD365),AD365&lt;TODAY(),AQ365="")),"überfällig","offen"))))</f>
        <v/>
      </c>
      <c r="I365" s="16">
        <f>IF($B365="","",IF(AY365&lt;&gt;"","—",IF(AND(ISNUMBER(AA365),AA365&lt;TODAY(),Z365="",AJ365=""),"Abnahmetermin vereinbaren – Sollfrist verstrichen",IF(AND(ISNUMBER(Z365),Z365&lt;TODAY(),AJ365=""),"Wohnungsabnahme nachtragen – Termin war fällig",IF(AND(ISNUMBER(AB365),AB365&lt;TODAY(),AK365=""),"Handwerker aufbieten – Frist verstrichen",IF(AND(ISNUMBER(AC365),AC365&lt;TODAY(),AO365=""),"Vertrag retour mahnen – Frist verstrichen",IF(AND(ISNUMBER(AD365),AD365&lt;TODAY(),AQ365=""),"Schlüsselübergabe nachtragen – Termin war fällig",IF(M365="","Haftungsdatum erfassen",IF(E365="","ex-Mieter erfassen",IF(AE365="","Kündigung bestätigen / G-Rem",IF(AF365="","Werke / EGT melden",IF(AG365="","Vorbesichtigung (oder n.e.)",IF(AH365="","VMZ aktualisieren",IF(AI365="","Inserat aufschalten",IF(AND(Z365="",AJ365=""),"Abnahmetermin vereinbaren",IF(AJ365="","Wohnungsabnahme durchführen",IF(AK365="","Handwerker aufbieten",IF(AL365="","Zustimmungserklärung einholen",IF(AM365="","Instandstellungen beauftragen",IF(R365="","Nachmieter erfassen",IF(AN365="","Vertrag versenden",IF(AO365="","Vertrag retour erfassen",IF(S365="","Vermietet per erfassen",IF(AP365="","Werke / EGT über Einzug informieren",IF(AND(AD365="",AQ365=""),"Schlüsselübergabe terminieren",IF(AQ365="","Schlüsselübergabe durchführen",IF(AR365="","Reinigung veranlassen",IF(AS365="","Namensschilder bestellen",IF(AT365="","Kaution prüfen / G-Rem mutieren",IF(AU365="","Instandstellungs-Rechnung erfassen",IF(AV365="","Schlussabrechnung erstellen",IF(AW365="","Zahlungseingang kontrollieren","Fall abschliessen"))))))))))))))))))))))))))))))))</f>
        <v/>
      </c>
      <c r="J365" s="17">
        <f>IF(M365="","",IF(S365&lt;&gt;"",MAX(0,S365-M365-1),MAX(0,TODAY()-M365)))</f>
        <v/>
      </c>
      <c r="K365" s="16">
        <f>IF($B365="","",TRIM(IF(AND(L365&lt;&gt;"",M365&lt;&gt;"",M365&lt;L365),"Haftungsdatum vor Kündigung. ","")&amp;IF(AND(S365&lt;&gt;"",M365&lt;&gt;"",S365&lt;M365),"Vermietung vor Leerstandsbeginn. ","")&amp;IF(AND(Z365&lt;&gt;"",L365&lt;&gt;"",Z365&lt;L365),"WA-Termin vor Kündigung. ","")&amp;IF(COUNTIFS($B$5:$B$404,$B365,$AY$5:$AY$404,"")&gt;1,"Zweiter offener Fall zum selben Objekt. ","")&amp;IF(AND($A365&lt;&gt;"",COUNTIFS($A$5:$A$404,$A365)&gt;1),"Fall-Nr. doppelt vergeben. ","")&amp;IF(E365="","ex-Mieter fehlt. ","")&amp;IF(M365="","Haftungsdatum fehlt. ","")&amp;IF(F365="","Bewirtschafter fehlt. ","")&amp;IF(AND(AY365&lt;&gt;"",AW365=""),"Abgeschlossen trotz offener Schlussabrechnung. ","")&amp;IF(AND(AY365="",S365="",ISNUMBER(J365),J365&gt;60),"Langläufer über 60 Tage. ","")))</f>
        <v/>
      </c>
      <c r="L365" s="18" t="n"/>
      <c r="M365" s="18" t="n"/>
      <c r="N365" s="19">
        <f>IF(M365="","",M365+1)</f>
        <v/>
      </c>
      <c r="O365" s="17">
        <f>IF(OR(L365="",M365=""),"",M365-L365)</f>
        <v/>
      </c>
      <c r="P365" s="16">
        <f>IF(M365="","",YEAR(M365+1)&amp;"-"&amp;TEXT(MONTH(M365+1),"00"))</f>
        <v/>
      </c>
      <c r="Q365" s="18" t="n"/>
      <c r="R365" s="15" t="n"/>
      <c r="S365" s="18" t="n"/>
      <c r="T365" s="16">
        <f>IF(U365="","",IF(LEFT(U365,1)="6","abgeschlossen",IF(OR(LEFT(U365,1)="1",LEFT(U365,1)="2"),"Kündigung &amp; Abnahme",IF(OR(LEFT(U365,1)="3",LEFT(U365,1)="4"),"Wiedervermietung","Schlussabrechnung"))))</f>
        <v/>
      </c>
      <c r="U365" s="16">
        <f>IF($B365="","",IF(AY365&lt;&gt;"","6 · abgeschlossen",IF(AW365&lt;&gt;"","5 · bereit zum Abschluss",IF(AT365&lt;&gt;"","5 · Schlussabrechnung",IF(AO365&lt;&gt;"","4 · Übergabe",IF(AM365&lt;&gt;"","3 · Neuvermietung",IF(M365&lt;&gt;"","2 · Abnahme &amp; Vermarktung","1 · Erfassung")))))))</f>
        <v/>
      </c>
      <c r="V365" s="15" t="n"/>
      <c r="W365" s="20" t="n"/>
      <c r="X365" s="15" t="n"/>
      <c r="Y365" s="15" t="n"/>
      <c r="Z365" s="18" t="n"/>
      <c r="AA365" s="19">
        <f>IF(M365="","",M365-30)</f>
        <v/>
      </c>
      <c r="AB365" s="19">
        <f>IF(ISNUMBER(AJ365),AJ365+3,"")</f>
        <v/>
      </c>
      <c r="AC365" s="18" t="n"/>
      <c r="AD365" s="18" t="n"/>
      <c r="AE365" s="18" t="n"/>
      <c r="AF365" s="18" t="n"/>
      <c r="AG365" s="18" t="n"/>
      <c r="AH365" s="18" t="n"/>
      <c r="AI365" s="18" t="n"/>
      <c r="AJ365" s="18" t="n"/>
      <c r="AK365" s="18" t="n"/>
      <c r="AL365" s="18" t="n"/>
      <c r="AM365" s="18" t="n"/>
      <c r="AN365" s="18" t="n"/>
      <c r="AO365" s="18" t="n"/>
      <c r="AP365" s="18" t="n"/>
      <c r="AQ365" s="18" t="n"/>
      <c r="AR365" s="18" t="n"/>
      <c r="AS365" s="18" t="n"/>
      <c r="AT365" s="18" t="n"/>
      <c r="AU365" s="18" t="n"/>
      <c r="AV365" s="18" t="n"/>
      <c r="AW365" s="18" t="n"/>
      <c r="AX365" s="18" t="n"/>
      <c r="AY365" s="18" t="n"/>
      <c r="AZ365" s="15" t="n"/>
    </row>
    <row r="366">
      <c r="A366" s="15" t="n"/>
      <c r="B366" s="15" t="n"/>
      <c r="C366" s="15" t="n"/>
      <c r="D366" s="15" t="n"/>
      <c r="E366" s="15" t="n"/>
      <c r="F366" s="15" t="n"/>
      <c r="G366" s="16">
        <f>IF(F366="","",IFERROR(INDEX(Stammdaten!$B$5:$B$24,MATCH(F366,Stammdaten!$A$5:$A$24,0)),"unbekannt"))</f>
        <v/>
      </c>
      <c r="H366" s="16">
        <f>IF($B366="","",IF(AY366&lt;&gt;"","abgeschlossen",IF(AND(ISNUMBER(AX366),AX366&gt;=TODAY()),"zurückgestellt",IF(OR(AND(ISNUMBER(AA366),AA366&lt;TODAY(),Z366="",AJ366=""),AND(ISNUMBER(Z366),Z366&lt;TODAY(),AJ366=""),AND(ISNUMBER(AB366),AB366&lt;TODAY(),AK366=""),AND(ISNUMBER(AC366),AC366&lt;TODAY(),AO366=""),AND(ISNUMBER(AD366),AD366&lt;TODAY(),AQ366="")),"überfällig","offen"))))</f>
        <v/>
      </c>
      <c r="I366" s="16">
        <f>IF($B366="","",IF(AY366&lt;&gt;"","—",IF(AND(ISNUMBER(AA366),AA366&lt;TODAY(),Z366="",AJ366=""),"Abnahmetermin vereinbaren – Sollfrist verstrichen",IF(AND(ISNUMBER(Z366),Z366&lt;TODAY(),AJ366=""),"Wohnungsabnahme nachtragen – Termin war fällig",IF(AND(ISNUMBER(AB366),AB366&lt;TODAY(),AK366=""),"Handwerker aufbieten – Frist verstrichen",IF(AND(ISNUMBER(AC366),AC366&lt;TODAY(),AO366=""),"Vertrag retour mahnen – Frist verstrichen",IF(AND(ISNUMBER(AD366),AD366&lt;TODAY(),AQ366=""),"Schlüsselübergabe nachtragen – Termin war fällig",IF(M366="","Haftungsdatum erfassen",IF(E366="","ex-Mieter erfassen",IF(AE366="","Kündigung bestätigen / G-Rem",IF(AF366="","Werke / EGT melden",IF(AG366="","Vorbesichtigung (oder n.e.)",IF(AH366="","VMZ aktualisieren",IF(AI366="","Inserat aufschalten",IF(AND(Z366="",AJ366=""),"Abnahmetermin vereinbaren",IF(AJ366="","Wohnungsabnahme durchführen",IF(AK366="","Handwerker aufbieten",IF(AL366="","Zustimmungserklärung einholen",IF(AM366="","Instandstellungen beauftragen",IF(R366="","Nachmieter erfassen",IF(AN366="","Vertrag versenden",IF(AO366="","Vertrag retour erfassen",IF(S366="","Vermietet per erfassen",IF(AP366="","Werke / EGT über Einzug informieren",IF(AND(AD366="",AQ366=""),"Schlüsselübergabe terminieren",IF(AQ366="","Schlüsselübergabe durchführen",IF(AR366="","Reinigung veranlassen",IF(AS366="","Namensschilder bestellen",IF(AT366="","Kaution prüfen / G-Rem mutieren",IF(AU366="","Instandstellungs-Rechnung erfassen",IF(AV366="","Schlussabrechnung erstellen",IF(AW366="","Zahlungseingang kontrollieren","Fall abschliessen"))))))))))))))))))))))))))))))))</f>
        <v/>
      </c>
      <c r="J366" s="17">
        <f>IF(M366="","",IF(S366&lt;&gt;"",MAX(0,S366-M366-1),MAX(0,TODAY()-M366)))</f>
        <v/>
      </c>
      <c r="K366" s="16">
        <f>IF($B366="","",TRIM(IF(AND(L366&lt;&gt;"",M366&lt;&gt;"",M366&lt;L366),"Haftungsdatum vor Kündigung. ","")&amp;IF(AND(S366&lt;&gt;"",M366&lt;&gt;"",S366&lt;M366),"Vermietung vor Leerstandsbeginn. ","")&amp;IF(AND(Z366&lt;&gt;"",L366&lt;&gt;"",Z366&lt;L366),"WA-Termin vor Kündigung. ","")&amp;IF(COUNTIFS($B$5:$B$404,$B366,$AY$5:$AY$404,"")&gt;1,"Zweiter offener Fall zum selben Objekt. ","")&amp;IF(AND($A366&lt;&gt;"",COUNTIFS($A$5:$A$404,$A366)&gt;1),"Fall-Nr. doppelt vergeben. ","")&amp;IF(E366="","ex-Mieter fehlt. ","")&amp;IF(M366="","Haftungsdatum fehlt. ","")&amp;IF(F366="","Bewirtschafter fehlt. ","")&amp;IF(AND(AY366&lt;&gt;"",AW366=""),"Abgeschlossen trotz offener Schlussabrechnung. ","")&amp;IF(AND(AY366="",S366="",ISNUMBER(J366),J366&gt;60),"Langläufer über 60 Tage. ","")))</f>
        <v/>
      </c>
      <c r="L366" s="18" t="n"/>
      <c r="M366" s="18" t="n"/>
      <c r="N366" s="19">
        <f>IF(M366="","",M366+1)</f>
        <v/>
      </c>
      <c r="O366" s="17">
        <f>IF(OR(L366="",M366=""),"",M366-L366)</f>
        <v/>
      </c>
      <c r="P366" s="16">
        <f>IF(M366="","",YEAR(M366+1)&amp;"-"&amp;TEXT(MONTH(M366+1),"00"))</f>
        <v/>
      </c>
      <c r="Q366" s="18" t="n"/>
      <c r="R366" s="15" t="n"/>
      <c r="S366" s="18" t="n"/>
      <c r="T366" s="16">
        <f>IF(U366="","",IF(LEFT(U366,1)="6","abgeschlossen",IF(OR(LEFT(U366,1)="1",LEFT(U366,1)="2"),"Kündigung &amp; Abnahme",IF(OR(LEFT(U366,1)="3",LEFT(U366,1)="4"),"Wiedervermietung","Schlussabrechnung"))))</f>
        <v/>
      </c>
      <c r="U366" s="16">
        <f>IF($B366="","",IF(AY366&lt;&gt;"","6 · abgeschlossen",IF(AW366&lt;&gt;"","5 · bereit zum Abschluss",IF(AT366&lt;&gt;"","5 · Schlussabrechnung",IF(AO366&lt;&gt;"","4 · Übergabe",IF(AM366&lt;&gt;"","3 · Neuvermietung",IF(M366&lt;&gt;"","2 · Abnahme &amp; Vermarktung","1 · Erfassung")))))))</f>
        <v/>
      </c>
      <c r="V366" s="15" t="n"/>
      <c r="W366" s="20" t="n"/>
      <c r="X366" s="15" t="n"/>
      <c r="Y366" s="15" t="n"/>
      <c r="Z366" s="18" t="n"/>
      <c r="AA366" s="19">
        <f>IF(M366="","",M366-30)</f>
        <v/>
      </c>
      <c r="AB366" s="19">
        <f>IF(ISNUMBER(AJ366),AJ366+3,"")</f>
        <v/>
      </c>
      <c r="AC366" s="18" t="n"/>
      <c r="AD366" s="18" t="n"/>
      <c r="AE366" s="18" t="n"/>
      <c r="AF366" s="18" t="n"/>
      <c r="AG366" s="18" t="n"/>
      <c r="AH366" s="18" t="n"/>
      <c r="AI366" s="18" t="n"/>
      <c r="AJ366" s="18" t="n"/>
      <c r="AK366" s="18" t="n"/>
      <c r="AL366" s="18" t="n"/>
      <c r="AM366" s="18" t="n"/>
      <c r="AN366" s="18" t="n"/>
      <c r="AO366" s="18" t="n"/>
      <c r="AP366" s="18" t="n"/>
      <c r="AQ366" s="18" t="n"/>
      <c r="AR366" s="18" t="n"/>
      <c r="AS366" s="18" t="n"/>
      <c r="AT366" s="18" t="n"/>
      <c r="AU366" s="18" t="n"/>
      <c r="AV366" s="18" t="n"/>
      <c r="AW366" s="18" t="n"/>
      <c r="AX366" s="18" t="n"/>
      <c r="AY366" s="18" t="n"/>
      <c r="AZ366" s="15" t="n"/>
    </row>
    <row r="367">
      <c r="A367" s="15" t="n"/>
      <c r="B367" s="15" t="n"/>
      <c r="C367" s="15" t="n"/>
      <c r="D367" s="15" t="n"/>
      <c r="E367" s="15" t="n"/>
      <c r="F367" s="15" t="n"/>
      <c r="G367" s="16">
        <f>IF(F367="","",IFERROR(INDEX(Stammdaten!$B$5:$B$24,MATCH(F367,Stammdaten!$A$5:$A$24,0)),"unbekannt"))</f>
        <v/>
      </c>
      <c r="H367" s="16">
        <f>IF($B367="","",IF(AY367&lt;&gt;"","abgeschlossen",IF(AND(ISNUMBER(AX367),AX367&gt;=TODAY()),"zurückgestellt",IF(OR(AND(ISNUMBER(AA367),AA367&lt;TODAY(),Z367="",AJ367=""),AND(ISNUMBER(Z367),Z367&lt;TODAY(),AJ367=""),AND(ISNUMBER(AB367),AB367&lt;TODAY(),AK367=""),AND(ISNUMBER(AC367),AC367&lt;TODAY(),AO367=""),AND(ISNUMBER(AD367),AD367&lt;TODAY(),AQ367="")),"überfällig","offen"))))</f>
        <v/>
      </c>
      <c r="I367" s="16">
        <f>IF($B367="","",IF(AY367&lt;&gt;"","—",IF(AND(ISNUMBER(AA367),AA367&lt;TODAY(),Z367="",AJ367=""),"Abnahmetermin vereinbaren – Sollfrist verstrichen",IF(AND(ISNUMBER(Z367),Z367&lt;TODAY(),AJ367=""),"Wohnungsabnahme nachtragen – Termin war fällig",IF(AND(ISNUMBER(AB367),AB367&lt;TODAY(),AK367=""),"Handwerker aufbieten – Frist verstrichen",IF(AND(ISNUMBER(AC367),AC367&lt;TODAY(),AO367=""),"Vertrag retour mahnen – Frist verstrichen",IF(AND(ISNUMBER(AD367),AD367&lt;TODAY(),AQ367=""),"Schlüsselübergabe nachtragen – Termin war fällig",IF(M367="","Haftungsdatum erfassen",IF(E367="","ex-Mieter erfassen",IF(AE367="","Kündigung bestätigen / G-Rem",IF(AF367="","Werke / EGT melden",IF(AG367="","Vorbesichtigung (oder n.e.)",IF(AH367="","VMZ aktualisieren",IF(AI367="","Inserat aufschalten",IF(AND(Z367="",AJ367=""),"Abnahmetermin vereinbaren",IF(AJ367="","Wohnungsabnahme durchführen",IF(AK367="","Handwerker aufbieten",IF(AL367="","Zustimmungserklärung einholen",IF(AM367="","Instandstellungen beauftragen",IF(R367="","Nachmieter erfassen",IF(AN367="","Vertrag versenden",IF(AO367="","Vertrag retour erfassen",IF(S367="","Vermietet per erfassen",IF(AP367="","Werke / EGT über Einzug informieren",IF(AND(AD367="",AQ367=""),"Schlüsselübergabe terminieren",IF(AQ367="","Schlüsselübergabe durchführen",IF(AR367="","Reinigung veranlassen",IF(AS367="","Namensschilder bestellen",IF(AT367="","Kaution prüfen / G-Rem mutieren",IF(AU367="","Instandstellungs-Rechnung erfassen",IF(AV367="","Schlussabrechnung erstellen",IF(AW367="","Zahlungseingang kontrollieren","Fall abschliessen"))))))))))))))))))))))))))))))))</f>
        <v/>
      </c>
      <c r="J367" s="17">
        <f>IF(M367="","",IF(S367&lt;&gt;"",MAX(0,S367-M367-1),MAX(0,TODAY()-M367)))</f>
        <v/>
      </c>
      <c r="K367" s="16">
        <f>IF($B367="","",TRIM(IF(AND(L367&lt;&gt;"",M367&lt;&gt;"",M367&lt;L367),"Haftungsdatum vor Kündigung. ","")&amp;IF(AND(S367&lt;&gt;"",M367&lt;&gt;"",S367&lt;M367),"Vermietung vor Leerstandsbeginn. ","")&amp;IF(AND(Z367&lt;&gt;"",L367&lt;&gt;"",Z367&lt;L367),"WA-Termin vor Kündigung. ","")&amp;IF(COUNTIFS($B$5:$B$404,$B367,$AY$5:$AY$404,"")&gt;1,"Zweiter offener Fall zum selben Objekt. ","")&amp;IF(AND($A367&lt;&gt;"",COUNTIFS($A$5:$A$404,$A367)&gt;1),"Fall-Nr. doppelt vergeben. ","")&amp;IF(E367="","ex-Mieter fehlt. ","")&amp;IF(M367="","Haftungsdatum fehlt. ","")&amp;IF(F367="","Bewirtschafter fehlt. ","")&amp;IF(AND(AY367&lt;&gt;"",AW367=""),"Abgeschlossen trotz offener Schlussabrechnung. ","")&amp;IF(AND(AY367="",S367="",ISNUMBER(J367),J367&gt;60),"Langläufer über 60 Tage. ","")))</f>
        <v/>
      </c>
      <c r="L367" s="18" t="n"/>
      <c r="M367" s="18" t="n"/>
      <c r="N367" s="19">
        <f>IF(M367="","",M367+1)</f>
        <v/>
      </c>
      <c r="O367" s="17">
        <f>IF(OR(L367="",M367=""),"",M367-L367)</f>
        <v/>
      </c>
      <c r="P367" s="16">
        <f>IF(M367="","",YEAR(M367+1)&amp;"-"&amp;TEXT(MONTH(M367+1),"00"))</f>
        <v/>
      </c>
      <c r="Q367" s="18" t="n"/>
      <c r="R367" s="15" t="n"/>
      <c r="S367" s="18" t="n"/>
      <c r="T367" s="16">
        <f>IF(U367="","",IF(LEFT(U367,1)="6","abgeschlossen",IF(OR(LEFT(U367,1)="1",LEFT(U367,1)="2"),"Kündigung &amp; Abnahme",IF(OR(LEFT(U367,1)="3",LEFT(U367,1)="4"),"Wiedervermietung","Schlussabrechnung"))))</f>
        <v/>
      </c>
      <c r="U367" s="16">
        <f>IF($B367="","",IF(AY367&lt;&gt;"","6 · abgeschlossen",IF(AW367&lt;&gt;"","5 · bereit zum Abschluss",IF(AT367&lt;&gt;"","5 · Schlussabrechnung",IF(AO367&lt;&gt;"","4 · Übergabe",IF(AM367&lt;&gt;"","3 · Neuvermietung",IF(M367&lt;&gt;"","2 · Abnahme &amp; Vermarktung","1 · Erfassung")))))))</f>
        <v/>
      </c>
      <c r="V367" s="15" t="n"/>
      <c r="W367" s="20" t="n"/>
      <c r="X367" s="15" t="n"/>
      <c r="Y367" s="15" t="n"/>
      <c r="Z367" s="18" t="n"/>
      <c r="AA367" s="19">
        <f>IF(M367="","",M367-30)</f>
        <v/>
      </c>
      <c r="AB367" s="19">
        <f>IF(ISNUMBER(AJ367),AJ367+3,"")</f>
        <v/>
      </c>
      <c r="AC367" s="18" t="n"/>
      <c r="AD367" s="18" t="n"/>
      <c r="AE367" s="18" t="n"/>
      <c r="AF367" s="18" t="n"/>
      <c r="AG367" s="18" t="n"/>
      <c r="AH367" s="18" t="n"/>
      <c r="AI367" s="18" t="n"/>
      <c r="AJ367" s="18" t="n"/>
      <c r="AK367" s="18" t="n"/>
      <c r="AL367" s="18" t="n"/>
      <c r="AM367" s="18" t="n"/>
      <c r="AN367" s="18" t="n"/>
      <c r="AO367" s="18" t="n"/>
      <c r="AP367" s="18" t="n"/>
      <c r="AQ367" s="18" t="n"/>
      <c r="AR367" s="18" t="n"/>
      <c r="AS367" s="18" t="n"/>
      <c r="AT367" s="18" t="n"/>
      <c r="AU367" s="18" t="n"/>
      <c r="AV367" s="18" t="n"/>
      <c r="AW367" s="18" t="n"/>
      <c r="AX367" s="18" t="n"/>
      <c r="AY367" s="18" t="n"/>
      <c r="AZ367" s="15" t="n"/>
    </row>
    <row r="368">
      <c r="A368" s="15" t="n"/>
      <c r="B368" s="15" t="n"/>
      <c r="C368" s="15" t="n"/>
      <c r="D368" s="15" t="n"/>
      <c r="E368" s="15" t="n"/>
      <c r="F368" s="15" t="n"/>
      <c r="G368" s="16">
        <f>IF(F368="","",IFERROR(INDEX(Stammdaten!$B$5:$B$24,MATCH(F368,Stammdaten!$A$5:$A$24,0)),"unbekannt"))</f>
        <v/>
      </c>
      <c r="H368" s="16">
        <f>IF($B368="","",IF(AY368&lt;&gt;"","abgeschlossen",IF(AND(ISNUMBER(AX368),AX368&gt;=TODAY()),"zurückgestellt",IF(OR(AND(ISNUMBER(AA368),AA368&lt;TODAY(),Z368="",AJ368=""),AND(ISNUMBER(Z368),Z368&lt;TODAY(),AJ368=""),AND(ISNUMBER(AB368),AB368&lt;TODAY(),AK368=""),AND(ISNUMBER(AC368),AC368&lt;TODAY(),AO368=""),AND(ISNUMBER(AD368),AD368&lt;TODAY(),AQ368="")),"überfällig","offen"))))</f>
        <v/>
      </c>
      <c r="I368" s="16">
        <f>IF($B368="","",IF(AY368&lt;&gt;"","—",IF(AND(ISNUMBER(AA368),AA368&lt;TODAY(),Z368="",AJ368=""),"Abnahmetermin vereinbaren – Sollfrist verstrichen",IF(AND(ISNUMBER(Z368),Z368&lt;TODAY(),AJ368=""),"Wohnungsabnahme nachtragen – Termin war fällig",IF(AND(ISNUMBER(AB368),AB368&lt;TODAY(),AK368=""),"Handwerker aufbieten – Frist verstrichen",IF(AND(ISNUMBER(AC368),AC368&lt;TODAY(),AO368=""),"Vertrag retour mahnen – Frist verstrichen",IF(AND(ISNUMBER(AD368),AD368&lt;TODAY(),AQ368=""),"Schlüsselübergabe nachtragen – Termin war fällig",IF(M368="","Haftungsdatum erfassen",IF(E368="","ex-Mieter erfassen",IF(AE368="","Kündigung bestätigen / G-Rem",IF(AF368="","Werke / EGT melden",IF(AG368="","Vorbesichtigung (oder n.e.)",IF(AH368="","VMZ aktualisieren",IF(AI368="","Inserat aufschalten",IF(AND(Z368="",AJ368=""),"Abnahmetermin vereinbaren",IF(AJ368="","Wohnungsabnahme durchführen",IF(AK368="","Handwerker aufbieten",IF(AL368="","Zustimmungserklärung einholen",IF(AM368="","Instandstellungen beauftragen",IF(R368="","Nachmieter erfassen",IF(AN368="","Vertrag versenden",IF(AO368="","Vertrag retour erfassen",IF(S368="","Vermietet per erfassen",IF(AP368="","Werke / EGT über Einzug informieren",IF(AND(AD368="",AQ368=""),"Schlüsselübergabe terminieren",IF(AQ368="","Schlüsselübergabe durchführen",IF(AR368="","Reinigung veranlassen",IF(AS368="","Namensschilder bestellen",IF(AT368="","Kaution prüfen / G-Rem mutieren",IF(AU368="","Instandstellungs-Rechnung erfassen",IF(AV368="","Schlussabrechnung erstellen",IF(AW368="","Zahlungseingang kontrollieren","Fall abschliessen"))))))))))))))))))))))))))))))))</f>
        <v/>
      </c>
      <c r="J368" s="17">
        <f>IF(M368="","",IF(S368&lt;&gt;"",MAX(0,S368-M368-1),MAX(0,TODAY()-M368)))</f>
        <v/>
      </c>
      <c r="K368" s="16">
        <f>IF($B368="","",TRIM(IF(AND(L368&lt;&gt;"",M368&lt;&gt;"",M368&lt;L368),"Haftungsdatum vor Kündigung. ","")&amp;IF(AND(S368&lt;&gt;"",M368&lt;&gt;"",S368&lt;M368),"Vermietung vor Leerstandsbeginn. ","")&amp;IF(AND(Z368&lt;&gt;"",L368&lt;&gt;"",Z368&lt;L368),"WA-Termin vor Kündigung. ","")&amp;IF(COUNTIFS($B$5:$B$404,$B368,$AY$5:$AY$404,"")&gt;1,"Zweiter offener Fall zum selben Objekt. ","")&amp;IF(AND($A368&lt;&gt;"",COUNTIFS($A$5:$A$404,$A368)&gt;1),"Fall-Nr. doppelt vergeben. ","")&amp;IF(E368="","ex-Mieter fehlt. ","")&amp;IF(M368="","Haftungsdatum fehlt. ","")&amp;IF(F368="","Bewirtschafter fehlt. ","")&amp;IF(AND(AY368&lt;&gt;"",AW368=""),"Abgeschlossen trotz offener Schlussabrechnung. ","")&amp;IF(AND(AY368="",S368="",ISNUMBER(J368),J368&gt;60),"Langläufer über 60 Tage. ","")))</f>
        <v/>
      </c>
      <c r="L368" s="18" t="n"/>
      <c r="M368" s="18" t="n"/>
      <c r="N368" s="19">
        <f>IF(M368="","",M368+1)</f>
        <v/>
      </c>
      <c r="O368" s="17">
        <f>IF(OR(L368="",M368=""),"",M368-L368)</f>
        <v/>
      </c>
      <c r="P368" s="16">
        <f>IF(M368="","",YEAR(M368+1)&amp;"-"&amp;TEXT(MONTH(M368+1),"00"))</f>
        <v/>
      </c>
      <c r="Q368" s="18" t="n"/>
      <c r="R368" s="15" t="n"/>
      <c r="S368" s="18" t="n"/>
      <c r="T368" s="16">
        <f>IF(U368="","",IF(LEFT(U368,1)="6","abgeschlossen",IF(OR(LEFT(U368,1)="1",LEFT(U368,1)="2"),"Kündigung &amp; Abnahme",IF(OR(LEFT(U368,1)="3",LEFT(U368,1)="4"),"Wiedervermietung","Schlussabrechnung"))))</f>
        <v/>
      </c>
      <c r="U368" s="16">
        <f>IF($B368="","",IF(AY368&lt;&gt;"","6 · abgeschlossen",IF(AW368&lt;&gt;"","5 · bereit zum Abschluss",IF(AT368&lt;&gt;"","5 · Schlussabrechnung",IF(AO368&lt;&gt;"","4 · Übergabe",IF(AM368&lt;&gt;"","3 · Neuvermietung",IF(M368&lt;&gt;"","2 · Abnahme &amp; Vermarktung","1 · Erfassung")))))))</f>
        <v/>
      </c>
      <c r="V368" s="15" t="n"/>
      <c r="W368" s="20" t="n"/>
      <c r="X368" s="15" t="n"/>
      <c r="Y368" s="15" t="n"/>
      <c r="Z368" s="18" t="n"/>
      <c r="AA368" s="19">
        <f>IF(M368="","",M368-30)</f>
        <v/>
      </c>
      <c r="AB368" s="19">
        <f>IF(ISNUMBER(AJ368),AJ368+3,"")</f>
        <v/>
      </c>
      <c r="AC368" s="18" t="n"/>
      <c r="AD368" s="18" t="n"/>
      <c r="AE368" s="18" t="n"/>
      <c r="AF368" s="18" t="n"/>
      <c r="AG368" s="18" t="n"/>
      <c r="AH368" s="18" t="n"/>
      <c r="AI368" s="18" t="n"/>
      <c r="AJ368" s="18" t="n"/>
      <c r="AK368" s="18" t="n"/>
      <c r="AL368" s="18" t="n"/>
      <c r="AM368" s="18" t="n"/>
      <c r="AN368" s="18" t="n"/>
      <c r="AO368" s="18" t="n"/>
      <c r="AP368" s="18" t="n"/>
      <c r="AQ368" s="18" t="n"/>
      <c r="AR368" s="18" t="n"/>
      <c r="AS368" s="18" t="n"/>
      <c r="AT368" s="18" t="n"/>
      <c r="AU368" s="18" t="n"/>
      <c r="AV368" s="18" t="n"/>
      <c r="AW368" s="18" t="n"/>
      <c r="AX368" s="18" t="n"/>
      <c r="AY368" s="18" t="n"/>
      <c r="AZ368" s="15" t="n"/>
    </row>
    <row r="369">
      <c r="A369" s="15" t="n"/>
      <c r="B369" s="15" t="n"/>
      <c r="C369" s="15" t="n"/>
      <c r="D369" s="15" t="n"/>
      <c r="E369" s="15" t="n"/>
      <c r="F369" s="15" t="n"/>
      <c r="G369" s="16">
        <f>IF(F369="","",IFERROR(INDEX(Stammdaten!$B$5:$B$24,MATCH(F369,Stammdaten!$A$5:$A$24,0)),"unbekannt"))</f>
        <v/>
      </c>
      <c r="H369" s="16">
        <f>IF($B369="","",IF(AY369&lt;&gt;"","abgeschlossen",IF(AND(ISNUMBER(AX369),AX369&gt;=TODAY()),"zurückgestellt",IF(OR(AND(ISNUMBER(AA369),AA369&lt;TODAY(),Z369="",AJ369=""),AND(ISNUMBER(Z369),Z369&lt;TODAY(),AJ369=""),AND(ISNUMBER(AB369),AB369&lt;TODAY(),AK369=""),AND(ISNUMBER(AC369),AC369&lt;TODAY(),AO369=""),AND(ISNUMBER(AD369),AD369&lt;TODAY(),AQ369="")),"überfällig","offen"))))</f>
        <v/>
      </c>
      <c r="I369" s="16">
        <f>IF($B369="","",IF(AY369&lt;&gt;"","—",IF(AND(ISNUMBER(AA369),AA369&lt;TODAY(),Z369="",AJ369=""),"Abnahmetermin vereinbaren – Sollfrist verstrichen",IF(AND(ISNUMBER(Z369),Z369&lt;TODAY(),AJ369=""),"Wohnungsabnahme nachtragen – Termin war fällig",IF(AND(ISNUMBER(AB369),AB369&lt;TODAY(),AK369=""),"Handwerker aufbieten – Frist verstrichen",IF(AND(ISNUMBER(AC369),AC369&lt;TODAY(),AO369=""),"Vertrag retour mahnen – Frist verstrichen",IF(AND(ISNUMBER(AD369),AD369&lt;TODAY(),AQ369=""),"Schlüsselübergabe nachtragen – Termin war fällig",IF(M369="","Haftungsdatum erfassen",IF(E369="","ex-Mieter erfassen",IF(AE369="","Kündigung bestätigen / G-Rem",IF(AF369="","Werke / EGT melden",IF(AG369="","Vorbesichtigung (oder n.e.)",IF(AH369="","VMZ aktualisieren",IF(AI369="","Inserat aufschalten",IF(AND(Z369="",AJ369=""),"Abnahmetermin vereinbaren",IF(AJ369="","Wohnungsabnahme durchführen",IF(AK369="","Handwerker aufbieten",IF(AL369="","Zustimmungserklärung einholen",IF(AM369="","Instandstellungen beauftragen",IF(R369="","Nachmieter erfassen",IF(AN369="","Vertrag versenden",IF(AO369="","Vertrag retour erfassen",IF(S369="","Vermietet per erfassen",IF(AP369="","Werke / EGT über Einzug informieren",IF(AND(AD369="",AQ369=""),"Schlüsselübergabe terminieren",IF(AQ369="","Schlüsselübergabe durchführen",IF(AR369="","Reinigung veranlassen",IF(AS369="","Namensschilder bestellen",IF(AT369="","Kaution prüfen / G-Rem mutieren",IF(AU369="","Instandstellungs-Rechnung erfassen",IF(AV369="","Schlussabrechnung erstellen",IF(AW369="","Zahlungseingang kontrollieren","Fall abschliessen"))))))))))))))))))))))))))))))))</f>
        <v/>
      </c>
      <c r="J369" s="17">
        <f>IF(M369="","",IF(S369&lt;&gt;"",MAX(0,S369-M369-1),MAX(0,TODAY()-M369)))</f>
        <v/>
      </c>
      <c r="K369" s="16">
        <f>IF($B369="","",TRIM(IF(AND(L369&lt;&gt;"",M369&lt;&gt;"",M369&lt;L369),"Haftungsdatum vor Kündigung. ","")&amp;IF(AND(S369&lt;&gt;"",M369&lt;&gt;"",S369&lt;M369),"Vermietung vor Leerstandsbeginn. ","")&amp;IF(AND(Z369&lt;&gt;"",L369&lt;&gt;"",Z369&lt;L369),"WA-Termin vor Kündigung. ","")&amp;IF(COUNTIFS($B$5:$B$404,$B369,$AY$5:$AY$404,"")&gt;1,"Zweiter offener Fall zum selben Objekt. ","")&amp;IF(AND($A369&lt;&gt;"",COUNTIFS($A$5:$A$404,$A369)&gt;1),"Fall-Nr. doppelt vergeben. ","")&amp;IF(E369="","ex-Mieter fehlt. ","")&amp;IF(M369="","Haftungsdatum fehlt. ","")&amp;IF(F369="","Bewirtschafter fehlt. ","")&amp;IF(AND(AY369&lt;&gt;"",AW369=""),"Abgeschlossen trotz offener Schlussabrechnung. ","")&amp;IF(AND(AY369="",S369="",ISNUMBER(J369),J369&gt;60),"Langläufer über 60 Tage. ","")))</f>
        <v/>
      </c>
      <c r="L369" s="18" t="n"/>
      <c r="M369" s="18" t="n"/>
      <c r="N369" s="19">
        <f>IF(M369="","",M369+1)</f>
        <v/>
      </c>
      <c r="O369" s="17">
        <f>IF(OR(L369="",M369=""),"",M369-L369)</f>
        <v/>
      </c>
      <c r="P369" s="16">
        <f>IF(M369="","",YEAR(M369+1)&amp;"-"&amp;TEXT(MONTH(M369+1),"00"))</f>
        <v/>
      </c>
      <c r="Q369" s="18" t="n"/>
      <c r="R369" s="15" t="n"/>
      <c r="S369" s="18" t="n"/>
      <c r="T369" s="16">
        <f>IF(U369="","",IF(LEFT(U369,1)="6","abgeschlossen",IF(OR(LEFT(U369,1)="1",LEFT(U369,1)="2"),"Kündigung &amp; Abnahme",IF(OR(LEFT(U369,1)="3",LEFT(U369,1)="4"),"Wiedervermietung","Schlussabrechnung"))))</f>
        <v/>
      </c>
      <c r="U369" s="16">
        <f>IF($B369="","",IF(AY369&lt;&gt;"","6 · abgeschlossen",IF(AW369&lt;&gt;"","5 · bereit zum Abschluss",IF(AT369&lt;&gt;"","5 · Schlussabrechnung",IF(AO369&lt;&gt;"","4 · Übergabe",IF(AM369&lt;&gt;"","3 · Neuvermietung",IF(M369&lt;&gt;"","2 · Abnahme &amp; Vermarktung","1 · Erfassung")))))))</f>
        <v/>
      </c>
      <c r="V369" s="15" t="n"/>
      <c r="W369" s="20" t="n"/>
      <c r="X369" s="15" t="n"/>
      <c r="Y369" s="15" t="n"/>
      <c r="Z369" s="18" t="n"/>
      <c r="AA369" s="19">
        <f>IF(M369="","",M369-30)</f>
        <v/>
      </c>
      <c r="AB369" s="19">
        <f>IF(ISNUMBER(AJ369),AJ369+3,"")</f>
        <v/>
      </c>
      <c r="AC369" s="18" t="n"/>
      <c r="AD369" s="18" t="n"/>
      <c r="AE369" s="18" t="n"/>
      <c r="AF369" s="18" t="n"/>
      <c r="AG369" s="18" t="n"/>
      <c r="AH369" s="18" t="n"/>
      <c r="AI369" s="18" t="n"/>
      <c r="AJ369" s="18" t="n"/>
      <c r="AK369" s="18" t="n"/>
      <c r="AL369" s="18" t="n"/>
      <c r="AM369" s="18" t="n"/>
      <c r="AN369" s="18" t="n"/>
      <c r="AO369" s="18" t="n"/>
      <c r="AP369" s="18" t="n"/>
      <c r="AQ369" s="18" t="n"/>
      <c r="AR369" s="18" t="n"/>
      <c r="AS369" s="18" t="n"/>
      <c r="AT369" s="18" t="n"/>
      <c r="AU369" s="18" t="n"/>
      <c r="AV369" s="18" t="n"/>
      <c r="AW369" s="18" t="n"/>
      <c r="AX369" s="18" t="n"/>
      <c r="AY369" s="18" t="n"/>
      <c r="AZ369" s="15" t="n"/>
    </row>
    <row r="370">
      <c r="A370" s="15" t="n"/>
      <c r="B370" s="15" t="n"/>
      <c r="C370" s="15" t="n"/>
      <c r="D370" s="15" t="n"/>
      <c r="E370" s="15" t="n"/>
      <c r="F370" s="15" t="n"/>
      <c r="G370" s="16">
        <f>IF(F370="","",IFERROR(INDEX(Stammdaten!$B$5:$B$24,MATCH(F370,Stammdaten!$A$5:$A$24,0)),"unbekannt"))</f>
        <v/>
      </c>
      <c r="H370" s="16">
        <f>IF($B370="","",IF(AY370&lt;&gt;"","abgeschlossen",IF(AND(ISNUMBER(AX370),AX370&gt;=TODAY()),"zurückgestellt",IF(OR(AND(ISNUMBER(AA370),AA370&lt;TODAY(),Z370="",AJ370=""),AND(ISNUMBER(Z370),Z370&lt;TODAY(),AJ370=""),AND(ISNUMBER(AB370),AB370&lt;TODAY(),AK370=""),AND(ISNUMBER(AC370),AC370&lt;TODAY(),AO370=""),AND(ISNUMBER(AD370),AD370&lt;TODAY(),AQ370="")),"überfällig","offen"))))</f>
        <v/>
      </c>
      <c r="I370" s="16">
        <f>IF($B370="","",IF(AY370&lt;&gt;"","—",IF(AND(ISNUMBER(AA370),AA370&lt;TODAY(),Z370="",AJ370=""),"Abnahmetermin vereinbaren – Sollfrist verstrichen",IF(AND(ISNUMBER(Z370),Z370&lt;TODAY(),AJ370=""),"Wohnungsabnahme nachtragen – Termin war fällig",IF(AND(ISNUMBER(AB370),AB370&lt;TODAY(),AK370=""),"Handwerker aufbieten – Frist verstrichen",IF(AND(ISNUMBER(AC370),AC370&lt;TODAY(),AO370=""),"Vertrag retour mahnen – Frist verstrichen",IF(AND(ISNUMBER(AD370),AD370&lt;TODAY(),AQ370=""),"Schlüsselübergabe nachtragen – Termin war fällig",IF(M370="","Haftungsdatum erfassen",IF(E370="","ex-Mieter erfassen",IF(AE370="","Kündigung bestätigen / G-Rem",IF(AF370="","Werke / EGT melden",IF(AG370="","Vorbesichtigung (oder n.e.)",IF(AH370="","VMZ aktualisieren",IF(AI370="","Inserat aufschalten",IF(AND(Z370="",AJ370=""),"Abnahmetermin vereinbaren",IF(AJ370="","Wohnungsabnahme durchführen",IF(AK370="","Handwerker aufbieten",IF(AL370="","Zustimmungserklärung einholen",IF(AM370="","Instandstellungen beauftragen",IF(R370="","Nachmieter erfassen",IF(AN370="","Vertrag versenden",IF(AO370="","Vertrag retour erfassen",IF(S370="","Vermietet per erfassen",IF(AP370="","Werke / EGT über Einzug informieren",IF(AND(AD370="",AQ370=""),"Schlüsselübergabe terminieren",IF(AQ370="","Schlüsselübergabe durchführen",IF(AR370="","Reinigung veranlassen",IF(AS370="","Namensschilder bestellen",IF(AT370="","Kaution prüfen / G-Rem mutieren",IF(AU370="","Instandstellungs-Rechnung erfassen",IF(AV370="","Schlussabrechnung erstellen",IF(AW370="","Zahlungseingang kontrollieren","Fall abschliessen"))))))))))))))))))))))))))))))))</f>
        <v/>
      </c>
      <c r="J370" s="17">
        <f>IF(M370="","",IF(S370&lt;&gt;"",MAX(0,S370-M370-1),MAX(0,TODAY()-M370)))</f>
        <v/>
      </c>
      <c r="K370" s="16">
        <f>IF($B370="","",TRIM(IF(AND(L370&lt;&gt;"",M370&lt;&gt;"",M370&lt;L370),"Haftungsdatum vor Kündigung. ","")&amp;IF(AND(S370&lt;&gt;"",M370&lt;&gt;"",S370&lt;M370),"Vermietung vor Leerstandsbeginn. ","")&amp;IF(AND(Z370&lt;&gt;"",L370&lt;&gt;"",Z370&lt;L370),"WA-Termin vor Kündigung. ","")&amp;IF(COUNTIFS($B$5:$B$404,$B370,$AY$5:$AY$404,"")&gt;1,"Zweiter offener Fall zum selben Objekt. ","")&amp;IF(AND($A370&lt;&gt;"",COUNTIFS($A$5:$A$404,$A370)&gt;1),"Fall-Nr. doppelt vergeben. ","")&amp;IF(E370="","ex-Mieter fehlt. ","")&amp;IF(M370="","Haftungsdatum fehlt. ","")&amp;IF(F370="","Bewirtschafter fehlt. ","")&amp;IF(AND(AY370&lt;&gt;"",AW370=""),"Abgeschlossen trotz offener Schlussabrechnung. ","")&amp;IF(AND(AY370="",S370="",ISNUMBER(J370),J370&gt;60),"Langläufer über 60 Tage. ","")))</f>
        <v/>
      </c>
      <c r="L370" s="18" t="n"/>
      <c r="M370" s="18" t="n"/>
      <c r="N370" s="19">
        <f>IF(M370="","",M370+1)</f>
        <v/>
      </c>
      <c r="O370" s="17">
        <f>IF(OR(L370="",M370=""),"",M370-L370)</f>
        <v/>
      </c>
      <c r="P370" s="16">
        <f>IF(M370="","",YEAR(M370+1)&amp;"-"&amp;TEXT(MONTH(M370+1),"00"))</f>
        <v/>
      </c>
      <c r="Q370" s="18" t="n"/>
      <c r="R370" s="15" t="n"/>
      <c r="S370" s="18" t="n"/>
      <c r="T370" s="16">
        <f>IF(U370="","",IF(LEFT(U370,1)="6","abgeschlossen",IF(OR(LEFT(U370,1)="1",LEFT(U370,1)="2"),"Kündigung &amp; Abnahme",IF(OR(LEFT(U370,1)="3",LEFT(U370,1)="4"),"Wiedervermietung","Schlussabrechnung"))))</f>
        <v/>
      </c>
      <c r="U370" s="16">
        <f>IF($B370="","",IF(AY370&lt;&gt;"","6 · abgeschlossen",IF(AW370&lt;&gt;"","5 · bereit zum Abschluss",IF(AT370&lt;&gt;"","5 · Schlussabrechnung",IF(AO370&lt;&gt;"","4 · Übergabe",IF(AM370&lt;&gt;"","3 · Neuvermietung",IF(M370&lt;&gt;"","2 · Abnahme &amp; Vermarktung","1 · Erfassung")))))))</f>
        <v/>
      </c>
      <c r="V370" s="15" t="n"/>
      <c r="W370" s="20" t="n"/>
      <c r="X370" s="15" t="n"/>
      <c r="Y370" s="15" t="n"/>
      <c r="Z370" s="18" t="n"/>
      <c r="AA370" s="19">
        <f>IF(M370="","",M370-30)</f>
        <v/>
      </c>
      <c r="AB370" s="19">
        <f>IF(ISNUMBER(AJ370),AJ370+3,"")</f>
        <v/>
      </c>
      <c r="AC370" s="18" t="n"/>
      <c r="AD370" s="18" t="n"/>
      <c r="AE370" s="18" t="n"/>
      <c r="AF370" s="18" t="n"/>
      <c r="AG370" s="18" t="n"/>
      <c r="AH370" s="18" t="n"/>
      <c r="AI370" s="18" t="n"/>
      <c r="AJ370" s="18" t="n"/>
      <c r="AK370" s="18" t="n"/>
      <c r="AL370" s="18" t="n"/>
      <c r="AM370" s="18" t="n"/>
      <c r="AN370" s="18" t="n"/>
      <c r="AO370" s="18" t="n"/>
      <c r="AP370" s="18" t="n"/>
      <c r="AQ370" s="18" t="n"/>
      <c r="AR370" s="18" t="n"/>
      <c r="AS370" s="18" t="n"/>
      <c r="AT370" s="18" t="n"/>
      <c r="AU370" s="18" t="n"/>
      <c r="AV370" s="18" t="n"/>
      <c r="AW370" s="18" t="n"/>
      <c r="AX370" s="18" t="n"/>
      <c r="AY370" s="18" t="n"/>
      <c r="AZ370" s="15" t="n"/>
    </row>
    <row r="371">
      <c r="A371" s="15" t="n"/>
      <c r="B371" s="15" t="n"/>
      <c r="C371" s="15" t="n"/>
      <c r="D371" s="15" t="n"/>
      <c r="E371" s="15" t="n"/>
      <c r="F371" s="15" t="n"/>
      <c r="G371" s="16">
        <f>IF(F371="","",IFERROR(INDEX(Stammdaten!$B$5:$B$24,MATCH(F371,Stammdaten!$A$5:$A$24,0)),"unbekannt"))</f>
        <v/>
      </c>
      <c r="H371" s="16">
        <f>IF($B371="","",IF(AY371&lt;&gt;"","abgeschlossen",IF(AND(ISNUMBER(AX371),AX371&gt;=TODAY()),"zurückgestellt",IF(OR(AND(ISNUMBER(AA371),AA371&lt;TODAY(),Z371="",AJ371=""),AND(ISNUMBER(Z371),Z371&lt;TODAY(),AJ371=""),AND(ISNUMBER(AB371),AB371&lt;TODAY(),AK371=""),AND(ISNUMBER(AC371),AC371&lt;TODAY(),AO371=""),AND(ISNUMBER(AD371),AD371&lt;TODAY(),AQ371="")),"überfällig","offen"))))</f>
        <v/>
      </c>
      <c r="I371" s="16">
        <f>IF($B371="","",IF(AY371&lt;&gt;"","—",IF(AND(ISNUMBER(AA371),AA371&lt;TODAY(),Z371="",AJ371=""),"Abnahmetermin vereinbaren – Sollfrist verstrichen",IF(AND(ISNUMBER(Z371),Z371&lt;TODAY(),AJ371=""),"Wohnungsabnahme nachtragen – Termin war fällig",IF(AND(ISNUMBER(AB371),AB371&lt;TODAY(),AK371=""),"Handwerker aufbieten – Frist verstrichen",IF(AND(ISNUMBER(AC371),AC371&lt;TODAY(),AO371=""),"Vertrag retour mahnen – Frist verstrichen",IF(AND(ISNUMBER(AD371),AD371&lt;TODAY(),AQ371=""),"Schlüsselübergabe nachtragen – Termin war fällig",IF(M371="","Haftungsdatum erfassen",IF(E371="","ex-Mieter erfassen",IF(AE371="","Kündigung bestätigen / G-Rem",IF(AF371="","Werke / EGT melden",IF(AG371="","Vorbesichtigung (oder n.e.)",IF(AH371="","VMZ aktualisieren",IF(AI371="","Inserat aufschalten",IF(AND(Z371="",AJ371=""),"Abnahmetermin vereinbaren",IF(AJ371="","Wohnungsabnahme durchführen",IF(AK371="","Handwerker aufbieten",IF(AL371="","Zustimmungserklärung einholen",IF(AM371="","Instandstellungen beauftragen",IF(R371="","Nachmieter erfassen",IF(AN371="","Vertrag versenden",IF(AO371="","Vertrag retour erfassen",IF(S371="","Vermietet per erfassen",IF(AP371="","Werke / EGT über Einzug informieren",IF(AND(AD371="",AQ371=""),"Schlüsselübergabe terminieren",IF(AQ371="","Schlüsselübergabe durchführen",IF(AR371="","Reinigung veranlassen",IF(AS371="","Namensschilder bestellen",IF(AT371="","Kaution prüfen / G-Rem mutieren",IF(AU371="","Instandstellungs-Rechnung erfassen",IF(AV371="","Schlussabrechnung erstellen",IF(AW371="","Zahlungseingang kontrollieren","Fall abschliessen"))))))))))))))))))))))))))))))))</f>
        <v/>
      </c>
      <c r="J371" s="17">
        <f>IF(M371="","",IF(S371&lt;&gt;"",MAX(0,S371-M371-1),MAX(0,TODAY()-M371)))</f>
        <v/>
      </c>
      <c r="K371" s="16">
        <f>IF($B371="","",TRIM(IF(AND(L371&lt;&gt;"",M371&lt;&gt;"",M371&lt;L371),"Haftungsdatum vor Kündigung. ","")&amp;IF(AND(S371&lt;&gt;"",M371&lt;&gt;"",S371&lt;M371),"Vermietung vor Leerstandsbeginn. ","")&amp;IF(AND(Z371&lt;&gt;"",L371&lt;&gt;"",Z371&lt;L371),"WA-Termin vor Kündigung. ","")&amp;IF(COUNTIFS($B$5:$B$404,$B371,$AY$5:$AY$404,"")&gt;1,"Zweiter offener Fall zum selben Objekt. ","")&amp;IF(AND($A371&lt;&gt;"",COUNTIFS($A$5:$A$404,$A371)&gt;1),"Fall-Nr. doppelt vergeben. ","")&amp;IF(E371="","ex-Mieter fehlt. ","")&amp;IF(M371="","Haftungsdatum fehlt. ","")&amp;IF(F371="","Bewirtschafter fehlt. ","")&amp;IF(AND(AY371&lt;&gt;"",AW371=""),"Abgeschlossen trotz offener Schlussabrechnung. ","")&amp;IF(AND(AY371="",S371="",ISNUMBER(J371),J371&gt;60),"Langläufer über 60 Tage. ","")))</f>
        <v/>
      </c>
      <c r="L371" s="18" t="n"/>
      <c r="M371" s="18" t="n"/>
      <c r="N371" s="19">
        <f>IF(M371="","",M371+1)</f>
        <v/>
      </c>
      <c r="O371" s="17">
        <f>IF(OR(L371="",M371=""),"",M371-L371)</f>
        <v/>
      </c>
      <c r="P371" s="16">
        <f>IF(M371="","",YEAR(M371+1)&amp;"-"&amp;TEXT(MONTH(M371+1),"00"))</f>
        <v/>
      </c>
      <c r="Q371" s="18" t="n"/>
      <c r="R371" s="15" t="n"/>
      <c r="S371" s="18" t="n"/>
      <c r="T371" s="16">
        <f>IF(U371="","",IF(LEFT(U371,1)="6","abgeschlossen",IF(OR(LEFT(U371,1)="1",LEFT(U371,1)="2"),"Kündigung &amp; Abnahme",IF(OR(LEFT(U371,1)="3",LEFT(U371,1)="4"),"Wiedervermietung","Schlussabrechnung"))))</f>
        <v/>
      </c>
      <c r="U371" s="16">
        <f>IF($B371="","",IF(AY371&lt;&gt;"","6 · abgeschlossen",IF(AW371&lt;&gt;"","5 · bereit zum Abschluss",IF(AT371&lt;&gt;"","5 · Schlussabrechnung",IF(AO371&lt;&gt;"","4 · Übergabe",IF(AM371&lt;&gt;"","3 · Neuvermietung",IF(M371&lt;&gt;"","2 · Abnahme &amp; Vermarktung","1 · Erfassung")))))))</f>
        <v/>
      </c>
      <c r="V371" s="15" t="n"/>
      <c r="W371" s="20" t="n"/>
      <c r="X371" s="15" t="n"/>
      <c r="Y371" s="15" t="n"/>
      <c r="Z371" s="18" t="n"/>
      <c r="AA371" s="19">
        <f>IF(M371="","",M371-30)</f>
        <v/>
      </c>
      <c r="AB371" s="19">
        <f>IF(ISNUMBER(AJ371),AJ371+3,"")</f>
        <v/>
      </c>
      <c r="AC371" s="18" t="n"/>
      <c r="AD371" s="18" t="n"/>
      <c r="AE371" s="18" t="n"/>
      <c r="AF371" s="18" t="n"/>
      <c r="AG371" s="18" t="n"/>
      <c r="AH371" s="18" t="n"/>
      <c r="AI371" s="18" t="n"/>
      <c r="AJ371" s="18" t="n"/>
      <c r="AK371" s="18" t="n"/>
      <c r="AL371" s="18" t="n"/>
      <c r="AM371" s="18" t="n"/>
      <c r="AN371" s="18" t="n"/>
      <c r="AO371" s="18" t="n"/>
      <c r="AP371" s="18" t="n"/>
      <c r="AQ371" s="18" t="n"/>
      <c r="AR371" s="18" t="n"/>
      <c r="AS371" s="18" t="n"/>
      <c r="AT371" s="18" t="n"/>
      <c r="AU371" s="18" t="n"/>
      <c r="AV371" s="18" t="n"/>
      <c r="AW371" s="18" t="n"/>
      <c r="AX371" s="18" t="n"/>
      <c r="AY371" s="18" t="n"/>
      <c r="AZ371" s="15" t="n"/>
    </row>
    <row r="372">
      <c r="A372" s="15" t="n"/>
      <c r="B372" s="15" t="n"/>
      <c r="C372" s="15" t="n"/>
      <c r="D372" s="15" t="n"/>
      <c r="E372" s="15" t="n"/>
      <c r="F372" s="15" t="n"/>
      <c r="G372" s="16">
        <f>IF(F372="","",IFERROR(INDEX(Stammdaten!$B$5:$B$24,MATCH(F372,Stammdaten!$A$5:$A$24,0)),"unbekannt"))</f>
        <v/>
      </c>
      <c r="H372" s="16">
        <f>IF($B372="","",IF(AY372&lt;&gt;"","abgeschlossen",IF(AND(ISNUMBER(AX372),AX372&gt;=TODAY()),"zurückgestellt",IF(OR(AND(ISNUMBER(AA372),AA372&lt;TODAY(),Z372="",AJ372=""),AND(ISNUMBER(Z372),Z372&lt;TODAY(),AJ372=""),AND(ISNUMBER(AB372),AB372&lt;TODAY(),AK372=""),AND(ISNUMBER(AC372),AC372&lt;TODAY(),AO372=""),AND(ISNUMBER(AD372),AD372&lt;TODAY(),AQ372="")),"überfällig","offen"))))</f>
        <v/>
      </c>
      <c r="I372" s="16">
        <f>IF($B372="","",IF(AY372&lt;&gt;"","—",IF(AND(ISNUMBER(AA372),AA372&lt;TODAY(),Z372="",AJ372=""),"Abnahmetermin vereinbaren – Sollfrist verstrichen",IF(AND(ISNUMBER(Z372),Z372&lt;TODAY(),AJ372=""),"Wohnungsabnahme nachtragen – Termin war fällig",IF(AND(ISNUMBER(AB372),AB372&lt;TODAY(),AK372=""),"Handwerker aufbieten – Frist verstrichen",IF(AND(ISNUMBER(AC372),AC372&lt;TODAY(),AO372=""),"Vertrag retour mahnen – Frist verstrichen",IF(AND(ISNUMBER(AD372),AD372&lt;TODAY(),AQ372=""),"Schlüsselübergabe nachtragen – Termin war fällig",IF(M372="","Haftungsdatum erfassen",IF(E372="","ex-Mieter erfassen",IF(AE372="","Kündigung bestätigen / G-Rem",IF(AF372="","Werke / EGT melden",IF(AG372="","Vorbesichtigung (oder n.e.)",IF(AH372="","VMZ aktualisieren",IF(AI372="","Inserat aufschalten",IF(AND(Z372="",AJ372=""),"Abnahmetermin vereinbaren",IF(AJ372="","Wohnungsabnahme durchführen",IF(AK372="","Handwerker aufbieten",IF(AL372="","Zustimmungserklärung einholen",IF(AM372="","Instandstellungen beauftragen",IF(R372="","Nachmieter erfassen",IF(AN372="","Vertrag versenden",IF(AO372="","Vertrag retour erfassen",IF(S372="","Vermietet per erfassen",IF(AP372="","Werke / EGT über Einzug informieren",IF(AND(AD372="",AQ372=""),"Schlüsselübergabe terminieren",IF(AQ372="","Schlüsselübergabe durchführen",IF(AR372="","Reinigung veranlassen",IF(AS372="","Namensschilder bestellen",IF(AT372="","Kaution prüfen / G-Rem mutieren",IF(AU372="","Instandstellungs-Rechnung erfassen",IF(AV372="","Schlussabrechnung erstellen",IF(AW372="","Zahlungseingang kontrollieren","Fall abschliessen"))))))))))))))))))))))))))))))))</f>
        <v/>
      </c>
      <c r="J372" s="17">
        <f>IF(M372="","",IF(S372&lt;&gt;"",MAX(0,S372-M372-1),MAX(0,TODAY()-M372)))</f>
        <v/>
      </c>
      <c r="K372" s="16">
        <f>IF($B372="","",TRIM(IF(AND(L372&lt;&gt;"",M372&lt;&gt;"",M372&lt;L372),"Haftungsdatum vor Kündigung. ","")&amp;IF(AND(S372&lt;&gt;"",M372&lt;&gt;"",S372&lt;M372),"Vermietung vor Leerstandsbeginn. ","")&amp;IF(AND(Z372&lt;&gt;"",L372&lt;&gt;"",Z372&lt;L372),"WA-Termin vor Kündigung. ","")&amp;IF(COUNTIFS($B$5:$B$404,$B372,$AY$5:$AY$404,"")&gt;1,"Zweiter offener Fall zum selben Objekt. ","")&amp;IF(AND($A372&lt;&gt;"",COUNTIFS($A$5:$A$404,$A372)&gt;1),"Fall-Nr. doppelt vergeben. ","")&amp;IF(E372="","ex-Mieter fehlt. ","")&amp;IF(M372="","Haftungsdatum fehlt. ","")&amp;IF(F372="","Bewirtschafter fehlt. ","")&amp;IF(AND(AY372&lt;&gt;"",AW372=""),"Abgeschlossen trotz offener Schlussabrechnung. ","")&amp;IF(AND(AY372="",S372="",ISNUMBER(J372),J372&gt;60),"Langläufer über 60 Tage. ","")))</f>
        <v/>
      </c>
      <c r="L372" s="18" t="n"/>
      <c r="M372" s="18" t="n"/>
      <c r="N372" s="19">
        <f>IF(M372="","",M372+1)</f>
        <v/>
      </c>
      <c r="O372" s="17">
        <f>IF(OR(L372="",M372=""),"",M372-L372)</f>
        <v/>
      </c>
      <c r="P372" s="16">
        <f>IF(M372="","",YEAR(M372+1)&amp;"-"&amp;TEXT(MONTH(M372+1),"00"))</f>
        <v/>
      </c>
      <c r="Q372" s="18" t="n"/>
      <c r="R372" s="15" t="n"/>
      <c r="S372" s="18" t="n"/>
      <c r="T372" s="16">
        <f>IF(U372="","",IF(LEFT(U372,1)="6","abgeschlossen",IF(OR(LEFT(U372,1)="1",LEFT(U372,1)="2"),"Kündigung &amp; Abnahme",IF(OR(LEFT(U372,1)="3",LEFT(U372,1)="4"),"Wiedervermietung","Schlussabrechnung"))))</f>
        <v/>
      </c>
      <c r="U372" s="16">
        <f>IF($B372="","",IF(AY372&lt;&gt;"","6 · abgeschlossen",IF(AW372&lt;&gt;"","5 · bereit zum Abschluss",IF(AT372&lt;&gt;"","5 · Schlussabrechnung",IF(AO372&lt;&gt;"","4 · Übergabe",IF(AM372&lt;&gt;"","3 · Neuvermietung",IF(M372&lt;&gt;"","2 · Abnahme &amp; Vermarktung","1 · Erfassung")))))))</f>
        <v/>
      </c>
      <c r="V372" s="15" t="n"/>
      <c r="W372" s="20" t="n"/>
      <c r="X372" s="15" t="n"/>
      <c r="Y372" s="15" t="n"/>
      <c r="Z372" s="18" t="n"/>
      <c r="AA372" s="19">
        <f>IF(M372="","",M372-30)</f>
        <v/>
      </c>
      <c r="AB372" s="19">
        <f>IF(ISNUMBER(AJ372),AJ372+3,"")</f>
        <v/>
      </c>
      <c r="AC372" s="18" t="n"/>
      <c r="AD372" s="18" t="n"/>
      <c r="AE372" s="18" t="n"/>
      <c r="AF372" s="18" t="n"/>
      <c r="AG372" s="18" t="n"/>
      <c r="AH372" s="18" t="n"/>
      <c r="AI372" s="18" t="n"/>
      <c r="AJ372" s="18" t="n"/>
      <c r="AK372" s="18" t="n"/>
      <c r="AL372" s="18" t="n"/>
      <c r="AM372" s="18" t="n"/>
      <c r="AN372" s="18" t="n"/>
      <c r="AO372" s="18" t="n"/>
      <c r="AP372" s="18" t="n"/>
      <c r="AQ372" s="18" t="n"/>
      <c r="AR372" s="18" t="n"/>
      <c r="AS372" s="18" t="n"/>
      <c r="AT372" s="18" t="n"/>
      <c r="AU372" s="18" t="n"/>
      <c r="AV372" s="18" t="n"/>
      <c r="AW372" s="18" t="n"/>
      <c r="AX372" s="18" t="n"/>
      <c r="AY372" s="18" t="n"/>
      <c r="AZ372" s="15" t="n"/>
    </row>
    <row r="373">
      <c r="A373" s="15" t="n"/>
      <c r="B373" s="15" t="n"/>
      <c r="C373" s="15" t="n"/>
      <c r="D373" s="15" t="n"/>
      <c r="E373" s="15" t="n"/>
      <c r="F373" s="15" t="n"/>
      <c r="G373" s="16">
        <f>IF(F373="","",IFERROR(INDEX(Stammdaten!$B$5:$B$24,MATCH(F373,Stammdaten!$A$5:$A$24,0)),"unbekannt"))</f>
        <v/>
      </c>
      <c r="H373" s="16">
        <f>IF($B373="","",IF(AY373&lt;&gt;"","abgeschlossen",IF(AND(ISNUMBER(AX373),AX373&gt;=TODAY()),"zurückgestellt",IF(OR(AND(ISNUMBER(AA373),AA373&lt;TODAY(),Z373="",AJ373=""),AND(ISNUMBER(Z373),Z373&lt;TODAY(),AJ373=""),AND(ISNUMBER(AB373),AB373&lt;TODAY(),AK373=""),AND(ISNUMBER(AC373),AC373&lt;TODAY(),AO373=""),AND(ISNUMBER(AD373),AD373&lt;TODAY(),AQ373="")),"überfällig","offen"))))</f>
        <v/>
      </c>
      <c r="I373" s="16">
        <f>IF($B373="","",IF(AY373&lt;&gt;"","—",IF(AND(ISNUMBER(AA373),AA373&lt;TODAY(),Z373="",AJ373=""),"Abnahmetermin vereinbaren – Sollfrist verstrichen",IF(AND(ISNUMBER(Z373),Z373&lt;TODAY(),AJ373=""),"Wohnungsabnahme nachtragen – Termin war fällig",IF(AND(ISNUMBER(AB373),AB373&lt;TODAY(),AK373=""),"Handwerker aufbieten – Frist verstrichen",IF(AND(ISNUMBER(AC373),AC373&lt;TODAY(),AO373=""),"Vertrag retour mahnen – Frist verstrichen",IF(AND(ISNUMBER(AD373),AD373&lt;TODAY(),AQ373=""),"Schlüsselübergabe nachtragen – Termin war fällig",IF(M373="","Haftungsdatum erfassen",IF(E373="","ex-Mieter erfassen",IF(AE373="","Kündigung bestätigen / G-Rem",IF(AF373="","Werke / EGT melden",IF(AG373="","Vorbesichtigung (oder n.e.)",IF(AH373="","VMZ aktualisieren",IF(AI373="","Inserat aufschalten",IF(AND(Z373="",AJ373=""),"Abnahmetermin vereinbaren",IF(AJ373="","Wohnungsabnahme durchführen",IF(AK373="","Handwerker aufbieten",IF(AL373="","Zustimmungserklärung einholen",IF(AM373="","Instandstellungen beauftragen",IF(R373="","Nachmieter erfassen",IF(AN373="","Vertrag versenden",IF(AO373="","Vertrag retour erfassen",IF(S373="","Vermietet per erfassen",IF(AP373="","Werke / EGT über Einzug informieren",IF(AND(AD373="",AQ373=""),"Schlüsselübergabe terminieren",IF(AQ373="","Schlüsselübergabe durchführen",IF(AR373="","Reinigung veranlassen",IF(AS373="","Namensschilder bestellen",IF(AT373="","Kaution prüfen / G-Rem mutieren",IF(AU373="","Instandstellungs-Rechnung erfassen",IF(AV373="","Schlussabrechnung erstellen",IF(AW373="","Zahlungseingang kontrollieren","Fall abschliessen"))))))))))))))))))))))))))))))))</f>
        <v/>
      </c>
      <c r="J373" s="17">
        <f>IF(M373="","",IF(S373&lt;&gt;"",MAX(0,S373-M373-1),MAX(0,TODAY()-M373)))</f>
        <v/>
      </c>
      <c r="K373" s="16">
        <f>IF($B373="","",TRIM(IF(AND(L373&lt;&gt;"",M373&lt;&gt;"",M373&lt;L373),"Haftungsdatum vor Kündigung. ","")&amp;IF(AND(S373&lt;&gt;"",M373&lt;&gt;"",S373&lt;M373),"Vermietung vor Leerstandsbeginn. ","")&amp;IF(AND(Z373&lt;&gt;"",L373&lt;&gt;"",Z373&lt;L373),"WA-Termin vor Kündigung. ","")&amp;IF(COUNTIFS($B$5:$B$404,$B373,$AY$5:$AY$404,"")&gt;1,"Zweiter offener Fall zum selben Objekt. ","")&amp;IF(AND($A373&lt;&gt;"",COUNTIFS($A$5:$A$404,$A373)&gt;1),"Fall-Nr. doppelt vergeben. ","")&amp;IF(E373="","ex-Mieter fehlt. ","")&amp;IF(M373="","Haftungsdatum fehlt. ","")&amp;IF(F373="","Bewirtschafter fehlt. ","")&amp;IF(AND(AY373&lt;&gt;"",AW373=""),"Abgeschlossen trotz offener Schlussabrechnung. ","")&amp;IF(AND(AY373="",S373="",ISNUMBER(J373),J373&gt;60),"Langläufer über 60 Tage. ","")))</f>
        <v/>
      </c>
      <c r="L373" s="18" t="n"/>
      <c r="M373" s="18" t="n"/>
      <c r="N373" s="19">
        <f>IF(M373="","",M373+1)</f>
        <v/>
      </c>
      <c r="O373" s="17">
        <f>IF(OR(L373="",M373=""),"",M373-L373)</f>
        <v/>
      </c>
      <c r="P373" s="16">
        <f>IF(M373="","",YEAR(M373+1)&amp;"-"&amp;TEXT(MONTH(M373+1),"00"))</f>
        <v/>
      </c>
      <c r="Q373" s="18" t="n"/>
      <c r="R373" s="15" t="n"/>
      <c r="S373" s="18" t="n"/>
      <c r="T373" s="16">
        <f>IF(U373="","",IF(LEFT(U373,1)="6","abgeschlossen",IF(OR(LEFT(U373,1)="1",LEFT(U373,1)="2"),"Kündigung &amp; Abnahme",IF(OR(LEFT(U373,1)="3",LEFT(U373,1)="4"),"Wiedervermietung","Schlussabrechnung"))))</f>
        <v/>
      </c>
      <c r="U373" s="16">
        <f>IF($B373="","",IF(AY373&lt;&gt;"","6 · abgeschlossen",IF(AW373&lt;&gt;"","5 · bereit zum Abschluss",IF(AT373&lt;&gt;"","5 · Schlussabrechnung",IF(AO373&lt;&gt;"","4 · Übergabe",IF(AM373&lt;&gt;"","3 · Neuvermietung",IF(M373&lt;&gt;"","2 · Abnahme &amp; Vermarktung","1 · Erfassung")))))))</f>
        <v/>
      </c>
      <c r="V373" s="15" t="n"/>
      <c r="W373" s="20" t="n"/>
      <c r="X373" s="15" t="n"/>
      <c r="Y373" s="15" t="n"/>
      <c r="Z373" s="18" t="n"/>
      <c r="AA373" s="19">
        <f>IF(M373="","",M373-30)</f>
        <v/>
      </c>
      <c r="AB373" s="19">
        <f>IF(ISNUMBER(AJ373),AJ373+3,"")</f>
        <v/>
      </c>
      <c r="AC373" s="18" t="n"/>
      <c r="AD373" s="18" t="n"/>
      <c r="AE373" s="18" t="n"/>
      <c r="AF373" s="18" t="n"/>
      <c r="AG373" s="18" t="n"/>
      <c r="AH373" s="18" t="n"/>
      <c r="AI373" s="18" t="n"/>
      <c r="AJ373" s="18" t="n"/>
      <c r="AK373" s="18" t="n"/>
      <c r="AL373" s="18" t="n"/>
      <c r="AM373" s="18" t="n"/>
      <c r="AN373" s="18" t="n"/>
      <c r="AO373" s="18" t="n"/>
      <c r="AP373" s="18" t="n"/>
      <c r="AQ373" s="18" t="n"/>
      <c r="AR373" s="18" t="n"/>
      <c r="AS373" s="18" t="n"/>
      <c r="AT373" s="18" t="n"/>
      <c r="AU373" s="18" t="n"/>
      <c r="AV373" s="18" t="n"/>
      <c r="AW373" s="18" t="n"/>
      <c r="AX373" s="18" t="n"/>
      <c r="AY373" s="18" t="n"/>
      <c r="AZ373" s="15" t="n"/>
    </row>
    <row r="374">
      <c r="A374" s="15" t="n"/>
      <c r="B374" s="15" t="n"/>
      <c r="C374" s="15" t="n"/>
      <c r="D374" s="15" t="n"/>
      <c r="E374" s="15" t="n"/>
      <c r="F374" s="15" t="n"/>
      <c r="G374" s="16">
        <f>IF(F374="","",IFERROR(INDEX(Stammdaten!$B$5:$B$24,MATCH(F374,Stammdaten!$A$5:$A$24,0)),"unbekannt"))</f>
        <v/>
      </c>
      <c r="H374" s="16">
        <f>IF($B374="","",IF(AY374&lt;&gt;"","abgeschlossen",IF(AND(ISNUMBER(AX374),AX374&gt;=TODAY()),"zurückgestellt",IF(OR(AND(ISNUMBER(AA374),AA374&lt;TODAY(),Z374="",AJ374=""),AND(ISNUMBER(Z374),Z374&lt;TODAY(),AJ374=""),AND(ISNUMBER(AB374),AB374&lt;TODAY(),AK374=""),AND(ISNUMBER(AC374),AC374&lt;TODAY(),AO374=""),AND(ISNUMBER(AD374),AD374&lt;TODAY(),AQ374="")),"überfällig","offen"))))</f>
        <v/>
      </c>
      <c r="I374" s="16">
        <f>IF($B374="","",IF(AY374&lt;&gt;"","—",IF(AND(ISNUMBER(AA374),AA374&lt;TODAY(),Z374="",AJ374=""),"Abnahmetermin vereinbaren – Sollfrist verstrichen",IF(AND(ISNUMBER(Z374),Z374&lt;TODAY(),AJ374=""),"Wohnungsabnahme nachtragen – Termin war fällig",IF(AND(ISNUMBER(AB374),AB374&lt;TODAY(),AK374=""),"Handwerker aufbieten – Frist verstrichen",IF(AND(ISNUMBER(AC374),AC374&lt;TODAY(),AO374=""),"Vertrag retour mahnen – Frist verstrichen",IF(AND(ISNUMBER(AD374),AD374&lt;TODAY(),AQ374=""),"Schlüsselübergabe nachtragen – Termin war fällig",IF(M374="","Haftungsdatum erfassen",IF(E374="","ex-Mieter erfassen",IF(AE374="","Kündigung bestätigen / G-Rem",IF(AF374="","Werke / EGT melden",IF(AG374="","Vorbesichtigung (oder n.e.)",IF(AH374="","VMZ aktualisieren",IF(AI374="","Inserat aufschalten",IF(AND(Z374="",AJ374=""),"Abnahmetermin vereinbaren",IF(AJ374="","Wohnungsabnahme durchführen",IF(AK374="","Handwerker aufbieten",IF(AL374="","Zustimmungserklärung einholen",IF(AM374="","Instandstellungen beauftragen",IF(R374="","Nachmieter erfassen",IF(AN374="","Vertrag versenden",IF(AO374="","Vertrag retour erfassen",IF(S374="","Vermietet per erfassen",IF(AP374="","Werke / EGT über Einzug informieren",IF(AND(AD374="",AQ374=""),"Schlüsselübergabe terminieren",IF(AQ374="","Schlüsselübergabe durchführen",IF(AR374="","Reinigung veranlassen",IF(AS374="","Namensschilder bestellen",IF(AT374="","Kaution prüfen / G-Rem mutieren",IF(AU374="","Instandstellungs-Rechnung erfassen",IF(AV374="","Schlussabrechnung erstellen",IF(AW374="","Zahlungseingang kontrollieren","Fall abschliessen"))))))))))))))))))))))))))))))))</f>
        <v/>
      </c>
      <c r="J374" s="17">
        <f>IF(M374="","",IF(S374&lt;&gt;"",MAX(0,S374-M374-1),MAX(0,TODAY()-M374)))</f>
        <v/>
      </c>
      <c r="K374" s="16">
        <f>IF($B374="","",TRIM(IF(AND(L374&lt;&gt;"",M374&lt;&gt;"",M374&lt;L374),"Haftungsdatum vor Kündigung. ","")&amp;IF(AND(S374&lt;&gt;"",M374&lt;&gt;"",S374&lt;M374),"Vermietung vor Leerstandsbeginn. ","")&amp;IF(AND(Z374&lt;&gt;"",L374&lt;&gt;"",Z374&lt;L374),"WA-Termin vor Kündigung. ","")&amp;IF(COUNTIFS($B$5:$B$404,$B374,$AY$5:$AY$404,"")&gt;1,"Zweiter offener Fall zum selben Objekt. ","")&amp;IF(AND($A374&lt;&gt;"",COUNTIFS($A$5:$A$404,$A374)&gt;1),"Fall-Nr. doppelt vergeben. ","")&amp;IF(E374="","ex-Mieter fehlt. ","")&amp;IF(M374="","Haftungsdatum fehlt. ","")&amp;IF(F374="","Bewirtschafter fehlt. ","")&amp;IF(AND(AY374&lt;&gt;"",AW374=""),"Abgeschlossen trotz offener Schlussabrechnung. ","")&amp;IF(AND(AY374="",S374="",ISNUMBER(J374),J374&gt;60),"Langläufer über 60 Tage. ","")))</f>
        <v/>
      </c>
      <c r="L374" s="18" t="n"/>
      <c r="M374" s="18" t="n"/>
      <c r="N374" s="19">
        <f>IF(M374="","",M374+1)</f>
        <v/>
      </c>
      <c r="O374" s="17">
        <f>IF(OR(L374="",M374=""),"",M374-L374)</f>
        <v/>
      </c>
      <c r="P374" s="16">
        <f>IF(M374="","",YEAR(M374+1)&amp;"-"&amp;TEXT(MONTH(M374+1),"00"))</f>
        <v/>
      </c>
      <c r="Q374" s="18" t="n"/>
      <c r="R374" s="15" t="n"/>
      <c r="S374" s="18" t="n"/>
      <c r="T374" s="16">
        <f>IF(U374="","",IF(LEFT(U374,1)="6","abgeschlossen",IF(OR(LEFT(U374,1)="1",LEFT(U374,1)="2"),"Kündigung &amp; Abnahme",IF(OR(LEFT(U374,1)="3",LEFT(U374,1)="4"),"Wiedervermietung","Schlussabrechnung"))))</f>
        <v/>
      </c>
      <c r="U374" s="16">
        <f>IF($B374="","",IF(AY374&lt;&gt;"","6 · abgeschlossen",IF(AW374&lt;&gt;"","5 · bereit zum Abschluss",IF(AT374&lt;&gt;"","5 · Schlussabrechnung",IF(AO374&lt;&gt;"","4 · Übergabe",IF(AM374&lt;&gt;"","3 · Neuvermietung",IF(M374&lt;&gt;"","2 · Abnahme &amp; Vermarktung","1 · Erfassung")))))))</f>
        <v/>
      </c>
      <c r="V374" s="15" t="n"/>
      <c r="W374" s="20" t="n"/>
      <c r="X374" s="15" t="n"/>
      <c r="Y374" s="15" t="n"/>
      <c r="Z374" s="18" t="n"/>
      <c r="AA374" s="19">
        <f>IF(M374="","",M374-30)</f>
        <v/>
      </c>
      <c r="AB374" s="19">
        <f>IF(ISNUMBER(AJ374),AJ374+3,"")</f>
        <v/>
      </c>
      <c r="AC374" s="18" t="n"/>
      <c r="AD374" s="18" t="n"/>
      <c r="AE374" s="18" t="n"/>
      <c r="AF374" s="18" t="n"/>
      <c r="AG374" s="18" t="n"/>
      <c r="AH374" s="18" t="n"/>
      <c r="AI374" s="18" t="n"/>
      <c r="AJ374" s="18" t="n"/>
      <c r="AK374" s="18" t="n"/>
      <c r="AL374" s="18" t="n"/>
      <c r="AM374" s="18" t="n"/>
      <c r="AN374" s="18" t="n"/>
      <c r="AO374" s="18" t="n"/>
      <c r="AP374" s="18" t="n"/>
      <c r="AQ374" s="18" t="n"/>
      <c r="AR374" s="18" t="n"/>
      <c r="AS374" s="18" t="n"/>
      <c r="AT374" s="18" t="n"/>
      <c r="AU374" s="18" t="n"/>
      <c r="AV374" s="18" t="n"/>
      <c r="AW374" s="18" t="n"/>
      <c r="AX374" s="18" t="n"/>
      <c r="AY374" s="18" t="n"/>
      <c r="AZ374" s="15" t="n"/>
    </row>
    <row r="375">
      <c r="A375" s="15" t="n"/>
      <c r="B375" s="15" t="n"/>
      <c r="C375" s="15" t="n"/>
      <c r="D375" s="15" t="n"/>
      <c r="E375" s="15" t="n"/>
      <c r="F375" s="15" t="n"/>
      <c r="G375" s="16">
        <f>IF(F375="","",IFERROR(INDEX(Stammdaten!$B$5:$B$24,MATCH(F375,Stammdaten!$A$5:$A$24,0)),"unbekannt"))</f>
        <v/>
      </c>
      <c r="H375" s="16">
        <f>IF($B375="","",IF(AY375&lt;&gt;"","abgeschlossen",IF(AND(ISNUMBER(AX375),AX375&gt;=TODAY()),"zurückgestellt",IF(OR(AND(ISNUMBER(AA375),AA375&lt;TODAY(),Z375="",AJ375=""),AND(ISNUMBER(Z375),Z375&lt;TODAY(),AJ375=""),AND(ISNUMBER(AB375),AB375&lt;TODAY(),AK375=""),AND(ISNUMBER(AC375),AC375&lt;TODAY(),AO375=""),AND(ISNUMBER(AD375),AD375&lt;TODAY(),AQ375="")),"überfällig","offen"))))</f>
        <v/>
      </c>
      <c r="I375" s="16">
        <f>IF($B375="","",IF(AY375&lt;&gt;"","—",IF(AND(ISNUMBER(AA375),AA375&lt;TODAY(),Z375="",AJ375=""),"Abnahmetermin vereinbaren – Sollfrist verstrichen",IF(AND(ISNUMBER(Z375),Z375&lt;TODAY(),AJ375=""),"Wohnungsabnahme nachtragen – Termin war fällig",IF(AND(ISNUMBER(AB375),AB375&lt;TODAY(),AK375=""),"Handwerker aufbieten – Frist verstrichen",IF(AND(ISNUMBER(AC375),AC375&lt;TODAY(),AO375=""),"Vertrag retour mahnen – Frist verstrichen",IF(AND(ISNUMBER(AD375),AD375&lt;TODAY(),AQ375=""),"Schlüsselübergabe nachtragen – Termin war fällig",IF(M375="","Haftungsdatum erfassen",IF(E375="","ex-Mieter erfassen",IF(AE375="","Kündigung bestätigen / G-Rem",IF(AF375="","Werke / EGT melden",IF(AG375="","Vorbesichtigung (oder n.e.)",IF(AH375="","VMZ aktualisieren",IF(AI375="","Inserat aufschalten",IF(AND(Z375="",AJ375=""),"Abnahmetermin vereinbaren",IF(AJ375="","Wohnungsabnahme durchführen",IF(AK375="","Handwerker aufbieten",IF(AL375="","Zustimmungserklärung einholen",IF(AM375="","Instandstellungen beauftragen",IF(R375="","Nachmieter erfassen",IF(AN375="","Vertrag versenden",IF(AO375="","Vertrag retour erfassen",IF(S375="","Vermietet per erfassen",IF(AP375="","Werke / EGT über Einzug informieren",IF(AND(AD375="",AQ375=""),"Schlüsselübergabe terminieren",IF(AQ375="","Schlüsselübergabe durchführen",IF(AR375="","Reinigung veranlassen",IF(AS375="","Namensschilder bestellen",IF(AT375="","Kaution prüfen / G-Rem mutieren",IF(AU375="","Instandstellungs-Rechnung erfassen",IF(AV375="","Schlussabrechnung erstellen",IF(AW375="","Zahlungseingang kontrollieren","Fall abschliessen"))))))))))))))))))))))))))))))))</f>
        <v/>
      </c>
      <c r="J375" s="17">
        <f>IF(M375="","",IF(S375&lt;&gt;"",MAX(0,S375-M375-1),MAX(0,TODAY()-M375)))</f>
        <v/>
      </c>
      <c r="K375" s="16">
        <f>IF($B375="","",TRIM(IF(AND(L375&lt;&gt;"",M375&lt;&gt;"",M375&lt;L375),"Haftungsdatum vor Kündigung. ","")&amp;IF(AND(S375&lt;&gt;"",M375&lt;&gt;"",S375&lt;M375),"Vermietung vor Leerstandsbeginn. ","")&amp;IF(AND(Z375&lt;&gt;"",L375&lt;&gt;"",Z375&lt;L375),"WA-Termin vor Kündigung. ","")&amp;IF(COUNTIFS($B$5:$B$404,$B375,$AY$5:$AY$404,"")&gt;1,"Zweiter offener Fall zum selben Objekt. ","")&amp;IF(AND($A375&lt;&gt;"",COUNTIFS($A$5:$A$404,$A375)&gt;1),"Fall-Nr. doppelt vergeben. ","")&amp;IF(E375="","ex-Mieter fehlt. ","")&amp;IF(M375="","Haftungsdatum fehlt. ","")&amp;IF(F375="","Bewirtschafter fehlt. ","")&amp;IF(AND(AY375&lt;&gt;"",AW375=""),"Abgeschlossen trotz offener Schlussabrechnung. ","")&amp;IF(AND(AY375="",S375="",ISNUMBER(J375),J375&gt;60),"Langläufer über 60 Tage. ","")))</f>
        <v/>
      </c>
      <c r="L375" s="18" t="n"/>
      <c r="M375" s="18" t="n"/>
      <c r="N375" s="19">
        <f>IF(M375="","",M375+1)</f>
        <v/>
      </c>
      <c r="O375" s="17">
        <f>IF(OR(L375="",M375=""),"",M375-L375)</f>
        <v/>
      </c>
      <c r="P375" s="16">
        <f>IF(M375="","",YEAR(M375+1)&amp;"-"&amp;TEXT(MONTH(M375+1),"00"))</f>
        <v/>
      </c>
      <c r="Q375" s="18" t="n"/>
      <c r="R375" s="15" t="n"/>
      <c r="S375" s="18" t="n"/>
      <c r="T375" s="16">
        <f>IF(U375="","",IF(LEFT(U375,1)="6","abgeschlossen",IF(OR(LEFT(U375,1)="1",LEFT(U375,1)="2"),"Kündigung &amp; Abnahme",IF(OR(LEFT(U375,1)="3",LEFT(U375,1)="4"),"Wiedervermietung","Schlussabrechnung"))))</f>
        <v/>
      </c>
      <c r="U375" s="16">
        <f>IF($B375="","",IF(AY375&lt;&gt;"","6 · abgeschlossen",IF(AW375&lt;&gt;"","5 · bereit zum Abschluss",IF(AT375&lt;&gt;"","5 · Schlussabrechnung",IF(AO375&lt;&gt;"","4 · Übergabe",IF(AM375&lt;&gt;"","3 · Neuvermietung",IF(M375&lt;&gt;"","2 · Abnahme &amp; Vermarktung","1 · Erfassung")))))))</f>
        <v/>
      </c>
      <c r="V375" s="15" t="n"/>
      <c r="W375" s="20" t="n"/>
      <c r="X375" s="15" t="n"/>
      <c r="Y375" s="15" t="n"/>
      <c r="Z375" s="18" t="n"/>
      <c r="AA375" s="19">
        <f>IF(M375="","",M375-30)</f>
        <v/>
      </c>
      <c r="AB375" s="19">
        <f>IF(ISNUMBER(AJ375),AJ375+3,"")</f>
        <v/>
      </c>
      <c r="AC375" s="18" t="n"/>
      <c r="AD375" s="18" t="n"/>
      <c r="AE375" s="18" t="n"/>
      <c r="AF375" s="18" t="n"/>
      <c r="AG375" s="18" t="n"/>
      <c r="AH375" s="18" t="n"/>
      <c r="AI375" s="18" t="n"/>
      <c r="AJ375" s="18" t="n"/>
      <c r="AK375" s="18" t="n"/>
      <c r="AL375" s="18" t="n"/>
      <c r="AM375" s="18" t="n"/>
      <c r="AN375" s="18" t="n"/>
      <c r="AO375" s="18" t="n"/>
      <c r="AP375" s="18" t="n"/>
      <c r="AQ375" s="18" t="n"/>
      <c r="AR375" s="18" t="n"/>
      <c r="AS375" s="18" t="n"/>
      <c r="AT375" s="18" t="n"/>
      <c r="AU375" s="18" t="n"/>
      <c r="AV375" s="18" t="n"/>
      <c r="AW375" s="18" t="n"/>
      <c r="AX375" s="18" t="n"/>
      <c r="AY375" s="18" t="n"/>
      <c r="AZ375" s="15" t="n"/>
    </row>
    <row r="376">
      <c r="A376" s="15" t="n"/>
      <c r="B376" s="15" t="n"/>
      <c r="C376" s="15" t="n"/>
      <c r="D376" s="15" t="n"/>
      <c r="E376" s="15" t="n"/>
      <c r="F376" s="15" t="n"/>
      <c r="G376" s="16">
        <f>IF(F376="","",IFERROR(INDEX(Stammdaten!$B$5:$B$24,MATCH(F376,Stammdaten!$A$5:$A$24,0)),"unbekannt"))</f>
        <v/>
      </c>
      <c r="H376" s="16">
        <f>IF($B376="","",IF(AY376&lt;&gt;"","abgeschlossen",IF(AND(ISNUMBER(AX376),AX376&gt;=TODAY()),"zurückgestellt",IF(OR(AND(ISNUMBER(AA376),AA376&lt;TODAY(),Z376="",AJ376=""),AND(ISNUMBER(Z376),Z376&lt;TODAY(),AJ376=""),AND(ISNUMBER(AB376),AB376&lt;TODAY(),AK376=""),AND(ISNUMBER(AC376),AC376&lt;TODAY(),AO376=""),AND(ISNUMBER(AD376),AD376&lt;TODAY(),AQ376="")),"überfällig","offen"))))</f>
        <v/>
      </c>
      <c r="I376" s="16">
        <f>IF($B376="","",IF(AY376&lt;&gt;"","—",IF(AND(ISNUMBER(AA376),AA376&lt;TODAY(),Z376="",AJ376=""),"Abnahmetermin vereinbaren – Sollfrist verstrichen",IF(AND(ISNUMBER(Z376),Z376&lt;TODAY(),AJ376=""),"Wohnungsabnahme nachtragen – Termin war fällig",IF(AND(ISNUMBER(AB376),AB376&lt;TODAY(),AK376=""),"Handwerker aufbieten – Frist verstrichen",IF(AND(ISNUMBER(AC376),AC376&lt;TODAY(),AO376=""),"Vertrag retour mahnen – Frist verstrichen",IF(AND(ISNUMBER(AD376),AD376&lt;TODAY(),AQ376=""),"Schlüsselübergabe nachtragen – Termin war fällig",IF(M376="","Haftungsdatum erfassen",IF(E376="","ex-Mieter erfassen",IF(AE376="","Kündigung bestätigen / G-Rem",IF(AF376="","Werke / EGT melden",IF(AG376="","Vorbesichtigung (oder n.e.)",IF(AH376="","VMZ aktualisieren",IF(AI376="","Inserat aufschalten",IF(AND(Z376="",AJ376=""),"Abnahmetermin vereinbaren",IF(AJ376="","Wohnungsabnahme durchführen",IF(AK376="","Handwerker aufbieten",IF(AL376="","Zustimmungserklärung einholen",IF(AM376="","Instandstellungen beauftragen",IF(R376="","Nachmieter erfassen",IF(AN376="","Vertrag versenden",IF(AO376="","Vertrag retour erfassen",IF(S376="","Vermietet per erfassen",IF(AP376="","Werke / EGT über Einzug informieren",IF(AND(AD376="",AQ376=""),"Schlüsselübergabe terminieren",IF(AQ376="","Schlüsselübergabe durchführen",IF(AR376="","Reinigung veranlassen",IF(AS376="","Namensschilder bestellen",IF(AT376="","Kaution prüfen / G-Rem mutieren",IF(AU376="","Instandstellungs-Rechnung erfassen",IF(AV376="","Schlussabrechnung erstellen",IF(AW376="","Zahlungseingang kontrollieren","Fall abschliessen"))))))))))))))))))))))))))))))))</f>
        <v/>
      </c>
      <c r="J376" s="17">
        <f>IF(M376="","",IF(S376&lt;&gt;"",MAX(0,S376-M376-1),MAX(0,TODAY()-M376)))</f>
        <v/>
      </c>
      <c r="K376" s="16">
        <f>IF($B376="","",TRIM(IF(AND(L376&lt;&gt;"",M376&lt;&gt;"",M376&lt;L376),"Haftungsdatum vor Kündigung. ","")&amp;IF(AND(S376&lt;&gt;"",M376&lt;&gt;"",S376&lt;M376),"Vermietung vor Leerstandsbeginn. ","")&amp;IF(AND(Z376&lt;&gt;"",L376&lt;&gt;"",Z376&lt;L376),"WA-Termin vor Kündigung. ","")&amp;IF(COUNTIFS($B$5:$B$404,$B376,$AY$5:$AY$404,"")&gt;1,"Zweiter offener Fall zum selben Objekt. ","")&amp;IF(AND($A376&lt;&gt;"",COUNTIFS($A$5:$A$404,$A376)&gt;1),"Fall-Nr. doppelt vergeben. ","")&amp;IF(E376="","ex-Mieter fehlt. ","")&amp;IF(M376="","Haftungsdatum fehlt. ","")&amp;IF(F376="","Bewirtschafter fehlt. ","")&amp;IF(AND(AY376&lt;&gt;"",AW376=""),"Abgeschlossen trotz offener Schlussabrechnung. ","")&amp;IF(AND(AY376="",S376="",ISNUMBER(J376),J376&gt;60),"Langläufer über 60 Tage. ","")))</f>
        <v/>
      </c>
      <c r="L376" s="18" t="n"/>
      <c r="M376" s="18" t="n"/>
      <c r="N376" s="19">
        <f>IF(M376="","",M376+1)</f>
        <v/>
      </c>
      <c r="O376" s="17">
        <f>IF(OR(L376="",M376=""),"",M376-L376)</f>
        <v/>
      </c>
      <c r="P376" s="16">
        <f>IF(M376="","",YEAR(M376+1)&amp;"-"&amp;TEXT(MONTH(M376+1),"00"))</f>
        <v/>
      </c>
      <c r="Q376" s="18" t="n"/>
      <c r="R376" s="15" t="n"/>
      <c r="S376" s="18" t="n"/>
      <c r="T376" s="16">
        <f>IF(U376="","",IF(LEFT(U376,1)="6","abgeschlossen",IF(OR(LEFT(U376,1)="1",LEFT(U376,1)="2"),"Kündigung &amp; Abnahme",IF(OR(LEFT(U376,1)="3",LEFT(U376,1)="4"),"Wiedervermietung","Schlussabrechnung"))))</f>
        <v/>
      </c>
      <c r="U376" s="16">
        <f>IF($B376="","",IF(AY376&lt;&gt;"","6 · abgeschlossen",IF(AW376&lt;&gt;"","5 · bereit zum Abschluss",IF(AT376&lt;&gt;"","5 · Schlussabrechnung",IF(AO376&lt;&gt;"","4 · Übergabe",IF(AM376&lt;&gt;"","3 · Neuvermietung",IF(M376&lt;&gt;"","2 · Abnahme &amp; Vermarktung","1 · Erfassung")))))))</f>
        <v/>
      </c>
      <c r="V376" s="15" t="n"/>
      <c r="W376" s="20" t="n"/>
      <c r="X376" s="15" t="n"/>
      <c r="Y376" s="15" t="n"/>
      <c r="Z376" s="18" t="n"/>
      <c r="AA376" s="19">
        <f>IF(M376="","",M376-30)</f>
        <v/>
      </c>
      <c r="AB376" s="19">
        <f>IF(ISNUMBER(AJ376),AJ376+3,"")</f>
        <v/>
      </c>
      <c r="AC376" s="18" t="n"/>
      <c r="AD376" s="18" t="n"/>
      <c r="AE376" s="18" t="n"/>
      <c r="AF376" s="18" t="n"/>
      <c r="AG376" s="18" t="n"/>
      <c r="AH376" s="18" t="n"/>
      <c r="AI376" s="18" t="n"/>
      <c r="AJ376" s="18" t="n"/>
      <c r="AK376" s="18" t="n"/>
      <c r="AL376" s="18" t="n"/>
      <c r="AM376" s="18" t="n"/>
      <c r="AN376" s="18" t="n"/>
      <c r="AO376" s="18" t="n"/>
      <c r="AP376" s="18" t="n"/>
      <c r="AQ376" s="18" t="n"/>
      <c r="AR376" s="18" t="n"/>
      <c r="AS376" s="18" t="n"/>
      <c r="AT376" s="18" t="n"/>
      <c r="AU376" s="18" t="n"/>
      <c r="AV376" s="18" t="n"/>
      <c r="AW376" s="18" t="n"/>
      <c r="AX376" s="18" t="n"/>
      <c r="AY376" s="18" t="n"/>
      <c r="AZ376" s="15" t="n"/>
    </row>
    <row r="377">
      <c r="A377" s="15" t="n"/>
      <c r="B377" s="15" t="n"/>
      <c r="C377" s="15" t="n"/>
      <c r="D377" s="15" t="n"/>
      <c r="E377" s="15" t="n"/>
      <c r="F377" s="15" t="n"/>
      <c r="G377" s="16">
        <f>IF(F377="","",IFERROR(INDEX(Stammdaten!$B$5:$B$24,MATCH(F377,Stammdaten!$A$5:$A$24,0)),"unbekannt"))</f>
        <v/>
      </c>
      <c r="H377" s="16">
        <f>IF($B377="","",IF(AY377&lt;&gt;"","abgeschlossen",IF(AND(ISNUMBER(AX377),AX377&gt;=TODAY()),"zurückgestellt",IF(OR(AND(ISNUMBER(AA377),AA377&lt;TODAY(),Z377="",AJ377=""),AND(ISNUMBER(Z377),Z377&lt;TODAY(),AJ377=""),AND(ISNUMBER(AB377),AB377&lt;TODAY(),AK377=""),AND(ISNUMBER(AC377),AC377&lt;TODAY(),AO377=""),AND(ISNUMBER(AD377),AD377&lt;TODAY(),AQ377="")),"überfällig","offen"))))</f>
        <v/>
      </c>
      <c r="I377" s="16">
        <f>IF($B377="","",IF(AY377&lt;&gt;"","—",IF(AND(ISNUMBER(AA377),AA377&lt;TODAY(),Z377="",AJ377=""),"Abnahmetermin vereinbaren – Sollfrist verstrichen",IF(AND(ISNUMBER(Z377),Z377&lt;TODAY(),AJ377=""),"Wohnungsabnahme nachtragen – Termin war fällig",IF(AND(ISNUMBER(AB377),AB377&lt;TODAY(),AK377=""),"Handwerker aufbieten – Frist verstrichen",IF(AND(ISNUMBER(AC377),AC377&lt;TODAY(),AO377=""),"Vertrag retour mahnen – Frist verstrichen",IF(AND(ISNUMBER(AD377),AD377&lt;TODAY(),AQ377=""),"Schlüsselübergabe nachtragen – Termin war fällig",IF(M377="","Haftungsdatum erfassen",IF(E377="","ex-Mieter erfassen",IF(AE377="","Kündigung bestätigen / G-Rem",IF(AF377="","Werke / EGT melden",IF(AG377="","Vorbesichtigung (oder n.e.)",IF(AH377="","VMZ aktualisieren",IF(AI377="","Inserat aufschalten",IF(AND(Z377="",AJ377=""),"Abnahmetermin vereinbaren",IF(AJ377="","Wohnungsabnahme durchführen",IF(AK377="","Handwerker aufbieten",IF(AL377="","Zustimmungserklärung einholen",IF(AM377="","Instandstellungen beauftragen",IF(R377="","Nachmieter erfassen",IF(AN377="","Vertrag versenden",IF(AO377="","Vertrag retour erfassen",IF(S377="","Vermietet per erfassen",IF(AP377="","Werke / EGT über Einzug informieren",IF(AND(AD377="",AQ377=""),"Schlüsselübergabe terminieren",IF(AQ377="","Schlüsselübergabe durchführen",IF(AR377="","Reinigung veranlassen",IF(AS377="","Namensschilder bestellen",IF(AT377="","Kaution prüfen / G-Rem mutieren",IF(AU377="","Instandstellungs-Rechnung erfassen",IF(AV377="","Schlussabrechnung erstellen",IF(AW377="","Zahlungseingang kontrollieren","Fall abschliessen"))))))))))))))))))))))))))))))))</f>
        <v/>
      </c>
      <c r="J377" s="17">
        <f>IF(M377="","",IF(S377&lt;&gt;"",MAX(0,S377-M377-1),MAX(0,TODAY()-M377)))</f>
        <v/>
      </c>
      <c r="K377" s="16">
        <f>IF($B377="","",TRIM(IF(AND(L377&lt;&gt;"",M377&lt;&gt;"",M377&lt;L377),"Haftungsdatum vor Kündigung. ","")&amp;IF(AND(S377&lt;&gt;"",M377&lt;&gt;"",S377&lt;M377),"Vermietung vor Leerstandsbeginn. ","")&amp;IF(AND(Z377&lt;&gt;"",L377&lt;&gt;"",Z377&lt;L377),"WA-Termin vor Kündigung. ","")&amp;IF(COUNTIFS($B$5:$B$404,$B377,$AY$5:$AY$404,"")&gt;1,"Zweiter offener Fall zum selben Objekt. ","")&amp;IF(AND($A377&lt;&gt;"",COUNTIFS($A$5:$A$404,$A377)&gt;1),"Fall-Nr. doppelt vergeben. ","")&amp;IF(E377="","ex-Mieter fehlt. ","")&amp;IF(M377="","Haftungsdatum fehlt. ","")&amp;IF(F377="","Bewirtschafter fehlt. ","")&amp;IF(AND(AY377&lt;&gt;"",AW377=""),"Abgeschlossen trotz offener Schlussabrechnung. ","")&amp;IF(AND(AY377="",S377="",ISNUMBER(J377),J377&gt;60),"Langläufer über 60 Tage. ","")))</f>
        <v/>
      </c>
      <c r="L377" s="18" t="n"/>
      <c r="M377" s="18" t="n"/>
      <c r="N377" s="19">
        <f>IF(M377="","",M377+1)</f>
        <v/>
      </c>
      <c r="O377" s="17">
        <f>IF(OR(L377="",M377=""),"",M377-L377)</f>
        <v/>
      </c>
      <c r="P377" s="16">
        <f>IF(M377="","",YEAR(M377+1)&amp;"-"&amp;TEXT(MONTH(M377+1),"00"))</f>
        <v/>
      </c>
      <c r="Q377" s="18" t="n"/>
      <c r="R377" s="15" t="n"/>
      <c r="S377" s="18" t="n"/>
      <c r="T377" s="16">
        <f>IF(U377="","",IF(LEFT(U377,1)="6","abgeschlossen",IF(OR(LEFT(U377,1)="1",LEFT(U377,1)="2"),"Kündigung &amp; Abnahme",IF(OR(LEFT(U377,1)="3",LEFT(U377,1)="4"),"Wiedervermietung","Schlussabrechnung"))))</f>
        <v/>
      </c>
      <c r="U377" s="16">
        <f>IF($B377="","",IF(AY377&lt;&gt;"","6 · abgeschlossen",IF(AW377&lt;&gt;"","5 · bereit zum Abschluss",IF(AT377&lt;&gt;"","5 · Schlussabrechnung",IF(AO377&lt;&gt;"","4 · Übergabe",IF(AM377&lt;&gt;"","3 · Neuvermietung",IF(M377&lt;&gt;"","2 · Abnahme &amp; Vermarktung","1 · Erfassung")))))))</f>
        <v/>
      </c>
      <c r="V377" s="15" t="n"/>
      <c r="W377" s="20" t="n"/>
      <c r="X377" s="15" t="n"/>
      <c r="Y377" s="15" t="n"/>
      <c r="Z377" s="18" t="n"/>
      <c r="AA377" s="19">
        <f>IF(M377="","",M377-30)</f>
        <v/>
      </c>
      <c r="AB377" s="19">
        <f>IF(ISNUMBER(AJ377),AJ377+3,"")</f>
        <v/>
      </c>
      <c r="AC377" s="18" t="n"/>
      <c r="AD377" s="18" t="n"/>
      <c r="AE377" s="18" t="n"/>
      <c r="AF377" s="18" t="n"/>
      <c r="AG377" s="18" t="n"/>
      <c r="AH377" s="18" t="n"/>
      <c r="AI377" s="18" t="n"/>
      <c r="AJ377" s="18" t="n"/>
      <c r="AK377" s="18" t="n"/>
      <c r="AL377" s="18" t="n"/>
      <c r="AM377" s="18" t="n"/>
      <c r="AN377" s="18" t="n"/>
      <c r="AO377" s="18" t="n"/>
      <c r="AP377" s="18" t="n"/>
      <c r="AQ377" s="18" t="n"/>
      <c r="AR377" s="18" t="n"/>
      <c r="AS377" s="18" t="n"/>
      <c r="AT377" s="18" t="n"/>
      <c r="AU377" s="18" t="n"/>
      <c r="AV377" s="18" t="n"/>
      <c r="AW377" s="18" t="n"/>
      <c r="AX377" s="18" t="n"/>
      <c r="AY377" s="18" t="n"/>
      <c r="AZ377" s="15" t="n"/>
    </row>
    <row r="378">
      <c r="A378" s="15" t="n"/>
      <c r="B378" s="15" t="n"/>
      <c r="C378" s="15" t="n"/>
      <c r="D378" s="15" t="n"/>
      <c r="E378" s="15" t="n"/>
      <c r="F378" s="15" t="n"/>
      <c r="G378" s="16">
        <f>IF(F378="","",IFERROR(INDEX(Stammdaten!$B$5:$B$24,MATCH(F378,Stammdaten!$A$5:$A$24,0)),"unbekannt"))</f>
        <v/>
      </c>
      <c r="H378" s="16">
        <f>IF($B378="","",IF(AY378&lt;&gt;"","abgeschlossen",IF(AND(ISNUMBER(AX378),AX378&gt;=TODAY()),"zurückgestellt",IF(OR(AND(ISNUMBER(AA378),AA378&lt;TODAY(),Z378="",AJ378=""),AND(ISNUMBER(Z378),Z378&lt;TODAY(),AJ378=""),AND(ISNUMBER(AB378),AB378&lt;TODAY(),AK378=""),AND(ISNUMBER(AC378),AC378&lt;TODAY(),AO378=""),AND(ISNUMBER(AD378),AD378&lt;TODAY(),AQ378="")),"überfällig","offen"))))</f>
        <v/>
      </c>
      <c r="I378" s="16">
        <f>IF($B378="","",IF(AY378&lt;&gt;"","—",IF(AND(ISNUMBER(AA378),AA378&lt;TODAY(),Z378="",AJ378=""),"Abnahmetermin vereinbaren – Sollfrist verstrichen",IF(AND(ISNUMBER(Z378),Z378&lt;TODAY(),AJ378=""),"Wohnungsabnahme nachtragen – Termin war fällig",IF(AND(ISNUMBER(AB378),AB378&lt;TODAY(),AK378=""),"Handwerker aufbieten – Frist verstrichen",IF(AND(ISNUMBER(AC378),AC378&lt;TODAY(),AO378=""),"Vertrag retour mahnen – Frist verstrichen",IF(AND(ISNUMBER(AD378),AD378&lt;TODAY(),AQ378=""),"Schlüsselübergabe nachtragen – Termin war fällig",IF(M378="","Haftungsdatum erfassen",IF(E378="","ex-Mieter erfassen",IF(AE378="","Kündigung bestätigen / G-Rem",IF(AF378="","Werke / EGT melden",IF(AG378="","Vorbesichtigung (oder n.e.)",IF(AH378="","VMZ aktualisieren",IF(AI378="","Inserat aufschalten",IF(AND(Z378="",AJ378=""),"Abnahmetermin vereinbaren",IF(AJ378="","Wohnungsabnahme durchführen",IF(AK378="","Handwerker aufbieten",IF(AL378="","Zustimmungserklärung einholen",IF(AM378="","Instandstellungen beauftragen",IF(R378="","Nachmieter erfassen",IF(AN378="","Vertrag versenden",IF(AO378="","Vertrag retour erfassen",IF(S378="","Vermietet per erfassen",IF(AP378="","Werke / EGT über Einzug informieren",IF(AND(AD378="",AQ378=""),"Schlüsselübergabe terminieren",IF(AQ378="","Schlüsselübergabe durchführen",IF(AR378="","Reinigung veranlassen",IF(AS378="","Namensschilder bestellen",IF(AT378="","Kaution prüfen / G-Rem mutieren",IF(AU378="","Instandstellungs-Rechnung erfassen",IF(AV378="","Schlussabrechnung erstellen",IF(AW378="","Zahlungseingang kontrollieren","Fall abschliessen"))))))))))))))))))))))))))))))))</f>
        <v/>
      </c>
      <c r="J378" s="17">
        <f>IF(M378="","",IF(S378&lt;&gt;"",MAX(0,S378-M378-1),MAX(0,TODAY()-M378)))</f>
        <v/>
      </c>
      <c r="K378" s="16">
        <f>IF($B378="","",TRIM(IF(AND(L378&lt;&gt;"",M378&lt;&gt;"",M378&lt;L378),"Haftungsdatum vor Kündigung. ","")&amp;IF(AND(S378&lt;&gt;"",M378&lt;&gt;"",S378&lt;M378),"Vermietung vor Leerstandsbeginn. ","")&amp;IF(AND(Z378&lt;&gt;"",L378&lt;&gt;"",Z378&lt;L378),"WA-Termin vor Kündigung. ","")&amp;IF(COUNTIFS($B$5:$B$404,$B378,$AY$5:$AY$404,"")&gt;1,"Zweiter offener Fall zum selben Objekt. ","")&amp;IF(AND($A378&lt;&gt;"",COUNTIFS($A$5:$A$404,$A378)&gt;1),"Fall-Nr. doppelt vergeben. ","")&amp;IF(E378="","ex-Mieter fehlt. ","")&amp;IF(M378="","Haftungsdatum fehlt. ","")&amp;IF(F378="","Bewirtschafter fehlt. ","")&amp;IF(AND(AY378&lt;&gt;"",AW378=""),"Abgeschlossen trotz offener Schlussabrechnung. ","")&amp;IF(AND(AY378="",S378="",ISNUMBER(J378),J378&gt;60),"Langläufer über 60 Tage. ","")))</f>
        <v/>
      </c>
      <c r="L378" s="18" t="n"/>
      <c r="M378" s="18" t="n"/>
      <c r="N378" s="19">
        <f>IF(M378="","",M378+1)</f>
        <v/>
      </c>
      <c r="O378" s="17">
        <f>IF(OR(L378="",M378=""),"",M378-L378)</f>
        <v/>
      </c>
      <c r="P378" s="16">
        <f>IF(M378="","",YEAR(M378+1)&amp;"-"&amp;TEXT(MONTH(M378+1),"00"))</f>
        <v/>
      </c>
      <c r="Q378" s="18" t="n"/>
      <c r="R378" s="15" t="n"/>
      <c r="S378" s="18" t="n"/>
      <c r="T378" s="16">
        <f>IF(U378="","",IF(LEFT(U378,1)="6","abgeschlossen",IF(OR(LEFT(U378,1)="1",LEFT(U378,1)="2"),"Kündigung &amp; Abnahme",IF(OR(LEFT(U378,1)="3",LEFT(U378,1)="4"),"Wiedervermietung","Schlussabrechnung"))))</f>
        <v/>
      </c>
      <c r="U378" s="16">
        <f>IF($B378="","",IF(AY378&lt;&gt;"","6 · abgeschlossen",IF(AW378&lt;&gt;"","5 · bereit zum Abschluss",IF(AT378&lt;&gt;"","5 · Schlussabrechnung",IF(AO378&lt;&gt;"","4 · Übergabe",IF(AM378&lt;&gt;"","3 · Neuvermietung",IF(M378&lt;&gt;"","2 · Abnahme &amp; Vermarktung","1 · Erfassung")))))))</f>
        <v/>
      </c>
      <c r="V378" s="15" t="n"/>
      <c r="W378" s="20" t="n"/>
      <c r="X378" s="15" t="n"/>
      <c r="Y378" s="15" t="n"/>
      <c r="Z378" s="18" t="n"/>
      <c r="AA378" s="19">
        <f>IF(M378="","",M378-30)</f>
        <v/>
      </c>
      <c r="AB378" s="19">
        <f>IF(ISNUMBER(AJ378),AJ378+3,"")</f>
        <v/>
      </c>
      <c r="AC378" s="18" t="n"/>
      <c r="AD378" s="18" t="n"/>
      <c r="AE378" s="18" t="n"/>
      <c r="AF378" s="18" t="n"/>
      <c r="AG378" s="18" t="n"/>
      <c r="AH378" s="18" t="n"/>
      <c r="AI378" s="18" t="n"/>
      <c r="AJ378" s="18" t="n"/>
      <c r="AK378" s="18" t="n"/>
      <c r="AL378" s="18" t="n"/>
      <c r="AM378" s="18" t="n"/>
      <c r="AN378" s="18" t="n"/>
      <c r="AO378" s="18" t="n"/>
      <c r="AP378" s="18" t="n"/>
      <c r="AQ378" s="18" t="n"/>
      <c r="AR378" s="18" t="n"/>
      <c r="AS378" s="18" t="n"/>
      <c r="AT378" s="18" t="n"/>
      <c r="AU378" s="18" t="n"/>
      <c r="AV378" s="18" t="n"/>
      <c r="AW378" s="18" t="n"/>
      <c r="AX378" s="18" t="n"/>
      <c r="AY378" s="18" t="n"/>
      <c r="AZ378" s="15" t="n"/>
    </row>
    <row r="379">
      <c r="A379" s="15" t="n"/>
      <c r="B379" s="15" t="n"/>
      <c r="C379" s="15" t="n"/>
      <c r="D379" s="15" t="n"/>
      <c r="E379" s="15" t="n"/>
      <c r="F379" s="15" t="n"/>
      <c r="G379" s="16">
        <f>IF(F379="","",IFERROR(INDEX(Stammdaten!$B$5:$B$24,MATCH(F379,Stammdaten!$A$5:$A$24,0)),"unbekannt"))</f>
        <v/>
      </c>
      <c r="H379" s="16">
        <f>IF($B379="","",IF(AY379&lt;&gt;"","abgeschlossen",IF(AND(ISNUMBER(AX379),AX379&gt;=TODAY()),"zurückgestellt",IF(OR(AND(ISNUMBER(AA379),AA379&lt;TODAY(),Z379="",AJ379=""),AND(ISNUMBER(Z379),Z379&lt;TODAY(),AJ379=""),AND(ISNUMBER(AB379),AB379&lt;TODAY(),AK379=""),AND(ISNUMBER(AC379),AC379&lt;TODAY(),AO379=""),AND(ISNUMBER(AD379),AD379&lt;TODAY(),AQ379="")),"überfällig","offen"))))</f>
        <v/>
      </c>
      <c r="I379" s="16">
        <f>IF($B379="","",IF(AY379&lt;&gt;"","—",IF(AND(ISNUMBER(AA379),AA379&lt;TODAY(),Z379="",AJ379=""),"Abnahmetermin vereinbaren – Sollfrist verstrichen",IF(AND(ISNUMBER(Z379),Z379&lt;TODAY(),AJ379=""),"Wohnungsabnahme nachtragen – Termin war fällig",IF(AND(ISNUMBER(AB379),AB379&lt;TODAY(),AK379=""),"Handwerker aufbieten – Frist verstrichen",IF(AND(ISNUMBER(AC379),AC379&lt;TODAY(),AO379=""),"Vertrag retour mahnen – Frist verstrichen",IF(AND(ISNUMBER(AD379),AD379&lt;TODAY(),AQ379=""),"Schlüsselübergabe nachtragen – Termin war fällig",IF(M379="","Haftungsdatum erfassen",IF(E379="","ex-Mieter erfassen",IF(AE379="","Kündigung bestätigen / G-Rem",IF(AF379="","Werke / EGT melden",IF(AG379="","Vorbesichtigung (oder n.e.)",IF(AH379="","VMZ aktualisieren",IF(AI379="","Inserat aufschalten",IF(AND(Z379="",AJ379=""),"Abnahmetermin vereinbaren",IF(AJ379="","Wohnungsabnahme durchführen",IF(AK379="","Handwerker aufbieten",IF(AL379="","Zustimmungserklärung einholen",IF(AM379="","Instandstellungen beauftragen",IF(R379="","Nachmieter erfassen",IF(AN379="","Vertrag versenden",IF(AO379="","Vertrag retour erfassen",IF(S379="","Vermietet per erfassen",IF(AP379="","Werke / EGT über Einzug informieren",IF(AND(AD379="",AQ379=""),"Schlüsselübergabe terminieren",IF(AQ379="","Schlüsselübergabe durchführen",IF(AR379="","Reinigung veranlassen",IF(AS379="","Namensschilder bestellen",IF(AT379="","Kaution prüfen / G-Rem mutieren",IF(AU379="","Instandstellungs-Rechnung erfassen",IF(AV379="","Schlussabrechnung erstellen",IF(AW379="","Zahlungseingang kontrollieren","Fall abschliessen"))))))))))))))))))))))))))))))))</f>
        <v/>
      </c>
      <c r="J379" s="17">
        <f>IF(M379="","",IF(S379&lt;&gt;"",MAX(0,S379-M379-1),MAX(0,TODAY()-M379)))</f>
        <v/>
      </c>
      <c r="K379" s="16">
        <f>IF($B379="","",TRIM(IF(AND(L379&lt;&gt;"",M379&lt;&gt;"",M379&lt;L379),"Haftungsdatum vor Kündigung. ","")&amp;IF(AND(S379&lt;&gt;"",M379&lt;&gt;"",S379&lt;M379),"Vermietung vor Leerstandsbeginn. ","")&amp;IF(AND(Z379&lt;&gt;"",L379&lt;&gt;"",Z379&lt;L379),"WA-Termin vor Kündigung. ","")&amp;IF(COUNTIFS($B$5:$B$404,$B379,$AY$5:$AY$404,"")&gt;1,"Zweiter offener Fall zum selben Objekt. ","")&amp;IF(AND($A379&lt;&gt;"",COUNTIFS($A$5:$A$404,$A379)&gt;1),"Fall-Nr. doppelt vergeben. ","")&amp;IF(E379="","ex-Mieter fehlt. ","")&amp;IF(M379="","Haftungsdatum fehlt. ","")&amp;IF(F379="","Bewirtschafter fehlt. ","")&amp;IF(AND(AY379&lt;&gt;"",AW379=""),"Abgeschlossen trotz offener Schlussabrechnung. ","")&amp;IF(AND(AY379="",S379="",ISNUMBER(J379),J379&gt;60),"Langläufer über 60 Tage. ","")))</f>
        <v/>
      </c>
      <c r="L379" s="18" t="n"/>
      <c r="M379" s="18" t="n"/>
      <c r="N379" s="19">
        <f>IF(M379="","",M379+1)</f>
        <v/>
      </c>
      <c r="O379" s="17">
        <f>IF(OR(L379="",M379=""),"",M379-L379)</f>
        <v/>
      </c>
      <c r="P379" s="16">
        <f>IF(M379="","",YEAR(M379+1)&amp;"-"&amp;TEXT(MONTH(M379+1),"00"))</f>
        <v/>
      </c>
      <c r="Q379" s="18" t="n"/>
      <c r="R379" s="15" t="n"/>
      <c r="S379" s="18" t="n"/>
      <c r="T379" s="16">
        <f>IF(U379="","",IF(LEFT(U379,1)="6","abgeschlossen",IF(OR(LEFT(U379,1)="1",LEFT(U379,1)="2"),"Kündigung &amp; Abnahme",IF(OR(LEFT(U379,1)="3",LEFT(U379,1)="4"),"Wiedervermietung","Schlussabrechnung"))))</f>
        <v/>
      </c>
      <c r="U379" s="16">
        <f>IF($B379="","",IF(AY379&lt;&gt;"","6 · abgeschlossen",IF(AW379&lt;&gt;"","5 · bereit zum Abschluss",IF(AT379&lt;&gt;"","5 · Schlussabrechnung",IF(AO379&lt;&gt;"","4 · Übergabe",IF(AM379&lt;&gt;"","3 · Neuvermietung",IF(M379&lt;&gt;"","2 · Abnahme &amp; Vermarktung","1 · Erfassung")))))))</f>
        <v/>
      </c>
      <c r="V379" s="15" t="n"/>
      <c r="W379" s="20" t="n"/>
      <c r="X379" s="15" t="n"/>
      <c r="Y379" s="15" t="n"/>
      <c r="Z379" s="18" t="n"/>
      <c r="AA379" s="19">
        <f>IF(M379="","",M379-30)</f>
        <v/>
      </c>
      <c r="AB379" s="19">
        <f>IF(ISNUMBER(AJ379),AJ379+3,"")</f>
        <v/>
      </c>
      <c r="AC379" s="18" t="n"/>
      <c r="AD379" s="18" t="n"/>
      <c r="AE379" s="18" t="n"/>
      <c r="AF379" s="18" t="n"/>
      <c r="AG379" s="18" t="n"/>
      <c r="AH379" s="18" t="n"/>
      <c r="AI379" s="18" t="n"/>
      <c r="AJ379" s="18" t="n"/>
      <c r="AK379" s="18" t="n"/>
      <c r="AL379" s="18" t="n"/>
      <c r="AM379" s="18" t="n"/>
      <c r="AN379" s="18" t="n"/>
      <c r="AO379" s="18" t="n"/>
      <c r="AP379" s="18" t="n"/>
      <c r="AQ379" s="18" t="n"/>
      <c r="AR379" s="18" t="n"/>
      <c r="AS379" s="18" t="n"/>
      <c r="AT379" s="18" t="n"/>
      <c r="AU379" s="18" t="n"/>
      <c r="AV379" s="18" t="n"/>
      <c r="AW379" s="18" t="n"/>
      <c r="AX379" s="18" t="n"/>
      <c r="AY379" s="18" t="n"/>
      <c r="AZ379" s="15" t="n"/>
    </row>
    <row r="380">
      <c r="A380" s="15" t="n"/>
      <c r="B380" s="15" t="n"/>
      <c r="C380" s="15" t="n"/>
      <c r="D380" s="15" t="n"/>
      <c r="E380" s="15" t="n"/>
      <c r="F380" s="15" t="n"/>
      <c r="G380" s="16">
        <f>IF(F380="","",IFERROR(INDEX(Stammdaten!$B$5:$B$24,MATCH(F380,Stammdaten!$A$5:$A$24,0)),"unbekannt"))</f>
        <v/>
      </c>
      <c r="H380" s="16">
        <f>IF($B380="","",IF(AY380&lt;&gt;"","abgeschlossen",IF(AND(ISNUMBER(AX380),AX380&gt;=TODAY()),"zurückgestellt",IF(OR(AND(ISNUMBER(AA380),AA380&lt;TODAY(),Z380="",AJ380=""),AND(ISNUMBER(Z380),Z380&lt;TODAY(),AJ380=""),AND(ISNUMBER(AB380),AB380&lt;TODAY(),AK380=""),AND(ISNUMBER(AC380),AC380&lt;TODAY(),AO380=""),AND(ISNUMBER(AD380),AD380&lt;TODAY(),AQ380="")),"überfällig","offen"))))</f>
        <v/>
      </c>
      <c r="I380" s="16">
        <f>IF($B380="","",IF(AY380&lt;&gt;"","—",IF(AND(ISNUMBER(AA380),AA380&lt;TODAY(),Z380="",AJ380=""),"Abnahmetermin vereinbaren – Sollfrist verstrichen",IF(AND(ISNUMBER(Z380),Z380&lt;TODAY(),AJ380=""),"Wohnungsabnahme nachtragen – Termin war fällig",IF(AND(ISNUMBER(AB380),AB380&lt;TODAY(),AK380=""),"Handwerker aufbieten – Frist verstrichen",IF(AND(ISNUMBER(AC380),AC380&lt;TODAY(),AO380=""),"Vertrag retour mahnen – Frist verstrichen",IF(AND(ISNUMBER(AD380),AD380&lt;TODAY(),AQ380=""),"Schlüsselübergabe nachtragen – Termin war fällig",IF(M380="","Haftungsdatum erfassen",IF(E380="","ex-Mieter erfassen",IF(AE380="","Kündigung bestätigen / G-Rem",IF(AF380="","Werke / EGT melden",IF(AG380="","Vorbesichtigung (oder n.e.)",IF(AH380="","VMZ aktualisieren",IF(AI380="","Inserat aufschalten",IF(AND(Z380="",AJ380=""),"Abnahmetermin vereinbaren",IF(AJ380="","Wohnungsabnahme durchführen",IF(AK380="","Handwerker aufbieten",IF(AL380="","Zustimmungserklärung einholen",IF(AM380="","Instandstellungen beauftragen",IF(R380="","Nachmieter erfassen",IF(AN380="","Vertrag versenden",IF(AO380="","Vertrag retour erfassen",IF(S380="","Vermietet per erfassen",IF(AP380="","Werke / EGT über Einzug informieren",IF(AND(AD380="",AQ380=""),"Schlüsselübergabe terminieren",IF(AQ380="","Schlüsselübergabe durchführen",IF(AR380="","Reinigung veranlassen",IF(AS380="","Namensschilder bestellen",IF(AT380="","Kaution prüfen / G-Rem mutieren",IF(AU380="","Instandstellungs-Rechnung erfassen",IF(AV380="","Schlussabrechnung erstellen",IF(AW380="","Zahlungseingang kontrollieren","Fall abschliessen"))))))))))))))))))))))))))))))))</f>
        <v/>
      </c>
      <c r="J380" s="17">
        <f>IF(M380="","",IF(S380&lt;&gt;"",MAX(0,S380-M380-1),MAX(0,TODAY()-M380)))</f>
        <v/>
      </c>
      <c r="K380" s="16">
        <f>IF($B380="","",TRIM(IF(AND(L380&lt;&gt;"",M380&lt;&gt;"",M380&lt;L380),"Haftungsdatum vor Kündigung. ","")&amp;IF(AND(S380&lt;&gt;"",M380&lt;&gt;"",S380&lt;M380),"Vermietung vor Leerstandsbeginn. ","")&amp;IF(AND(Z380&lt;&gt;"",L380&lt;&gt;"",Z380&lt;L380),"WA-Termin vor Kündigung. ","")&amp;IF(COUNTIFS($B$5:$B$404,$B380,$AY$5:$AY$404,"")&gt;1,"Zweiter offener Fall zum selben Objekt. ","")&amp;IF(AND($A380&lt;&gt;"",COUNTIFS($A$5:$A$404,$A380)&gt;1),"Fall-Nr. doppelt vergeben. ","")&amp;IF(E380="","ex-Mieter fehlt. ","")&amp;IF(M380="","Haftungsdatum fehlt. ","")&amp;IF(F380="","Bewirtschafter fehlt. ","")&amp;IF(AND(AY380&lt;&gt;"",AW380=""),"Abgeschlossen trotz offener Schlussabrechnung. ","")&amp;IF(AND(AY380="",S380="",ISNUMBER(J380),J380&gt;60),"Langläufer über 60 Tage. ","")))</f>
        <v/>
      </c>
      <c r="L380" s="18" t="n"/>
      <c r="M380" s="18" t="n"/>
      <c r="N380" s="19">
        <f>IF(M380="","",M380+1)</f>
        <v/>
      </c>
      <c r="O380" s="17">
        <f>IF(OR(L380="",M380=""),"",M380-L380)</f>
        <v/>
      </c>
      <c r="P380" s="16">
        <f>IF(M380="","",YEAR(M380+1)&amp;"-"&amp;TEXT(MONTH(M380+1),"00"))</f>
        <v/>
      </c>
      <c r="Q380" s="18" t="n"/>
      <c r="R380" s="15" t="n"/>
      <c r="S380" s="18" t="n"/>
      <c r="T380" s="16">
        <f>IF(U380="","",IF(LEFT(U380,1)="6","abgeschlossen",IF(OR(LEFT(U380,1)="1",LEFT(U380,1)="2"),"Kündigung &amp; Abnahme",IF(OR(LEFT(U380,1)="3",LEFT(U380,1)="4"),"Wiedervermietung","Schlussabrechnung"))))</f>
        <v/>
      </c>
      <c r="U380" s="16">
        <f>IF($B380="","",IF(AY380&lt;&gt;"","6 · abgeschlossen",IF(AW380&lt;&gt;"","5 · bereit zum Abschluss",IF(AT380&lt;&gt;"","5 · Schlussabrechnung",IF(AO380&lt;&gt;"","4 · Übergabe",IF(AM380&lt;&gt;"","3 · Neuvermietung",IF(M380&lt;&gt;"","2 · Abnahme &amp; Vermarktung","1 · Erfassung")))))))</f>
        <v/>
      </c>
      <c r="V380" s="15" t="n"/>
      <c r="W380" s="20" t="n"/>
      <c r="X380" s="15" t="n"/>
      <c r="Y380" s="15" t="n"/>
      <c r="Z380" s="18" t="n"/>
      <c r="AA380" s="19">
        <f>IF(M380="","",M380-30)</f>
        <v/>
      </c>
      <c r="AB380" s="19">
        <f>IF(ISNUMBER(AJ380),AJ380+3,"")</f>
        <v/>
      </c>
      <c r="AC380" s="18" t="n"/>
      <c r="AD380" s="18" t="n"/>
      <c r="AE380" s="18" t="n"/>
      <c r="AF380" s="18" t="n"/>
      <c r="AG380" s="18" t="n"/>
      <c r="AH380" s="18" t="n"/>
      <c r="AI380" s="18" t="n"/>
      <c r="AJ380" s="18" t="n"/>
      <c r="AK380" s="18" t="n"/>
      <c r="AL380" s="18" t="n"/>
      <c r="AM380" s="18" t="n"/>
      <c r="AN380" s="18" t="n"/>
      <c r="AO380" s="18" t="n"/>
      <c r="AP380" s="18" t="n"/>
      <c r="AQ380" s="18" t="n"/>
      <c r="AR380" s="18" t="n"/>
      <c r="AS380" s="18" t="n"/>
      <c r="AT380" s="18" t="n"/>
      <c r="AU380" s="18" t="n"/>
      <c r="AV380" s="18" t="n"/>
      <c r="AW380" s="18" t="n"/>
      <c r="AX380" s="18" t="n"/>
      <c r="AY380" s="18" t="n"/>
      <c r="AZ380" s="15" t="n"/>
    </row>
    <row r="381">
      <c r="A381" s="15" t="n"/>
      <c r="B381" s="15" t="n"/>
      <c r="C381" s="15" t="n"/>
      <c r="D381" s="15" t="n"/>
      <c r="E381" s="15" t="n"/>
      <c r="F381" s="15" t="n"/>
      <c r="G381" s="16">
        <f>IF(F381="","",IFERROR(INDEX(Stammdaten!$B$5:$B$24,MATCH(F381,Stammdaten!$A$5:$A$24,0)),"unbekannt"))</f>
        <v/>
      </c>
      <c r="H381" s="16">
        <f>IF($B381="","",IF(AY381&lt;&gt;"","abgeschlossen",IF(AND(ISNUMBER(AX381),AX381&gt;=TODAY()),"zurückgestellt",IF(OR(AND(ISNUMBER(AA381),AA381&lt;TODAY(),Z381="",AJ381=""),AND(ISNUMBER(Z381),Z381&lt;TODAY(),AJ381=""),AND(ISNUMBER(AB381),AB381&lt;TODAY(),AK381=""),AND(ISNUMBER(AC381),AC381&lt;TODAY(),AO381=""),AND(ISNUMBER(AD381),AD381&lt;TODAY(),AQ381="")),"überfällig","offen"))))</f>
        <v/>
      </c>
      <c r="I381" s="16">
        <f>IF($B381="","",IF(AY381&lt;&gt;"","—",IF(AND(ISNUMBER(AA381),AA381&lt;TODAY(),Z381="",AJ381=""),"Abnahmetermin vereinbaren – Sollfrist verstrichen",IF(AND(ISNUMBER(Z381),Z381&lt;TODAY(),AJ381=""),"Wohnungsabnahme nachtragen – Termin war fällig",IF(AND(ISNUMBER(AB381),AB381&lt;TODAY(),AK381=""),"Handwerker aufbieten – Frist verstrichen",IF(AND(ISNUMBER(AC381),AC381&lt;TODAY(),AO381=""),"Vertrag retour mahnen – Frist verstrichen",IF(AND(ISNUMBER(AD381),AD381&lt;TODAY(),AQ381=""),"Schlüsselübergabe nachtragen – Termin war fällig",IF(M381="","Haftungsdatum erfassen",IF(E381="","ex-Mieter erfassen",IF(AE381="","Kündigung bestätigen / G-Rem",IF(AF381="","Werke / EGT melden",IF(AG381="","Vorbesichtigung (oder n.e.)",IF(AH381="","VMZ aktualisieren",IF(AI381="","Inserat aufschalten",IF(AND(Z381="",AJ381=""),"Abnahmetermin vereinbaren",IF(AJ381="","Wohnungsabnahme durchführen",IF(AK381="","Handwerker aufbieten",IF(AL381="","Zustimmungserklärung einholen",IF(AM381="","Instandstellungen beauftragen",IF(R381="","Nachmieter erfassen",IF(AN381="","Vertrag versenden",IF(AO381="","Vertrag retour erfassen",IF(S381="","Vermietet per erfassen",IF(AP381="","Werke / EGT über Einzug informieren",IF(AND(AD381="",AQ381=""),"Schlüsselübergabe terminieren",IF(AQ381="","Schlüsselübergabe durchführen",IF(AR381="","Reinigung veranlassen",IF(AS381="","Namensschilder bestellen",IF(AT381="","Kaution prüfen / G-Rem mutieren",IF(AU381="","Instandstellungs-Rechnung erfassen",IF(AV381="","Schlussabrechnung erstellen",IF(AW381="","Zahlungseingang kontrollieren","Fall abschliessen"))))))))))))))))))))))))))))))))</f>
        <v/>
      </c>
      <c r="J381" s="17">
        <f>IF(M381="","",IF(S381&lt;&gt;"",MAX(0,S381-M381-1),MAX(0,TODAY()-M381)))</f>
        <v/>
      </c>
      <c r="K381" s="16">
        <f>IF($B381="","",TRIM(IF(AND(L381&lt;&gt;"",M381&lt;&gt;"",M381&lt;L381),"Haftungsdatum vor Kündigung. ","")&amp;IF(AND(S381&lt;&gt;"",M381&lt;&gt;"",S381&lt;M381),"Vermietung vor Leerstandsbeginn. ","")&amp;IF(AND(Z381&lt;&gt;"",L381&lt;&gt;"",Z381&lt;L381),"WA-Termin vor Kündigung. ","")&amp;IF(COUNTIFS($B$5:$B$404,$B381,$AY$5:$AY$404,"")&gt;1,"Zweiter offener Fall zum selben Objekt. ","")&amp;IF(AND($A381&lt;&gt;"",COUNTIFS($A$5:$A$404,$A381)&gt;1),"Fall-Nr. doppelt vergeben. ","")&amp;IF(E381="","ex-Mieter fehlt. ","")&amp;IF(M381="","Haftungsdatum fehlt. ","")&amp;IF(F381="","Bewirtschafter fehlt. ","")&amp;IF(AND(AY381&lt;&gt;"",AW381=""),"Abgeschlossen trotz offener Schlussabrechnung. ","")&amp;IF(AND(AY381="",S381="",ISNUMBER(J381),J381&gt;60),"Langläufer über 60 Tage. ","")))</f>
        <v/>
      </c>
      <c r="L381" s="18" t="n"/>
      <c r="M381" s="18" t="n"/>
      <c r="N381" s="19">
        <f>IF(M381="","",M381+1)</f>
        <v/>
      </c>
      <c r="O381" s="17">
        <f>IF(OR(L381="",M381=""),"",M381-L381)</f>
        <v/>
      </c>
      <c r="P381" s="16">
        <f>IF(M381="","",YEAR(M381+1)&amp;"-"&amp;TEXT(MONTH(M381+1),"00"))</f>
        <v/>
      </c>
      <c r="Q381" s="18" t="n"/>
      <c r="R381" s="15" t="n"/>
      <c r="S381" s="18" t="n"/>
      <c r="T381" s="16">
        <f>IF(U381="","",IF(LEFT(U381,1)="6","abgeschlossen",IF(OR(LEFT(U381,1)="1",LEFT(U381,1)="2"),"Kündigung &amp; Abnahme",IF(OR(LEFT(U381,1)="3",LEFT(U381,1)="4"),"Wiedervermietung","Schlussabrechnung"))))</f>
        <v/>
      </c>
      <c r="U381" s="16">
        <f>IF($B381="","",IF(AY381&lt;&gt;"","6 · abgeschlossen",IF(AW381&lt;&gt;"","5 · bereit zum Abschluss",IF(AT381&lt;&gt;"","5 · Schlussabrechnung",IF(AO381&lt;&gt;"","4 · Übergabe",IF(AM381&lt;&gt;"","3 · Neuvermietung",IF(M381&lt;&gt;"","2 · Abnahme &amp; Vermarktung","1 · Erfassung")))))))</f>
        <v/>
      </c>
      <c r="V381" s="15" t="n"/>
      <c r="W381" s="20" t="n"/>
      <c r="X381" s="15" t="n"/>
      <c r="Y381" s="15" t="n"/>
      <c r="Z381" s="18" t="n"/>
      <c r="AA381" s="19">
        <f>IF(M381="","",M381-30)</f>
        <v/>
      </c>
      <c r="AB381" s="19">
        <f>IF(ISNUMBER(AJ381),AJ381+3,"")</f>
        <v/>
      </c>
      <c r="AC381" s="18" t="n"/>
      <c r="AD381" s="18" t="n"/>
      <c r="AE381" s="18" t="n"/>
      <c r="AF381" s="18" t="n"/>
      <c r="AG381" s="18" t="n"/>
      <c r="AH381" s="18" t="n"/>
      <c r="AI381" s="18" t="n"/>
      <c r="AJ381" s="18" t="n"/>
      <c r="AK381" s="18" t="n"/>
      <c r="AL381" s="18" t="n"/>
      <c r="AM381" s="18" t="n"/>
      <c r="AN381" s="18" t="n"/>
      <c r="AO381" s="18" t="n"/>
      <c r="AP381" s="18" t="n"/>
      <c r="AQ381" s="18" t="n"/>
      <c r="AR381" s="18" t="n"/>
      <c r="AS381" s="18" t="n"/>
      <c r="AT381" s="18" t="n"/>
      <c r="AU381" s="18" t="n"/>
      <c r="AV381" s="18" t="n"/>
      <c r="AW381" s="18" t="n"/>
      <c r="AX381" s="18" t="n"/>
      <c r="AY381" s="18" t="n"/>
      <c r="AZ381" s="15" t="n"/>
    </row>
    <row r="382">
      <c r="A382" s="15" t="n"/>
      <c r="B382" s="15" t="n"/>
      <c r="C382" s="15" t="n"/>
      <c r="D382" s="15" t="n"/>
      <c r="E382" s="15" t="n"/>
      <c r="F382" s="15" t="n"/>
      <c r="G382" s="16">
        <f>IF(F382="","",IFERROR(INDEX(Stammdaten!$B$5:$B$24,MATCH(F382,Stammdaten!$A$5:$A$24,0)),"unbekannt"))</f>
        <v/>
      </c>
      <c r="H382" s="16">
        <f>IF($B382="","",IF(AY382&lt;&gt;"","abgeschlossen",IF(AND(ISNUMBER(AX382),AX382&gt;=TODAY()),"zurückgestellt",IF(OR(AND(ISNUMBER(AA382),AA382&lt;TODAY(),Z382="",AJ382=""),AND(ISNUMBER(Z382),Z382&lt;TODAY(),AJ382=""),AND(ISNUMBER(AB382),AB382&lt;TODAY(),AK382=""),AND(ISNUMBER(AC382),AC382&lt;TODAY(),AO382=""),AND(ISNUMBER(AD382),AD382&lt;TODAY(),AQ382="")),"überfällig","offen"))))</f>
        <v/>
      </c>
      <c r="I382" s="16">
        <f>IF($B382="","",IF(AY382&lt;&gt;"","—",IF(AND(ISNUMBER(AA382),AA382&lt;TODAY(),Z382="",AJ382=""),"Abnahmetermin vereinbaren – Sollfrist verstrichen",IF(AND(ISNUMBER(Z382),Z382&lt;TODAY(),AJ382=""),"Wohnungsabnahme nachtragen – Termin war fällig",IF(AND(ISNUMBER(AB382),AB382&lt;TODAY(),AK382=""),"Handwerker aufbieten – Frist verstrichen",IF(AND(ISNUMBER(AC382),AC382&lt;TODAY(),AO382=""),"Vertrag retour mahnen – Frist verstrichen",IF(AND(ISNUMBER(AD382),AD382&lt;TODAY(),AQ382=""),"Schlüsselübergabe nachtragen – Termin war fällig",IF(M382="","Haftungsdatum erfassen",IF(E382="","ex-Mieter erfassen",IF(AE382="","Kündigung bestätigen / G-Rem",IF(AF382="","Werke / EGT melden",IF(AG382="","Vorbesichtigung (oder n.e.)",IF(AH382="","VMZ aktualisieren",IF(AI382="","Inserat aufschalten",IF(AND(Z382="",AJ382=""),"Abnahmetermin vereinbaren",IF(AJ382="","Wohnungsabnahme durchführen",IF(AK382="","Handwerker aufbieten",IF(AL382="","Zustimmungserklärung einholen",IF(AM382="","Instandstellungen beauftragen",IF(R382="","Nachmieter erfassen",IF(AN382="","Vertrag versenden",IF(AO382="","Vertrag retour erfassen",IF(S382="","Vermietet per erfassen",IF(AP382="","Werke / EGT über Einzug informieren",IF(AND(AD382="",AQ382=""),"Schlüsselübergabe terminieren",IF(AQ382="","Schlüsselübergabe durchführen",IF(AR382="","Reinigung veranlassen",IF(AS382="","Namensschilder bestellen",IF(AT382="","Kaution prüfen / G-Rem mutieren",IF(AU382="","Instandstellungs-Rechnung erfassen",IF(AV382="","Schlussabrechnung erstellen",IF(AW382="","Zahlungseingang kontrollieren","Fall abschliessen"))))))))))))))))))))))))))))))))</f>
        <v/>
      </c>
      <c r="J382" s="17">
        <f>IF(M382="","",IF(S382&lt;&gt;"",MAX(0,S382-M382-1),MAX(0,TODAY()-M382)))</f>
        <v/>
      </c>
      <c r="K382" s="16">
        <f>IF($B382="","",TRIM(IF(AND(L382&lt;&gt;"",M382&lt;&gt;"",M382&lt;L382),"Haftungsdatum vor Kündigung. ","")&amp;IF(AND(S382&lt;&gt;"",M382&lt;&gt;"",S382&lt;M382),"Vermietung vor Leerstandsbeginn. ","")&amp;IF(AND(Z382&lt;&gt;"",L382&lt;&gt;"",Z382&lt;L382),"WA-Termin vor Kündigung. ","")&amp;IF(COUNTIFS($B$5:$B$404,$B382,$AY$5:$AY$404,"")&gt;1,"Zweiter offener Fall zum selben Objekt. ","")&amp;IF(AND($A382&lt;&gt;"",COUNTIFS($A$5:$A$404,$A382)&gt;1),"Fall-Nr. doppelt vergeben. ","")&amp;IF(E382="","ex-Mieter fehlt. ","")&amp;IF(M382="","Haftungsdatum fehlt. ","")&amp;IF(F382="","Bewirtschafter fehlt. ","")&amp;IF(AND(AY382&lt;&gt;"",AW382=""),"Abgeschlossen trotz offener Schlussabrechnung. ","")&amp;IF(AND(AY382="",S382="",ISNUMBER(J382),J382&gt;60),"Langläufer über 60 Tage. ","")))</f>
        <v/>
      </c>
      <c r="L382" s="18" t="n"/>
      <c r="M382" s="18" t="n"/>
      <c r="N382" s="19">
        <f>IF(M382="","",M382+1)</f>
        <v/>
      </c>
      <c r="O382" s="17">
        <f>IF(OR(L382="",M382=""),"",M382-L382)</f>
        <v/>
      </c>
      <c r="P382" s="16">
        <f>IF(M382="","",YEAR(M382+1)&amp;"-"&amp;TEXT(MONTH(M382+1),"00"))</f>
        <v/>
      </c>
      <c r="Q382" s="18" t="n"/>
      <c r="R382" s="15" t="n"/>
      <c r="S382" s="18" t="n"/>
      <c r="T382" s="16">
        <f>IF(U382="","",IF(LEFT(U382,1)="6","abgeschlossen",IF(OR(LEFT(U382,1)="1",LEFT(U382,1)="2"),"Kündigung &amp; Abnahme",IF(OR(LEFT(U382,1)="3",LEFT(U382,1)="4"),"Wiedervermietung","Schlussabrechnung"))))</f>
        <v/>
      </c>
      <c r="U382" s="16">
        <f>IF($B382="","",IF(AY382&lt;&gt;"","6 · abgeschlossen",IF(AW382&lt;&gt;"","5 · bereit zum Abschluss",IF(AT382&lt;&gt;"","5 · Schlussabrechnung",IF(AO382&lt;&gt;"","4 · Übergabe",IF(AM382&lt;&gt;"","3 · Neuvermietung",IF(M382&lt;&gt;"","2 · Abnahme &amp; Vermarktung","1 · Erfassung")))))))</f>
        <v/>
      </c>
      <c r="V382" s="15" t="n"/>
      <c r="W382" s="20" t="n"/>
      <c r="X382" s="15" t="n"/>
      <c r="Y382" s="15" t="n"/>
      <c r="Z382" s="18" t="n"/>
      <c r="AA382" s="19">
        <f>IF(M382="","",M382-30)</f>
        <v/>
      </c>
      <c r="AB382" s="19">
        <f>IF(ISNUMBER(AJ382),AJ382+3,"")</f>
        <v/>
      </c>
      <c r="AC382" s="18" t="n"/>
      <c r="AD382" s="18" t="n"/>
      <c r="AE382" s="18" t="n"/>
      <c r="AF382" s="18" t="n"/>
      <c r="AG382" s="18" t="n"/>
      <c r="AH382" s="18" t="n"/>
      <c r="AI382" s="18" t="n"/>
      <c r="AJ382" s="18" t="n"/>
      <c r="AK382" s="18" t="n"/>
      <c r="AL382" s="18" t="n"/>
      <c r="AM382" s="18" t="n"/>
      <c r="AN382" s="18" t="n"/>
      <c r="AO382" s="18" t="n"/>
      <c r="AP382" s="18" t="n"/>
      <c r="AQ382" s="18" t="n"/>
      <c r="AR382" s="18" t="n"/>
      <c r="AS382" s="18" t="n"/>
      <c r="AT382" s="18" t="n"/>
      <c r="AU382" s="18" t="n"/>
      <c r="AV382" s="18" t="n"/>
      <c r="AW382" s="18" t="n"/>
      <c r="AX382" s="18" t="n"/>
      <c r="AY382" s="18" t="n"/>
      <c r="AZ382" s="15" t="n"/>
    </row>
    <row r="383">
      <c r="A383" s="15" t="n"/>
      <c r="B383" s="15" t="n"/>
      <c r="C383" s="15" t="n"/>
      <c r="D383" s="15" t="n"/>
      <c r="E383" s="15" t="n"/>
      <c r="F383" s="15" t="n"/>
      <c r="G383" s="16">
        <f>IF(F383="","",IFERROR(INDEX(Stammdaten!$B$5:$B$24,MATCH(F383,Stammdaten!$A$5:$A$24,0)),"unbekannt"))</f>
        <v/>
      </c>
      <c r="H383" s="16">
        <f>IF($B383="","",IF(AY383&lt;&gt;"","abgeschlossen",IF(AND(ISNUMBER(AX383),AX383&gt;=TODAY()),"zurückgestellt",IF(OR(AND(ISNUMBER(AA383),AA383&lt;TODAY(),Z383="",AJ383=""),AND(ISNUMBER(Z383),Z383&lt;TODAY(),AJ383=""),AND(ISNUMBER(AB383),AB383&lt;TODAY(),AK383=""),AND(ISNUMBER(AC383),AC383&lt;TODAY(),AO383=""),AND(ISNUMBER(AD383),AD383&lt;TODAY(),AQ383="")),"überfällig","offen"))))</f>
        <v/>
      </c>
      <c r="I383" s="16">
        <f>IF($B383="","",IF(AY383&lt;&gt;"","—",IF(AND(ISNUMBER(AA383),AA383&lt;TODAY(),Z383="",AJ383=""),"Abnahmetermin vereinbaren – Sollfrist verstrichen",IF(AND(ISNUMBER(Z383),Z383&lt;TODAY(),AJ383=""),"Wohnungsabnahme nachtragen – Termin war fällig",IF(AND(ISNUMBER(AB383),AB383&lt;TODAY(),AK383=""),"Handwerker aufbieten – Frist verstrichen",IF(AND(ISNUMBER(AC383),AC383&lt;TODAY(),AO383=""),"Vertrag retour mahnen – Frist verstrichen",IF(AND(ISNUMBER(AD383),AD383&lt;TODAY(),AQ383=""),"Schlüsselübergabe nachtragen – Termin war fällig",IF(M383="","Haftungsdatum erfassen",IF(E383="","ex-Mieter erfassen",IF(AE383="","Kündigung bestätigen / G-Rem",IF(AF383="","Werke / EGT melden",IF(AG383="","Vorbesichtigung (oder n.e.)",IF(AH383="","VMZ aktualisieren",IF(AI383="","Inserat aufschalten",IF(AND(Z383="",AJ383=""),"Abnahmetermin vereinbaren",IF(AJ383="","Wohnungsabnahme durchführen",IF(AK383="","Handwerker aufbieten",IF(AL383="","Zustimmungserklärung einholen",IF(AM383="","Instandstellungen beauftragen",IF(R383="","Nachmieter erfassen",IF(AN383="","Vertrag versenden",IF(AO383="","Vertrag retour erfassen",IF(S383="","Vermietet per erfassen",IF(AP383="","Werke / EGT über Einzug informieren",IF(AND(AD383="",AQ383=""),"Schlüsselübergabe terminieren",IF(AQ383="","Schlüsselübergabe durchführen",IF(AR383="","Reinigung veranlassen",IF(AS383="","Namensschilder bestellen",IF(AT383="","Kaution prüfen / G-Rem mutieren",IF(AU383="","Instandstellungs-Rechnung erfassen",IF(AV383="","Schlussabrechnung erstellen",IF(AW383="","Zahlungseingang kontrollieren","Fall abschliessen"))))))))))))))))))))))))))))))))</f>
        <v/>
      </c>
      <c r="J383" s="17">
        <f>IF(M383="","",IF(S383&lt;&gt;"",MAX(0,S383-M383-1),MAX(0,TODAY()-M383)))</f>
        <v/>
      </c>
      <c r="K383" s="16">
        <f>IF($B383="","",TRIM(IF(AND(L383&lt;&gt;"",M383&lt;&gt;"",M383&lt;L383),"Haftungsdatum vor Kündigung. ","")&amp;IF(AND(S383&lt;&gt;"",M383&lt;&gt;"",S383&lt;M383),"Vermietung vor Leerstandsbeginn. ","")&amp;IF(AND(Z383&lt;&gt;"",L383&lt;&gt;"",Z383&lt;L383),"WA-Termin vor Kündigung. ","")&amp;IF(COUNTIFS($B$5:$B$404,$B383,$AY$5:$AY$404,"")&gt;1,"Zweiter offener Fall zum selben Objekt. ","")&amp;IF(AND($A383&lt;&gt;"",COUNTIFS($A$5:$A$404,$A383)&gt;1),"Fall-Nr. doppelt vergeben. ","")&amp;IF(E383="","ex-Mieter fehlt. ","")&amp;IF(M383="","Haftungsdatum fehlt. ","")&amp;IF(F383="","Bewirtschafter fehlt. ","")&amp;IF(AND(AY383&lt;&gt;"",AW383=""),"Abgeschlossen trotz offener Schlussabrechnung. ","")&amp;IF(AND(AY383="",S383="",ISNUMBER(J383),J383&gt;60),"Langläufer über 60 Tage. ","")))</f>
        <v/>
      </c>
      <c r="L383" s="18" t="n"/>
      <c r="M383" s="18" t="n"/>
      <c r="N383" s="19">
        <f>IF(M383="","",M383+1)</f>
        <v/>
      </c>
      <c r="O383" s="17">
        <f>IF(OR(L383="",M383=""),"",M383-L383)</f>
        <v/>
      </c>
      <c r="P383" s="16">
        <f>IF(M383="","",YEAR(M383+1)&amp;"-"&amp;TEXT(MONTH(M383+1),"00"))</f>
        <v/>
      </c>
      <c r="Q383" s="18" t="n"/>
      <c r="R383" s="15" t="n"/>
      <c r="S383" s="18" t="n"/>
      <c r="T383" s="16">
        <f>IF(U383="","",IF(LEFT(U383,1)="6","abgeschlossen",IF(OR(LEFT(U383,1)="1",LEFT(U383,1)="2"),"Kündigung &amp; Abnahme",IF(OR(LEFT(U383,1)="3",LEFT(U383,1)="4"),"Wiedervermietung","Schlussabrechnung"))))</f>
        <v/>
      </c>
      <c r="U383" s="16">
        <f>IF($B383="","",IF(AY383&lt;&gt;"","6 · abgeschlossen",IF(AW383&lt;&gt;"","5 · bereit zum Abschluss",IF(AT383&lt;&gt;"","5 · Schlussabrechnung",IF(AO383&lt;&gt;"","4 · Übergabe",IF(AM383&lt;&gt;"","3 · Neuvermietung",IF(M383&lt;&gt;"","2 · Abnahme &amp; Vermarktung","1 · Erfassung")))))))</f>
        <v/>
      </c>
      <c r="V383" s="15" t="n"/>
      <c r="W383" s="20" t="n"/>
      <c r="X383" s="15" t="n"/>
      <c r="Y383" s="15" t="n"/>
      <c r="Z383" s="18" t="n"/>
      <c r="AA383" s="19">
        <f>IF(M383="","",M383-30)</f>
        <v/>
      </c>
      <c r="AB383" s="19">
        <f>IF(ISNUMBER(AJ383),AJ383+3,"")</f>
        <v/>
      </c>
      <c r="AC383" s="18" t="n"/>
      <c r="AD383" s="18" t="n"/>
      <c r="AE383" s="18" t="n"/>
      <c r="AF383" s="18" t="n"/>
      <c r="AG383" s="18" t="n"/>
      <c r="AH383" s="18" t="n"/>
      <c r="AI383" s="18" t="n"/>
      <c r="AJ383" s="18" t="n"/>
      <c r="AK383" s="18" t="n"/>
      <c r="AL383" s="18" t="n"/>
      <c r="AM383" s="18" t="n"/>
      <c r="AN383" s="18" t="n"/>
      <c r="AO383" s="18" t="n"/>
      <c r="AP383" s="18" t="n"/>
      <c r="AQ383" s="18" t="n"/>
      <c r="AR383" s="18" t="n"/>
      <c r="AS383" s="18" t="n"/>
      <c r="AT383" s="18" t="n"/>
      <c r="AU383" s="18" t="n"/>
      <c r="AV383" s="18" t="n"/>
      <c r="AW383" s="18" t="n"/>
      <c r="AX383" s="18" t="n"/>
      <c r="AY383" s="18" t="n"/>
      <c r="AZ383" s="15" t="n"/>
    </row>
    <row r="384">
      <c r="A384" s="15" t="n"/>
      <c r="B384" s="15" t="n"/>
      <c r="C384" s="15" t="n"/>
      <c r="D384" s="15" t="n"/>
      <c r="E384" s="15" t="n"/>
      <c r="F384" s="15" t="n"/>
      <c r="G384" s="16">
        <f>IF(F384="","",IFERROR(INDEX(Stammdaten!$B$5:$B$24,MATCH(F384,Stammdaten!$A$5:$A$24,0)),"unbekannt"))</f>
        <v/>
      </c>
      <c r="H384" s="16">
        <f>IF($B384="","",IF(AY384&lt;&gt;"","abgeschlossen",IF(AND(ISNUMBER(AX384),AX384&gt;=TODAY()),"zurückgestellt",IF(OR(AND(ISNUMBER(AA384),AA384&lt;TODAY(),Z384="",AJ384=""),AND(ISNUMBER(Z384),Z384&lt;TODAY(),AJ384=""),AND(ISNUMBER(AB384),AB384&lt;TODAY(),AK384=""),AND(ISNUMBER(AC384),AC384&lt;TODAY(),AO384=""),AND(ISNUMBER(AD384),AD384&lt;TODAY(),AQ384="")),"überfällig","offen"))))</f>
        <v/>
      </c>
      <c r="I384" s="16">
        <f>IF($B384="","",IF(AY384&lt;&gt;"","—",IF(AND(ISNUMBER(AA384),AA384&lt;TODAY(),Z384="",AJ384=""),"Abnahmetermin vereinbaren – Sollfrist verstrichen",IF(AND(ISNUMBER(Z384),Z384&lt;TODAY(),AJ384=""),"Wohnungsabnahme nachtragen – Termin war fällig",IF(AND(ISNUMBER(AB384),AB384&lt;TODAY(),AK384=""),"Handwerker aufbieten – Frist verstrichen",IF(AND(ISNUMBER(AC384),AC384&lt;TODAY(),AO384=""),"Vertrag retour mahnen – Frist verstrichen",IF(AND(ISNUMBER(AD384),AD384&lt;TODAY(),AQ384=""),"Schlüsselübergabe nachtragen – Termin war fällig",IF(M384="","Haftungsdatum erfassen",IF(E384="","ex-Mieter erfassen",IF(AE384="","Kündigung bestätigen / G-Rem",IF(AF384="","Werke / EGT melden",IF(AG384="","Vorbesichtigung (oder n.e.)",IF(AH384="","VMZ aktualisieren",IF(AI384="","Inserat aufschalten",IF(AND(Z384="",AJ384=""),"Abnahmetermin vereinbaren",IF(AJ384="","Wohnungsabnahme durchführen",IF(AK384="","Handwerker aufbieten",IF(AL384="","Zustimmungserklärung einholen",IF(AM384="","Instandstellungen beauftragen",IF(R384="","Nachmieter erfassen",IF(AN384="","Vertrag versenden",IF(AO384="","Vertrag retour erfassen",IF(S384="","Vermietet per erfassen",IF(AP384="","Werke / EGT über Einzug informieren",IF(AND(AD384="",AQ384=""),"Schlüsselübergabe terminieren",IF(AQ384="","Schlüsselübergabe durchführen",IF(AR384="","Reinigung veranlassen",IF(AS384="","Namensschilder bestellen",IF(AT384="","Kaution prüfen / G-Rem mutieren",IF(AU384="","Instandstellungs-Rechnung erfassen",IF(AV384="","Schlussabrechnung erstellen",IF(AW384="","Zahlungseingang kontrollieren","Fall abschliessen"))))))))))))))))))))))))))))))))</f>
        <v/>
      </c>
      <c r="J384" s="17">
        <f>IF(M384="","",IF(S384&lt;&gt;"",MAX(0,S384-M384-1),MAX(0,TODAY()-M384)))</f>
        <v/>
      </c>
      <c r="K384" s="16">
        <f>IF($B384="","",TRIM(IF(AND(L384&lt;&gt;"",M384&lt;&gt;"",M384&lt;L384),"Haftungsdatum vor Kündigung. ","")&amp;IF(AND(S384&lt;&gt;"",M384&lt;&gt;"",S384&lt;M384),"Vermietung vor Leerstandsbeginn. ","")&amp;IF(AND(Z384&lt;&gt;"",L384&lt;&gt;"",Z384&lt;L384),"WA-Termin vor Kündigung. ","")&amp;IF(COUNTIFS($B$5:$B$404,$B384,$AY$5:$AY$404,"")&gt;1,"Zweiter offener Fall zum selben Objekt. ","")&amp;IF(AND($A384&lt;&gt;"",COUNTIFS($A$5:$A$404,$A384)&gt;1),"Fall-Nr. doppelt vergeben. ","")&amp;IF(E384="","ex-Mieter fehlt. ","")&amp;IF(M384="","Haftungsdatum fehlt. ","")&amp;IF(F384="","Bewirtschafter fehlt. ","")&amp;IF(AND(AY384&lt;&gt;"",AW384=""),"Abgeschlossen trotz offener Schlussabrechnung. ","")&amp;IF(AND(AY384="",S384="",ISNUMBER(J384),J384&gt;60),"Langläufer über 60 Tage. ","")))</f>
        <v/>
      </c>
      <c r="L384" s="18" t="n"/>
      <c r="M384" s="18" t="n"/>
      <c r="N384" s="19">
        <f>IF(M384="","",M384+1)</f>
        <v/>
      </c>
      <c r="O384" s="17">
        <f>IF(OR(L384="",M384=""),"",M384-L384)</f>
        <v/>
      </c>
      <c r="P384" s="16">
        <f>IF(M384="","",YEAR(M384+1)&amp;"-"&amp;TEXT(MONTH(M384+1),"00"))</f>
        <v/>
      </c>
      <c r="Q384" s="18" t="n"/>
      <c r="R384" s="15" t="n"/>
      <c r="S384" s="18" t="n"/>
      <c r="T384" s="16">
        <f>IF(U384="","",IF(LEFT(U384,1)="6","abgeschlossen",IF(OR(LEFT(U384,1)="1",LEFT(U384,1)="2"),"Kündigung &amp; Abnahme",IF(OR(LEFT(U384,1)="3",LEFT(U384,1)="4"),"Wiedervermietung","Schlussabrechnung"))))</f>
        <v/>
      </c>
      <c r="U384" s="16">
        <f>IF($B384="","",IF(AY384&lt;&gt;"","6 · abgeschlossen",IF(AW384&lt;&gt;"","5 · bereit zum Abschluss",IF(AT384&lt;&gt;"","5 · Schlussabrechnung",IF(AO384&lt;&gt;"","4 · Übergabe",IF(AM384&lt;&gt;"","3 · Neuvermietung",IF(M384&lt;&gt;"","2 · Abnahme &amp; Vermarktung","1 · Erfassung")))))))</f>
        <v/>
      </c>
      <c r="V384" s="15" t="n"/>
      <c r="W384" s="20" t="n"/>
      <c r="X384" s="15" t="n"/>
      <c r="Y384" s="15" t="n"/>
      <c r="Z384" s="18" t="n"/>
      <c r="AA384" s="19">
        <f>IF(M384="","",M384-30)</f>
        <v/>
      </c>
      <c r="AB384" s="19">
        <f>IF(ISNUMBER(AJ384),AJ384+3,"")</f>
        <v/>
      </c>
      <c r="AC384" s="18" t="n"/>
      <c r="AD384" s="18" t="n"/>
      <c r="AE384" s="18" t="n"/>
      <c r="AF384" s="18" t="n"/>
      <c r="AG384" s="18" t="n"/>
      <c r="AH384" s="18" t="n"/>
      <c r="AI384" s="18" t="n"/>
      <c r="AJ384" s="18" t="n"/>
      <c r="AK384" s="18" t="n"/>
      <c r="AL384" s="18" t="n"/>
      <c r="AM384" s="18" t="n"/>
      <c r="AN384" s="18" t="n"/>
      <c r="AO384" s="18" t="n"/>
      <c r="AP384" s="18" t="n"/>
      <c r="AQ384" s="18" t="n"/>
      <c r="AR384" s="18" t="n"/>
      <c r="AS384" s="18" t="n"/>
      <c r="AT384" s="18" t="n"/>
      <c r="AU384" s="18" t="n"/>
      <c r="AV384" s="18" t="n"/>
      <c r="AW384" s="18" t="n"/>
      <c r="AX384" s="18" t="n"/>
      <c r="AY384" s="18" t="n"/>
      <c r="AZ384" s="15" t="n"/>
    </row>
    <row r="385">
      <c r="A385" s="15" t="n"/>
      <c r="B385" s="15" t="n"/>
      <c r="C385" s="15" t="n"/>
      <c r="D385" s="15" t="n"/>
      <c r="E385" s="15" t="n"/>
      <c r="F385" s="15" t="n"/>
      <c r="G385" s="16">
        <f>IF(F385="","",IFERROR(INDEX(Stammdaten!$B$5:$B$24,MATCH(F385,Stammdaten!$A$5:$A$24,0)),"unbekannt"))</f>
        <v/>
      </c>
      <c r="H385" s="16">
        <f>IF($B385="","",IF(AY385&lt;&gt;"","abgeschlossen",IF(AND(ISNUMBER(AX385),AX385&gt;=TODAY()),"zurückgestellt",IF(OR(AND(ISNUMBER(AA385),AA385&lt;TODAY(),Z385="",AJ385=""),AND(ISNUMBER(Z385),Z385&lt;TODAY(),AJ385=""),AND(ISNUMBER(AB385),AB385&lt;TODAY(),AK385=""),AND(ISNUMBER(AC385),AC385&lt;TODAY(),AO385=""),AND(ISNUMBER(AD385),AD385&lt;TODAY(),AQ385="")),"überfällig","offen"))))</f>
        <v/>
      </c>
      <c r="I385" s="16">
        <f>IF($B385="","",IF(AY385&lt;&gt;"","—",IF(AND(ISNUMBER(AA385),AA385&lt;TODAY(),Z385="",AJ385=""),"Abnahmetermin vereinbaren – Sollfrist verstrichen",IF(AND(ISNUMBER(Z385),Z385&lt;TODAY(),AJ385=""),"Wohnungsabnahme nachtragen – Termin war fällig",IF(AND(ISNUMBER(AB385),AB385&lt;TODAY(),AK385=""),"Handwerker aufbieten – Frist verstrichen",IF(AND(ISNUMBER(AC385),AC385&lt;TODAY(),AO385=""),"Vertrag retour mahnen – Frist verstrichen",IF(AND(ISNUMBER(AD385),AD385&lt;TODAY(),AQ385=""),"Schlüsselübergabe nachtragen – Termin war fällig",IF(M385="","Haftungsdatum erfassen",IF(E385="","ex-Mieter erfassen",IF(AE385="","Kündigung bestätigen / G-Rem",IF(AF385="","Werke / EGT melden",IF(AG385="","Vorbesichtigung (oder n.e.)",IF(AH385="","VMZ aktualisieren",IF(AI385="","Inserat aufschalten",IF(AND(Z385="",AJ385=""),"Abnahmetermin vereinbaren",IF(AJ385="","Wohnungsabnahme durchführen",IF(AK385="","Handwerker aufbieten",IF(AL385="","Zustimmungserklärung einholen",IF(AM385="","Instandstellungen beauftragen",IF(R385="","Nachmieter erfassen",IF(AN385="","Vertrag versenden",IF(AO385="","Vertrag retour erfassen",IF(S385="","Vermietet per erfassen",IF(AP385="","Werke / EGT über Einzug informieren",IF(AND(AD385="",AQ385=""),"Schlüsselübergabe terminieren",IF(AQ385="","Schlüsselübergabe durchführen",IF(AR385="","Reinigung veranlassen",IF(AS385="","Namensschilder bestellen",IF(AT385="","Kaution prüfen / G-Rem mutieren",IF(AU385="","Instandstellungs-Rechnung erfassen",IF(AV385="","Schlussabrechnung erstellen",IF(AW385="","Zahlungseingang kontrollieren","Fall abschliessen"))))))))))))))))))))))))))))))))</f>
        <v/>
      </c>
      <c r="J385" s="17">
        <f>IF(M385="","",IF(S385&lt;&gt;"",MAX(0,S385-M385-1),MAX(0,TODAY()-M385)))</f>
        <v/>
      </c>
      <c r="K385" s="16">
        <f>IF($B385="","",TRIM(IF(AND(L385&lt;&gt;"",M385&lt;&gt;"",M385&lt;L385),"Haftungsdatum vor Kündigung. ","")&amp;IF(AND(S385&lt;&gt;"",M385&lt;&gt;"",S385&lt;M385),"Vermietung vor Leerstandsbeginn. ","")&amp;IF(AND(Z385&lt;&gt;"",L385&lt;&gt;"",Z385&lt;L385),"WA-Termin vor Kündigung. ","")&amp;IF(COUNTIFS($B$5:$B$404,$B385,$AY$5:$AY$404,"")&gt;1,"Zweiter offener Fall zum selben Objekt. ","")&amp;IF(AND($A385&lt;&gt;"",COUNTIFS($A$5:$A$404,$A385)&gt;1),"Fall-Nr. doppelt vergeben. ","")&amp;IF(E385="","ex-Mieter fehlt. ","")&amp;IF(M385="","Haftungsdatum fehlt. ","")&amp;IF(F385="","Bewirtschafter fehlt. ","")&amp;IF(AND(AY385&lt;&gt;"",AW385=""),"Abgeschlossen trotz offener Schlussabrechnung. ","")&amp;IF(AND(AY385="",S385="",ISNUMBER(J385),J385&gt;60),"Langläufer über 60 Tage. ","")))</f>
        <v/>
      </c>
      <c r="L385" s="18" t="n"/>
      <c r="M385" s="18" t="n"/>
      <c r="N385" s="19">
        <f>IF(M385="","",M385+1)</f>
        <v/>
      </c>
      <c r="O385" s="17">
        <f>IF(OR(L385="",M385=""),"",M385-L385)</f>
        <v/>
      </c>
      <c r="P385" s="16">
        <f>IF(M385="","",YEAR(M385+1)&amp;"-"&amp;TEXT(MONTH(M385+1),"00"))</f>
        <v/>
      </c>
      <c r="Q385" s="18" t="n"/>
      <c r="R385" s="15" t="n"/>
      <c r="S385" s="18" t="n"/>
      <c r="T385" s="16">
        <f>IF(U385="","",IF(LEFT(U385,1)="6","abgeschlossen",IF(OR(LEFT(U385,1)="1",LEFT(U385,1)="2"),"Kündigung &amp; Abnahme",IF(OR(LEFT(U385,1)="3",LEFT(U385,1)="4"),"Wiedervermietung","Schlussabrechnung"))))</f>
        <v/>
      </c>
      <c r="U385" s="16">
        <f>IF($B385="","",IF(AY385&lt;&gt;"","6 · abgeschlossen",IF(AW385&lt;&gt;"","5 · bereit zum Abschluss",IF(AT385&lt;&gt;"","5 · Schlussabrechnung",IF(AO385&lt;&gt;"","4 · Übergabe",IF(AM385&lt;&gt;"","3 · Neuvermietung",IF(M385&lt;&gt;"","2 · Abnahme &amp; Vermarktung","1 · Erfassung")))))))</f>
        <v/>
      </c>
      <c r="V385" s="15" t="n"/>
      <c r="W385" s="20" t="n"/>
      <c r="X385" s="15" t="n"/>
      <c r="Y385" s="15" t="n"/>
      <c r="Z385" s="18" t="n"/>
      <c r="AA385" s="19">
        <f>IF(M385="","",M385-30)</f>
        <v/>
      </c>
      <c r="AB385" s="19">
        <f>IF(ISNUMBER(AJ385),AJ385+3,"")</f>
        <v/>
      </c>
      <c r="AC385" s="18" t="n"/>
      <c r="AD385" s="18" t="n"/>
      <c r="AE385" s="18" t="n"/>
      <c r="AF385" s="18" t="n"/>
      <c r="AG385" s="18" t="n"/>
      <c r="AH385" s="18" t="n"/>
      <c r="AI385" s="18" t="n"/>
      <c r="AJ385" s="18" t="n"/>
      <c r="AK385" s="18" t="n"/>
      <c r="AL385" s="18" t="n"/>
      <c r="AM385" s="18" t="n"/>
      <c r="AN385" s="18" t="n"/>
      <c r="AO385" s="18" t="n"/>
      <c r="AP385" s="18" t="n"/>
      <c r="AQ385" s="18" t="n"/>
      <c r="AR385" s="18" t="n"/>
      <c r="AS385" s="18" t="n"/>
      <c r="AT385" s="18" t="n"/>
      <c r="AU385" s="18" t="n"/>
      <c r="AV385" s="18" t="n"/>
      <c r="AW385" s="18" t="n"/>
      <c r="AX385" s="18" t="n"/>
      <c r="AY385" s="18" t="n"/>
      <c r="AZ385" s="15" t="n"/>
    </row>
    <row r="386">
      <c r="A386" s="15" t="n"/>
      <c r="B386" s="15" t="n"/>
      <c r="C386" s="15" t="n"/>
      <c r="D386" s="15" t="n"/>
      <c r="E386" s="15" t="n"/>
      <c r="F386" s="15" t="n"/>
      <c r="G386" s="16">
        <f>IF(F386="","",IFERROR(INDEX(Stammdaten!$B$5:$B$24,MATCH(F386,Stammdaten!$A$5:$A$24,0)),"unbekannt"))</f>
        <v/>
      </c>
      <c r="H386" s="16">
        <f>IF($B386="","",IF(AY386&lt;&gt;"","abgeschlossen",IF(AND(ISNUMBER(AX386),AX386&gt;=TODAY()),"zurückgestellt",IF(OR(AND(ISNUMBER(AA386),AA386&lt;TODAY(),Z386="",AJ386=""),AND(ISNUMBER(Z386),Z386&lt;TODAY(),AJ386=""),AND(ISNUMBER(AB386),AB386&lt;TODAY(),AK386=""),AND(ISNUMBER(AC386),AC386&lt;TODAY(),AO386=""),AND(ISNUMBER(AD386),AD386&lt;TODAY(),AQ386="")),"überfällig","offen"))))</f>
        <v/>
      </c>
      <c r="I386" s="16">
        <f>IF($B386="","",IF(AY386&lt;&gt;"","—",IF(AND(ISNUMBER(AA386),AA386&lt;TODAY(),Z386="",AJ386=""),"Abnahmetermin vereinbaren – Sollfrist verstrichen",IF(AND(ISNUMBER(Z386),Z386&lt;TODAY(),AJ386=""),"Wohnungsabnahme nachtragen – Termin war fällig",IF(AND(ISNUMBER(AB386),AB386&lt;TODAY(),AK386=""),"Handwerker aufbieten – Frist verstrichen",IF(AND(ISNUMBER(AC386),AC386&lt;TODAY(),AO386=""),"Vertrag retour mahnen – Frist verstrichen",IF(AND(ISNUMBER(AD386),AD386&lt;TODAY(),AQ386=""),"Schlüsselübergabe nachtragen – Termin war fällig",IF(M386="","Haftungsdatum erfassen",IF(E386="","ex-Mieter erfassen",IF(AE386="","Kündigung bestätigen / G-Rem",IF(AF386="","Werke / EGT melden",IF(AG386="","Vorbesichtigung (oder n.e.)",IF(AH386="","VMZ aktualisieren",IF(AI386="","Inserat aufschalten",IF(AND(Z386="",AJ386=""),"Abnahmetermin vereinbaren",IF(AJ386="","Wohnungsabnahme durchführen",IF(AK386="","Handwerker aufbieten",IF(AL386="","Zustimmungserklärung einholen",IF(AM386="","Instandstellungen beauftragen",IF(R386="","Nachmieter erfassen",IF(AN386="","Vertrag versenden",IF(AO386="","Vertrag retour erfassen",IF(S386="","Vermietet per erfassen",IF(AP386="","Werke / EGT über Einzug informieren",IF(AND(AD386="",AQ386=""),"Schlüsselübergabe terminieren",IF(AQ386="","Schlüsselübergabe durchführen",IF(AR386="","Reinigung veranlassen",IF(AS386="","Namensschilder bestellen",IF(AT386="","Kaution prüfen / G-Rem mutieren",IF(AU386="","Instandstellungs-Rechnung erfassen",IF(AV386="","Schlussabrechnung erstellen",IF(AW386="","Zahlungseingang kontrollieren","Fall abschliessen"))))))))))))))))))))))))))))))))</f>
        <v/>
      </c>
      <c r="J386" s="17">
        <f>IF(M386="","",IF(S386&lt;&gt;"",MAX(0,S386-M386-1),MAX(0,TODAY()-M386)))</f>
        <v/>
      </c>
      <c r="K386" s="16">
        <f>IF($B386="","",TRIM(IF(AND(L386&lt;&gt;"",M386&lt;&gt;"",M386&lt;L386),"Haftungsdatum vor Kündigung. ","")&amp;IF(AND(S386&lt;&gt;"",M386&lt;&gt;"",S386&lt;M386),"Vermietung vor Leerstandsbeginn. ","")&amp;IF(AND(Z386&lt;&gt;"",L386&lt;&gt;"",Z386&lt;L386),"WA-Termin vor Kündigung. ","")&amp;IF(COUNTIFS($B$5:$B$404,$B386,$AY$5:$AY$404,"")&gt;1,"Zweiter offener Fall zum selben Objekt. ","")&amp;IF(AND($A386&lt;&gt;"",COUNTIFS($A$5:$A$404,$A386)&gt;1),"Fall-Nr. doppelt vergeben. ","")&amp;IF(E386="","ex-Mieter fehlt. ","")&amp;IF(M386="","Haftungsdatum fehlt. ","")&amp;IF(F386="","Bewirtschafter fehlt. ","")&amp;IF(AND(AY386&lt;&gt;"",AW386=""),"Abgeschlossen trotz offener Schlussabrechnung. ","")&amp;IF(AND(AY386="",S386="",ISNUMBER(J386),J386&gt;60),"Langläufer über 60 Tage. ","")))</f>
        <v/>
      </c>
      <c r="L386" s="18" t="n"/>
      <c r="M386" s="18" t="n"/>
      <c r="N386" s="19">
        <f>IF(M386="","",M386+1)</f>
        <v/>
      </c>
      <c r="O386" s="17">
        <f>IF(OR(L386="",M386=""),"",M386-L386)</f>
        <v/>
      </c>
      <c r="P386" s="16">
        <f>IF(M386="","",YEAR(M386+1)&amp;"-"&amp;TEXT(MONTH(M386+1),"00"))</f>
        <v/>
      </c>
      <c r="Q386" s="18" t="n"/>
      <c r="R386" s="15" t="n"/>
      <c r="S386" s="18" t="n"/>
      <c r="T386" s="16">
        <f>IF(U386="","",IF(LEFT(U386,1)="6","abgeschlossen",IF(OR(LEFT(U386,1)="1",LEFT(U386,1)="2"),"Kündigung &amp; Abnahme",IF(OR(LEFT(U386,1)="3",LEFT(U386,1)="4"),"Wiedervermietung","Schlussabrechnung"))))</f>
        <v/>
      </c>
      <c r="U386" s="16">
        <f>IF($B386="","",IF(AY386&lt;&gt;"","6 · abgeschlossen",IF(AW386&lt;&gt;"","5 · bereit zum Abschluss",IF(AT386&lt;&gt;"","5 · Schlussabrechnung",IF(AO386&lt;&gt;"","4 · Übergabe",IF(AM386&lt;&gt;"","3 · Neuvermietung",IF(M386&lt;&gt;"","2 · Abnahme &amp; Vermarktung","1 · Erfassung")))))))</f>
        <v/>
      </c>
      <c r="V386" s="15" t="n"/>
      <c r="W386" s="20" t="n"/>
      <c r="X386" s="15" t="n"/>
      <c r="Y386" s="15" t="n"/>
      <c r="Z386" s="18" t="n"/>
      <c r="AA386" s="19">
        <f>IF(M386="","",M386-30)</f>
        <v/>
      </c>
      <c r="AB386" s="19">
        <f>IF(ISNUMBER(AJ386),AJ386+3,"")</f>
        <v/>
      </c>
      <c r="AC386" s="18" t="n"/>
      <c r="AD386" s="18" t="n"/>
      <c r="AE386" s="18" t="n"/>
      <c r="AF386" s="18" t="n"/>
      <c r="AG386" s="18" t="n"/>
      <c r="AH386" s="18" t="n"/>
      <c r="AI386" s="18" t="n"/>
      <c r="AJ386" s="18" t="n"/>
      <c r="AK386" s="18" t="n"/>
      <c r="AL386" s="18" t="n"/>
      <c r="AM386" s="18" t="n"/>
      <c r="AN386" s="18" t="n"/>
      <c r="AO386" s="18" t="n"/>
      <c r="AP386" s="18" t="n"/>
      <c r="AQ386" s="18" t="n"/>
      <c r="AR386" s="18" t="n"/>
      <c r="AS386" s="18" t="n"/>
      <c r="AT386" s="18" t="n"/>
      <c r="AU386" s="18" t="n"/>
      <c r="AV386" s="18" t="n"/>
      <c r="AW386" s="18" t="n"/>
      <c r="AX386" s="18" t="n"/>
      <c r="AY386" s="18" t="n"/>
      <c r="AZ386" s="15" t="n"/>
    </row>
    <row r="387">
      <c r="A387" s="15" t="n"/>
      <c r="B387" s="15" t="n"/>
      <c r="C387" s="15" t="n"/>
      <c r="D387" s="15" t="n"/>
      <c r="E387" s="15" t="n"/>
      <c r="F387" s="15" t="n"/>
      <c r="G387" s="16">
        <f>IF(F387="","",IFERROR(INDEX(Stammdaten!$B$5:$B$24,MATCH(F387,Stammdaten!$A$5:$A$24,0)),"unbekannt"))</f>
        <v/>
      </c>
      <c r="H387" s="16">
        <f>IF($B387="","",IF(AY387&lt;&gt;"","abgeschlossen",IF(AND(ISNUMBER(AX387),AX387&gt;=TODAY()),"zurückgestellt",IF(OR(AND(ISNUMBER(AA387),AA387&lt;TODAY(),Z387="",AJ387=""),AND(ISNUMBER(Z387),Z387&lt;TODAY(),AJ387=""),AND(ISNUMBER(AB387),AB387&lt;TODAY(),AK387=""),AND(ISNUMBER(AC387),AC387&lt;TODAY(),AO387=""),AND(ISNUMBER(AD387),AD387&lt;TODAY(),AQ387="")),"überfällig","offen"))))</f>
        <v/>
      </c>
      <c r="I387" s="16">
        <f>IF($B387="","",IF(AY387&lt;&gt;"","—",IF(AND(ISNUMBER(AA387),AA387&lt;TODAY(),Z387="",AJ387=""),"Abnahmetermin vereinbaren – Sollfrist verstrichen",IF(AND(ISNUMBER(Z387),Z387&lt;TODAY(),AJ387=""),"Wohnungsabnahme nachtragen – Termin war fällig",IF(AND(ISNUMBER(AB387),AB387&lt;TODAY(),AK387=""),"Handwerker aufbieten – Frist verstrichen",IF(AND(ISNUMBER(AC387),AC387&lt;TODAY(),AO387=""),"Vertrag retour mahnen – Frist verstrichen",IF(AND(ISNUMBER(AD387),AD387&lt;TODAY(),AQ387=""),"Schlüsselübergabe nachtragen – Termin war fällig",IF(M387="","Haftungsdatum erfassen",IF(E387="","ex-Mieter erfassen",IF(AE387="","Kündigung bestätigen / G-Rem",IF(AF387="","Werke / EGT melden",IF(AG387="","Vorbesichtigung (oder n.e.)",IF(AH387="","VMZ aktualisieren",IF(AI387="","Inserat aufschalten",IF(AND(Z387="",AJ387=""),"Abnahmetermin vereinbaren",IF(AJ387="","Wohnungsabnahme durchführen",IF(AK387="","Handwerker aufbieten",IF(AL387="","Zustimmungserklärung einholen",IF(AM387="","Instandstellungen beauftragen",IF(R387="","Nachmieter erfassen",IF(AN387="","Vertrag versenden",IF(AO387="","Vertrag retour erfassen",IF(S387="","Vermietet per erfassen",IF(AP387="","Werke / EGT über Einzug informieren",IF(AND(AD387="",AQ387=""),"Schlüsselübergabe terminieren",IF(AQ387="","Schlüsselübergabe durchführen",IF(AR387="","Reinigung veranlassen",IF(AS387="","Namensschilder bestellen",IF(AT387="","Kaution prüfen / G-Rem mutieren",IF(AU387="","Instandstellungs-Rechnung erfassen",IF(AV387="","Schlussabrechnung erstellen",IF(AW387="","Zahlungseingang kontrollieren","Fall abschliessen"))))))))))))))))))))))))))))))))</f>
        <v/>
      </c>
      <c r="J387" s="17">
        <f>IF(M387="","",IF(S387&lt;&gt;"",MAX(0,S387-M387-1),MAX(0,TODAY()-M387)))</f>
        <v/>
      </c>
      <c r="K387" s="16">
        <f>IF($B387="","",TRIM(IF(AND(L387&lt;&gt;"",M387&lt;&gt;"",M387&lt;L387),"Haftungsdatum vor Kündigung. ","")&amp;IF(AND(S387&lt;&gt;"",M387&lt;&gt;"",S387&lt;M387),"Vermietung vor Leerstandsbeginn. ","")&amp;IF(AND(Z387&lt;&gt;"",L387&lt;&gt;"",Z387&lt;L387),"WA-Termin vor Kündigung. ","")&amp;IF(COUNTIFS($B$5:$B$404,$B387,$AY$5:$AY$404,"")&gt;1,"Zweiter offener Fall zum selben Objekt. ","")&amp;IF(AND($A387&lt;&gt;"",COUNTIFS($A$5:$A$404,$A387)&gt;1),"Fall-Nr. doppelt vergeben. ","")&amp;IF(E387="","ex-Mieter fehlt. ","")&amp;IF(M387="","Haftungsdatum fehlt. ","")&amp;IF(F387="","Bewirtschafter fehlt. ","")&amp;IF(AND(AY387&lt;&gt;"",AW387=""),"Abgeschlossen trotz offener Schlussabrechnung. ","")&amp;IF(AND(AY387="",S387="",ISNUMBER(J387),J387&gt;60),"Langläufer über 60 Tage. ","")))</f>
        <v/>
      </c>
      <c r="L387" s="18" t="n"/>
      <c r="M387" s="18" t="n"/>
      <c r="N387" s="19">
        <f>IF(M387="","",M387+1)</f>
        <v/>
      </c>
      <c r="O387" s="17">
        <f>IF(OR(L387="",M387=""),"",M387-L387)</f>
        <v/>
      </c>
      <c r="P387" s="16">
        <f>IF(M387="","",YEAR(M387+1)&amp;"-"&amp;TEXT(MONTH(M387+1),"00"))</f>
        <v/>
      </c>
      <c r="Q387" s="18" t="n"/>
      <c r="R387" s="15" t="n"/>
      <c r="S387" s="18" t="n"/>
      <c r="T387" s="16">
        <f>IF(U387="","",IF(LEFT(U387,1)="6","abgeschlossen",IF(OR(LEFT(U387,1)="1",LEFT(U387,1)="2"),"Kündigung &amp; Abnahme",IF(OR(LEFT(U387,1)="3",LEFT(U387,1)="4"),"Wiedervermietung","Schlussabrechnung"))))</f>
        <v/>
      </c>
      <c r="U387" s="16">
        <f>IF($B387="","",IF(AY387&lt;&gt;"","6 · abgeschlossen",IF(AW387&lt;&gt;"","5 · bereit zum Abschluss",IF(AT387&lt;&gt;"","5 · Schlussabrechnung",IF(AO387&lt;&gt;"","4 · Übergabe",IF(AM387&lt;&gt;"","3 · Neuvermietung",IF(M387&lt;&gt;"","2 · Abnahme &amp; Vermarktung","1 · Erfassung")))))))</f>
        <v/>
      </c>
      <c r="V387" s="15" t="n"/>
      <c r="W387" s="20" t="n"/>
      <c r="X387" s="15" t="n"/>
      <c r="Y387" s="15" t="n"/>
      <c r="Z387" s="18" t="n"/>
      <c r="AA387" s="19">
        <f>IF(M387="","",M387-30)</f>
        <v/>
      </c>
      <c r="AB387" s="19">
        <f>IF(ISNUMBER(AJ387),AJ387+3,"")</f>
        <v/>
      </c>
      <c r="AC387" s="18" t="n"/>
      <c r="AD387" s="18" t="n"/>
      <c r="AE387" s="18" t="n"/>
      <c r="AF387" s="18" t="n"/>
      <c r="AG387" s="18" t="n"/>
      <c r="AH387" s="18" t="n"/>
      <c r="AI387" s="18" t="n"/>
      <c r="AJ387" s="18" t="n"/>
      <c r="AK387" s="18" t="n"/>
      <c r="AL387" s="18" t="n"/>
      <c r="AM387" s="18" t="n"/>
      <c r="AN387" s="18" t="n"/>
      <c r="AO387" s="18" t="n"/>
      <c r="AP387" s="18" t="n"/>
      <c r="AQ387" s="18" t="n"/>
      <c r="AR387" s="18" t="n"/>
      <c r="AS387" s="18" t="n"/>
      <c r="AT387" s="18" t="n"/>
      <c r="AU387" s="18" t="n"/>
      <c r="AV387" s="18" t="n"/>
      <c r="AW387" s="18" t="n"/>
      <c r="AX387" s="18" t="n"/>
      <c r="AY387" s="18" t="n"/>
      <c r="AZ387" s="15" t="n"/>
    </row>
    <row r="388">
      <c r="A388" s="15" t="n"/>
      <c r="B388" s="15" t="n"/>
      <c r="C388" s="15" t="n"/>
      <c r="D388" s="15" t="n"/>
      <c r="E388" s="15" t="n"/>
      <c r="F388" s="15" t="n"/>
      <c r="G388" s="16">
        <f>IF(F388="","",IFERROR(INDEX(Stammdaten!$B$5:$B$24,MATCH(F388,Stammdaten!$A$5:$A$24,0)),"unbekannt"))</f>
        <v/>
      </c>
      <c r="H388" s="16">
        <f>IF($B388="","",IF(AY388&lt;&gt;"","abgeschlossen",IF(AND(ISNUMBER(AX388),AX388&gt;=TODAY()),"zurückgestellt",IF(OR(AND(ISNUMBER(AA388),AA388&lt;TODAY(),Z388="",AJ388=""),AND(ISNUMBER(Z388),Z388&lt;TODAY(),AJ388=""),AND(ISNUMBER(AB388),AB388&lt;TODAY(),AK388=""),AND(ISNUMBER(AC388),AC388&lt;TODAY(),AO388=""),AND(ISNUMBER(AD388),AD388&lt;TODAY(),AQ388="")),"überfällig","offen"))))</f>
        <v/>
      </c>
      <c r="I388" s="16">
        <f>IF($B388="","",IF(AY388&lt;&gt;"","—",IF(AND(ISNUMBER(AA388),AA388&lt;TODAY(),Z388="",AJ388=""),"Abnahmetermin vereinbaren – Sollfrist verstrichen",IF(AND(ISNUMBER(Z388),Z388&lt;TODAY(),AJ388=""),"Wohnungsabnahme nachtragen – Termin war fällig",IF(AND(ISNUMBER(AB388),AB388&lt;TODAY(),AK388=""),"Handwerker aufbieten – Frist verstrichen",IF(AND(ISNUMBER(AC388),AC388&lt;TODAY(),AO388=""),"Vertrag retour mahnen – Frist verstrichen",IF(AND(ISNUMBER(AD388),AD388&lt;TODAY(),AQ388=""),"Schlüsselübergabe nachtragen – Termin war fällig",IF(M388="","Haftungsdatum erfassen",IF(E388="","ex-Mieter erfassen",IF(AE388="","Kündigung bestätigen / G-Rem",IF(AF388="","Werke / EGT melden",IF(AG388="","Vorbesichtigung (oder n.e.)",IF(AH388="","VMZ aktualisieren",IF(AI388="","Inserat aufschalten",IF(AND(Z388="",AJ388=""),"Abnahmetermin vereinbaren",IF(AJ388="","Wohnungsabnahme durchführen",IF(AK388="","Handwerker aufbieten",IF(AL388="","Zustimmungserklärung einholen",IF(AM388="","Instandstellungen beauftragen",IF(R388="","Nachmieter erfassen",IF(AN388="","Vertrag versenden",IF(AO388="","Vertrag retour erfassen",IF(S388="","Vermietet per erfassen",IF(AP388="","Werke / EGT über Einzug informieren",IF(AND(AD388="",AQ388=""),"Schlüsselübergabe terminieren",IF(AQ388="","Schlüsselübergabe durchführen",IF(AR388="","Reinigung veranlassen",IF(AS388="","Namensschilder bestellen",IF(AT388="","Kaution prüfen / G-Rem mutieren",IF(AU388="","Instandstellungs-Rechnung erfassen",IF(AV388="","Schlussabrechnung erstellen",IF(AW388="","Zahlungseingang kontrollieren","Fall abschliessen"))))))))))))))))))))))))))))))))</f>
        <v/>
      </c>
      <c r="J388" s="17">
        <f>IF(M388="","",IF(S388&lt;&gt;"",MAX(0,S388-M388-1),MAX(0,TODAY()-M388)))</f>
        <v/>
      </c>
      <c r="K388" s="16">
        <f>IF($B388="","",TRIM(IF(AND(L388&lt;&gt;"",M388&lt;&gt;"",M388&lt;L388),"Haftungsdatum vor Kündigung. ","")&amp;IF(AND(S388&lt;&gt;"",M388&lt;&gt;"",S388&lt;M388),"Vermietung vor Leerstandsbeginn. ","")&amp;IF(AND(Z388&lt;&gt;"",L388&lt;&gt;"",Z388&lt;L388),"WA-Termin vor Kündigung. ","")&amp;IF(COUNTIFS($B$5:$B$404,$B388,$AY$5:$AY$404,"")&gt;1,"Zweiter offener Fall zum selben Objekt. ","")&amp;IF(AND($A388&lt;&gt;"",COUNTIFS($A$5:$A$404,$A388)&gt;1),"Fall-Nr. doppelt vergeben. ","")&amp;IF(E388="","ex-Mieter fehlt. ","")&amp;IF(M388="","Haftungsdatum fehlt. ","")&amp;IF(F388="","Bewirtschafter fehlt. ","")&amp;IF(AND(AY388&lt;&gt;"",AW388=""),"Abgeschlossen trotz offener Schlussabrechnung. ","")&amp;IF(AND(AY388="",S388="",ISNUMBER(J388),J388&gt;60),"Langläufer über 60 Tage. ","")))</f>
        <v/>
      </c>
      <c r="L388" s="18" t="n"/>
      <c r="M388" s="18" t="n"/>
      <c r="N388" s="19">
        <f>IF(M388="","",M388+1)</f>
        <v/>
      </c>
      <c r="O388" s="17">
        <f>IF(OR(L388="",M388=""),"",M388-L388)</f>
        <v/>
      </c>
      <c r="P388" s="16">
        <f>IF(M388="","",YEAR(M388+1)&amp;"-"&amp;TEXT(MONTH(M388+1),"00"))</f>
        <v/>
      </c>
      <c r="Q388" s="18" t="n"/>
      <c r="R388" s="15" t="n"/>
      <c r="S388" s="18" t="n"/>
      <c r="T388" s="16">
        <f>IF(U388="","",IF(LEFT(U388,1)="6","abgeschlossen",IF(OR(LEFT(U388,1)="1",LEFT(U388,1)="2"),"Kündigung &amp; Abnahme",IF(OR(LEFT(U388,1)="3",LEFT(U388,1)="4"),"Wiedervermietung","Schlussabrechnung"))))</f>
        <v/>
      </c>
      <c r="U388" s="16">
        <f>IF($B388="","",IF(AY388&lt;&gt;"","6 · abgeschlossen",IF(AW388&lt;&gt;"","5 · bereit zum Abschluss",IF(AT388&lt;&gt;"","5 · Schlussabrechnung",IF(AO388&lt;&gt;"","4 · Übergabe",IF(AM388&lt;&gt;"","3 · Neuvermietung",IF(M388&lt;&gt;"","2 · Abnahme &amp; Vermarktung","1 · Erfassung")))))))</f>
        <v/>
      </c>
      <c r="V388" s="15" t="n"/>
      <c r="W388" s="20" t="n"/>
      <c r="X388" s="15" t="n"/>
      <c r="Y388" s="15" t="n"/>
      <c r="Z388" s="18" t="n"/>
      <c r="AA388" s="19">
        <f>IF(M388="","",M388-30)</f>
        <v/>
      </c>
      <c r="AB388" s="19">
        <f>IF(ISNUMBER(AJ388),AJ388+3,"")</f>
        <v/>
      </c>
      <c r="AC388" s="18" t="n"/>
      <c r="AD388" s="18" t="n"/>
      <c r="AE388" s="18" t="n"/>
      <c r="AF388" s="18" t="n"/>
      <c r="AG388" s="18" t="n"/>
      <c r="AH388" s="18" t="n"/>
      <c r="AI388" s="18" t="n"/>
      <c r="AJ388" s="18" t="n"/>
      <c r="AK388" s="18" t="n"/>
      <c r="AL388" s="18" t="n"/>
      <c r="AM388" s="18" t="n"/>
      <c r="AN388" s="18" t="n"/>
      <c r="AO388" s="18" t="n"/>
      <c r="AP388" s="18" t="n"/>
      <c r="AQ388" s="18" t="n"/>
      <c r="AR388" s="18" t="n"/>
      <c r="AS388" s="18" t="n"/>
      <c r="AT388" s="18" t="n"/>
      <c r="AU388" s="18" t="n"/>
      <c r="AV388" s="18" t="n"/>
      <c r="AW388" s="18" t="n"/>
      <c r="AX388" s="18" t="n"/>
      <c r="AY388" s="18" t="n"/>
      <c r="AZ388" s="15" t="n"/>
    </row>
    <row r="389">
      <c r="A389" s="15" t="n"/>
      <c r="B389" s="15" t="n"/>
      <c r="C389" s="15" t="n"/>
      <c r="D389" s="15" t="n"/>
      <c r="E389" s="15" t="n"/>
      <c r="F389" s="15" t="n"/>
      <c r="G389" s="16">
        <f>IF(F389="","",IFERROR(INDEX(Stammdaten!$B$5:$B$24,MATCH(F389,Stammdaten!$A$5:$A$24,0)),"unbekannt"))</f>
        <v/>
      </c>
      <c r="H389" s="16">
        <f>IF($B389="","",IF(AY389&lt;&gt;"","abgeschlossen",IF(AND(ISNUMBER(AX389),AX389&gt;=TODAY()),"zurückgestellt",IF(OR(AND(ISNUMBER(AA389),AA389&lt;TODAY(),Z389="",AJ389=""),AND(ISNUMBER(Z389),Z389&lt;TODAY(),AJ389=""),AND(ISNUMBER(AB389),AB389&lt;TODAY(),AK389=""),AND(ISNUMBER(AC389),AC389&lt;TODAY(),AO389=""),AND(ISNUMBER(AD389),AD389&lt;TODAY(),AQ389="")),"überfällig","offen"))))</f>
        <v/>
      </c>
      <c r="I389" s="16">
        <f>IF($B389="","",IF(AY389&lt;&gt;"","—",IF(AND(ISNUMBER(AA389),AA389&lt;TODAY(),Z389="",AJ389=""),"Abnahmetermin vereinbaren – Sollfrist verstrichen",IF(AND(ISNUMBER(Z389),Z389&lt;TODAY(),AJ389=""),"Wohnungsabnahme nachtragen – Termin war fällig",IF(AND(ISNUMBER(AB389),AB389&lt;TODAY(),AK389=""),"Handwerker aufbieten – Frist verstrichen",IF(AND(ISNUMBER(AC389),AC389&lt;TODAY(),AO389=""),"Vertrag retour mahnen – Frist verstrichen",IF(AND(ISNUMBER(AD389),AD389&lt;TODAY(),AQ389=""),"Schlüsselübergabe nachtragen – Termin war fällig",IF(M389="","Haftungsdatum erfassen",IF(E389="","ex-Mieter erfassen",IF(AE389="","Kündigung bestätigen / G-Rem",IF(AF389="","Werke / EGT melden",IF(AG389="","Vorbesichtigung (oder n.e.)",IF(AH389="","VMZ aktualisieren",IF(AI389="","Inserat aufschalten",IF(AND(Z389="",AJ389=""),"Abnahmetermin vereinbaren",IF(AJ389="","Wohnungsabnahme durchführen",IF(AK389="","Handwerker aufbieten",IF(AL389="","Zustimmungserklärung einholen",IF(AM389="","Instandstellungen beauftragen",IF(R389="","Nachmieter erfassen",IF(AN389="","Vertrag versenden",IF(AO389="","Vertrag retour erfassen",IF(S389="","Vermietet per erfassen",IF(AP389="","Werke / EGT über Einzug informieren",IF(AND(AD389="",AQ389=""),"Schlüsselübergabe terminieren",IF(AQ389="","Schlüsselübergabe durchführen",IF(AR389="","Reinigung veranlassen",IF(AS389="","Namensschilder bestellen",IF(AT389="","Kaution prüfen / G-Rem mutieren",IF(AU389="","Instandstellungs-Rechnung erfassen",IF(AV389="","Schlussabrechnung erstellen",IF(AW389="","Zahlungseingang kontrollieren","Fall abschliessen"))))))))))))))))))))))))))))))))</f>
        <v/>
      </c>
      <c r="J389" s="17">
        <f>IF(M389="","",IF(S389&lt;&gt;"",MAX(0,S389-M389-1),MAX(0,TODAY()-M389)))</f>
        <v/>
      </c>
      <c r="K389" s="16">
        <f>IF($B389="","",TRIM(IF(AND(L389&lt;&gt;"",M389&lt;&gt;"",M389&lt;L389),"Haftungsdatum vor Kündigung. ","")&amp;IF(AND(S389&lt;&gt;"",M389&lt;&gt;"",S389&lt;M389),"Vermietung vor Leerstandsbeginn. ","")&amp;IF(AND(Z389&lt;&gt;"",L389&lt;&gt;"",Z389&lt;L389),"WA-Termin vor Kündigung. ","")&amp;IF(COUNTIFS($B$5:$B$404,$B389,$AY$5:$AY$404,"")&gt;1,"Zweiter offener Fall zum selben Objekt. ","")&amp;IF(AND($A389&lt;&gt;"",COUNTIFS($A$5:$A$404,$A389)&gt;1),"Fall-Nr. doppelt vergeben. ","")&amp;IF(E389="","ex-Mieter fehlt. ","")&amp;IF(M389="","Haftungsdatum fehlt. ","")&amp;IF(F389="","Bewirtschafter fehlt. ","")&amp;IF(AND(AY389&lt;&gt;"",AW389=""),"Abgeschlossen trotz offener Schlussabrechnung. ","")&amp;IF(AND(AY389="",S389="",ISNUMBER(J389),J389&gt;60),"Langläufer über 60 Tage. ","")))</f>
        <v/>
      </c>
      <c r="L389" s="18" t="n"/>
      <c r="M389" s="18" t="n"/>
      <c r="N389" s="19">
        <f>IF(M389="","",M389+1)</f>
        <v/>
      </c>
      <c r="O389" s="17">
        <f>IF(OR(L389="",M389=""),"",M389-L389)</f>
        <v/>
      </c>
      <c r="P389" s="16">
        <f>IF(M389="","",YEAR(M389+1)&amp;"-"&amp;TEXT(MONTH(M389+1),"00"))</f>
        <v/>
      </c>
      <c r="Q389" s="18" t="n"/>
      <c r="R389" s="15" t="n"/>
      <c r="S389" s="18" t="n"/>
      <c r="T389" s="16">
        <f>IF(U389="","",IF(LEFT(U389,1)="6","abgeschlossen",IF(OR(LEFT(U389,1)="1",LEFT(U389,1)="2"),"Kündigung &amp; Abnahme",IF(OR(LEFT(U389,1)="3",LEFT(U389,1)="4"),"Wiedervermietung","Schlussabrechnung"))))</f>
        <v/>
      </c>
      <c r="U389" s="16">
        <f>IF($B389="","",IF(AY389&lt;&gt;"","6 · abgeschlossen",IF(AW389&lt;&gt;"","5 · bereit zum Abschluss",IF(AT389&lt;&gt;"","5 · Schlussabrechnung",IF(AO389&lt;&gt;"","4 · Übergabe",IF(AM389&lt;&gt;"","3 · Neuvermietung",IF(M389&lt;&gt;"","2 · Abnahme &amp; Vermarktung","1 · Erfassung")))))))</f>
        <v/>
      </c>
      <c r="V389" s="15" t="n"/>
      <c r="W389" s="20" t="n"/>
      <c r="X389" s="15" t="n"/>
      <c r="Y389" s="15" t="n"/>
      <c r="Z389" s="18" t="n"/>
      <c r="AA389" s="19">
        <f>IF(M389="","",M389-30)</f>
        <v/>
      </c>
      <c r="AB389" s="19">
        <f>IF(ISNUMBER(AJ389),AJ389+3,"")</f>
        <v/>
      </c>
      <c r="AC389" s="18" t="n"/>
      <c r="AD389" s="18" t="n"/>
      <c r="AE389" s="18" t="n"/>
      <c r="AF389" s="18" t="n"/>
      <c r="AG389" s="18" t="n"/>
      <c r="AH389" s="18" t="n"/>
      <c r="AI389" s="18" t="n"/>
      <c r="AJ389" s="18" t="n"/>
      <c r="AK389" s="18" t="n"/>
      <c r="AL389" s="18" t="n"/>
      <c r="AM389" s="18" t="n"/>
      <c r="AN389" s="18" t="n"/>
      <c r="AO389" s="18" t="n"/>
      <c r="AP389" s="18" t="n"/>
      <c r="AQ389" s="18" t="n"/>
      <c r="AR389" s="18" t="n"/>
      <c r="AS389" s="18" t="n"/>
      <c r="AT389" s="18" t="n"/>
      <c r="AU389" s="18" t="n"/>
      <c r="AV389" s="18" t="n"/>
      <c r="AW389" s="18" t="n"/>
      <c r="AX389" s="18" t="n"/>
      <c r="AY389" s="18" t="n"/>
      <c r="AZ389" s="15" t="n"/>
    </row>
    <row r="390">
      <c r="A390" s="15" t="n"/>
      <c r="B390" s="15" t="n"/>
      <c r="C390" s="15" t="n"/>
      <c r="D390" s="15" t="n"/>
      <c r="E390" s="15" t="n"/>
      <c r="F390" s="15" t="n"/>
      <c r="G390" s="16">
        <f>IF(F390="","",IFERROR(INDEX(Stammdaten!$B$5:$B$24,MATCH(F390,Stammdaten!$A$5:$A$24,0)),"unbekannt"))</f>
        <v/>
      </c>
      <c r="H390" s="16">
        <f>IF($B390="","",IF(AY390&lt;&gt;"","abgeschlossen",IF(AND(ISNUMBER(AX390),AX390&gt;=TODAY()),"zurückgestellt",IF(OR(AND(ISNUMBER(AA390),AA390&lt;TODAY(),Z390="",AJ390=""),AND(ISNUMBER(Z390),Z390&lt;TODAY(),AJ390=""),AND(ISNUMBER(AB390),AB390&lt;TODAY(),AK390=""),AND(ISNUMBER(AC390),AC390&lt;TODAY(),AO390=""),AND(ISNUMBER(AD390),AD390&lt;TODAY(),AQ390="")),"überfällig","offen"))))</f>
        <v/>
      </c>
      <c r="I390" s="16">
        <f>IF($B390="","",IF(AY390&lt;&gt;"","—",IF(AND(ISNUMBER(AA390),AA390&lt;TODAY(),Z390="",AJ390=""),"Abnahmetermin vereinbaren – Sollfrist verstrichen",IF(AND(ISNUMBER(Z390),Z390&lt;TODAY(),AJ390=""),"Wohnungsabnahme nachtragen – Termin war fällig",IF(AND(ISNUMBER(AB390),AB390&lt;TODAY(),AK390=""),"Handwerker aufbieten – Frist verstrichen",IF(AND(ISNUMBER(AC390),AC390&lt;TODAY(),AO390=""),"Vertrag retour mahnen – Frist verstrichen",IF(AND(ISNUMBER(AD390),AD390&lt;TODAY(),AQ390=""),"Schlüsselübergabe nachtragen – Termin war fällig",IF(M390="","Haftungsdatum erfassen",IF(E390="","ex-Mieter erfassen",IF(AE390="","Kündigung bestätigen / G-Rem",IF(AF390="","Werke / EGT melden",IF(AG390="","Vorbesichtigung (oder n.e.)",IF(AH390="","VMZ aktualisieren",IF(AI390="","Inserat aufschalten",IF(AND(Z390="",AJ390=""),"Abnahmetermin vereinbaren",IF(AJ390="","Wohnungsabnahme durchführen",IF(AK390="","Handwerker aufbieten",IF(AL390="","Zustimmungserklärung einholen",IF(AM390="","Instandstellungen beauftragen",IF(R390="","Nachmieter erfassen",IF(AN390="","Vertrag versenden",IF(AO390="","Vertrag retour erfassen",IF(S390="","Vermietet per erfassen",IF(AP390="","Werke / EGT über Einzug informieren",IF(AND(AD390="",AQ390=""),"Schlüsselübergabe terminieren",IF(AQ390="","Schlüsselübergabe durchführen",IF(AR390="","Reinigung veranlassen",IF(AS390="","Namensschilder bestellen",IF(AT390="","Kaution prüfen / G-Rem mutieren",IF(AU390="","Instandstellungs-Rechnung erfassen",IF(AV390="","Schlussabrechnung erstellen",IF(AW390="","Zahlungseingang kontrollieren","Fall abschliessen"))))))))))))))))))))))))))))))))</f>
        <v/>
      </c>
      <c r="J390" s="17">
        <f>IF(M390="","",IF(S390&lt;&gt;"",MAX(0,S390-M390-1),MAX(0,TODAY()-M390)))</f>
        <v/>
      </c>
      <c r="K390" s="16">
        <f>IF($B390="","",TRIM(IF(AND(L390&lt;&gt;"",M390&lt;&gt;"",M390&lt;L390),"Haftungsdatum vor Kündigung. ","")&amp;IF(AND(S390&lt;&gt;"",M390&lt;&gt;"",S390&lt;M390),"Vermietung vor Leerstandsbeginn. ","")&amp;IF(AND(Z390&lt;&gt;"",L390&lt;&gt;"",Z390&lt;L390),"WA-Termin vor Kündigung. ","")&amp;IF(COUNTIFS($B$5:$B$404,$B390,$AY$5:$AY$404,"")&gt;1,"Zweiter offener Fall zum selben Objekt. ","")&amp;IF(AND($A390&lt;&gt;"",COUNTIFS($A$5:$A$404,$A390)&gt;1),"Fall-Nr. doppelt vergeben. ","")&amp;IF(E390="","ex-Mieter fehlt. ","")&amp;IF(M390="","Haftungsdatum fehlt. ","")&amp;IF(F390="","Bewirtschafter fehlt. ","")&amp;IF(AND(AY390&lt;&gt;"",AW390=""),"Abgeschlossen trotz offener Schlussabrechnung. ","")&amp;IF(AND(AY390="",S390="",ISNUMBER(J390),J390&gt;60),"Langläufer über 60 Tage. ","")))</f>
        <v/>
      </c>
      <c r="L390" s="18" t="n"/>
      <c r="M390" s="18" t="n"/>
      <c r="N390" s="19">
        <f>IF(M390="","",M390+1)</f>
        <v/>
      </c>
      <c r="O390" s="17">
        <f>IF(OR(L390="",M390=""),"",M390-L390)</f>
        <v/>
      </c>
      <c r="P390" s="16">
        <f>IF(M390="","",YEAR(M390+1)&amp;"-"&amp;TEXT(MONTH(M390+1),"00"))</f>
        <v/>
      </c>
      <c r="Q390" s="18" t="n"/>
      <c r="R390" s="15" t="n"/>
      <c r="S390" s="18" t="n"/>
      <c r="T390" s="16">
        <f>IF(U390="","",IF(LEFT(U390,1)="6","abgeschlossen",IF(OR(LEFT(U390,1)="1",LEFT(U390,1)="2"),"Kündigung &amp; Abnahme",IF(OR(LEFT(U390,1)="3",LEFT(U390,1)="4"),"Wiedervermietung","Schlussabrechnung"))))</f>
        <v/>
      </c>
      <c r="U390" s="16">
        <f>IF($B390="","",IF(AY390&lt;&gt;"","6 · abgeschlossen",IF(AW390&lt;&gt;"","5 · bereit zum Abschluss",IF(AT390&lt;&gt;"","5 · Schlussabrechnung",IF(AO390&lt;&gt;"","4 · Übergabe",IF(AM390&lt;&gt;"","3 · Neuvermietung",IF(M390&lt;&gt;"","2 · Abnahme &amp; Vermarktung","1 · Erfassung")))))))</f>
        <v/>
      </c>
      <c r="V390" s="15" t="n"/>
      <c r="W390" s="20" t="n"/>
      <c r="X390" s="15" t="n"/>
      <c r="Y390" s="15" t="n"/>
      <c r="Z390" s="18" t="n"/>
      <c r="AA390" s="19">
        <f>IF(M390="","",M390-30)</f>
        <v/>
      </c>
      <c r="AB390" s="19">
        <f>IF(ISNUMBER(AJ390),AJ390+3,"")</f>
        <v/>
      </c>
      <c r="AC390" s="18" t="n"/>
      <c r="AD390" s="18" t="n"/>
      <c r="AE390" s="18" t="n"/>
      <c r="AF390" s="18" t="n"/>
      <c r="AG390" s="18" t="n"/>
      <c r="AH390" s="18" t="n"/>
      <c r="AI390" s="18" t="n"/>
      <c r="AJ390" s="18" t="n"/>
      <c r="AK390" s="18" t="n"/>
      <c r="AL390" s="18" t="n"/>
      <c r="AM390" s="18" t="n"/>
      <c r="AN390" s="18" t="n"/>
      <c r="AO390" s="18" t="n"/>
      <c r="AP390" s="18" t="n"/>
      <c r="AQ390" s="18" t="n"/>
      <c r="AR390" s="18" t="n"/>
      <c r="AS390" s="18" t="n"/>
      <c r="AT390" s="18" t="n"/>
      <c r="AU390" s="18" t="n"/>
      <c r="AV390" s="18" t="n"/>
      <c r="AW390" s="18" t="n"/>
      <c r="AX390" s="18" t="n"/>
      <c r="AY390" s="18" t="n"/>
      <c r="AZ390" s="15" t="n"/>
    </row>
    <row r="391">
      <c r="A391" s="15" t="n"/>
      <c r="B391" s="15" t="n"/>
      <c r="C391" s="15" t="n"/>
      <c r="D391" s="15" t="n"/>
      <c r="E391" s="15" t="n"/>
      <c r="F391" s="15" t="n"/>
      <c r="G391" s="16">
        <f>IF(F391="","",IFERROR(INDEX(Stammdaten!$B$5:$B$24,MATCH(F391,Stammdaten!$A$5:$A$24,0)),"unbekannt"))</f>
        <v/>
      </c>
      <c r="H391" s="16">
        <f>IF($B391="","",IF(AY391&lt;&gt;"","abgeschlossen",IF(AND(ISNUMBER(AX391),AX391&gt;=TODAY()),"zurückgestellt",IF(OR(AND(ISNUMBER(AA391),AA391&lt;TODAY(),Z391="",AJ391=""),AND(ISNUMBER(Z391),Z391&lt;TODAY(),AJ391=""),AND(ISNUMBER(AB391),AB391&lt;TODAY(),AK391=""),AND(ISNUMBER(AC391),AC391&lt;TODAY(),AO391=""),AND(ISNUMBER(AD391),AD391&lt;TODAY(),AQ391="")),"überfällig","offen"))))</f>
        <v/>
      </c>
      <c r="I391" s="16">
        <f>IF($B391="","",IF(AY391&lt;&gt;"","—",IF(AND(ISNUMBER(AA391),AA391&lt;TODAY(),Z391="",AJ391=""),"Abnahmetermin vereinbaren – Sollfrist verstrichen",IF(AND(ISNUMBER(Z391),Z391&lt;TODAY(),AJ391=""),"Wohnungsabnahme nachtragen – Termin war fällig",IF(AND(ISNUMBER(AB391),AB391&lt;TODAY(),AK391=""),"Handwerker aufbieten – Frist verstrichen",IF(AND(ISNUMBER(AC391),AC391&lt;TODAY(),AO391=""),"Vertrag retour mahnen – Frist verstrichen",IF(AND(ISNUMBER(AD391),AD391&lt;TODAY(),AQ391=""),"Schlüsselübergabe nachtragen – Termin war fällig",IF(M391="","Haftungsdatum erfassen",IF(E391="","ex-Mieter erfassen",IF(AE391="","Kündigung bestätigen / G-Rem",IF(AF391="","Werke / EGT melden",IF(AG391="","Vorbesichtigung (oder n.e.)",IF(AH391="","VMZ aktualisieren",IF(AI391="","Inserat aufschalten",IF(AND(Z391="",AJ391=""),"Abnahmetermin vereinbaren",IF(AJ391="","Wohnungsabnahme durchführen",IF(AK391="","Handwerker aufbieten",IF(AL391="","Zustimmungserklärung einholen",IF(AM391="","Instandstellungen beauftragen",IF(R391="","Nachmieter erfassen",IF(AN391="","Vertrag versenden",IF(AO391="","Vertrag retour erfassen",IF(S391="","Vermietet per erfassen",IF(AP391="","Werke / EGT über Einzug informieren",IF(AND(AD391="",AQ391=""),"Schlüsselübergabe terminieren",IF(AQ391="","Schlüsselübergabe durchführen",IF(AR391="","Reinigung veranlassen",IF(AS391="","Namensschilder bestellen",IF(AT391="","Kaution prüfen / G-Rem mutieren",IF(AU391="","Instandstellungs-Rechnung erfassen",IF(AV391="","Schlussabrechnung erstellen",IF(AW391="","Zahlungseingang kontrollieren","Fall abschliessen"))))))))))))))))))))))))))))))))</f>
        <v/>
      </c>
      <c r="J391" s="17">
        <f>IF(M391="","",IF(S391&lt;&gt;"",MAX(0,S391-M391-1),MAX(0,TODAY()-M391)))</f>
        <v/>
      </c>
      <c r="K391" s="16">
        <f>IF($B391="","",TRIM(IF(AND(L391&lt;&gt;"",M391&lt;&gt;"",M391&lt;L391),"Haftungsdatum vor Kündigung. ","")&amp;IF(AND(S391&lt;&gt;"",M391&lt;&gt;"",S391&lt;M391),"Vermietung vor Leerstandsbeginn. ","")&amp;IF(AND(Z391&lt;&gt;"",L391&lt;&gt;"",Z391&lt;L391),"WA-Termin vor Kündigung. ","")&amp;IF(COUNTIFS($B$5:$B$404,$B391,$AY$5:$AY$404,"")&gt;1,"Zweiter offener Fall zum selben Objekt. ","")&amp;IF(AND($A391&lt;&gt;"",COUNTIFS($A$5:$A$404,$A391)&gt;1),"Fall-Nr. doppelt vergeben. ","")&amp;IF(E391="","ex-Mieter fehlt. ","")&amp;IF(M391="","Haftungsdatum fehlt. ","")&amp;IF(F391="","Bewirtschafter fehlt. ","")&amp;IF(AND(AY391&lt;&gt;"",AW391=""),"Abgeschlossen trotz offener Schlussabrechnung. ","")&amp;IF(AND(AY391="",S391="",ISNUMBER(J391),J391&gt;60),"Langläufer über 60 Tage. ","")))</f>
        <v/>
      </c>
      <c r="L391" s="18" t="n"/>
      <c r="M391" s="18" t="n"/>
      <c r="N391" s="19">
        <f>IF(M391="","",M391+1)</f>
        <v/>
      </c>
      <c r="O391" s="17">
        <f>IF(OR(L391="",M391=""),"",M391-L391)</f>
        <v/>
      </c>
      <c r="P391" s="16">
        <f>IF(M391="","",YEAR(M391+1)&amp;"-"&amp;TEXT(MONTH(M391+1),"00"))</f>
        <v/>
      </c>
      <c r="Q391" s="18" t="n"/>
      <c r="R391" s="15" t="n"/>
      <c r="S391" s="18" t="n"/>
      <c r="T391" s="16">
        <f>IF(U391="","",IF(LEFT(U391,1)="6","abgeschlossen",IF(OR(LEFT(U391,1)="1",LEFT(U391,1)="2"),"Kündigung &amp; Abnahme",IF(OR(LEFT(U391,1)="3",LEFT(U391,1)="4"),"Wiedervermietung","Schlussabrechnung"))))</f>
        <v/>
      </c>
      <c r="U391" s="16">
        <f>IF($B391="","",IF(AY391&lt;&gt;"","6 · abgeschlossen",IF(AW391&lt;&gt;"","5 · bereit zum Abschluss",IF(AT391&lt;&gt;"","5 · Schlussabrechnung",IF(AO391&lt;&gt;"","4 · Übergabe",IF(AM391&lt;&gt;"","3 · Neuvermietung",IF(M391&lt;&gt;"","2 · Abnahme &amp; Vermarktung","1 · Erfassung")))))))</f>
        <v/>
      </c>
      <c r="V391" s="15" t="n"/>
      <c r="W391" s="20" t="n"/>
      <c r="X391" s="15" t="n"/>
      <c r="Y391" s="15" t="n"/>
      <c r="Z391" s="18" t="n"/>
      <c r="AA391" s="19">
        <f>IF(M391="","",M391-30)</f>
        <v/>
      </c>
      <c r="AB391" s="19">
        <f>IF(ISNUMBER(AJ391),AJ391+3,"")</f>
        <v/>
      </c>
      <c r="AC391" s="18" t="n"/>
      <c r="AD391" s="18" t="n"/>
      <c r="AE391" s="18" t="n"/>
      <c r="AF391" s="18" t="n"/>
      <c r="AG391" s="18" t="n"/>
      <c r="AH391" s="18" t="n"/>
      <c r="AI391" s="18" t="n"/>
      <c r="AJ391" s="18" t="n"/>
      <c r="AK391" s="18" t="n"/>
      <c r="AL391" s="18" t="n"/>
      <c r="AM391" s="18" t="n"/>
      <c r="AN391" s="18" t="n"/>
      <c r="AO391" s="18" t="n"/>
      <c r="AP391" s="18" t="n"/>
      <c r="AQ391" s="18" t="n"/>
      <c r="AR391" s="18" t="n"/>
      <c r="AS391" s="18" t="n"/>
      <c r="AT391" s="18" t="n"/>
      <c r="AU391" s="18" t="n"/>
      <c r="AV391" s="18" t="n"/>
      <c r="AW391" s="18" t="n"/>
      <c r="AX391" s="18" t="n"/>
      <c r="AY391" s="18" t="n"/>
      <c r="AZ391" s="15" t="n"/>
    </row>
    <row r="392">
      <c r="A392" s="15" t="n"/>
      <c r="B392" s="15" t="n"/>
      <c r="C392" s="15" t="n"/>
      <c r="D392" s="15" t="n"/>
      <c r="E392" s="15" t="n"/>
      <c r="F392" s="15" t="n"/>
      <c r="G392" s="16">
        <f>IF(F392="","",IFERROR(INDEX(Stammdaten!$B$5:$B$24,MATCH(F392,Stammdaten!$A$5:$A$24,0)),"unbekannt"))</f>
        <v/>
      </c>
      <c r="H392" s="16">
        <f>IF($B392="","",IF(AY392&lt;&gt;"","abgeschlossen",IF(AND(ISNUMBER(AX392),AX392&gt;=TODAY()),"zurückgestellt",IF(OR(AND(ISNUMBER(AA392),AA392&lt;TODAY(),Z392="",AJ392=""),AND(ISNUMBER(Z392),Z392&lt;TODAY(),AJ392=""),AND(ISNUMBER(AB392),AB392&lt;TODAY(),AK392=""),AND(ISNUMBER(AC392),AC392&lt;TODAY(),AO392=""),AND(ISNUMBER(AD392),AD392&lt;TODAY(),AQ392="")),"überfällig","offen"))))</f>
        <v/>
      </c>
      <c r="I392" s="16">
        <f>IF($B392="","",IF(AY392&lt;&gt;"","—",IF(AND(ISNUMBER(AA392),AA392&lt;TODAY(),Z392="",AJ392=""),"Abnahmetermin vereinbaren – Sollfrist verstrichen",IF(AND(ISNUMBER(Z392),Z392&lt;TODAY(),AJ392=""),"Wohnungsabnahme nachtragen – Termin war fällig",IF(AND(ISNUMBER(AB392),AB392&lt;TODAY(),AK392=""),"Handwerker aufbieten – Frist verstrichen",IF(AND(ISNUMBER(AC392),AC392&lt;TODAY(),AO392=""),"Vertrag retour mahnen – Frist verstrichen",IF(AND(ISNUMBER(AD392),AD392&lt;TODAY(),AQ392=""),"Schlüsselübergabe nachtragen – Termin war fällig",IF(M392="","Haftungsdatum erfassen",IF(E392="","ex-Mieter erfassen",IF(AE392="","Kündigung bestätigen / G-Rem",IF(AF392="","Werke / EGT melden",IF(AG392="","Vorbesichtigung (oder n.e.)",IF(AH392="","VMZ aktualisieren",IF(AI392="","Inserat aufschalten",IF(AND(Z392="",AJ392=""),"Abnahmetermin vereinbaren",IF(AJ392="","Wohnungsabnahme durchführen",IF(AK392="","Handwerker aufbieten",IF(AL392="","Zustimmungserklärung einholen",IF(AM392="","Instandstellungen beauftragen",IF(R392="","Nachmieter erfassen",IF(AN392="","Vertrag versenden",IF(AO392="","Vertrag retour erfassen",IF(S392="","Vermietet per erfassen",IF(AP392="","Werke / EGT über Einzug informieren",IF(AND(AD392="",AQ392=""),"Schlüsselübergabe terminieren",IF(AQ392="","Schlüsselübergabe durchführen",IF(AR392="","Reinigung veranlassen",IF(AS392="","Namensschilder bestellen",IF(AT392="","Kaution prüfen / G-Rem mutieren",IF(AU392="","Instandstellungs-Rechnung erfassen",IF(AV392="","Schlussabrechnung erstellen",IF(AW392="","Zahlungseingang kontrollieren","Fall abschliessen"))))))))))))))))))))))))))))))))</f>
        <v/>
      </c>
      <c r="J392" s="17">
        <f>IF(M392="","",IF(S392&lt;&gt;"",MAX(0,S392-M392-1),MAX(0,TODAY()-M392)))</f>
        <v/>
      </c>
      <c r="K392" s="16">
        <f>IF($B392="","",TRIM(IF(AND(L392&lt;&gt;"",M392&lt;&gt;"",M392&lt;L392),"Haftungsdatum vor Kündigung. ","")&amp;IF(AND(S392&lt;&gt;"",M392&lt;&gt;"",S392&lt;M392),"Vermietung vor Leerstandsbeginn. ","")&amp;IF(AND(Z392&lt;&gt;"",L392&lt;&gt;"",Z392&lt;L392),"WA-Termin vor Kündigung. ","")&amp;IF(COUNTIFS($B$5:$B$404,$B392,$AY$5:$AY$404,"")&gt;1,"Zweiter offener Fall zum selben Objekt. ","")&amp;IF(AND($A392&lt;&gt;"",COUNTIFS($A$5:$A$404,$A392)&gt;1),"Fall-Nr. doppelt vergeben. ","")&amp;IF(E392="","ex-Mieter fehlt. ","")&amp;IF(M392="","Haftungsdatum fehlt. ","")&amp;IF(F392="","Bewirtschafter fehlt. ","")&amp;IF(AND(AY392&lt;&gt;"",AW392=""),"Abgeschlossen trotz offener Schlussabrechnung. ","")&amp;IF(AND(AY392="",S392="",ISNUMBER(J392),J392&gt;60),"Langläufer über 60 Tage. ","")))</f>
        <v/>
      </c>
      <c r="L392" s="18" t="n"/>
      <c r="M392" s="18" t="n"/>
      <c r="N392" s="19">
        <f>IF(M392="","",M392+1)</f>
        <v/>
      </c>
      <c r="O392" s="17">
        <f>IF(OR(L392="",M392=""),"",M392-L392)</f>
        <v/>
      </c>
      <c r="P392" s="16">
        <f>IF(M392="","",YEAR(M392+1)&amp;"-"&amp;TEXT(MONTH(M392+1),"00"))</f>
        <v/>
      </c>
      <c r="Q392" s="18" t="n"/>
      <c r="R392" s="15" t="n"/>
      <c r="S392" s="18" t="n"/>
      <c r="T392" s="16">
        <f>IF(U392="","",IF(LEFT(U392,1)="6","abgeschlossen",IF(OR(LEFT(U392,1)="1",LEFT(U392,1)="2"),"Kündigung &amp; Abnahme",IF(OR(LEFT(U392,1)="3",LEFT(U392,1)="4"),"Wiedervermietung","Schlussabrechnung"))))</f>
        <v/>
      </c>
      <c r="U392" s="16">
        <f>IF($B392="","",IF(AY392&lt;&gt;"","6 · abgeschlossen",IF(AW392&lt;&gt;"","5 · bereit zum Abschluss",IF(AT392&lt;&gt;"","5 · Schlussabrechnung",IF(AO392&lt;&gt;"","4 · Übergabe",IF(AM392&lt;&gt;"","3 · Neuvermietung",IF(M392&lt;&gt;"","2 · Abnahme &amp; Vermarktung","1 · Erfassung")))))))</f>
        <v/>
      </c>
      <c r="V392" s="15" t="n"/>
      <c r="W392" s="20" t="n"/>
      <c r="X392" s="15" t="n"/>
      <c r="Y392" s="15" t="n"/>
      <c r="Z392" s="18" t="n"/>
      <c r="AA392" s="19">
        <f>IF(M392="","",M392-30)</f>
        <v/>
      </c>
      <c r="AB392" s="19">
        <f>IF(ISNUMBER(AJ392),AJ392+3,"")</f>
        <v/>
      </c>
      <c r="AC392" s="18" t="n"/>
      <c r="AD392" s="18" t="n"/>
      <c r="AE392" s="18" t="n"/>
      <c r="AF392" s="18" t="n"/>
      <c r="AG392" s="18" t="n"/>
      <c r="AH392" s="18" t="n"/>
      <c r="AI392" s="18" t="n"/>
      <c r="AJ392" s="18" t="n"/>
      <c r="AK392" s="18" t="n"/>
      <c r="AL392" s="18" t="n"/>
      <c r="AM392" s="18" t="n"/>
      <c r="AN392" s="18" t="n"/>
      <c r="AO392" s="18" t="n"/>
      <c r="AP392" s="18" t="n"/>
      <c r="AQ392" s="18" t="n"/>
      <c r="AR392" s="18" t="n"/>
      <c r="AS392" s="18" t="n"/>
      <c r="AT392" s="18" t="n"/>
      <c r="AU392" s="18" t="n"/>
      <c r="AV392" s="18" t="n"/>
      <c r="AW392" s="18" t="n"/>
      <c r="AX392" s="18" t="n"/>
      <c r="AY392" s="18" t="n"/>
      <c r="AZ392" s="15" t="n"/>
    </row>
    <row r="393">
      <c r="A393" s="15" t="n"/>
      <c r="B393" s="15" t="n"/>
      <c r="C393" s="15" t="n"/>
      <c r="D393" s="15" t="n"/>
      <c r="E393" s="15" t="n"/>
      <c r="F393" s="15" t="n"/>
      <c r="G393" s="16">
        <f>IF(F393="","",IFERROR(INDEX(Stammdaten!$B$5:$B$24,MATCH(F393,Stammdaten!$A$5:$A$24,0)),"unbekannt"))</f>
        <v/>
      </c>
      <c r="H393" s="16">
        <f>IF($B393="","",IF(AY393&lt;&gt;"","abgeschlossen",IF(AND(ISNUMBER(AX393),AX393&gt;=TODAY()),"zurückgestellt",IF(OR(AND(ISNUMBER(AA393),AA393&lt;TODAY(),Z393="",AJ393=""),AND(ISNUMBER(Z393),Z393&lt;TODAY(),AJ393=""),AND(ISNUMBER(AB393),AB393&lt;TODAY(),AK393=""),AND(ISNUMBER(AC393),AC393&lt;TODAY(),AO393=""),AND(ISNUMBER(AD393),AD393&lt;TODAY(),AQ393="")),"überfällig","offen"))))</f>
        <v/>
      </c>
      <c r="I393" s="16">
        <f>IF($B393="","",IF(AY393&lt;&gt;"","—",IF(AND(ISNUMBER(AA393),AA393&lt;TODAY(),Z393="",AJ393=""),"Abnahmetermin vereinbaren – Sollfrist verstrichen",IF(AND(ISNUMBER(Z393),Z393&lt;TODAY(),AJ393=""),"Wohnungsabnahme nachtragen – Termin war fällig",IF(AND(ISNUMBER(AB393),AB393&lt;TODAY(),AK393=""),"Handwerker aufbieten – Frist verstrichen",IF(AND(ISNUMBER(AC393),AC393&lt;TODAY(),AO393=""),"Vertrag retour mahnen – Frist verstrichen",IF(AND(ISNUMBER(AD393),AD393&lt;TODAY(),AQ393=""),"Schlüsselübergabe nachtragen – Termin war fällig",IF(M393="","Haftungsdatum erfassen",IF(E393="","ex-Mieter erfassen",IF(AE393="","Kündigung bestätigen / G-Rem",IF(AF393="","Werke / EGT melden",IF(AG393="","Vorbesichtigung (oder n.e.)",IF(AH393="","VMZ aktualisieren",IF(AI393="","Inserat aufschalten",IF(AND(Z393="",AJ393=""),"Abnahmetermin vereinbaren",IF(AJ393="","Wohnungsabnahme durchführen",IF(AK393="","Handwerker aufbieten",IF(AL393="","Zustimmungserklärung einholen",IF(AM393="","Instandstellungen beauftragen",IF(R393="","Nachmieter erfassen",IF(AN393="","Vertrag versenden",IF(AO393="","Vertrag retour erfassen",IF(S393="","Vermietet per erfassen",IF(AP393="","Werke / EGT über Einzug informieren",IF(AND(AD393="",AQ393=""),"Schlüsselübergabe terminieren",IF(AQ393="","Schlüsselübergabe durchführen",IF(AR393="","Reinigung veranlassen",IF(AS393="","Namensschilder bestellen",IF(AT393="","Kaution prüfen / G-Rem mutieren",IF(AU393="","Instandstellungs-Rechnung erfassen",IF(AV393="","Schlussabrechnung erstellen",IF(AW393="","Zahlungseingang kontrollieren","Fall abschliessen"))))))))))))))))))))))))))))))))</f>
        <v/>
      </c>
      <c r="J393" s="17">
        <f>IF(M393="","",IF(S393&lt;&gt;"",MAX(0,S393-M393-1),MAX(0,TODAY()-M393)))</f>
        <v/>
      </c>
      <c r="K393" s="16">
        <f>IF($B393="","",TRIM(IF(AND(L393&lt;&gt;"",M393&lt;&gt;"",M393&lt;L393),"Haftungsdatum vor Kündigung. ","")&amp;IF(AND(S393&lt;&gt;"",M393&lt;&gt;"",S393&lt;M393),"Vermietung vor Leerstandsbeginn. ","")&amp;IF(AND(Z393&lt;&gt;"",L393&lt;&gt;"",Z393&lt;L393),"WA-Termin vor Kündigung. ","")&amp;IF(COUNTIFS($B$5:$B$404,$B393,$AY$5:$AY$404,"")&gt;1,"Zweiter offener Fall zum selben Objekt. ","")&amp;IF(AND($A393&lt;&gt;"",COUNTIFS($A$5:$A$404,$A393)&gt;1),"Fall-Nr. doppelt vergeben. ","")&amp;IF(E393="","ex-Mieter fehlt. ","")&amp;IF(M393="","Haftungsdatum fehlt. ","")&amp;IF(F393="","Bewirtschafter fehlt. ","")&amp;IF(AND(AY393&lt;&gt;"",AW393=""),"Abgeschlossen trotz offener Schlussabrechnung. ","")&amp;IF(AND(AY393="",S393="",ISNUMBER(J393),J393&gt;60),"Langläufer über 60 Tage. ","")))</f>
        <v/>
      </c>
      <c r="L393" s="18" t="n"/>
      <c r="M393" s="18" t="n"/>
      <c r="N393" s="19">
        <f>IF(M393="","",M393+1)</f>
        <v/>
      </c>
      <c r="O393" s="17">
        <f>IF(OR(L393="",M393=""),"",M393-L393)</f>
        <v/>
      </c>
      <c r="P393" s="16">
        <f>IF(M393="","",YEAR(M393+1)&amp;"-"&amp;TEXT(MONTH(M393+1),"00"))</f>
        <v/>
      </c>
      <c r="Q393" s="18" t="n"/>
      <c r="R393" s="15" t="n"/>
      <c r="S393" s="18" t="n"/>
      <c r="T393" s="16">
        <f>IF(U393="","",IF(LEFT(U393,1)="6","abgeschlossen",IF(OR(LEFT(U393,1)="1",LEFT(U393,1)="2"),"Kündigung &amp; Abnahme",IF(OR(LEFT(U393,1)="3",LEFT(U393,1)="4"),"Wiedervermietung","Schlussabrechnung"))))</f>
        <v/>
      </c>
      <c r="U393" s="16">
        <f>IF($B393="","",IF(AY393&lt;&gt;"","6 · abgeschlossen",IF(AW393&lt;&gt;"","5 · bereit zum Abschluss",IF(AT393&lt;&gt;"","5 · Schlussabrechnung",IF(AO393&lt;&gt;"","4 · Übergabe",IF(AM393&lt;&gt;"","3 · Neuvermietung",IF(M393&lt;&gt;"","2 · Abnahme &amp; Vermarktung","1 · Erfassung")))))))</f>
        <v/>
      </c>
      <c r="V393" s="15" t="n"/>
      <c r="W393" s="20" t="n"/>
      <c r="X393" s="15" t="n"/>
      <c r="Y393" s="15" t="n"/>
      <c r="Z393" s="18" t="n"/>
      <c r="AA393" s="19">
        <f>IF(M393="","",M393-30)</f>
        <v/>
      </c>
      <c r="AB393" s="19">
        <f>IF(ISNUMBER(AJ393),AJ393+3,"")</f>
        <v/>
      </c>
      <c r="AC393" s="18" t="n"/>
      <c r="AD393" s="18" t="n"/>
      <c r="AE393" s="18" t="n"/>
      <c r="AF393" s="18" t="n"/>
      <c r="AG393" s="18" t="n"/>
      <c r="AH393" s="18" t="n"/>
      <c r="AI393" s="18" t="n"/>
      <c r="AJ393" s="18" t="n"/>
      <c r="AK393" s="18" t="n"/>
      <c r="AL393" s="18" t="n"/>
      <c r="AM393" s="18" t="n"/>
      <c r="AN393" s="18" t="n"/>
      <c r="AO393" s="18" t="n"/>
      <c r="AP393" s="18" t="n"/>
      <c r="AQ393" s="18" t="n"/>
      <c r="AR393" s="18" t="n"/>
      <c r="AS393" s="18" t="n"/>
      <c r="AT393" s="18" t="n"/>
      <c r="AU393" s="18" t="n"/>
      <c r="AV393" s="18" t="n"/>
      <c r="AW393" s="18" t="n"/>
      <c r="AX393" s="18" t="n"/>
      <c r="AY393" s="18" t="n"/>
      <c r="AZ393" s="15" t="n"/>
    </row>
    <row r="394">
      <c r="A394" s="15" t="n"/>
      <c r="B394" s="15" t="n"/>
      <c r="C394" s="15" t="n"/>
      <c r="D394" s="15" t="n"/>
      <c r="E394" s="15" t="n"/>
      <c r="F394" s="15" t="n"/>
      <c r="G394" s="16">
        <f>IF(F394="","",IFERROR(INDEX(Stammdaten!$B$5:$B$24,MATCH(F394,Stammdaten!$A$5:$A$24,0)),"unbekannt"))</f>
        <v/>
      </c>
      <c r="H394" s="16">
        <f>IF($B394="","",IF(AY394&lt;&gt;"","abgeschlossen",IF(AND(ISNUMBER(AX394),AX394&gt;=TODAY()),"zurückgestellt",IF(OR(AND(ISNUMBER(AA394),AA394&lt;TODAY(),Z394="",AJ394=""),AND(ISNUMBER(Z394),Z394&lt;TODAY(),AJ394=""),AND(ISNUMBER(AB394),AB394&lt;TODAY(),AK394=""),AND(ISNUMBER(AC394),AC394&lt;TODAY(),AO394=""),AND(ISNUMBER(AD394),AD394&lt;TODAY(),AQ394="")),"überfällig","offen"))))</f>
        <v/>
      </c>
      <c r="I394" s="16">
        <f>IF($B394="","",IF(AY394&lt;&gt;"","—",IF(AND(ISNUMBER(AA394),AA394&lt;TODAY(),Z394="",AJ394=""),"Abnahmetermin vereinbaren – Sollfrist verstrichen",IF(AND(ISNUMBER(Z394),Z394&lt;TODAY(),AJ394=""),"Wohnungsabnahme nachtragen – Termin war fällig",IF(AND(ISNUMBER(AB394),AB394&lt;TODAY(),AK394=""),"Handwerker aufbieten – Frist verstrichen",IF(AND(ISNUMBER(AC394),AC394&lt;TODAY(),AO394=""),"Vertrag retour mahnen – Frist verstrichen",IF(AND(ISNUMBER(AD394),AD394&lt;TODAY(),AQ394=""),"Schlüsselübergabe nachtragen – Termin war fällig",IF(M394="","Haftungsdatum erfassen",IF(E394="","ex-Mieter erfassen",IF(AE394="","Kündigung bestätigen / G-Rem",IF(AF394="","Werke / EGT melden",IF(AG394="","Vorbesichtigung (oder n.e.)",IF(AH394="","VMZ aktualisieren",IF(AI394="","Inserat aufschalten",IF(AND(Z394="",AJ394=""),"Abnahmetermin vereinbaren",IF(AJ394="","Wohnungsabnahme durchführen",IF(AK394="","Handwerker aufbieten",IF(AL394="","Zustimmungserklärung einholen",IF(AM394="","Instandstellungen beauftragen",IF(R394="","Nachmieter erfassen",IF(AN394="","Vertrag versenden",IF(AO394="","Vertrag retour erfassen",IF(S394="","Vermietet per erfassen",IF(AP394="","Werke / EGT über Einzug informieren",IF(AND(AD394="",AQ394=""),"Schlüsselübergabe terminieren",IF(AQ394="","Schlüsselübergabe durchführen",IF(AR394="","Reinigung veranlassen",IF(AS394="","Namensschilder bestellen",IF(AT394="","Kaution prüfen / G-Rem mutieren",IF(AU394="","Instandstellungs-Rechnung erfassen",IF(AV394="","Schlussabrechnung erstellen",IF(AW394="","Zahlungseingang kontrollieren","Fall abschliessen"))))))))))))))))))))))))))))))))</f>
        <v/>
      </c>
      <c r="J394" s="17">
        <f>IF(M394="","",IF(S394&lt;&gt;"",MAX(0,S394-M394-1),MAX(0,TODAY()-M394)))</f>
        <v/>
      </c>
      <c r="K394" s="16">
        <f>IF($B394="","",TRIM(IF(AND(L394&lt;&gt;"",M394&lt;&gt;"",M394&lt;L394),"Haftungsdatum vor Kündigung. ","")&amp;IF(AND(S394&lt;&gt;"",M394&lt;&gt;"",S394&lt;M394),"Vermietung vor Leerstandsbeginn. ","")&amp;IF(AND(Z394&lt;&gt;"",L394&lt;&gt;"",Z394&lt;L394),"WA-Termin vor Kündigung. ","")&amp;IF(COUNTIFS($B$5:$B$404,$B394,$AY$5:$AY$404,"")&gt;1,"Zweiter offener Fall zum selben Objekt. ","")&amp;IF(AND($A394&lt;&gt;"",COUNTIFS($A$5:$A$404,$A394)&gt;1),"Fall-Nr. doppelt vergeben. ","")&amp;IF(E394="","ex-Mieter fehlt. ","")&amp;IF(M394="","Haftungsdatum fehlt. ","")&amp;IF(F394="","Bewirtschafter fehlt. ","")&amp;IF(AND(AY394&lt;&gt;"",AW394=""),"Abgeschlossen trotz offener Schlussabrechnung. ","")&amp;IF(AND(AY394="",S394="",ISNUMBER(J394),J394&gt;60),"Langläufer über 60 Tage. ","")))</f>
        <v/>
      </c>
      <c r="L394" s="18" t="n"/>
      <c r="M394" s="18" t="n"/>
      <c r="N394" s="19">
        <f>IF(M394="","",M394+1)</f>
        <v/>
      </c>
      <c r="O394" s="17">
        <f>IF(OR(L394="",M394=""),"",M394-L394)</f>
        <v/>
      </c>
      <c r="P394" s="16">
        <f>IF(M394="","",YEAR(M394+1)&amp;"-"&amp;TEXT(MONTH(M394+1),"00"))</f>
        <v/>
      </c>
      <c r="Q394" s="18" t="n"/>
      <c r="R394" s="15" t="n"/>
      <c r="S394" s="18" t="n"/>
      <c r="T394" s="16">
        <f>IF(U394="","",IF(LEFT(U394,1)="6","abgeschlossen",IF(OR(LEFT(U394,1)="1",LEFT(U394,1)="2"),"Kündigung &amp; Abnahme",IF(OR(LEFT(U394,1)="3",LEFT(U394,1)="4"),"Wiedervermietung","Schlussabrechnung"))))</f>
        <v/>
      </c>
      <c r="U394" s="16">
        <f>IF($B394="","",IF(AY394&lt;&gt;"","6 · abgeschlossen",IF(AW394&lt;&gt;"","5 · bereit zum Abschluss",IF(AT394&lt;&gt;"","5 · Schlussabrechnung",IF(AO394&lt;&gt;"","4 · Übergabe",IF(AM394&lt;&gt;"","3 · Neuvermietung",IF(M394&lt;&gt;"","2 · Abnahme &amp; Vermarktung","1 · Erfassung")))))))</f>
        <v/>
      </c>
      <c r="V394" s="15" t="n"/>
      <c r="W394" s="20" t="n"/>
      <c r="X394" s="15" t="n"/>
      <c r="Y394" s="15" t="n"/>
      <c r="Z394" s="18" t="n"/>
      <c r="AA394" s="19">
        <f>IF(M394="","",M394-30)</f>
        <v/>
      </c>
      <c r="AB394" s="19">
        <f>IF(ISNUMBER(AJ394),AJ394+3,"")</f>
        <v/>
      </c>
      <c r="AC394" s="18" t="n"/>
      <c r="AD394" s="18" t="n"/>
      <c r="AE394" s="18" t="n"/>
      <c r="AF394" s="18" t="n"/>
      <c r="AG394" s="18" t="n"/>
      <c r="AH394" s="18" t="n"/>
      <c r="AI394" s="18" t="n"/>
      <c r="AJ394" s="18" t="n"/>
      <c r="AK394" s="18" t="n"/>
      <c r="AL394" s="18" t="n"/>
      <c r="AM394" s="18" t="n"/>
      <c r="AN394" s="18" t="n"/>
      <c r="AO394" s="18" t="n"/>
      <c r="AP394" s="18" t="n"/>
      <c r="AQ394" s="18" t="n"/>
      <c r="AR394" s="18" t="n"/>
      <c r="AS394" s="18" t="n"/>
      <c r="AT394" s="18" t="n"/>
      <c r="AU394" s="18" t="n"/>
      <c r="AV394" s="18" t="n"/>
      <c r="AW394" s="18" t="n"/>
      <c r="AX394" s="18" t="n"/>
      <c r="AY394" s="18" t="n"/>
      <c r="AZ394" s="15" t="n"/>
    </row>
    <row r="395">
      <c r="A395" s="15" t="n"/>
      <c r="B395" s="15" t="n"/>
      <c r="C395" s="15" t="n"/>
      <c r="D395" s="15" t="n"/>
      <c r="E395" s="15" t="n"/>
      <c r="F395" s="15" t="n"/>
      <c r="G395" s="16">
        <f>IF(F395="","",IFERROR(INDEX(Stammdaten!$B$5:$B$24,MATCH(F395,Stammdaten!$A$5:$A$24,0)),"unbekannt"))</f>
        <v/>
      </c>
      <c r="H395" s="16">
        <f>IF($B395="","",IF(AY395&lt;&gt;"","abgeschlossen",IF(AND(ISNUMBER(AX395),AX395&gt;=TODAY()),"zurückgestellt",IF(OR(AND(ISNUMBER(AA395),AA395&lt;TODAY(),Z395="",AJ395=""),AND(ISNUMBER(Z395),Z395&lt;TODAY(),AJ395=""),AND(ISNUMBER(AB395),AB395&lt;TODAY(),AK395=""),AND(ISNUMBER(AC395),AC395&lt;TODAY(),AO395=""),AND(ISNUMBER(AD395),AD395&lt;TODAY(),AQ395="")),"überfällig","offen"))))</f>
        <v/>
      </c>
      <c r="I395" s="16">
        <f>IF($B395="","",IF(AY395&lt;&gt;"","—",IF(AND(ISNUMBER(AA395),AA395&lt;TODAY(),Z395="",AJ395=""),"Abnahmetermin vereinbaren – Sollfrist verstrichen",IF(AND(ISNUMBER(Z395),Z395&lt;TODAY(),AJ395=""),"Wohnungsabnahme nachtragen – Termin war fällig",IF(AND(ISNUMBER(AB395),AB395&lt;TODAY(),AK395=""),"Handwerker aufbieten – Frist verstrichen",IF(AND(ISNUMBER(AC395),AC395&lt;TODAY(),AO395=""),"Vertrag retour mahnen – Frist verstrichen",IF(AND(ISNUMBER(AD395),AD395&lt;TODAY(),AQ395=""),"Schlüsselübergabe nachtragen – Termin war fällig",IF(M395="","Haftungsdatum erfassen",IF(E395="","ex-Mieter erfassen",IF(AE395="","Kündigung bestätigen / G-Rem",IF(AF395="","Werke / EGT melden",IF(AG395="","Vorbesichtigung (oder n.e.)",IF(AH395="","VMZ aktualisieren",IF(AI395="","Inserat aufschalten",IF(AND(Z395="",AJ395=""),"Abnahmetermin vereinbaren",IF(AJ395="","Wohnungsabnahme durchführen",IF(AK395="","Handwerker aufbieten",IF(AL395="","Zustimmungserklärung einholen",IF(AM395="","Instandstellungen beauftragen",IF(R395="","Nachmieter erfassen",IF(AN395="","Vertrag versenden",IF(AO395="","Vertrag retour erfassen",IF(S395="","Vermietet per erfassen",IF(AP395="","Werke / EGT über Einzug informieren",IF(AND(AD395="",AQ395=""),"Schlüsselübergabe terminieren",IF(AQ395="","Schlüsselübergabe durchführen",IF(AR395="","Reinigung veranlassen",IF(AS395="","Namensschilder bestellen",IF(AT395="","Kaution prüfen / G-Rem mutieren",IF(AU395="","Instandstellungs-Rechnung erfassen",IF(AV395="","Schlussabrechnung erstellen",IF(AW395="","Zahlungseingang kontrollieren","Fall abschliessen"))))))))))))))))))))))))))))))))</f>
        <v/>
      </c>
      <c r="J395" s="17">
        <f>IF(M395="","",IF(S395&lt;&gt;"",MAX(0,S395-M395-1),MAX(0,TODAY()-M395)))</f>
        <v/>
      </c>
      <c r="K395" s="16">
        <f>IF($B395="","",TRIM(IF(AND(L395&lt;&gt;"",M395&lt;&gt;"",M395&lt;L395),"Haftungsdatum vor Kündigung. ","")&amp;IF(AND(S395&lt;&gt;"",M395&lt;&gt;"",S395&lt;M395),"Vermietung vor Leerstandsbeginn. ","")&amp;IF(AND(Z395&lt;&gt;"",L395&lt;&gt;"",Z395&lt;L395),"WA-Termin vor Kündigung. ","")&amp;IF(COUNTIFS($B$5:$B$404,$B395,$AY$5:$AY$404,"")&gt;1,"Zweiter offener Fall zum selben Objekt. ","")&amp;IF(AND($A395&lt;&gt;"",COUNTIFS($A$5:$A$404,$A395)&gt;1),"Fall-Nr. doppelt vergeben. ","")&amp;IF(E395="","ex-Mieter fehlt. ","")&amp;IF(M395="","Haftungsdatum fehlt. ","")&amp;IF(F395="","Bewirtschafter fehlt. ","")&amp;IF(AND(AY395&lt;&gt;"",AW395=""),"Abgeschlossen trotz offener Schlussabrechnung. ","")&amp;IF(AND(AY395="",S395="",ISNUMBER(J395),J395&gt;60),"Langläufer über 60 Tage. ","")))</f>
        <v/>
      </c>
      <c r="L395" s="18" t="n"/>
      <c r="M395" s="18" t="n"/>
      <c r="N395" s="19">
        <f>IF(M395="","",M395+1)</f>
        <v/>
      </c>
      <c r="O395" s="17">
        <f>IF(OR(L395="",M395=""),"",M395-L395)</f>
        <v/>
      </c>
      <c r="P395" s="16">
        <f>IF(M395="","",YEAR(M395+1)&amp;"-"&amp;TEXT(MONTH(M395+1),"00"))</f>
        <v/>
      </c>
      <c r="Q395" s="18" t="n"/>
      <c r="R395" s="15" t="n"/>
      <c r="S395" s="18" t="n"/>
      <c r="T395" s="16">
        <f>IF(U395="","",IF(LEFT(U395,1)="6","abgeschlossen",IF(OR(LEFT(U395,1)="1",LEFT(U395,1)="2"),"Kündigung &amp; Abnahme",IF(OR(LEFT(U395,1)="3",LEFT(U395,1)="4"),"Wiedervermietung","Schlussabrechnung"))))</f>
        <v/>
      </c>
      <c r="U395" s="16">
        <f>IF($B395="","",IF(AY395&lt;&gt;"","6 · abgeschlossen",IF(AW395&lt;&gt;"","5 · bereit zum Abschluss",IF(AT395&lt;&gt;"","5 · Schlussabrechnung",IF(AO395&lt;&gt;"","4 · Übergabe",IF(AM395&lt;&gt;"","3 · Neuvermietung",IF(M395&lt;&gt;"","2 · Abnahme &amp; Vermarktung","1 · Erfassung")))))))</f>
        <v/>
      </c>
      <c r="V395" s="15" t="n"/>
      <c r="W395" s="20" t="n"/>
      <c r="X395" s="15" t="n"/>
      <c r="Y395" s="15" t="n"/>
      <c r="Z395" s="18" t="n"/>
      <c r="AA395" s="19">
        <f>IF(M395="","",M395-30)</f>
        <v/>
      </c>
      <c r="AB395" s="19">
        <f>IF(ISNUMBER(AJ395),AJ395+3,"")</f>
        <v/>
      </c>
      <c r="AC395" s="18" t="n"/>
      <c r="AD395" s="18" t="n"/>
      <c r="AE395" s="18" t="n"/>
      <c r="AF395" s="18" t="n"/>
      <c r="AG395" s="18" t="n"/>
      <c r="AH395" s="18" t="n"/>
      <c r="AI395" s="18" t="n"/>
      <c r="AJ395" s="18" t="n"/>
      <c r="AK395" s="18" t="n"/>
      <c r="AL395" s="18" t="n"/>
      <c r="AM395" s="18" t="n"/>
      <c r="AN395" s="18" t="n"/>
      <c r="AO395" s="18" t="n"/>
      <c r="AP395" s="18" t="n"/>
      <c r="AQ395" s="18" t="n"/>
      <c r="AR395" s="18" t="n"/>
      <c r="AS395" s="18" t="n"/>
      <c r="AT395" s="18" t="n"/>
      <c r="AU395" s="18" t="n"/>
      <c r="AV395" s="18" t="n"/>
      <c r="AW395" s="18" t="n"/>
      <c r="AX395" s="18" t="n"/>
      <c r="AY395" s="18" t="n"/>
      <c r="AZ395" s="15" t="n"/>
    </row>
    <row r="396">
      <c r="A396" s="15" t="n"/>
      <c r="B396" s="15" t="n"/>
      <c r="C396" s="15" t="n"/>
      <c r="D396" s="15" t="n"/>
      <c r="E396" s="15" t="n"/>
      <c r="F396" s="15" t="n"/>
      <c r="G396" s="16">
        <f>IF(F396="","",IFERROR(INDEX(Stammdaten!$B$5:$B$24,MATCH(F396,Stammdaten!$A$5:$A$24,0)),"unbekannt"))</f>
        <v/>
      </c>
      <c r="H396" s="16">
        <f>IF($B396="","",IF(AY396&lt;&gt;"","abgeschlossen",IF(AND(ISNUMBER(AX396),AX396&gt;=TODAY()),"zurückgestellt",IF(OR(AND(ISNUMBER(AA396),AA396&lt;TODAY(),Z396="",AJ396=""),AND(ISNUMBER(Z396),Z396&lt;TODAY(),AJ396=""),AND(ISNUMBER(AB396),AB396&lt;TODAY(),AK396=""),AND(ISNUMBER(AC396),AC396&lt;TODAY(),AO396=""),AND(ISNUMBER(AD396),AD396&lt;TODAY(),AQ396="")),"überfällig","offen"))))</f>
        <v/>
      </c>
      <c r="I396" s="16">
        <f>IF($B396="","",IF(AY396&lt;&gt;"","—",IF(AND(ISNUMBER(AA396),AA396&lt;TODAY(),Z396="",AJ396=""),"Abnahmetermin vereinbaren – Sollfrist verstrichen",IF(AND(ISNUMBER(Z396),Z396&lt;TODAY(),AJ396=""),"Wohnungsabnahme nachtragen – Termin war fällig",IF(AND(ISNUMBER(AB396),AB396&lt;TODAY(),AK396=""),"Handwerker aufbieten – Frist verstrichen",IF(AND(ISNUMBER(AC396),AC396&lt;TODAY(),AO396=""),"Vertrag retour mahnen – Frist verstrichen",IF(AND(ISNUMBER(AD396),AD396&lt;TODAY(),AQ396=""),"Schlüsselübergabe nachtragen – Termin war fällig",IF(M396="","Haftungsdatum erfassen",IF(E396="","ex-Mieter erfassen",IF(AE396="","Kündigung bestätigen / G-Rem",IF(AF396="","Werke / EGT melden",IF(AG396="","Vorbesichtigung (oder n.e.)",IF(AH396="","VMZ aktualisieren",IF(AI396="","Inserat aufschalten",IF(AND(Z396="",AJ396=""),"Abnahmetermin vereinbaren",IF(AJ396="","Wohnungsabnahme durchführen",IF(AK396="","Handwerker aufbieten",IF(AL396="","Zustimmungserklärung einholen",IF(AM396="","Instandstellungen beauftragen",IF(R396="","Nachmieter erfassen",IF(AN396="","Vertrag versenden",IF(AO396="","Vertrag retour erfassen",IF(S396="","Vermietet per erfassen",IF(AP396="","Werke / EGT über Einzug informieren",IF(AND(AD396="",AQ396=""),"Schlüsselübergabe terminieren",IF(AQ396="","Schlüsselübergabe durchführen",IF(AR396="","Reinigung veranlassen",IF(AS396="","Namensschilder bestellen",IF(AT396="","Kaution prüfen / G-Rem mutieren",IF(AU396="","Instandstellungs-Rechnung erfassen",IF(AV396="","Schlussabrechnung erstellen",IF(AW396="","Zahlungseingang kontrollieren","Fall abschliessen"))))))))))))))))))))))))))))))))</f>
        <v/>
      </c>
      <c r="J396" s="17">
        <f>IF(M396="","",IF(S396&lt;&gt;"",MAX(0,S396-M396-1),MAX(0,TODAY()-M396)))</f>
        <v/>
      </c>
      <c r="K396" s="16">
        <f>IF($B396="","",TRIM(IF(AND(L396&lt;&gt;"",M396&lt;&gt;"",M396&lt;L396),"Haftungsdatum vor Kündigung. ","")&amp;IF(AND(S396&lt;&gt;"",M396&lt;&gt;"",S396&lt;M396),"Vermietung vor Leerstandsbeginn. ","")&amp;IF(AND(Z396&lt;&gt;"",L396&lt;&gt;"",Z396&lt;L396),"WA-Termin vor Kündigung. ","")&amp;IF(COUNTIFS($B$5:$B$404,$B396,$AY$5:$AY$404,"")&gt;1,"Zweiter offener Fall zum selben Objekt. ","")&amp;IF(AND($A396&lt;&gt;"",COUNTIFS($A$5:$A$404,$A396)&gt;1),"Fall-Nr. doppelt vergeben. ","")&amp;IF(E396="","ex-Mieter fehlt. ","")&amp;IF(M396="","Haftungsdatum fehlt. ","")&amp;IF(F396="","Bewirtschafter fehlt. ","")&amp;IF(AND(AY396&lt;&gt;"",AW396=""),"Abgeschlossen trotz offener Schlussabrechnung. ","")&amp;IF(AND(AY396="",S396="",ISNUMBER(J396),J396&gt;60),"Langläufer über 60 Tage. ","")))</f>
        <v/>
      </c>
      <c r="L396" s="18" t="n"/>
      <c r="M396" s="18" t="n"/>
      <c r="N396" s="19">
        <f>IF(M396="","",M396+1)</f>
        <v/>
      </c>
      <c r="O396" s="17">
        <f>IF(OR(L396="",M396=""),"",M396-L396)</f>
        <v/>
      </c>
      <c r="P396" s="16">
        <f>IF(M396="","",YEAR(M396+1)&amp;"-"&amp;TEXT(MONTH(M396+1),"00"))</f>
        <v/>
      </c>
      <c r="Q396" s="18" t="n"/>
      <c r="R396" s="15" t="n"/>
      <c r="S396" s="18" t="n"/>
      <c r="T396" s="16">
        <f>IF(U396="","",IF(LEFT(U396,1)="6","abgeschlossen",IF(OR(LEFT(U396,1)="1",LEFT(U396,1)="2"),"Kündigung &amp; Abnahme",IF(OR(LEFT(U396,1)="3",LEFT(U396,1)="4"),"Wiedervermietung","Schlussabrechnung"))))</f>
        <v/>
      </c>
      <c r="U396" s="16">
        <f>IF($B396="","",IF(AY396&lt;&gt;"","6 · abgeschlossen",IF(AW396&lt;&gt;"","5 · bereit zum Abschluss",IF(AT396&lt;&gt;"","5 · Schlussabrechnung",IF(AO396&lt;&gt;"","4 · Übergabe",IF(AM396&lt;&gt;"","3 · Neuvermietung",IF(M396&lt;&gt;"","2 · Abnahme &amp; Vermarktung","1 · Erfassung")))))))</f>
        <v/>
      </c>
      <c r="V396" s="15" t="n"/>
      <c r="W396" s="20" t="n"/>
      <c r="X396" s="15" t="n"/>
      <c r="Y396" s="15" t="n"/>
      <c r="Z396" s="18" t="n"/>
      <c r="AA396" s="19">
        <f>IF(M396="","",M396-30)</f>
        <v/>
      </c>
      <c r="AB396" s="19">
        <f>IF(ISNUMBER(AJ396),AJ396+3,"")</f>
        <v/>
      </c>
      <c r="AC396" s="18" t="n"/>
      <c r="AD396" s="18" t="n"/>
      <c r="AE396" s="18" t="n"/>
      <c r="AF396" s="18" t="n"/>
      <c r="AG396" s="18" t="n"/>
      <c r="AH396" s="18" t="n"/>
      <c r="AI396" s="18" t="n"/>
      <c r="AJ396" s="18" t="n"/>
      <c r="AK396" s="18" t="n"/>
      <c r="AL396" s="18" t="n"/>
      <c r="AM396" s="18" t="n"/>
      <c r="AN396" s="18" t="n"/>
      <c r="AO396" s="18" t="n"/>
      <c r="AP396" s="18" t="n"/>
      <c r="AQ396" s="18" t="n"/>
      <c r="AR396" s="18" t="n"/>
      <c r="AS396" s="18" t="n"/>
      <c r="AT396" s="18" t="n"/>
      <c r="AU396" s="18" t="n"/>
      <c r="AV396" s="18" t="n"/>
      <c r="AW396" s="18" t="n"/>
      <c r="AX396" s="18" t="n"/>
      <c r="AY396" s="18" t="n"/>
      <c r="AZ396" s="15" t="n"/>
    </row>
    <row r="397">
      <c r="A397" s="15" t="n"/>
      <c r="B397" s="15" t="n"/>
      <c r="C397" s="15" t="n"/>
      <c r="D397" s="15" t="n"/>
      <c r="E397" s="15" t="n"/>
      <c r="F397" s="15" t="n"/>
      <c r="G397" s="16">
        <f>IF(F397="","",IFERROR(INDEX(Stammdaten!$B$5:$B$24,MATCH(F397,Stammdaten!$A$5:$A$24,0)),"unbekannt"))</f>
        <v/>
      </c>
      <c r="H397" s="16">
        <f>IF($B397="","",IF(AY397&lt;&gt;"","abgeschlossen",IF(AND(ISNUMBER(AX397),AX397&gt;=TODAY()),"zurückgestellt",IF(OR(AND(ISNUMBER(AA397),AA397&lt;TODAY(),Z397="",AJ397=""),AND(ISNUMBER(Z397),Z397&lt;TODAY(),AJ397=""),AND(ISNUMBER(AB397),AB397&lt;TODAY(),AK397=""),AND(ISNUMBER(AC397),AC397&lt;TODAY(),AO397=""),AND(ISNUMBER(AD397),AD397&lt;TODAY(),AQ397="")),"überfällig","offen"))))</f>
        <v/>
      </c>
      <c r="I397" s="16">
        <f>IF($B397="","",IF(AY397&lt;&gt;"","—",IF(AND(ISNUMBER(AA397),AA397&lt;TODAY(),Z397="",AJ397=""),"Abnahmetermin vereinbaren – Sollfrist verstrichen",IF(AND(ISNUMBER(Z397),Z397&lt;TODAY(),AJ397=""),"Wohnungsabnahme nachtragen – Termin war fällig",IF(AND(ISNUMBER(AB397),AB397&lt;TODAY(),AK397=""),"Handwerker aufbieten – Frist verstrichen",IF(AND(ISNUMBER(AC397),AC397&lt;TODAY(),AO397=""),"Vertrag retour mahnen – Frist verstrichen",IF(AND(ISNUMBER(AD397),AD397&lt;TODAY(),AQ397=""),"Schlüsselübergabe nachtragen – Termin war fällig",IF(M397="","Haftungsdatum erfassen",IF(E397="","ex-Mieter erfassen",IF(AE397="","Kündigung bestätigen / G-Rem",IF(AF397="","Werke / EGT melden",IF(AG397="","Vorbesichtigung (oder n.e.)",IF(AH397="","VMZ aktualisieren",IF(AI397="","Inserat aufschalten",IF(AND(Z397="",AJ397=""),"Abnahmetermin vereinbaren",IF(AJ397="","Wohnungsabnahme durchführen",IF(AK397="","Handwerker aufbieten",IF(AL397="","Zustimmungserklärung einholen",IF(AM397="","Instandstellungen beauftragen",IF(R397="","Nachmieter erfassen",IF(AN397="","Vertrag versenden",IF(AO397="","Vertrag retour erfassen",IF(S397="","Vermietet per erfassen",IF(AP397="","Werke / EGT über Einzug informieren",IF(AND(AD397="",AQ397=""),"Schlüsselübergabe terminieren",IF(AQ397="","Schlüsselübergabe durchführen",IF(AR397="","Reinigung veranlassen",IF(AS397="","Namensschilder bestellen",IF(AT397="","Kaution prüfen / G-Rem mutieren",IF(AU397="","Instandstellungs-Rechnung erfassen",IF(AV397="","Schlussabrechnung erstellen",IF(AW397="","Zahlungseingang kontrollieren","Fall abschliessen"))))))))))))))))))))))))))))))))</f>
        <v/>
      </c>
      <c r="J397" s="17">
        <f>IF(M397="","",IF(S397&lt;&gt;"",MAX(0,S397-M397-1),MAX(0,TODAY()-M397)))</f>
        <v/>
      </c>
      <c r="K397" s="16">
        <f>IF($B397="","",TRIM(IF(AND(L397&lt;&gt;"",M397&lt;&gt;"",M397&lt;L397),"Haftungsdatum vor Kündigung. ","")&amp;IF(AND(S397&lt;&gt;"",M397&lt;&gt;"",S397&lt;M397),"Vermietung vor Leerstandsbeginn. ","")&amp;IF(AND(Z397&lt;&gt;"",L397&lt;&gt;"",Z397&lt;L397),"WA-Termin vor Kündigung. ","")&amp;IF(COUNTIFS($B$5:$B$404,$B397,$AY$5:$AY$404,"")&gt;1,"Zweiter offener Fall zum selben Objekt. ","")&amp;IF(AND($A397&lt;&gt;"",COUNTIFS($A$5:$A$404,$A397)&gt;1),"Fall-Nr. doppelt vergeben. ","")&amp;IF(E397="","ex-Mieter fehlt. ","")&amp;IF(M397="","Haftungsdatum fehlt. ","")&amp;IF(F397="","Bewirtschafter fehlt. ","")&amp;IF(AND(AY397&lt;&gt;"",AW397=""),"Abgeschlossen trotz offener Schlussabrechnung. ","")&amp;IF(AND(AY397="",S397="",ISNUMBER(J397),J397&gt;60),"Langläufer über 60 Tage. ","")))</f>
        <v/>
      </c>
      <c r="L397" s="18" t="n"/>
      <c r="M397" s="18" t="n"/>
      <c r="N397" s="19">
        <f>IF(M397="","",M397+1)</f>
        <v/>
      </c>
      <c r="O397" s="17">
        <f>IF(OR(L397="",M397=""),"",M397-L397)</f>
        <v/>
      </c>
      <c r="P397" s="16">
        <f>IF(M397="","",YEAR(M397+1)&amp;"-"&amp;TEXT(MONTH(M397+1),"00"))</f>
        <v/>
      </c>
      <c r="Q397" s="18" t="n"/>
      <c r="R397" s="15" t="n"/>
      <c r="S397" s="18" t="n"/>
      <c r="T397" s="16">
        <f>IF(U397="","",IF(LEFT(U397,1)="6","abgeschlossen",IF(OR(LEFT(U397,1)="1",LEFT(U397,1)="2"),"Kündigung &amp; Abnahme",IF(OR(LEFT(U397,1)="3",LEFT(U397,1)="4"),"Wiedervermietung","Schlussabrechnung"))))</f>
        <v/>
      </c>
      <c r="U397" s="16">
        <f>IF($B397="","",IF(AY397&lt;&gt;"","6 · abgeschlossen",IF(AW397&lt;&gt;"","5 · bereit zum Abschluss",IF(AT397&lt;&gt;"","5 · Schlussabrechnung",IF(AO397&lt;&gt;"","4 · Übergabe",IF(AM397&lt;&gt;"","3 · Neuvermietung",IF(M397&lt;&gt;"","2 · Abnahme &amp; Vermarktung","1 · Erfassung")))))))</f>
        <v/>
      </c>
      <c r="V397" s="15" t="n"/>
      <c r="W397" s="20" t="n"/>
      <c r="X397" s="15" t="n"/>
      <c r="Y397" s="15" t="n"/>
      <c r="Z397" s="18" t="n"/>
      <c r="AA397" s="19">
        <f>IF(M397="","",M397-30)</f>
        <v/>
      </c>
      <c r="AB397" s="19">
        <f>IF(ISNUMBER(AJ397),AJ397+3,"")</f>
        <v/>
      </c>
      <c r="AC397" s="18" t="n"/>
      <c r="AD397" s="18" t="n"/>
      <c r="AE397" s="18" t="n"/>
      <c r="AF397" s="18" t="n"/>
      <c r="AG397" s="18" t="n"/>
      <c r="AH397" s="18" t="n"/>
      <c r="AI397" s="18" t="n"/>
      <c r="AJ397" s="18" t="n"/>
      <c r="AK397" s="18" t="n"/>
      <c r="AL397" s="18" t="n"/>
      <c r="AM397" s="18" t="n"/>
      <c r="AN397" s="18" t="n"/>
      <c r="AO397" s="18" t="n"/>
      <c r="AP397" s="18" t="n"/>
      <c r="AQ397" s="18" t="n"/>
      <c r="AR397" s="18" t="n"/>
      <c r="AS397" s="18" t="n"/>
      <c r="AT397" s="18" t="n"/>
      <c r="AU397" s="18" t="n"/>
      <c r="AV397" s="18" t="n"/>
      <c r="AW397" s="18" t="n"/>
      <c r="AX397" s="18" t="n"/>
      <c r="AY397" s="18" t="n"/>
      <c r="AZ397" s="15" t="n"/>
    </row>
    <row r="398">
      <c r="A398" s="15" t="n"/>
      <c r="B398" s="15" t="n"/>
      <c r="C398" s="15" t="n"/>
      <c r="D398" s="15" t="n"/>
      <c r="E398" s="15" t="n"/>
      <c r="F398" s="15" t="n"/>
      <c r="G398" s="16">
        <f>IF(F398="","",IFERROR(INDEX(Stammdaten!$B$5:$B$24,MATCH(F398,Stammdaten!$A$5:$A$24,0)),"unbekannt"))</f>
        <v/>
      </c>
      <c r="H398" s="16">
        <f>IF($B398="","",IF(AY398&lt;&gt;"","abgeschlossen",IF(AND(ISNUMBER(AX398),AX398&gt;=TODAY()),"zurückgestellt",IF(OR(AND(ISNUMBER(AA398),AA398&lt;TODAY(),Z398="",AJ398=""),AND(ISNUMBER(Z398),Z398&lt;TODAY(),AJ398=""),AND(ISNUMBER(AB398),AB398&lt;TODAY(),AK398=""),AND(ISNUMBER(AC398),AC398&lt;TODAY(),AO398=""),AND(ISNUMBER(AD398),AD398&lt;TODAY(),AQ398="")),"überfällig","offen"))))</f>
        <v/>
      </c>
      <c r="I398" s="16">
        <f>IF($B398="","",IF(AY398&lt;&gt;"","—",IF(AND(ISNUMBER(AA398),AA398&lt;TODAY(),Z398="",AJ398=""),"Abnahmetermin vereinbaren – Sollfrist verstrichen",IF(AND(ISNUMBER(Z398),Z398&lt;TODAY(),AJ398=""),"Wohnungsabnahme nachtragen – Termin war fällig",IF(AND(ISNUMBER(AB398),AB398&lt;TODAY(),AK398=""),"Handwerker aufbieten – Frist verstrichen",IF(AND(ISNUMBER(AC398),AC398&lt;TODAY(),AO398=""),"Vertrag retour mahnen – Frist verstrichen",IF(AND(ISNUMBER(AD398),AD398&lt;TODAY(),AQ398=""),"Schlüsselübergabe nachtragen – Termin war fällig",IF(M398="","Haftungsdatum erfassen",IF(E398="","ex-Mieter erfassen",IF(AE398="","Kündigung bestätigen / G-Rem",IF(AF398="","Werke / EGT melden",IF(AG398="","Vorbesichtigung (oder n.e.)",IF(AH398="","VMZ aktualisieren",IF(AI398="","Inserat aufschalten",IF(AND(Z398="",AJ398=""),"Abnahmetermin vereinbaren",IF(AJ398="","Wohnungsabnahme durchführen",IF(AK398="","Handwerker aufbieten",IF(AL398="","Zustimmungserklärung einholen",IF(AM398="","Instandstellungen beauftragen",IF(R398="","Nachmieter erfassen",IF(AN398="","Vertrag versenden",IF(AO398="","Vertrag retour erfassen",IF(S398="","Vermietet per erfassen",IF(AP398="","Werke / EGT über Einzug informieren",IF(AND(AD398="",AQ398=""),"Schlüsselübergabe terminieren",IF(AQ398="","Schlüsselübergabe durchführen",IF(AR398="","Reinigung veranlassen",IF(AS398="","Namensschilder bestellen",IF(AT398="","Kaution prüfen / G-Rem mutieren",IF(AU398="","Instandstellungs-Rechnung erfassen",IF(AV398="","Schlussabrechnung erstellen",IF(AW398="","Zahlungseingang kontrollieren","Fall abschliessen"))))))))))))))))))))))))))))))))</f>
        <v/>
      </c>
      <c r="J398" s="17">
        <f>IF(M398="","",IF(S398&lt;&gt;"",MAX(0,S398-M398-1),MAX(0,TODAY()-M398)))</f>
        <v/>
      </c>
      <c r="K398" s="16">
        <f>IF($B398="","",TRIM(IF(AND(L398&lt;&gt;"",M398&lt;&gt;"",M398&lt;L398),"Haftungsdatum vor Kündigung. ","")&amp;IF(AND(S398&lt;&gt;"",M398&lt;&gt;"",S398&lt;M398),"Vermietung vor Leerstandsbeginn. ","")&amp;IF(AND(Z398&lt;&gt;"",L398&lt;&gt;"",Z398&lt;L398),"WA-Termin vor Kündigung. ","")&amp;IF(COUNTIFS($B$5:$B$404,$B398,$AY$5:$AY$404,"")&gt;1,"Zweiter offener Fall zum selben Objekt. ","")&amp;IF(AND($A398&lt;&gt;"",COUNTIFS($A$5:$A$404,$A398)&gt;1),"Fall-Nr. doppelt vergeben. ","")&amp;IF(E398="","ex-Mieter fehlt. ","")&amp;IF(M398="","Haftungsdatum fehlt. ","")&amp;IF(F398="","Bewirtschafter fehlt. ","")&amp;IF(AND(AY398&lt;&gt;"",AW398=""),"Abgeschlossen trotz offener Schlussabrechnung. ","")&amp;IF(AND(AY398="",S398="",ISNUMBER(J398),J398&gt;60),"Langläufer über 60 Tage. ","")))</f>
        <v/>
      </c>
      <c r="L398" s="18" t="n"/>
      <c r="M398" s="18" t="n"/>
      <c r="N398" s="19">
        <f>IF(M398="","",M398+1)</f>
        <v/>
      </c>
      <c r="O398" s="17">
        <f>IF(OR(L398="",M398=""),"",M398-L398)</f>
        <v/>
      </c>
      <c r="P398" s="16">
        <f>IF(M398="","",YEAR(M398+1)&amp;"-"&amp;TEXT(MONTH(M398+1),"00"))</f>
        <v/>
      </c>
      <c r="Q398" s="18" t="n"/>
      <c r="R398" s="15" t="n"/>
      <c r="S398" s="18" t="n"/>
      <c r="T398" s="16">
        <f>IF(U398="","",IF(LEFT(U398,1)="6","abgeschlossen",IF(OR(LEFT(U398,1)="1",LEFT(U398,1)="2"),"Kündigung &amp; Abnahme",IF(OR(LEFT(U398,1)="3",LEFT(U398,1)="4"),"Wiedervermietung","Schlussabrechnung"))))</f>
        <v/>
      </c>
      <c r="U398" s="16">
        <f>IF($B398="","",IF(AY398&lt;&gt;"","6 · abgeschlossen",IF(AW398&lt;&gt;"","5 · bereit zum Abschluss",IF(AT398&lt;&gt;"","5 · Schlussabrechnung",IF(AO398&lt;&gt;"","4 · Übergabe",IF(AM398&lt;&gt;"","3 · Neuvermietung",IF(M398&lt;&gt;"","2 · Abnahme &amp; Vermarktung","1 · Erfassung")))))))</f>
        <v/>
      </c>
      <c r="V398" s="15" t="n"/>
      <c r="W398" s="20" t="n"/>
      <c r="X398" s="15" t="n"/>
      <c r="Y398" s="15" t="n"/>
      <c r="Z398" s="18" t="n"/>
      <c r="AA398" s="19">
        <f>IF(M398="","",M398-30)</f>
        <v/>
      </c>
      <c r="AB398" s="19">
        <f>IF(ISNUMBER(AJ398),AJ398+3,"")</f>
        <v/>
      </c>
      <c r="AC398" s="18" t="n"/>
      <c r="AD398" s="18" t="n"/>
      <c r="AE398" s="18" t="n"/>
      <c r="AF398" s="18" t="n"/>
      <c r="AG398" s="18" t="n"/>
      <c r="AH398" s="18" t="n"/>
      <c r="AI398" s="18" t="n"/>
      <c r="AJ398" s="18" t="n"/>
      <c r="AK398" s="18" t="n"/>
      <c r="AL398" s="18" t="n"/>
      <c r="AM398" s="18" t="n"/>
      <c r="AN398" s="18" t="n"/>
      <c r="AO398" s="18" t="n"/>
      <c r="AP398" s="18" t="n"/>
      <c r="AQ398" s="18" t="n"/>
      <c r="AR398" s="18" t="n"/>
      <c r="AS398" s="18" t="n"/>
      <c r="AT398" s="18" t="n"/>
      <c r="AU398" s="18" t="n"/>
      <c r="AV398" s="18" t="n"/>
      <c r="AW398" s="18" t="n"/>
      <c r="AX398" s="18" t="n"/>
      <c r="AY398" s="18" t="n"/>
      <c r="AZ398" s="15" t="n"/>
    </row>
    <row r="399">
      <c r="A399" s="15" t="n"/>
      <c r="B399" s="15" t="n"/>
      <c r="C399" s="15" t="n"/>
      <c r="D399" s="15" t="n"/>
      <c r="E399" s="15" t="n"/>
      <c r="F399" s="15" t="n"/>
      <c r="G399" s="16">
        <f>IF(F399="","",IFERROR(INDEX(Stammdaten!$B$5:$B$24,MATCH(F399,Stammdaten!$A$5:$A$24,0)),"unbekannt"))</f>
        <v/>
      </c>
      <c r="H399" s="16">
        <f>IF($B399="","",IF(AY399&lt;&gt;"","abgeschlossen",IF(AND(ISNUMBER(AX399),AX399&gt;=TODAY()),"zurückgestellt",IF(OR(AND(ISNUMBER(AA399),AA399&lt;TODAY(),Z399="",AJ399=""),AND(ISNUMBER(Z399),Z399&lt;TODAY(),AJ399=""),AND(ISNUMBER(AB399),AB399&lt;TODAY(),AK399=""),AND(ISNUMBER(AC399),AC399&lt;TODAY(),AO399=""),AND(ISNUMBER(AD399),AD399&lt;TODAY(),AQ399="")),"überfällig","offen"))))</f>
        <v/>
      </c>
      <c r="I399" s="16">
        <f>IF($B399="","",IF(AY399&lt;&gt;"","—",IF(AND(ISNUMBER(AA399),AA399&lt;TODAY(),Z399="",AJ399=""),"Abnahmetermin vereinbaren – Sollfrist verstrichen",IF(AND(ISNUMBER(Z399),Z399&lt;TODAY(),AJ399=""),"Wohnungsabnahme nachtragen – Termin war fällig",IF(AND(ISNUMBER(AB399),AB399&lt;TODAY(),AK399=""),"Handwerker aufbieten – Frist verstrichen",IF(AND(ISNUMBER(AC399),AC399&lt;TODAY(),AO399=""),"Vertrag retour mahnen – Frist verstrichen",IF(AND(ISNUMBER(AD399),AD399&lt;TODAY(),AQ399=""),"Schlüsselübergabe nachtragen – Termin war fällig",IF(M399="","Haftungsdatum erfassen",IF(E399="","ex-Mieter erfassen",IF(AE399="","Kündigung bestätigen / G-Rem",IF(AF399="","Werke / EGT melden",IF(AG399="","Vorbesichtigung (oder n.e.)",IF(AH399="","VMZ aktualisieren",IF(AI399="","Inserat aufschalten",IF(AND(Z399="",AJ399=""),"Abnahmetermin vereinbaren",IF(AJ399="","Wohnungsabnahme durchführen",IF(AK399="","Handwerker aufbieten",IF(AL399="","Zustimmungserklärung einholen",IF(AM399="","Instandstellungen beauftragen",IF(R399="","Nachmieter erfassen",IF(AN399="","Vertrag versenden",IF(AO399="","Vertrag retour erfassen",IF(S399="","Vermietet per erfassen",IF(AP399="","Werke / EGT über Einzug informieren",IF(AND(AD399="",AQ399=""),"Schlüsselübergabe terminieren",IF(AQ399="","Schlüsselübergabe durchführen",IF(AR399="","Reinigung veranlassen",IF(AS399="","Namensschilder bestellen",IF(AT399="","Kaution prüfen / G-Rem mutieren",IF(AU399="","Instandstellungs-Rechnung erfassen",IF(AV399="","Schlussabrechnung erstellen",IF(AW399="","Zahlungseingang kontrollieren","Fall abschliessen"))))))))))))))))))))))))))))))))</f>
        <v/>
      </c>
      <c r="J399" s="17">
        <f>IF(M399="","",IF(S399&lt;&gt;"",MAX(0,S399-M399-1),MAX(0,TODAY()-M399)))</f>
        <v/>
      </c>
      <c r="K399" s="16">
        <f>IF($B399="","",TRIM(IF(AND(L399&lt;&gt;"",M399&lt;&gt;"",M399&lt;L399),"Haftungsdatum vor Kündigung. ","")&amp;IF(AND(S399&lt;&gt;"",M399&lt;&gt;"",S399&lt;M399),"Vermietung vor Leerstandsbeginn. ","")&amp;IF(AND(Z399&lt;&gt;"",L399&lt;&gt;"",Z399&lt;L399),"WA-Termin vor Kündigung. ","")&amp;IF(COUNTIFS($B$5:$B$404,$B399,$AY$5:$AY$404,"")&gt;1,"Zweiter offener Fall zum selben Objekt. ","")&amp;IF(AND($A399&lt;&gt;"",COUNTIFS($A$5:$A$404,$A399)&gt;1),"Fall-Nr. doppelt vergeben. ","")&amp;IF(E399="","ex-Mieter fehlt. ","")&amp;IF(M399="","Haftungsdatum fehlt. ","")&amp;IF(F399="","Bewirtschafter fehlt. ","")&amp;IF(AND(AY399&lt;&gt;"",AW399=""),"Abgeschlossen trotz offener Schlussabrechnung. ","")&amp;IF(AND(AY399="",S399="",ISNUMBER(J399),J399&gt;60),"Langläufer über 60 Tage. ","")))</f>
        <v/>
      </c>
      <c r="L399" s="18" t="n"/>
      <c r="M399" s="18" t="n"/>
      <c r="N399" s="19">
        <f>IF(M399="","",M399+1)</f>
        <v/>
      </c>
      <c r="O399" s="17">
        <f>IF(OR(L399="",M399=""),"",M399-L399)</f>
        <v/>
      </c>
      <c r="P399" s="16">
        <f>IF(M399="","",YEAR(M399+1)&amp;"-"&amp;TEXT(MONTH(M399+1),"00"))</f>
        <v/>
      </c>
      <c r="Q399" s="18" t="n"/>
      <c r="R399" s="15" t="n"/>
      <c r="S399" s="18" t="n"/>
      <c r="T399" s="16">
        <f>IF(U399="","",IF(LEFT(U399,1)="6","abgeschlossen",IF(OR(LEFT(U399,1)="1",LEFT(U399,1)="2"),"Kündigung &amp; Abnahme",IF(OR(LEFT(U399,1)="3",LEFT(U399,1)="4"),"Wiedervermietung","Schlussabrechnung"))))</f>
        <v/>
      </c>
      <c r="U399" s="16">
        <f>IF($B399="","",IF(AY399&lt;&gt;"","6 · abgeschlossen",IF(AW399&lt;&gt;"","5 · bereit zum Abschluss",IF(AT399&lt;&gt;"","5 · Schlussabrechnung",IF(AO399&lt;&gt;"","4 · Übergabe",IF(AM399&lt;&gt;"","3 · Neuvermietung",IF(M399&lt;&gt;"","2 · Abnahme &amp; Vermarktung","1 · Erfassung")))))))</f>
        <v/>
      </c>
      <c r="V399" s="15" t="n"/>
      <c r="W399" s="20" t="n"/>
      <c r="X399" s="15" t="n"/>
      <c r="Y399" s="15" t="n"/>
      <c r="Z399" s="18" t="n"/>
      <c r="AA399" s="19">
        <f>IF(M399="","",M399-30)</f>
        <v/>
      </c>
      <c r="AB399" s="19">
        <f>IF(ISNUMBER(AJ399),AJ399+3,"")</f>
        <v/>
      </c>
      <c r="AC399" s="18" t="n"/>
      <c r="AD399" s="18" t="n"/>
      <c r="AE399" s="18" t="n"/>
      <c r="AF399" s="18" t="n"/>
      <c r="AG399" s="18" t="n"/>
      <c r="AH399" s="18" t="n"/>
      <c r="AI399" s="18" t="n"/>
      <c r="AJ399" s="18" t="n"/>
      <c r="AK399" s="18" t="n"/>
      <c r="AL399" s="18" t="n"/>
      <c r="AM399" s="18" t="n"/>
      <c r="AN399" s="18" t="n"/>
      <c r="AO399" s="18" t="n"/>
      <c r="AP399" s="18" t="n"/>
      <c r="AQ399" s="18" t="n"/>
      <c r="AR399" s="18" t="n"/>
      <c r="AS399" s="18" t="n"/>
      <c r="AT399" s="18" t="n"/>
      <c r="AU399" s="18" t="n"/>
      <c r="AV399" s="18" t="n"/>
      <c r="AW399" s="18" t="n"/>
      <c r="AX399" s="18" t="n"/>
      <c r="AY399" s="18" t="n"/>
      <c r="AZ399" s="15" t="n"/>
    </row>
    <row r="400">
      <c r="A400" s="15" t="n"/>
      <c r="B400" s="15" t="n"/>
      <c r="C400" s="15" t="n"/>
      <c r="D400" s="15" t="n"/>
      <c r="E400" s="15" t="n"/>
      <c r="F400" s="15" t="n"/>
      <c r="G400" s="16">
        <f>IF(F400="","",IFERROR(INDEX(Stammdaten!$B$5:$B$24,MATCH(F400,Stammdaten!$A$5:$A$24,0)),"unbekannt"))</f>
        <v/>
      </c>
      <c r="H400" s="16">
        <f>IF($B400="","",IF(AY400&lt;&gt;"","abgeschlossen",IF(AND(ISNUMBER(AX400),AX400&gt;=TODAY()),"zurückgestellt",IF(OR(AND(ISNUMBER(AA400),AA400&lt;TODAY(),Z400="",AJ400=""),AND(ISNUMBER(Z400),Z400&lt;TODAY(),AJ400=""),AND(ISNUMBER(AB400),AB400&lt;TODAY(),AK400=""),AND(ISNUMBER(AC400),AC400&lt;TODAY(),AO400=""),AND(ISNUMBER(AD400),AD400&lt;TODAY(),AQ400="")),"überfällig","offen"))))</f>
        <v/>
      </c>
      <c r="I400" s="16">
        <f>IF($B400="","",IF(AY400&lt;&gt;"","—",IF(AND(ISNUMBER(AA400),AA400&lt;TODAY(),Z400="",AJ400=""),"Abnahmetermin vereinbaren – Sollfrist verstrichen",IF(AND(ISNUMBER(Z400),Z400&lt;TODAY(),AJ400=""),"Wohnungsabnahme nachtragen – Termin war fällig",IF(AND(ISNUMBER(AB400),AB400&lt;TODAY(),AK400=""),"Handwerker aufbieten – Frist verstrichen",IF(AND(ISNUMBER(AC400),AC400&lt;TODAY(),AO400=""),"Vertrag retour mahnen – Frist verstrichen",IF(AND(ISNUMBER(AD400),AD400&lt;TODAY(),AQ400=""),"Schlüsselübergabe nachtragen – Termin war fällig",IF(M400="","Haftungsdatum erfassen",IF(E400="","ex-Mieter erfassen",IF(AE400="","Kündigung bestätigen / G-Rem",IF(AF400="","Werke / EGT melden",IF(AG400="","Vorbesichtigung (oder n.e.)",IF(AH400="","VMZ aktualisieren",IF(AI400="","Inserat aufschalten",IF(AND(Z400="",AJ400=""),"Abnahmetermin vereinbaren",IF(AJ400="","Wohnungsabnahme durchführen",IF(AK400="","Handwerker aufbieten",IF(AL400="","Zustimmungserklärung einholen",IF(AM400="","Instandstellungen beauftragen",IF(R400="","Nachmieter erfassen",IF(AN400="","Vertrag versenden",IF(AO400="","Vertrag retour erfassen",IF(S400="","Vermietet per erfassen",IF(AP400="","Werke / EGT über Einzug informieren",IF(AND(AD400="",AQ400=""),"Schlüsselübergabe terminieren",IF(AQ400="","Schlüsselübergabe durchführen",IF(AR400="","Reinigung veranlassen",IF(AS400="","Namensschilder bestellen",IF(AT400="","Kaution prüfen / G-Rem mutieren",IF(AU400="","Instandstellungs-Rechnung erfassen",IF(AV400="","Schlussabrechnung erstellen",IF(AW400="","Zahlungseingang kontrollieren","Fall abschliessen"))))))))))))))))))))))))))))))))</f>
        <v/>
      </c>
      <c r="J400" s="17">
        <f>IF(M400="","",IF(S400&lt;&gt;"",MAX(0,S400-M400-1),MAX(0,TODAY()-M400)))</f>
        <v/>
      </c>
      <c r="K400" s="16">
        <f>IF($B400="","",TRIM(IF(AND(L400&lt;&gt;"",M400&lt;&gt;"",M400&lt;L400),"Haftungsdatum vor Kündigung. ","")&amp;IF(AND(S400&lt;&gt;"",M400&lt;&gt;"",S400&lt;M400),"Vermietung vor Leerstandsbeginn. ","")&amp;IF(AND(Z400&lt;&gt;"",L400&lt;&gt;"",Z400&lt;L400),"WA-Termin vor Kündigung. ","")&amp;IF(COUNTIFS($B$5:$B$404,$B400,$AY$5:$AY$404,"")&gt;1,"Zweiter offener Fall zum selben Objekt. ","")&amp;IF(AND($A400&lt;&gt;"",COUNTIFS($A$5:$A$404,$A400)&gt;1),"Fall-Nr. doppelt vergeben. ","")&amp;IF(E400="","ex-Mieter fehlt. ","")&amp;IF(M400="","Haftungsdatum fehlt. ","")&amp;IF(F400="","Bewirtschafter fehlt. ","")&amp;IF(AND(AY400&lt;&gt;"",AW400=""),"Abgeschlossen trotz offener Schlussabrechnung. ","")&amp;IF(AND(AY400="",S400="",ISNUMBER(J400),J400&gt;60),"Langläufer über 60 Tage. ","")))</f>
        <v/>
      </c>
      <c r="L400" s="18" t="n"/>
      <c r="M400" s="18" t="n"/>
      <c r="N400" s="19">
        <f>IF(M400="","",M400+1)</f>
        <v/>
      </c>
      <c r="O400" s="17">
        <f>IF(OR(L400="",M400=""),"",M400-L400)</f>
        <v/>
      </c>
      <c r="P400" s="16">
        <f>IF(M400="","",YEAR(M400+1)&amp;"-"&amp;TEXT(MONTH(M400+1),"00"))</f>
        <v/>
      </c>
      <c r="Q400" s="18" t="n"/>
      <c r="R400" s="15" t="n"/>
      <c r="S400" s="18" t="n"/>
      <c r="T400" s="16">
        <f>IF(U400="","",IF(LEFT(U400,1)="6","abgeschlossen",IF(OR(LEFT(U400,1)="1",LEFT(U400,1)="2"),"Kündigung &amp; Abnahme",IF(OR(LEFT(U400,1)="3",LEFT(U400,1)="4"),"Wiedervermietung","Schlussabrechnung"))))</f>
        <v/>
      </c>
      <c r="U400" s="16">
        <f>IF($B400="","",IF(AY400&lt;&gt;"","6 · abgeschlossen",IF(AW400&lt;&gt;"","5 · bereit zum Abschluss",IF(AT400&lt;&gt;"","5 · Schlussabrechnung",IF(AO400&lt;&gt;"","4 · Übergabe",IF(AM400&lt;&gt;"","3 · Neuvermietung",IF(M400&lt;&gt;"","2 · Abnahme &amp; Vermarktung","1 · Erfassung")))))))</f>
        <v/>
      </c>
      <c r="V400" s="15" t="n"/>
      <c r="W400" s="20" t="n"/>
      <c r="X400" s="15" t="n"/>
      <c r="Y400" s="15" t="n"/>
      <c r="Z400" s="18" t="n"/>
      <c r="AA400" s="19">
        <f>IF(M400="","",M400-30)</f>
        <v/>
      </c>
      <c r="AB400" s="19">
        <f>IF(ISNUMBER(AJ400),AJ400+3,"")</f>
        <v/>
      </c>
      <c r="AC400" s="18" t="n"/>
      <c r="AD400" s="18" t="n"/>
      <c r="AE400" s="18" t="n"/>
      <c r="AF400" s="18" t="n"/>
      <c r="AG400" s="18" t="n"/>
      <c r="AH400" s="18" t="n"/>
      <c r="AI400" s="18" t="n"/>
      <c r="AJ400" s="18" t="n"/>
      <c r="AK400" s="18" t="n"/>
      <c r="AL400" s="18" t="n"/>
      <c r="AM400" s="18" t="n"/>
      <c r="AN400" s="18" t="n"/>
      <c r="AO400" s="18" t="n"/>
      <c r="AP400" s="18" t="n"/>
      <c r="AQ400" s="18" t="n"/>
      <c r="AR400" s="18" t="n"/>
      <c r="AS400" s="18" t="n"/>
      <c r="AT400" s="18" t="n"/>
      <c r="AU400" s="18" t="n"/>
      <c r="AV400" s="18" t="n"/>
      <c r="AW400" s="18" t="n"/>
      <c r="AX400" s="18" t="n"/>
      <c r="AY400" s="18" t="n"/>
      <c r="AZ400" s="15" t="n"/>
    </row>
    <row r="401">
      <c r="A401" s="15" t="n"/>
      <c r="B401" s="15" t="n"/>
      <c r="C401" s="15" t="n"/>
      <c r="D401" s="15" t="n"/>
      <c r="E401" s="15" t="n"/>
      <c r="F401" s="15" t="n"/>
      <c r="G401" s="16">
        <f>IF(F401="","",IFERROR(INDEX(Stammdaten!$B$5:$B$24,MATCH(F401,Stammdaten!$A$5:$A$24,0)),"unbekannt"))</f>
        <v/>
      </c>
      <c r="H401" s="16">
        <f>IF($B401="","",IF(AY401&lt;&gt;"","abgeschlossen",IF(AND(ISNUMBER(AX401),AX401&gt;=TODAY()),"zurückgestellt",IF(OR(AND(ISNUMBER(AA401),AA401&lt;TODAY(),Z401="",AJ401=""),AND(ISNUMBER(Z401),Z401&lt;TODAY(),AJ401=""),AND(ISNUMBER(AB401),AB401&lt;TODAY(),AK401=""),AND(ISNUMBER(AC401),AC401&lt;TODAY(),AO401=""),AND(ISNUMBER(AD401),AD401&lt;TODAY(),AQ401="")),"überfällig","offen"))))</f>
        <v/>
      </c>
      <c r="I401" s="16">
        <f>IF($B401="","",IF(AY401&lt;&gt;"","—",IF(AND(ISNUMBER(AA401),AA401&lt;TODAY(),Z401="",AJ401=""),"Abnahmetermin vereinbaren – Sollfrist verstrichen",IF(AND(ISNUMBER(Z401),Z401&lt;TODAY(),AJ401=""),"Wohnungsabnahme nachtragen – Termin war fällig",IF(AND(ISNUMBER(AB401),AB401&lt;TODAY(),AK401=""),"Handwerker aufbieten – Frist verstrichen",IF(AND(ISNUMBER(AC401),AC401&lt;TODAY(),AO401=""),"Vertrag retour mahnen – Frist verstrichen",IF(AND(ISNUMBER(AD401),AD401&lt;TODAY(),AQ401=""),"Schlüsselübergabe nachtragen – Termin war fällig",IF(M401="","Haftungsdatum erfassen",IF(E401="","ex-Mieter erfassen",IF(AE401="","Kündigung bestätigen / G-Rem",IF(AF401="","Werke / EGT melden",IF(AG401="","Vorbesichtigung (oder n.e.)",IF(AH401="","VMZ aktualisieren",IF(AI401="","Inserat aufschalten",IF(AND(Z401="",AJ401=""),"Abnahmetermin vereinbaren",IF(AJ401="","Wohnungsabnahme durchführen",IF(AK401="","Handwerker aufbieten",IF(AL401="","Zustimmungserklärung einholen",IF(AM401="","Instandstellungen beauftragen",IF(R401="","Nachmieter erfassen",IF(AN401="","Vertrag versenden",IF(AO401="","Vertrag retour erfassen",IF(S401="","Vermietet per erfassen",IF(AP401="","Werke / EGT über Einzug informieren",IF(AND(AD401="",AQ401=""),"Schlüsselübergabe terminieren",IF(AQ401="","Schlüsselübergabe durchführen",IF(AR401="","Reinigung veranlassen",IF(AS401="","Namensschilder bestellen",IF(AT401="","Kaution prüfen / G-Rem mutieren",IF(AU401="","Instandstellungs-Rechnung erfassen",IF(AV401="","Schlussabrechnung erstellen",IF(AW401="","Zahlungseingang kontrollieren","Fall abschliessen"))))))))))))))))))))))))))))))))</f>
        <v/>
      </c>
      <c r="J401" s="17">
        <f>IF(M401="","",IF(S401&lt;&gt;"",MAX(0,S401-M401-1),MAX(0,TODAY()-M401)))</f>
        <v/>
      </c>
      <c r="K401" s="16">
        <f>IF($B401="","",TRIM(IF(AND(L401&lt;&gt;"",M401&lt;&gt;"",M401&lt;L401),"Haftungsdatum vor Kündigung. ","")&amp;IF(AND(S401&lt;&gt;"",M401&lt;&gt;"",S401&lt;M401),"Vermietung vor Leerstandsbeginn. ","")&amp;IF(AND(Z401&lt;&gt;"",L401&lt;&gt;"",Z401&lt;L401),"WA-Termin vor Kündigung. ","")&amp;IF(COUNTIFS($B$5:$B$404,$B401,$AY$5:$AY$404,"")&gt;1,"Zweiter offener Fall zum selben Objekt. ","")&amp;IF(AND($A401&lt;&gt;"",COUNTIFS($A$5:$A$404,$A401)&gt;1),"Fall-Nr. doppelt vergeben. ","")&amp;IF(E401="","ex-Mieter fehlt. ","")&amp;IF(M401="","Haftungsdatum fehlt. ","")&amp;IF(F401="","Bewirtschafter fehlt. ","")&amp;IF(AND(AY401&lt;&gt;"",AW401=""),"Abgeschlossen trotz offener Schlussabrechnung. ","")&amp;IF(AND(AY401="",S401="",ISNUMBER(J401),J401&gt;60),"Langläufer über 60 Tage. ","")))</f>
        <v/>
      </c>
      <c r="L401" s="18" t="n"/>
      <c r="M401" s="18" t="n"/>
      <c r="N401" s="19">
        <f>IF(M401="","",M401+1)</f>
        <v/>
      </c>
      <c r="O401" s="17">
        <f>IF(OR(L401="",M401=""),"",M401-L401)</f>
        <v/>
      </c>
      <c r="P401" s="16">
        <f>IF(M401="","",YEAR(M401+1)&amp;"-"&amp;TEXT(MONTH(M401+1),"00"))</f>
        <v/>
      </c>
      <c r="Q401" s="18" t="n"/>
      <c r="R401" s="15" t="n"/>
      <c r="S401" s="18" t="n"/>
      <c r="T401" s="16">
        <f>IF(U401="","",IF(LEFT(U401,1)="6","abgeschlossen",IF(OR(LEFT(U401,1)="1",LEFT(U401,1)="2"),"Kündigung &amp; Abnahme",IF(OR(LEFT(U401,1)="3",LEFT(U401,1)="4"),"Wiedervermietung","Schlussabrechnung"))))</f>
        <v/>
      </c>
      <c r="U401" s="16">
        <f>IF($B401="","",IF(AY401&lt;&gt;"","6 · abgeschlossen",IF(AW401&lt;&gt;"","5 · bereit zum Abschluss",IF(AT401&lt;&gt;"","5 · Schlussabrechnung",IF(AO401&lt;&gt;"","4 · Übergabe",IF(AM401&lt;&gt;"","3 · Neuvermietung",IF(M401&lt;&gt;"","2 · Abnahme &amp; Vermarktung","1 · Erfassung")))))))</f>
        <v/>
      </c>
      <c r="V401" s="15" t="n"/>
      <c r="W401" s="20" t="n"/>
      <c r="X401" s="15" t="n"/>
      <c r="Y401" s="15" t="n"/>
      <c r="Z401" s="18" t="n"/>
      <c r="AA401" s="19">
        <f>IF(M401="","",M401-30)</f>
        <v/>
      </c>
      <c r="AB401" s="19">
        <f>IF(ISNUMBER(AJ401),AJ401+3,"")</f>
        <v/>
      </c>
      <c r="AC401" s="18" t="n"/>
      <c r="AD401" s="18" t="n"/>
      <c r="AE401" s="18" t="n"/>
      <c r="AF401" s="18" t="n"/>
      <c r="AG401" s="18" t="n"/>
      <c r="AH401" s="18" t="n"/>
      <c r="AI401" s="18" t="n"/>
      <c r="AJ401" s="18" t="n"/>
      <c r="AK401" s="18" t="n"/>
      <c r="AL401" s="18" t="n"/>
      <c r="AM401" s="18" t="n"/>
      <c r="AN401" s="18" t="n"/>
      <c r="AO401" s="18" t="n"/>
      <c r="AP401" s="18" t="n"/>
      <c r="AQ401" s="18" t="n"/>
      <c r="AR401" s="18" t="n"/>
      <c r="AS401" s="18" t="n"/>
      <c r="AT401" s="18" t="n"/>
      <c r="AU401" s="18" t="n"/>
      <c r="AV401" s="18" t="n"/>
      <c r="AW401" s="18" t="n"/>
      <c r="AX401" s="18" t="n"/>
      <c r="AY401" s="18" t="n"/>
      <c r="AZ401" s="15" t="n"/>
    </row>
    <row r="402">
      <c r="A402" s="15" t="n"/>
      <c r="B402" s="15" t="n"/>
      <c r="C402" s="15" t="n"/>
      <c r="D402" s="15" t="n"/>
      <c r="E402" s="15" t="n"/>
      <c r="F402" s="15" t="n"/>
      <c r="G402" s="16">
        <f>IF(F402="","",IFERROR(INDEX(Stammdaten!$B$5:$B$24,MATCH(F402,Stammdaten!$A$5:$A$24,0)),"unbekannt"))</f>
        <v/>
      </c>
      <c r="H402" s="16">
        <f>IF($B402="","",IF(AY402&lt;&gt;"","abgeschlossen",IF(AND(ISNUMBER(AX402),AX402&gt;=TODAY()),"zurückgestellt",IF(OR(AND(ISNUMBER(AA402),AA402&lt;TODAY(),Z402="",AJ402=""),AND(ISNUMBER(Z402),Z402&lt;TODAY(),AJ402=""),AND(ISNUMBER(AB402),AB402&lt;TODAY(),AK402=""),AND(ISNUMBER(AC402),AC402&lt;TODAY(),AO402=""),AND(ISNUMBER(AD402),AD402&lt;TODAY(),AQ402="")),"überfällig","offen"))))</f>
        <v/>
      </c>
      <c r="I402" s="16">
        <f>IF($B402="","",IF(AY402&lt;&gt;"","—",IF(AND(ISNUMBER(AA402),AA402&lt;TODAY(),Z402="",AJ402=""),"Abnahmetermin vereinbaren – Sollfrist verstrichen",IF(AND(ISNUMBER(Z402),Z402&lt;TODAY(),AJ402=""),"Wohnungsabnahme nachtragen – Termin war fällig",IF(AND(ISNUMBER(AB402),AB402&lt;TODAY(),AK402=""),"Handwerker aufbieten – Frist verstrichen",IF(AND(ISNUMBER(AC402),AC402&lt;TODAY(),AO402=""),"Vertrag retour mahnen – Frist verstrichen",IF(AND(ISNUMBER(AD402),AD402&lt;TODAY(),AQ402=""),"Schlüsselübergabe nachtragen – Termin war fällig",IF(M402="","Haftungsdatum erfassen",IF(E402="","ex-Mieter erfassen",IF(AE402="","Kündigung bestätigen / G-Rem",IF(AF402="","Werke / EGT melden",IF(AG402="","Vorbesichtigung (oder n.e.)",IF(AH402="","VMZ aktualisieren",IF(AI402="","Inserat aufschalten",IF(AND(Z402="",AJ402=""),"Abnahmetermin vereinbaren",IF(AJ402="","Wohnungsabnahme durchführen",IF(AK402="","Handwerker aufbieten",IF(AL402="","Zustimmungserklärung einholen",IF(AM402="","Instandstellungen beauftragen",IF(R402="","Nachmieter erfassen",IF(AN402="","Vertrag versenden",IF(AO402="","Vertrag retour erfassen",IF(S402="","Vermietet per erfassen",IF(AP402="","Werke / EGT über Einzug informieren",IF(AND(AD402="",AQ402=""),"Schlüsselübergabe terminieren",IF(AQ402="","Schlüsselübergabe durchführen",IF(AR402="","Reinigung veranlassen",IF(AS402="","Namensschilder bestellen",IF(AT402="","Kaution prüfen / G-Rem mutieren",IF(AU402="","Instandstellungs-Rechnung erfassen",IF(AV402="","Schlussabrechnung erstellen",IF(AW402="","Zahlungseingang kontrollieren","Fall abschliessen"))))))))))))))))))))))))))))))))</f>
        <v/>
      </c>
      <c r="J402" s="17">
        <f>IF(M402="","",IF(S402&lt;&gt;"",MAX(0,S402-M402-1),MAX(0,TODAY()-M402)))</f>
        <v/>
      </c>
      <c r="K402" s="16">
        <f>IF($B402="","",TRIM(IF(AND(L402&lt;&gt;"",M402&lt;&gt;"",M402&lt;L402),"Haftungsdatum vor Kündigung. ","")&amp;IF(AND(S402&lt;&gt;"",M402&lt;&gt;"",S402&lt;M402),"Vermietung vor Leerstandsbeginn. ","")&amp;IF(AND(Z402&lt;&gt;"",L402&lt;&gt;"",Z402&lt;L402),"WA-Termin vor Kündigung. ","")&amp;IF(COUNTIFS($B$5:$B$404,$B402,$AY$5:$AY$404,"")&gt;1,"Zweiter offener Fall zum selben Objekt. ","")&amp;IF(AND($A402&lt;&gt;"",COUNTIFS($A$5:$A$404,$A402)&gt;1),"Fall-Nr. doppelt vergeben. ","")&amp;IF(E402="","ex-Mieter fehlt. ","")&amp;IF(M402="","Haftungsdatum fehlt. ","")&amp;IF(F402="","Bewirtschafter fehlt. ","")&amp;IF(AND(AY402&lt;&gt;"",AW402=""),"Abgeschlossen trotz offener Schlussabrechnung. ","")&amp;IF(AND(AY402="",S402="",ISNUMBER(J402),J402&gt;60),"Langläufer über 60 Tage. ","")))</f>
        <v/>
      </c>
      <c r="L402" s="18" t="n"/>
      <c r="M402" s="18" t="n"/>
      <c r="N402" s="19">
        <f>IF(M402="","",M402+1)</f>
        <v/>
      </c>
      <c r="O402" s="17">
        <f>IF(OR(L402="",M402=""),"",M402-L402)</f>
        <v/>
      </c>
      <c r="P402" s="16">
        <f>IF(M402="","",YEAR(M402+1)&amp;"-"&amp;TEXT(MONTH(M402+1),"00"))</f>
        <v/>
      </c>
      <c r="Q402" s="18" t="n"/>
      <c r="R402" s="15" t="n"/>
      <c r="S402" s="18" t="n"/>
      <c r="T402" s="16">
        <f>IF(U402="","",IF(LEFT(U402,1)="6","abgeschlossen",IF(OR(LEFT(U402,1)="1",LEFT(U402,1)="2"),"Kündigung &amp; Abnahme",IF(OR(LEFT(U402,1)="3",LEFT(U402,1)="4"),"Wiedervermietung","Schlussabrechnung"))))</f>
        <v/>
      </c>
      <c r="U402" s="16">
        <f>IF($B402="","",IF(AY402&lt;&gt;"","6 · abgeschlossen",IF(AW402&lt;&gt;"","5 · bereit zum Abschluss",IF(AT402&lt;&gt;"","5 · Schlussabrechnung",IF(AO402&lt;&gt;"","4 · Übergabe",IF(AM402&lt;&gt;"","3 · Neuvermietung",IF(M402&lt;&gt;"","2 · Abnahme &amp; Vermarktung","1 · Erfassung")))))))</f>
        <v/>
      </c>
      <c r="V402" s="15" t="n"/>
      <c r="W402" s="20" t="n"/>
      <c r="X402" s="15" t="n"/>
      <c r="Y402" s="15" t="n"/>
      <c r="Z402" s="18" t="n"/>
      <c r="AA402" s="19">
        <f>IF(M402="","",M402-30)</f>
        <v/>
      </c>
      <c r="AB402" s="19">
        <f>IF(ISNUMBER(AJ402),AJ402+3,"")</f>
        <v/>
      </c>
      <c r="AC402" s="18" t="n"/>
      <c r="AD402" s="18" t="n"/>
      <c r="AE402" s="18" t="n"/>
      <c r="AF402" s="18" t="n"/>
      <c r="AG402" s="18" t="n"/>
      <c r="AH402" s="18" t="n"/>
      <c r="AI402" s="18" t="n"/>
      <c r="AJ402" s="18" t="n"/>
      <c r="AK402" s="18" t="n"/>
      <c r="AL402" s="18" t="n"/>
      <c r="AM402" s="18" t="n"/>
      <c r="AN402" s="18" t="n"/>
      <c r="AO402" s="18" t="n"/>
      <c r="AP402" s="18" t="n"/>
      <c r="AQ402" s="18" t="n"/>
      <c r="AR402" s="18" t="n"/>
      <c r="AS402" s="18" t="n"/>
      <c r="AT402" s="18" t="n"/>
      <c r="AU402" s="18" t="n"/>
      <c r="AV402" s="18" t="n"/>
      <c r="AW402" s="18" t="n"/>
      <c r="AX402" s="18" t="n"/>
      <c r="AY402" s="18" t="n"/>
      <c r="AZ402" s="15" t="n"/>
    </row>
    <row r="403">
      <c r="A403" s="15" t="n"/>
      <c r="B403" s="15" t="n"/>
      <c r="C403" s="15" t="n"/>
      <c r="D403" s="15" t="n"/>
      <c r="E403" s="15" t="n"/>
      <c r="F403" s="15" t="n"/>
      <c r="G403" s="16">
        <f>IF(F403="","",IFERROR(INDEX(Stammdaten!$B$5:$B$24,MATCH(F403,Stammdaten!$A$5:$A$24,0)),"unbekannt"))</f>
        <v/>
      </c>
      <c r="H403" s="16">
        <f>IF($B403="","",IF(AY403&lt;&gt;"","abgeschlossen",IF(AND(ISNUMBER(AX403),AX403&gt;=TODAY()),"zurückgestellt",IF(OR(AND(ISNUMBER(AA403),AA403&lt;TODAY(),Z403="",AJ403=""),AND(ISNUMBER(Z403),Z403&lt;TODAY(),AJ403=""),AND(ISNUMBER(AB403),AB403&lt;TODAY(),AK403=""),AND(ISNUMBER(AC403),AC403&lt;TODAY(),AO403=""),AND(ISNUMBER(AD403),AD403&lt;TODAY(),AQ403="")),"überfällig","offen"))))</f>
        <v/>
      </c>
      <c r="I403" s="16">
        <f>IF($B403="","",IF(AY403&lt;&gt;"","—",IF(AND(ISNUMBER(AA403),AA403&lt;TODAY(),Z403="",AJ403=""),"Abnahmetermin vereinbaren – Sollfrist verstrichen",IF(AND(ISNUMBER(Z403),Z403&lt;TODAY(),AJ403=""),"Wohnungsabnahme nachtragen – Termin war fällig",IF(AND(ISNUMBER(AB403),AB403&lt;TODAY(),AK403=""),"Handwerker aufbieten – Frist verstrichen",IF(AND(ISNUMBER(AC403),AC403&lt;TODAY(),AO403=""),"Vertrag retour mahnen – Frist verstrichen",IF(AND(ISNUMBER(AD403),AD403&lt;TODAY(),AQ403=""),"Schlüsselübergabe nachtragen – Termin war fällig",IF(M403="","Haftungsdatum erfassen",IF(E403="","ex-Mieter erfassen",IF(AE403="","Kündigung bestätigen / G-Rem",IF(AF403="","Werke / EGT melden",IF(AG403="","Vorbesichtigung (oder n.e.)",IF(AH403="","VMZ aktualisieren",IF(AI403="","Inserat aufschalten",IF(AND(Z403="",AJ403=""),"Abnahmetermin vereinbaren",IF(AJ403="","Wohnungsabnahme durchführen",IF(AK403="","Handwerker aufbieten",IF(AL403="","Zustimmungserklärung einholen",IF(AM403="","Instandstellungen beauftragen",IF(R403="","Nachmieter erfassen",IF(AN403="","Vertrag versenden",IF(AO403="","Vertrag retour erfassen",IF(S403="","Vermietet per erfassen",IF(AP403="","Werke / EGT über Einzug informieren",IF(AND(AD403="",AQ403=""),"Schlüsselübergabe terminieren",IF(AQ403="","Schlüsselübergabe durchführen",IF(AR403="","Reinigung veranlassen",IF(AS403="","Namensschilder bestellen",IF(AT403="","Kaution prüfen / G-Rem mutieren",IF(AU403="","Instandstellungs-Rechnung erfassen",IF(AV403="","Schlussabrechnung erstellen",IF(AW403="","Zahlungseingang kontrollieren","Fall abschliessen"))))))))))))))))))))))))))))))))</f>
        <v/>
      </c>
      <c r="J403" s="17">
        <f>IF(M403="","",IF(S403&lt;&gt;"",MAX(0,S403-M403-1),MAX(0,TODAY()-M403)))</f>
        <v/>
      </c>
      <c r="K403" s="16">
        <f>IF($B403="","",TRIM(IF(AND(L403&lt;&gt;"",M403&lt;&gt;"",M403&lt;L403),"Haftungsdatum vor Kündigung. ","")&amp;IF(AND(S403&lt;&gt;"",M403&lt;&gt;"",S403&lt;M403),"Vermietung vor Leerstandsbeginn. ","")&amp;IF(AND(Z403&lt;&gt;"",L403&lt;&gt;"",Z403&lt;L403),"WA-Termin vor Kündigung. ","")&amp;IF(COUNTIFS($B$5:$B$404,$B403,$AY$5:$AY$404,"")&gt;1,"Zweiter offener Fall zum selben Objekt. ","")&amp;IF(AND($A403&lt;&gt;"",COUNTIFS($A$5:$A$404,$A403)&gt;1),"Fall-Nr. doppelt vergeben. ","")&amp;IF(E403="","ex-Mieter fehlt. ","")&amp;IF(M403="","Haftungsdatum fehlt. ","")&amp;IF(F403="","Bewirtschafter fehlt. ","")&amp;IF(AND(AY403&lt;&gt;"",AW403=""),"Abgeschlossen trotz offener Schlussabrechnung. ","")&amp;IF(AND(AY403="",S403="",ISNUMBER(J403),J403&gt;60),"Langläufer über 60 Tage. ","")))</f>
        <v/>
      </c>
      <c r="L403" s="18" t="n"/>
      <c r="M403" s="18" t="n"/>
      <c r="N403" s="19">
        <f>IF(M403="","",M403+1)</f>
        <v/>
      </c>
      <c r="O403" s="17">
        <f>IF(OR(L403="",M403=""),"",M403-L403)</f>
        <v/>
      </c>
      <c r="P403" s="16">
        <f>IF(M403="","",YEAR(M403+1)&amp;"-"&amp;TEXT(MONTH(M403+1),"00"))</f>
        <v/>
      </c>
      <c r="Q403" s="18" t="n"/>
      <c r="R403" s="15" t="n"/>
      <c r="S403" s="18" t="n"/>
      <c r="T403" s="16">
        <f>IF(U403="","",IF(LEFT(U403,1)="6","abgeschlossen",IF(OR(LEFT(U403,1)="1",LEFT(U403,1)="2"),"Kündigung &amp; Abnahme",IF(OR(LEFT(U403,1)="3",LEFT(U403,1)="4"),"Wiedervermietung","Schlussabrechnung"))))</f>
        <v/>
      </c>
      <c r="U403" s="16">
        <f>IF($B403="","",IF(AY403&lt;&gt;"","6 · abgeschlossen",IF(AW403&lt;&gt;"","5 · bereit zum Abschluss",IF(AT403&lt;&gt;"","5 · Schlussabrechnung",IF(AO403&lt;&gt;"","4 · Übergabe",IF(AM403&lt;&gt;"","3 · Neuvermietung",IF(M403&lt;&gt;"","2 · Abnahme &amp; Vermarktung","1 · Erfassung")))))))</f>
        <v/>
      </c>
      <c r="V403" s="15" t="n"/>
      <c r="W403" s="20" t="n"/>
      <c r="X403" s="15" t="n"/>
      <c r="Y403" s="15" t="n"/>
      <c r="Z403" s="18" t="n"/>
      <c r="AA403" s="19">
        <f>IF(M403="","",M403-30)</f>
        <v/>
      </c>
      <c r="AB403" s="19">
        <f>IF(ISNUMBER(AJ403),AJ403+3,"")</f>
        <v/>
      </c>
      <c r="AC403" s="18" t="n"/>
      <c r="AD403" s="18" t="n"/>
      <c r="AE403" s="18" t="n"/>
      <c r="AF403" s="18" t="n"/>
      <c r="AG403" s="18" t="n"/>
      <c r="AH403" s="18" t="n"/>
      <c r="AI403" s="18" t="n"/>
      <c r="AJ403" s="18" t="n"/>
      <c r="AK403" s="18" t="n"/>
      <c r="AL403" s="18" t="n"/>
      <c r="AM403" s="18" t="n"/>
      <c r="AN403" s="18" t="n"/>
      <c r="AO403" s="18" t="n"/>
      <c r="AP403" s="18" t="n"/>
      <c r="AQ403" s="18" t="n"/>
      <c r="AR403" s="18" t="n"/>
      <c r="AS403" s="18" t="n"/>
      <c r="AT403" s="18" t="n"/>
      <c r="AU403" s="18" t="n"/>
      <c r="AV403" s="18" t="n"/>
      <c r="AW403" s="18" t="n"/>
      <c r="AX403" s="18" t="n"/>
      <c r="AY403" s="18" t="n"/>
      <c r="AZ403" s="15" t="n"/>
    </row>
    <row r="404">
      <c r="A404" s="15" t="n"/>
      <c r="B404" s="15" t="n"/>
      <c r="C404" s="15" t="n"/>
      <c r="D404" s="15" t="n"/>
      <c r="E404" s="15" t="n"/>
      <c r="F404" s="15" t="n"/>
      <c r="G404" s="16">
        <f>IF(F404="","",IFERROR(INDEX(Stammdaten!$B$5:$B$24,MATCH(F404,Stammdaten!$A$5:$A$24,0)),"unbekannt"))</f>
        <v/>
      </c>
      <c r="H404" s="16">
        <f>IF($B404="","",IF(AY404&lt;&gt;"","abgeschlossen",IF(AND(ISNUMBER(AX404),AX404&gt;=TODAY()),"zurückgestellt",IF(OR(AND(ISNUMBER(AA404),AA404&lt;TODAY(),Z404="",AJ404=""),AND(ISNUMBER(Z404),Z404&lt;TODAY(),AJ404=""),AND(ISNUMBER(AB404),AB404&lt;TODAY(),AK404=""),AND(ISNUMBER(AC404),AC404&lt;TODAY(),AO404=""),AND(ISNUMBER(AD404),AD404&lt;TODAY(),AQ404="")),"überfällig","offen"))))</f>
        <v/>
      </c>
      <c r="I404" s="16">
        <f>IF($B404="","",IF(AY404&lt;&gt;"","—",IF(AND(ISNUMBER(AA404),AA404&lt;TODAY(),Z404="",AJ404=""),"Abnahmetermin vereinbaren – Sollfrist verstrichen",IF(AND(ISNUMBER(Z404),Z404&lt;TODAY(),AJ404=""),"Wohnungsabnahme nachtragen – Termin war fällig",IF(AND(ISNUMBER(AB404),AB404&lt;TODAY(),AK404=""),"Handwerker aufbieten – Frist verstrichen",IF(AND(ISNUMBER(AC404),AC404&lt;TODAY(),AO404=""),"Vertrag retour mahnen – Frist verstrichen",IF(AND(ISNUMBER(AD404),AD404&lt;TODAY(),AQ404=""),"Schlüsselübergabe nachtragen – Termin war fällig",IF(M404="","Haftungsdatum erfassen",IF(E404="","ex-Mieter erfassen",IF(AE404="","Kündigung bestätigen / G-Rem",IF(AF404="","Werke / EGT melden",IF(AG404="","Vorbesichtigung (oder n.e.)",IF(AH404="","VMZ aktualisieren",IF(AI404="","Inserat aufschalten",IF(AND(Z404="",AJ404=""),"Abnahmetermin vereinbaren",IF(AJ404="","Wohnungsabnahme durchführen",IF(AK404="","Handwerker aufbieten",IF(AL404="","Zustimmungserklärung einholen",IF(AM404="","Instandstellungen beauftragen",IF(R404="","Nachmieter erfassen",IF(AN404="","Vertrag versenden",IF(AO404="","Vertrag retour erfassen",IF(S404="","Vermietet per erfassen",IF(AP404="","Werke / EGT über Einzug informieren",IF(AND(AD404="",AQ404=""),"Schlüsselübergabe terminieren",IF(AQ404="","Schlüsselübergabe durchführen",IF(AR404="","Reinigung veranlassen",IF(AS404="","Namensschilder bestellen",IF(AT404="","Kaution prüfen / G-Rem mutieren",IF(AU404="","Instandstellungs-Rechnung erfassen",IF(AV404="","Schlussabrechnung erstellen",IF(AW404="","Zahlungseingang kontrollieren","Fall abschliessen"))))))))))))))))))))))))))))))))</f>
        <v/>
      </c>
      <c r="J404" s="17">
        <f>IF(M404="","",IF(S404&lt;&gt;"",MAX(0,S404-M404-1),MAX(0,TODAY()-M404)))</f>
        <v/>
      </c>
      <c r="K404" s="16">
        <f>IF($B404="","",TRIM(IF(AND(L404&lt;&gt;"",M404&lt;&gt;"",M404&lt;L404),"Haftungsdatum vor Kündigung. ","")&amp;IF(AND(S404&lt;&gt;"",M404&lt;&gt;"",S404&lt;M404),"Vermietung vor Leerstandsbeginn. ","")&amp;IF(AND(Z404&lt;&gt;"",L404&lt;&gt;"",Z404&lt;L404),"WA-Termin vor Kündigung. ","")&amp;IF(COUNTIFS($B$5:$B$404,$B404,$AY$5:$AY$404,"")&gt;1,"Zweiter offener Fall zum selben Objekt. ","")&amp;IF(AND($A404&lt;&gt;"",COUNTIFS($A$5:$A$404,$A404)&gt;1),"Fall-Nr. doppelt vergeben. ","")&amp;IF(E404="","ex-Mieter fehlt. ","")&amp;IF(M404="","Haftungsdatum fehlt. ","")&amp;IF(F404="","Bewirtschafter fehlt. ","")&amp;IF(AND(AY404&lt;&gt;"",AW404=""),"Abgeschlossen trotz offener Schlussabrechnung. ","")&amp;IF(AND(AY404="",S404="",ISNUMBER(J404),J404&gt;60),"Langläufer über 60 Tage. ","")))</f>
        <v/>
      </c>
      <c r="L404" s="18" t="n"/>
      <c r="M404" s="18" t="n"/>
      <c r="N404" s="19">
        <f>IF(M404="","",M404+1)</f>
        <v/>
      </c>
      <c r="O404" s="17">
        <f>IF(OR(L404="",M404=""),"",M404-L404)</f>
        <v/>
      </c>
      <c r="P404" s="16">
        <f>IF(M404="","",YEAR(M404+1)&amp;"-"&amp;TEXT(MONTH(M404+1),"00"))</f>
        <v/>
      </c>
      <c r="Q404" s="18" t="n"/>
      <c r="R404" s="15" t="n"/>
      <c r="S404" s="18" t="n"/>
      <c r="T404" s="16">
        <f>IF(U404="","",IF(LEFT(U404,1)="6","abgeschlossen",IF(OR(LEFT(U404,1)="1",LEFT(U404,1)="2"),"Kündigung &amp; Abnahme",IF(OR(LEFT(U404,1)="3",LEFT(U404,1)="4"),"Wiedervermietung","Schlussabrechnung"))))</f>
        <v/>
      </c>
      <c r="U404" s="16">
        <f>IF($B404="","",IF(AY404&lt;&gt;"","6 · abgeschlossen",IF(AW404&lt;&gt;"","5 · bereit zum Abschluss",IF(AT404&lt;&gt;"","5 · Schlussabrechnung",IF(AO404&lt;&gt;"","4 · Übergabe",IF(AM404&lt;&gt;"","3 · Neuvermietung",IF(M404&lt;&gt;"","2 · Abnahme &amp; Vermarktung","1 · Erfassung")))))))</f>
        <v/>
      </c>
      <c r="V404" s="15" t="n"/>
      <c r="W404" s="20" t="n"/>
      <c r="X404" s="15" t="n"/>
      <c r="Y404" s="15" t="n"/>
      <c r="Z404" s="18" t="n"/>
      <c r="AA404" s="19">
        <f>IF(M404="","",M404-30)</f>
        <v/>
      </c>
      <c r="AB404" s="19">
        <f>IF(ISNUMBER(AJ404),AJ404+3,"")</f>
        <v/>
      </c>
      <c r="AC404" s="18" t="n"/>
      <c r="AD404" s="18" t="n"/>
      <c r="AE404" s="18" t="n"/>
      <c r="AF404" s="18" t="n"/>
      <c r="AG404" s="18" t="n"/>
      <c r="AH404" s="18" t="n"/>
      <c r="AI404" s="18" t="n"/>
      <c r="AJ404" s="18" t="n"/>
      <c r="AK404" s="18" t="n"/>
      <c r="AL404" s="18" t="n"/>
      <c r="AM404" s="18" t="n"/>
      <c r="AN404" s="18" t="n"/>
      <c r="AO404" s="18" t="n"/>
      <c r="AP404" s="18" t="n"/>
      <c r="AQ404" s="18" t="n"/>
      <c r="AR404" s="18" t="n"/>
      <c r="AS404" s="18" t="n"/>
      <c r="AT404" s="18" t="n"/>
      <c r="AU404" s="18" t="n"/>
      <c r="AV404" s="18" t="n"/>
      <c r="AW404" s="18" t="n"/>
      <c r="AX404" s="18" t="n"/>
      <c r="AY404" s="18" t="n"/>
      <c r="AZ404" s="15" t="n"/>
    </row>
  </sheetData>
  <sheetProtection selectLockedCells="0" selectUnlockedCells="0" sheet="1" objects="0" insertRows="0" insertHyperlinks="1" autoFilter="0" scenarios="0" formatColumns="0" deleteColumns="1" insertColumns="1" pivotTables="1" deleteRows="1" formatCells="0" formatRows="1" sort="0"/>
  <conditionalFormatting sqref="A5:AZ404">
    <cfRule type="expression" priority="1" dxfId="0" stopIfTrue="0">
      <formula>$H5="überfällig"</formula>
    </cfRule>
    <cfRule type="expression" priority="2" dxfId="1" stopIfTrue="0">
      <formula>$H5="abgeschlossen"</formula>
    </cfRule>
    <cfRule type="expression" priority="3" dxfId="2" stopIfTrue="0">
      <formula>$H5="zurückgestellt"</formula>
    </cfRule>
  </conditionalFormatting>
  <conditionalFormatting sqref="K5:K404">
    <cfRule type="expression" priority="4" dxfId="3" stopIfTrue="0">
      <formula>LEN($K5)&gt;0</formula>
    </cfRule>
  </conditionalFormatting>
  <dataValidations count="22">
    <dataValidation sqref="F5:F404" showDropDown="0" showInputMessage="0" showErrorMessage="1" allowBlank="1" errorTitle="Unbekannter Bewirtschafter" error="Bitte einen Namen aus der Liste wählen. Neue Personen zuerst im Blatt «Stammdaten» erfassen." type="list">
      <formula1>=Bewirtschafterliste</formula1>
    </dataValidation>
    <dataValidation sqref="L5:L404 M5:M404 Q5:Q404 S5:S404 Z5:Z404 AC5:AC404 AD5:AD404 AX5:AX404 AY5:AY404" showDropDown="0" showInputMessage="0" showErrorMessage="1" allowBlank="1" errorTitle="Ungültiges Datum" error="Bitte ein Datum zwischen 2015 und 2045 eingeben, zum Beispiel 31.08.2026." type="date" operator="between">
      <formula1>DATE(2015,1,1)</formula1>
      <formula2>DATE(2045,12,31)</formula2>
    </dataValidation>
    <dataValidation sqref="W5:W404" showDropDown="0" showInputMessage="0" showErrorMessage="1" allowBlank="1" errorTitle="Ungültige Zimmerzahl" error="Bitte eine Zahl zwischen 0,5 und 20 eingeben." type="decimal" operator="between">
      <formula1>0.5</formula1>
      <formula2>20</formula2>
    </dataValidation>
    <dataValidation sqref="AE5:AE404" showDropDown="0" showInputMessage="0" showErrorMessage="1" allowBlank="1" errorTitle="Datum oder n.e." error="In Schrittspalten gehört entweder das Erledigungsdatum oder «n.e.», wenn der Schritt entfällt. Leer bedeutet offen." type="custom">
      <formula1>=OR(ISNUMBER(AE5),EXACT(UPPER(AE5),"N.E."))</formula1>
    </dataValidation>
    <dataValidation sqref="AF5:AF404" showDropDown="0" showInputMessage="0" showErrorMessage="1" allowBlank="1" errorTitle="Datum oder n.e." error="In Schrittspalten gehört entweder das Erledigungsdatum oder «n.e.», wenn der Schritt entfällt. Leer bedeutet offen." type="custom">
      <formula1>=OR(ISNUMBER(AF5),EXACT(UPPER(AF5),"N.E."))</formula1>
    </dataValidation>
    <dataValidation sqref="AG5:AG404" showDropDown="0" showInputMessage="0" showErrorMessage="1" allowBlank="1" errorTitle="Datum oder n.e." error="In Schrittspalten gehört entweder das Erledigungsdatum oder «n.e.», wenn der Schritt entfällt. Leer bedeutet offen." type="custom">
      <formula1>=OR(ISNUMBER(AG5),EXACT(UPPER(AG5),"N.E."))</formula1>
    </dataValidation>
    <dataValidation sqref="AH5:AH404" showDropDown="0" showInputMessage="0" showErrorMessage="1" allowBlank="1" errorTitle="Datum oder n.e." error="In Schrittspalten gehört entweder das Erledigungsdatum oder «n.e.», wenn der Schritt entfällt. Leer bedeutet offen." type="custom">
      <formula1>=OR(ISNUMBER(AH5),EXACT(UPPER(AH5),"N.E."))</formula1>
    </dataValidation>
    <dataValidation sqref="AI5:AI404" showDropDown="0" showInputMessage="0" showErrorMessage="1" allowBlank="1" errorTitle="Datum oder n.e." error="In Schrittspalten gehört entweder das Erledigungsdatum oder «n.e.», wenn der Schritt entfällt. Leer bedeutet offen." type="custom">
      <formula1>=OR(ISNUMBER(AI5),EXACT(UPPER(AI5),"N.E."))</formula1>
    </dataValidation>
    <dataValidation sqref="AJ5:AJ404" showDropDown="0" showInputMessage="0" showErrorMessage="1" allowBlank="1" errorTitle="Datum oder n.e." error="In Schrittspalten gehört entweder das Erledigungsdatum oder «n.e.», wenn der Schritt entfällt. Leer bedeutet offen." type="custom">
      <formula1>=OR(ISNUMBER(AJ5),EXACT(UPPER(AJ5),"N.E."))</formula1>
    </dataValidation>
    <dataValidation sqref="AK5:AK404" showDropDown="0" showInputMessage="0" showErrorMessage="1" allowBlank="1" errorTitle="Datum oder n.e." error="In Schrittspalten gehört entweder das Erledigungsdatum oder «n.e.», wenn der Schritt entfällt. Leer bedeutet offen." type="custom">
      <formula1>=OR(ISNUMBER(AK5),EXACT(UPPER(AK5),"N.E."))</formula1>
    </dataValidation>
    <dataValidation sqref="AL5:AL404" showDropDown="0" showInputMessage="0" showErrorMessage="1" allowBlank="1" errorTitle="Datum oder n.e." error="In Schrittspalten gehört entweder das Erledigungsdatum oder «n.e.», wenn der Schritt entfällt. Leer bedeutet offen." type="custom">
      <formula1>=OR(ISNUMBER(AL5),EXACT(UPPER(AL5),"N.E."))</formula1>
    </dataValidation>
    <dataValidation sqref="AM5:AM404" showDropDown="0" showInputMessage="0" showErrorMessage="1" allowBlank="1" errorTitle="Datum oder n.e." error="In Schrittspalten gehört entweder das Erledigungsdatum oder «n.e.», wenn der Schritt entfällt. Leer bedeutet offen." type="custom">
      <formula1>=OR(ISNUMBER(AM5),EXACT(UPPER(AM5),"N.E."))</formula1>
    </dataValidation>
    <dataValidation sqref="AN5:AN404" showDropDown="0" showInputMessage="0" showErrorMessage="1" allowBlank="1" errorTitle="Datum oder n.e." error="In Schrittspalten gehört entweder das Erledigungsdatum oder «n.e.», wenn der Schritt entfällt. Leer bedeutet offen." type="custom">
      <formula1>=OR(ISNUMBER(AN5),EXACT(UPPER(AN5),"N.E."))</formula1>
    </dataValidation>
    <dataValidation sqref="AO5:AO404" showDropDown="0" showInputMessage="0" showErrorMessage="1" allowBlank="1" errorTitle="Datum oder n.e." error="In Schrittspalten gehört entweder das Erledigungsdatum oder «n.e.», wenn der Schritt entfällt. Leer bedeutet offen." type="custom">
      <formula1>=OR(ISNUMBER(AO5),EXACT(UPPER(AO5),"N.E."))</formula1>
    </dataValidation>
    <dataValidation sqref="AP5:AP404" showDropDown="0" showInputMessage="0" showErrorMessage="1" allowBlank="1" errorTitle="Datum oder n.e." error="In Schrittspalten gehört entweder das Erledigungsdatum oder «n.e.», wenn der Schritt entfällt. Leer bedeutet offen." type="custom">
      <formula1>=OR(ISNUMBER(AP5),EXACT(UPPER(AP5),"N.E."))</formula1>
    </dataValidation>
    <dataValidation sqref="AQ5:AQ404" showDropDown="0" showInputMessage="0" showErrorMessage="1" allowBlank="1" errorTitle="Datum oder n.e." error="In Schrittspalten gehört entweder das Erledigungsdatum oder «n.e.», wenn der Schritt entfällt. Leer bedeutet offen." type="custom">
      <formula1>=OR(ISNUMBER(AQ5),EXACT(UPPER(AQ5),"N.E."))</formula1>
    </dataValidation>
    <dataValidation sqref="AR5:AR404" showDropDown="0" showInputMessage="0" showErrorMessage="1" allowBlank="1" errorTitle="Datum oder n.e." error="In Schrittspalten gehört entweder das Erledigungsdatum oder «n.e.», wenn der Schritt entfällt. Leer bedeutet offen." type="custom">
      <formula1>=OR(ISNUMBER(AR5),EXACT(UPPER(AR5),"N.E."))</formula1>
    </dataValidation>
    <dataValidation sqref="AS5:AS404" showDropDown="0" showInputMessage="0" showErrorMessage="1" allowBlank="1" errorTitle="Datum oder n.e." error="In Schrittspalten gehört entweder das Erledigungsdatum oder «n.e.», wenn der Schritt entfällt. Leer bedeutet offen." type="custom">
      <formula1>=OR(ISNUMBER(AS5),EXACT(UPPER(AS5),"N.E."))</formula1>
    </dataValidation>
    <dataValidation sqref="AT5:AT404" showDropDown="0" showInputMessage="0" showErrorMessage="1" allowBlank="1" errorTitle="Datum oder n.e." error="In Schrittspalten gehört entweder das Erledigungsdatum oder «n.e.», wenn der Schritt entfällt. Leer bedeutet offen." type="custom">
      <formula1>=OR(ISNUMBER(AT5),EXACT(UPPER(AT5),"N.E."))</formula1>
    </dataValidation>
    <dataValidation sqref="AU5:AU404" showDropDown="0" showInputMessage="0" showErrorMessage="1" allowBlank="1" errorTitle="Datum oder n.e." error="In Schrittspalten gehört entweder das Erledigungsdatum oder «n.e.», wenn der Schritt entfällt. Leer bedeutet offen." type="custom">
      <formula1>=OR(ISNUMBER(AU5),EXACT(UPPER(AU5),"N.E."))</formula1>
    </dataValidation>
    <dataValidation sqref="AV5:AV404" showDropDown="0" showInputMessage="0" showErrorMessage="1" allowBlank="1" errorTitle="Datum oder n.e." error="In Schrittspalten gehört entweder das Erledigungsdatum oder «n.e.», wenn der Schritt entfällt. Leer bedeutet offen." type="custom">
      <formula1>=OR(ISNUMBER(AV5),EXACT(UPPER(AV5),"N.E."))</formula1>
    </dataValidation>
    <dataValidation sqref="AW5:AW404" showDropDown="0" showInputMessage="0" showErrorMessage="1" allowBlank="1" errorTitle="Datum oder n.e." error="In Schrittspalten gehört entweder das Erledigungsdatum oder «n.e.», wenn der Schritt entfällt. Leer bedeutet offen." type="custom">
      <formula1>=OR(ISNUMBER(AW5),EXACT(UPPER(AW5),"N.E."))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Z14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4" customWidth="1" min="2" max="2"/>
    <col width="24" customWidth="1" min="3" max="3"/>
    <col width="9" customWidth="1" min="4" max="4"/>
    <col width="22" customWidth="1" min="5" max="5"/>
    <col width="16" customWidth="1" min="6" max="6"/>
    <col width="9" customWidth="1" min="7" max="7"/>
    <col width="14" customWidth="1" min="8" max="8"/>
    <col width="30" customWidth="1" min="9" max="9"/>
    <col width="10" customWidth="1" min="10" max="10"/>
    <col width="34" customWidth="1" min="11" max="11"/>
    <col width="13" customWidth="1" min="12" max="12"/>
    <col width="13" customWidth="1" min="13" max="13"/>
    <col width="14" customWidth="1" min="14" max="14"/>
    <col width="10" customWidth="1" min="15" max="15"/>
    <col width="12" customWidth="1" min="16" max="16"/>
    <col width="12" customWidth="1" min="17" max="17"/>
    <col width="20" customWidth="1" min="18" max="18"/>
    <col width="13" customWidth="1" min="19" max="19"/>
    <col width="20" customWidth="1" min="20" max="20"/>
    <col width="22" customWidth="1" min="21" max="21"/>
    <col width="16" customWidth="1" min="22" max="22"/>
    <col width="10" customWidth="1" min="23" max="23"/>
    <col width="22" customWidth="1" min="24" max="24"/>
    <col width="26" customWidth="1" min="25" max="25"/>
    <col width="12" customWidth="1" min="26" max="26"/>
    <col width="14" customWidth="1" min="27" max="27"/>
    <col width="14" customWidth="1" min="28" max="28"/>
    <col width="13" customWidth="1" min="29" max="29"/>
    <col width="14" customWidth="1" min="30" max="30"/>
    <col width="16" customWidth="1" min="31" max="31"/>
    <col width="16" customWidth="1" min="32" max="32"/>
    <col width="15" customWidth="1" min="33" max="33"/>
    <col width="15" customWidth="1" min="34" max="34"/>
    <col width="14" customWidth="1" min="35" max="35"/>
    <col width="17" customWidth="1" min="36" max="36"/>
    <col width="16" customWidth="1" min="37" max="37"/>
    <col width="16" customWidth="1" min="38" max="38"/>
    <col width="17" customWidth="1" min="39" max="39"/>
    <col width="14" customWidth="1" min="40" max="40"/>
    <col width="14" customWidth="1" min="41" max="41"/>
    <col width="14" customWidth="1" min="42" max="42"/>
    <col width="16" customWidth="1" min="43" max="43"/>
    <col width="15" customWidth="1" min="44" max="44"/>
    <col width="14" customWidth="1" min="45" max="45"/>
    <col width="16" customWidth="1" min="46" max="46"/>
    <col width="15" customWidth="1" min="47" max="47"/>
    <col width="15" customWidth="1" min="48" max="48"/>
    <col width="15" customWidth="1" min="49" max="49"/>
    <col width="13" customWidth="1" min="50" max="50"/>
    <col width="14" customWidth="1" min="51" max="51"/>
    <col width="40" customWidth="1" min="52" max="52"/>
  </cols>
  <sheetData>
    <row r="1">
      <c r="A1" s="11" t="inlineStr">
        <is>
          <t>Beispiele – zehn typische Fälle</t>
        </is>
      </c>
    </row>
    <row r="2">
      <c r="A2" s="6" t="inlineStr">
        <is>
          <t>Nur zum Nachschlagen. Dieses Blatt rechnet gleich wie «Leerstände», wirkt sich aber auf keine Kennzahl aus. Hier darf gefahrlos ausprobiert werden.</t>
        </is>
      </c>
    </row>
    <row r="3">
      <c r="A3" s="12" t="inlineStr">
        <is>
          <t>Jede Zeile zeigt eine andere Lage – auch fehlerhafte Erfassungen, damit sichtbar wird, was die Spalte «Prüfhinweis» meldet. Die Notiz rechts aussen erklärt den Fall.</t>
        </is>
      </c>
    </row>
    <row r="4" ht="42" customHeight="1">
      <c r="A4" s="13" t="inlineStr">
        <is>
          <t>Fall-Nr.</t>
        </is>
      </c>
      <c r="B4" s="13" t="inlineStr">
        <is>
          <t>Obj.-Nr.</t>
        </is>
      </c>
      <c r="C4" s="13" t="inlineStr">
        <is>
          <t>Liegenschaft</t>
        </is>
      </c>
      <c r="D4" s="13" t="inlineStr">
        <is>
          <t>Stock</t>
        </is>
      </c>
      <c r="E4" s="13" t="inlineStr">
        <is>
          <t>ex-Mieter</t>
        </is>
      </c>
      <c r="F4" s="13" t="inlineStr">
        <is>
          <t>Bewirtschafter</t>
        </is>
      </c>
      <c r="G4" s="14" t="inlineStr">
        <is>
          <t>Team</t>
        </is>
      </c>
      <c r="H4" s="14" t="inlineStr">
        <is>
          <t>Status</t>
        </is>
      </c>
      <c r="I4" s="14" t="inlineStr">
        <is>
          <t>Nächster Schritt</t>
        </is>
      </c>
      <c r="J4" s="14" t="inlineStr">
        <is>
          <t>Leerstandstage</t>
        </is>
      </c>
      <c r="K4" s="14" t="inlineStr">
        <is>
          <t>Prüfhinweis</t>
        </is>
      </c>
      <c r="L4" s="13" t="inlineStr">
        <is>
          <t>gekündigt per</t>
        </is>
      </c>
      <c r="M4" s="13" t="inlineStr">
        <is>
          <t>Haftungsdatum</t>
        </is>
      </c>
      <c r="N4" s="14" t="inlineStr">
        <is>
          <t>Leerstandsbeginn</t>
        </is>
      </c>
      <c r="O4" s="14" t="inlineStr">
        <is>
          <t>Vorlauftage</t>
        </is>
      </c>
      <c r="P4" s="14" t="inlineStr">
        <is>
          <t>Berichtsmonat</t>
        </is>
      </c>
      <c r="Q4" s="13" t="inlineStr">
        <is>
          <t>Mieter seit</t>
        </is>
      </c>
      <c r="R4" s="13" t="inlineStr">
        <is>
          <t>neuer Mieter</t>
        </is>
      </c>
      <c r="S4" s="13" t="inlineStr">
        <is>
          <t>Vermietet per</t>
        </is>
      </c>
      <c r="T4" s="14" t="inlineStr">
        <is>
          <t>Arbeitsbereich</t>
        </is>
      </c>
      <c r="U4" s="14" t="inlineStr">
        <is>
          <t>Phase</t>
        </is>
      </c>
      <c r="V4" s="13" t="inlineStr">
        <is>
          <t>Ort</t>
        </is>
      </c>
      <c r="W4" s="13" t="inlineStr">
        <is>
          <t>Anz. Zimmer</t>
        </is>
      </c>
      <c r="X4" s="13" t="inlineStr">
        <is>
          <t>Eigentümer</t>
        </is>
      </c>
      <c r="Y4" s="13" t="inlineStr">
        <is>
          <t>Dossier</t>
        </is>
      </c>
      <c r="Z4" s="13" t="inlineStr">
        <is>
          <t>WA-Termin</t>
        </is>
      </c>
      <c r="AA4" s="14" t="inlineStr">
        <is>
          <t>Sollfrist Abnahmetermin</t>
        </is>
      </c>
      <c r="AB4" s="14" t="inlineStr">
        <is>
          <t>Sollfrist Handwerker</t>
        </is>
      </c>
      <c r="AC4" s="13" t="inlineStr">
        <is>
          <t>Vertrag retour bis</t>
        </is>
      </c>
      <c r="AD4" s="13" t="inlineStr">
        <is>
          <t>Schlüsselübergabe-Termin</t>
        </is>
      </c>
      <c r="AE4" s="13" t="inlineStr">
        <is>
          <t>Kündigung bestätigt / G-Rem</t>
        </is>
      </c>
      <c r="AF4" s="13" t="inlineStr">
        <is>
          <t>Meldung Werke / EGT</t>
        </is>
      </c>
      <c r="AG4" s="13" t="inlineStr">
        <is>
          <t>Vorbesichtigung</t>
        </is>
      </c>
      <c r="AH4" s="13" t="inlineStr">
        <is>
          <t>VMZ aktualisiert</t>
        </is>
      </c>
      <c r="AI4" s="13" t="inlineStr">
        <is>
          <t>Inserat online</t>
        </is>
      </c>
      <c r="AJ4" s="13" t="inlineStr">
        <is>
          <t>Wohnungsabnahme durchgeführt</t>
        </is>
      </c>
      <c r="AK4" s="13" t="inlineStr">
        <is>
          <t>Handwerker aufgeboten</t>
        </is>
      </c>
      <c r="AL4" s="13" t="inlineStr">
        <is>
          <t>Zustimmungserklärung</t>
        </is>
      </c>
      <c r="AM4" s="13" t="inlineStr">
        <is>
          <t>Instandstellungen beauftragt</t>
        </is>
      </c>
      <c r="AN4" s="13" t="inlineStr">
        <is>
          <t>Vertrag versendet</t>
        </is>
      </c>
      <c r="AO4" s="13" t="inlineStr">
        <is>
          <t>Vertrag retour</t>
        </is>
      </c>
      <c r="AP4" s="13" t="inlineStr">
        <is>
          <t>Info Werke / EGT</t>
        </is>
      </c>
      <c r="AQ4" s="13" t="inlineStr">
        <is>
          <t>Schlüsselübergabe erfolgt</t>
        </is>
      </c>
      <c r="AR4" s="13" t="inlineStr">
        <is>
          <t>Reinigung veranlasst</t>
        </is>
      </c>
      <c r="AS4" s="13" t="inlineStr">
        <is>
          <t>Namensschilder</t>
        </is>
      </c>
      <c r="AT4" s="13" t="inlineStr">
        <is>
          <t>Kaution / G-Rem mutiert</t>
        </is>
      </c>
      <c r="AU4" s="13" t="inlineStr">
        <is>
          <t>Instandstellungs-RG</t>
        </is>
      </c>
      <c r="AV4" s="13" t="inlineStr">
        <is>
          <t>Schlussabrechnung</t>
        </is>
      </c>
      <c r="AW4" s="13" t="inlineStr">
        <is>
          <t>Zahlungseingang</t>
        </is>
      </c>
      <c r="AX4" s="13" t="inlineStr">
        <is>
          <t>zurückgestellt bis</t>
        </is>
      </c>
      <c r="AY4" s="13" t="inlineStr">
        <is>
          <t>Fall abgeschlossen</t>
        </is>
      </c>
      <c r="AZ4" s="13" t="inlineStr">
        <is>
          <t>Notiz</t>
        </is>
      </c>
    </row>
    <row r="5">
      <c r="A5" s="21" t="inlineStr">
        <is>
          <t>BSP-001</t>
        </is>
      </c>
      <c r="B5" s="21" t="inlineStr">
        <is>
          <t>0112.03.004</t>
        </is>
      </c>
      <c r="C5" s="21" t="inlineStr">
        <is>
          <t>Seestrasse 118</t>
        </is>
      </c>
      <c r="D5" s="21" t="inlineStr">
        <is>
          <t>3. OG</t>
        </is>
      </c>
      <c r="E5" s="21" t="inlineStr">
        <is>
          <t>Familie Brunner</t>
        </is>
      </c>
      <c r="F5" s="21" t="inlineStr">
        <is>
          <t>Moren</t>
        </is>
      </c>
      <c r="G5" s="22">
        <f>IF(F5="","",IFERROR(INDEX(Stammdaten!$B$5:$B$24,MATCH(F5,Stammdaten!$A$5:$A$24,0)),"unbekannt"))</f>
        <v/>
      </c>
      <c r="H5" s="22">
        <f>IF($B5="","",IF(AY5&lt;&gt;"","abgeschlossen",IF(AND(ISNUMBER(AX5),AX5&gt;=TODAY()),"zurückgestellt",IF(OR(AND(ISNUMBER(AA5),AA5&lt;TODAY(),Z5="",AJ5=""),AND(ISNUMBER(Z5),Z5&lt;TODAY(),AJ5=""),AND(ISNUMBER(AB5),AB5&lt;TODAY(),AK5=""),AND(ISNUMBER(AC5),AC5&lt;TODAY(),AO5=""),AND(ISNUMBER(AD5),AD5&lt;TODAY(),AQ5="")),"überfällig","offen"))))</f>
        <v/>
      </c>
      <c r="I5" s="22">
        <f>IF($B5="","",IF(AY5&lt;&gt;"","—",IF(AND(ISNUMBER(AA5),AA5&lt;TODAY(),Z5="",AJ5=""),"Abnahmetermin vereinbaren – Sollfrist verstrichen",IF(AND(ISNUMBER(Z5),Z5&lt;TODAY(),AJ5=""),"Wohnungsabnahme nachtragen – Termin war fällig",IF(AND(ISNUMBER(AB5),AB5&lt;TODAY(),AK5=""),"Handwerker aufbieten – Frist verstrichen",IF(AND(ISNUMBER(AC5),AC5&lt;TODAY(),AO5=""),"Vertrag retour mahnen – Frist verstrichen",IF(AND(ISNUMBER(AD5),AD5&lt;TODAY(),AQ5=""),"Schlüsselübergabe nachtragen – Termin war fällig",IF(M5="","Haftungsdatum erfassen",IF(E5="","ex-Mieter erfassen",IF(AE5="","Kündigung bestätigen / G-Rem",IF(AF5="","Werke / EGT melden",IF(AG5="","Vorbesichtigung (oder n.e.)",IF(AH5="","VMZ aktualisieren",IF(AI5="","Inserat aufschalten",IF(AND(Z5="",AJ5=""),"Abnahmetermin vereinbaren",IF(AJ5="","Wohnungsabnahme durchführen",IF(AK5="","Handwerker aufbieten",IF(AL5="","Zustimmungserklärung einholen",IF(AM5="","Instandstellungen beauftragen",IF(R5="","Nachmieter erfassen",IF(AN5="","Vertrag versenden",IF(AO5="","Vertrag retour erfassen",IF(S5="","Vermietet per erfassen",IF(AP5="","Werke / EGT über Einzug informieren",IF(AND(AD5="",AQ5=""),"Schlüsselübergabe terminieren",IF(AQ5="","Schlüsselübergabe durchführen",IF(AR5="","Reinigung veranlassen",IF(AS5="","Namensschilder bestellen",IF(AT5="","Kaution prüfen / G-Rem mutieren",IF(AU5="","Instandstellungs-Rechnung erfassen",IF(AV5="","Schlussabrechnung erstellen",IF(AW5="","Zahlungseingang kontrollieren","Fall abschliessen"))))))))))))))))))))))))))))))))</f>
        <v/>
      </c>
      <c r="J5" s="23">
        <f>IF(M5="","",IF(S5&lt;&gt;"",MAX(0,S5-M5-1),MAX(0,TODAY()-M5)))</f>
        <v/>
      </c>
      <c r="K5" s="22">
        <f>IF($B5="","",TRIM(IF(AND(L5&lt;&gt;"",M5&lt;&gt;"",M5&lt;L5),"Haftungsdatum vor Kündigung. ","")&amp;IF(AND(S5&lt;&gt;"",M5&lt;&gt;"",S5&lt;M5),"Vermietung vor Leerstandsbeginn. ","")&amp;IF(AND(Z5&lt;&gt;"",L5&lt;&gt;"",Z5&lt;L5),"WA-Termin vor Kündigung. ","")&amp;IF(COUNTIFS($B$5:$B$404,$B5,$AY$5:$AY$404,"")&gt;1,"Zweiter offener Fall zum selben Objekt. ","")&amp;IF(AND($A5&lt;&gt;"",COUNTIFS($A$5:$A$404,$A5)&gt;1),"Fall-Nr. doppelt vergeben. ","")&amp;IF(E5="","ex-Mieter fehlt. ","")&amp;IF(M5="","Haftungsdatum fehlt. ","")&amp;IF(F5="","Bewirtschafter fehlt. ","")&amp;IF(AND(AY5&lt;&gt;"",AW5=""),"Abgeschlossen trotz offener Schlussabrechnung. ","")&amp;IF(AND(AY5="",S5="",ISNUMBER(J5),J5&gt;60),"Langläufer über 60 Tage. ","")))</f>
        <v/>
      </c>
      <c r="L5" s="24" t="n">
        <v>46229</v>
      </c>
      <c r="M5" s="24" t="n">
        <v>46263</v>
      </c>
      <c r="N5" s="25">
        <f>IF(M5="","",M5+1)</f>
        <v/>
      </c>
      <c r="O5" s="23">
        <f>IF(OR(L5="",M5=""),"",M5-L5)</f>
        <v/>
      </c>
      <c r="P5" s="22">
        <f>IF(M5="","",YEAR(M5+1)&amp;"-"&amp;TEXT(MONTH(M5+1),"00"))</f>
        <v/>
      </c>
      <c r="Q5" s="24" t="n"/>
      <c r="R5" s="21" t="n"/>
      <c r="S5" s="24" t="n"/>
      <c r="T5" s="22">
        <f>IF(U5="","",IF(LEFT(U5,1)="6","abgeschlossen",IF(OR(LEFT(U5,1)="1",LEFT(U5,1)="2"),"Kündigung &amp; Abnahme",IF(OR(LEFT(U5,1)="3",LEFT(U5,1)="4"),"Wiedervermietung","Schlussabrechnung"))))</f>
        <v/>
      </c>
      <c r="U5" s="22">
        <f>IF($B5="","",IF(AY5&lt;&gt;"","6 · abgeschlossen",IF(AW5&lt;&gt;"","5 · bereit zum Abschluss",IF(AT5&lt;&gt;"","5 · Schlussabrechnung",IF(AO5&lt;&gt;"","4 · Übergabe",IF(AM5&lt;&gt;"","3 · Neuvermietung",IF(M5&lt;&gt;"","2 · Abnahme &amp; Vermarktung","1 · Erfassung")))))))</f>
        <v/>
      </c>
      <c r="V5" s="21" t="inlineStr">
        <is>
          <t>8002 Zürich</t>
        </is>
      </c>
      <c r="W5" s="26" t="n">
        <v>3.5</v>
      </c>
      <c r="X5" s="21" t="inlineStr">
        <is>
          <t>PK Helvetia Immobilien</t>
        </is>
      </c>
      <c r="Y5" s="21" t="inlineStr">
        <is>
          <t>https://schaeppi.sharepoint.com/objekte/0112-03-004</t>
        </is>
      </c>
      <c r="Z5" s="24" t="n">
        <v>46281</v>
      </c>
      <c r="AA5" s="25">
        <f>IF(M5="","",M5-30)</f>
        <v/>
      </c>
      <c r="AB5" s="25">
        <f>IF(ISNUMBER(AJ5),AJ5+3,"")</f>
        <v/>
      </c>
      <c r="AC5" s="24" t="n"/>
      <c r="AD5" s="24" t="n"/>
      <c r="AE5" s="24" t="n">
        <v>46232</v>
      </c>
      <c r="AF5" s="24" t="n">
        <v>46233</v>
      </c>
      <c r="AG5" s="24" t="n"/>
      <c r="AH5" s="24" t="n">
        <v>46237</v>
      </c>
      <c r="AI5" s="24" t="n">
        <v>46240</v>
      </c>
      <c r="AJ5" s="24" t="n"/>
      <c r="AK5" s="24" t="n">
        <v>46267</v>
      </c>
      <c r="AL5" s="24" t="n"/>
      <c r="AM5" s="24" t="n"/>
      <c r="AN5" s="24" t="n"/>
      <c r="AO5" s="24" t="n"/>
      <c r="AP5" s="24" t="n"/>
      <c r="AQ5" s="24" t="n"/>
      <c r="AR5" s="24" t="n"/>
      <c r="AS5" s="24" t="n"/>
      <c r="AT5" s="24" t="n"/>
      <c r="AU5" s="24" t="n"/>
      <c r="AV5" s="24" t="n"/>
      <c r="AW5" s="24" t="n"/>
      <c r="AX5" s="24" t="n"/>
      <c r="AY5" s="24" t="n"/>
      <c r="AZ5" s="21" t="inlineStr">
        <is>
          <t>Abnahme kurzfristig verschoben, Mieter war krank.</t>
        </is>
      </c>
    </row>
    <row r="6">
      <c r="A6" s="21" t="inlineStr">
        <is>
          <t>BSP-002</t>
        </is>
      </c>
      <c r="B6" s="21" t="inlineStr">
        <is>
          <t>0774.06.021</t>
        </is>
      </c>
      <c r="C6" s="21" t="inlineStr">
        <is>
          <t>Hardturmstrasse 205</t>
        </is>
      </c>
      <c r="D6" s="21" t="inlineStr">
        <is>
          <t>6. OG</t>
        </is>
      </c>
      <c r="E6" s="21" t="inlineStr">
        <is>
          <t>S. Kaufmann</t>
        </is>
      </c>
      <c r="F6" s="21" t="inlineStr">
        <is>
          <t>Moren</t>
        </is>
      </c>
      <c r="G6" s="22">
        <f>IF(F6="","",IFERROR(INDEX(Stammdaten!$B$5:$B$24,MATCH(F6,Stammdaten!$A$5:$A$24,0)),"unbekannt"))</f>
        <v/>
      </c>
      <c r="H6" s="22">
        <f>IF($B6="","",IF(AY6&lt;&gt;"","abgeschlossen",IF(AND(ISNUMBER(AX6),AX6&gt;=TODAY()),"zurückgestellt",IF(OR(AND(ISNUMBER(AA6),AA6&lt;TODAY(),Z6="",AJ6=""),AND(ISNUMBER(Z6),Z6&lt;TODAY(),AJ6=""),AND(ISNUMBER(AB6),AB6&lt;TODAY(),AK6=""),AND(ISNUMBER(AC6),AC6&lt;TODAY(),AO6=""),AND(ISNUMBER(AD6),AD6&lt;TODAY(),AQ6="")),"überfällig","offen"))))</f>
        <v/>
      </c>
      <c r="I6" s="22">
        <f>IF($B6="","",IF(AY6&lt;&gt;"","—",IF(AND(ISNUMBER(AA6),AA6&lt;TODAY(),Z6="",AJ6=""),"Abnahmetermin vereinbaren – Sollfrist verstrichen",IF(AND(ISNUMBER(Z6),Z6&lt;TODAY(),AJ6=""),"Wohnungsabnahme nachtragen – Termin war fällig",IF(AND(ISNUMBER(AB6),AB6&lt;TODAY(),AK6=""),"Handwerker aufbieten – Frist verstrichen",IF(AND(ISNUMBER(AC6),AC6&lt;TODAY(),AO6=""),"Vertrag retour mahnen – Frist verstrichen",IF(AND(ISNUMBER(AD6),AD6&lt;TODAY(),AQ6=""),"Schlüsselübergabe nachtragen – Termin war fällig",IF(M6="","Haftungsdatum erfassen",IF(E6="","ex-Mieter erfassen",IF(AE6="","Kündigung bestätigen / G-Rem",IF(AF6="","Werke / EGT melden",IF(AG6="","Vorbesichtigung (oder n.e.)",IF(AH6="","VMZ aktualisieren",IF(AI6="","Inserat aufschalten",IF(AND(Z6="",AJ6=""),"Abnahmetermin vereinbaren",IF(AJ6="","Wohnungsabnahme durchführen",IF(AK6="","Handwerker aufbieten",IF(AL6="","Zustimmungserklärung einholen",IF(AM6="","Instandstellungen beauftragen",IF(R6="","Nachmieter erfassen",IF(AN6="","Vertrag versenden",IF(AO6="","Vertrag retour erfassen",IF(S6="","Vermietet per erfassen",IF(AP6="","Werke / EGT über Einzug informieren",IF(AND(AD6="",AQ6=""),"Schlüsselübergabe terminieren",IF(AQ6="","Schlüsselübergabe durchführen",IF(AR6="","Reinigung veranlassen",IF(AS6="","Namensschilder bestellen",IF(AT6="","Kaution prüfen / G-Rem mutieren",IF(AU6="","Instandstellungs-Rechnung erfassen",IF(AV6="","Schlussabrechnung erstellen",IF(AW6="","Zahlungseingang kontrollieren","Fall abschliessen"))))))))))))))))))))))))))))))))</f>
        <v/>
      </c>
      <c r="J6" s="23">
        <f>IF(M6="","",IF(S6&lt;&gt;"",MAX(0,S6-M6-1),MAX(0,TODAY()-M6)))</f>
        <v/>
      </c>
      <c r="K6" s="22">
        <f>IF($B6="","",TRIM(IF(AND(L6&lt;&gt;"",M6&lt;&gt;"",M6&lt;L6),"Haftungsdatum vor Kündigung. ","")&amp;IF(AND(S6&lt;&gt;"",M6&lt;&gt;"",S6&lt;M6),"Vermietung vor Leerstandsbeginn. ","")&amp;IF(AND(Z6&lt;&gt;"",L6&lt;&gt;"",Z6&lt;L6),"WA-Termin vor Kündigung. ","")&amp;IF(COUNTIFS($B$5:$B$404,$B6,$AY$5:$AY$404,"")&gt;1,"Zweiter offener Fall zum selben Objekt. ","")&amp;IF(AND($A6&lt;&gt;"",COUNTIFS($A$5:$A$404,$A6)&gt;1),"Fall-Nr. doppelt vergeben. ","")&amp;IF(E6="","ex-Mieter fehlt. ","")&amp;IF(M6="","Haftungsdatum fehlt. ","")&amp;IF(F6="","Bewirtschafter fehlt. ","")&amp;IF(AND(AY6&lt;&gt;"",AW6=""),"Abgeschlossen trotz offener Schlussabrechnung. ","")&amp;IF(AND(AY6="",S6="",ISNUMBER(J6),J6&gt;60),"Langläufer über 60 Tage. ","")))</f>
        <v/>
      </c>
      <c r="L6" s="24" t="n">
        <v>46201</v>
      </c>
      <c r="M6" s="24" t="n">
        <v>46253</v>
      </c>
      <c r="N6" s="25">
        <f>IF(M6="","",M6+1)</f>
        <v/>
      </c>
      <c r="O6" s="23">
        <f>IF(OR(L6="",M6=""),"",M6-L6)</f>
        <v/>
      </c>
      <c r="P6" s="22">
        <f>IF(M6="","",YEAR(M6+1)&amp;"-"&amp;TEXT(MONTH(M6+1),"00"))</f>
        <v/>
      </c>
      <c r="Q6" s="24" t="n"/>
      <c r="R6" s="21" t="inlineStr">
        <is>
          <t>L. Iseli &amp; P. Frei</t>
        </is>
      </c>
      <c r="S6" s="24" t="n">
        <v>46301</v>
      </c>
      <c r="T6" s="22">
        <f>IF(U6="","",IF(LEFT(U6,1)="6","abgeschlossen",IF(OR(LEFT(U6,1)="1",LEFT(U6,1)="2"),"Kündigung &amp; Abnahme",IF(OR(LEFT(U6,1)="3",LEFT(U6,1)="4"),"Wiedervermietung","Schlussabrechnung"))))</f>
        <v/>
      </c>
      <c r="U6" s="22">
        <f>IF($B6="","",IF(AY6&lt;&gt;"","6 · abgeschlossen",IF(AW6&lt;&gt;"","5 · bereit zum Abschluss",IF(AT6&lt;&gt;"","5 · Schlussabrechnung",IF(AO6&lt;&gt;"","4 · Übergabe",IF(AM6&lt;&gt;"","3 · Neuvermietung",IF(M6&lt;&gt;"","2 · Abnahme &amp; Vermarktung","1 · Erfassung")))))))</f>
        <v/>
      </c>
      <c r="V6" s="21" t="inlineStr">
        <is>
          <t>8005 Zürich</t>
        </is>
      </c>
      <c r="W6" s="26" t="n">
        <v>5.5</v>
      </c>
      <c r="X6" s="21" t="inlineStr">
        <is>
          <t>PK Helvetia Immobilien</t>
        </is>
      </c>
      <c r="Y6" s="21" t="inlineStr">
        <is>
          <t>https://schaeppi.sharepoint.com/objekte/0774-06-021</t>
        </is>
      </c>
      <c r="Z6" s="24" t="n"/>
      <c r="AA6" s="25">
        <f>IF(M6="","",M6-30)</f>
        <v/>
      </c>
      <c r="AB6" s="25">
        <f>IF(ISNUMBER(AJ6),AJ6+3,"")</f>
        <v/>
      </c>
      <c r="AC6" s="24" t="n"/>
      <c r="AD6" s="24" t="n">
        <v>46291</v>
      </c>
      <c r="AE6" s="24" t="n">
        <v>46203</v>
      </c>
      <c r="AF6" s="24" t="n">
        <v>46204</v>
      </c>
      <c r="AG6" s="24" t="inlineStr">
        <is>
          <t>n.e.</t>
        </is>
      </c>
      <c r="AH6" s="24" t="n">
        <v>46208</v>
      </c>
      <c r="AI6" s="24" t="n">
        <v>46211</v>
      </c>
      <c r="AJ6" s="24" t="n">
        <v>46254</v>
      </c>
      <c r="AK6" s="24" t="n">
        <v>46255</v>
      </c>
      <c r="AL6" s="24" t="n">
        <v>46254</v>
      </c>
      <c r="AM6" s="24" t="n">
        <v>46256</v>
      </c>
      <c r="AN6" s="24" t="n">
        <v>46268</v>
      </c>
      <c r="AO6" s="24" t="n">
        <v>46275</v>
      </c>
      <c r="AP6" s="24" t="n">
        <v>46277</v>
      </c>
      <c r="AQ6" s="24" t="n"/>
      <c r="AR6" s="24" t="n">
        <v>46281</v>
      </c>
      <c r="AS6" s="24" t="n"/>
      <c r="AT6" s="24" t="n"/>
      <c r="AU6" s="24" t="n"/>
      <c r="AV6" s="24" t="n"/>
      <c r="AW6" s="24" t="n"/>
      <c r="AX6" s="24" t="n"/>
      <c r="AY6" s="24" t="n"/>
      <c r="AZ6" s="21" t="n"/>
    </row>
    <row r="7">
      <c r="A7" s="21" t="inlineStr">
        <is>
          <t>BSP-003</t>
        </is>
      </c>
      <c r="B7" s="21" t="inlineStr">
        <is>
          <t>0903.00.002</t>
        </is>
      </c>
      <c r="C7" s="21" t="inlineStr">
        <is>
          <t>Rebbergstrasse 4</t>
        </is>
      </c>
      <c r="D7" s="21" t="inlineStr">
        <is>
          <t>EG</t>
        </is>
      </c>
      <c r="E7" s="21" t="inlineStr">
        <is>
          <t>M. Odermatt</t>
        </is>
      </c>
      <c r="F7" s="21" t="inlineStr">
        <is>
          <t>Moren</t>
        </is>
      </c>
      <c r="G7" s="22">
        <f>IF(F7="","",IFERROR(INDEX(Stammdaten!$B$5:$B$24,MATCH(F7,Stammdaten!$A$5:$A$24,0)),"unbekannt"))</f>
        <v/>
      </c>
      <c r="H7" s="22">
        <f>IF($B7="","",IF(AY7&lt;&gt;"","abgeschlossen",IF(AND(ISNUMBER(AX7),AX7&gt;=TODAY()),"zurückgestellt",IF(OR(AND(ISNUMBER(AA7),AA7&lt;TODAY(),Z7="",AJ7=""),AND(ISNUMBER(Z7),Z7&lt;TODAY(),AJ7=""),AND(ISNUMBER(AB7),AB7&lt;TODAY(),AK7=""),AND(ISNUMBER(AC7),AC7&lt;TODAY(),AO7=""),AND(ISNUMBER(AD7),AD7&lt;TODAY(),AQ7="")),"überfällig","offen"))))</f>
        <v/>
      </c>
      <c r="I7" s="22">
        <f>IF($B7="","",IF(AY7&lt;&gt;"","—",IF(AND(ISNUMBER(AA7),AA7&lt;TODAY(),Z7="",AJ7=""),"Abnahmetermin vereinbaren – Sollfrist verstrichen",IF(AND(ISNUMBER(Z7),Z7&lt;TODAY(),AJ7=""),"Wohnungsabnahme nachtragen – Termin war fällig",IF(AND(ISNUMBER(AB7),AB7&lt;TODAY(),AK7=""),"Handwerker aufbieten – Frist verstrichen",IF(AND(ISNUMBER(AC7),AC7&lt;TODAY(),AO7=""),"Vertrag retour mahnen – Frist verstrichen",IF(AND(ISNUMBER(AD7),AD7&lt;TODAY(),AQ7=""),"Schlüsselübergabe nachtragen – Termin war fällig",IF(M7="","Haftungsdatum erfassen",IF(E7="","ex-Mieter erfassen",IF(AE7="","Kündigung bestätigen / G-Rem",IF(AF7="","Werke / EGT melden",IF(AG7="","Vorbesichtigung (oder n.e.)",IF(AH7="","VMZ aktualisieren",IF(AI7="","Inserat aufschalten",IF(AND(Z7="",AJ7=""),"Abnahmetermin vereinbaren",IF(AJ7="","Wohnungsabnahme durchführen",IF(AK7="","Handwerker aufbieten",IF(AL7="","Zustimmungserklärung einholen",IF(AM7="","Instandstellungen beauftragen",IF(R7="","Nachmieter erfassen",IF(AN7="","Vertrag versenden",IF(AO7="","Vertrag retour erfassen",IF(S7="","Vermietet per erfassen",IF(AP7="","Werke / EGT über Einzug informieren",IF(AND(AD7="",AQ7=""),"Schlüsselübergabe terminieren",IF(AQ7="","Schlüsselübergabe durchführen",IF(AR7="","Reinigung veranlassen",IF(AS7="","Namensschilder bestellen",IF(AT7="","Kaution prüfen / G-Rem mutieren",IF(AU7="","Instandstellungs-Rechnung erfassen",IF(AV7="","Schlussabrechnung erstellen",IF(AW7="","Zahlungseingang kontrollieren","Fall abschliessen"))))))))))))))))))))))))))))))))</f>
        <v/>
      </c>
      <c r="J7" s="23">
        <f>IF(M7="","",IF(S7&lt;&gt;"",MAX(0,S7-M7-1),MAX(0,TODAY()-M7)))</f>
        <v/>
      </c>
      <c r="K7" s="22">
        <f>IF($B7="","",TRIM(IF(AND(L7&lt;&gt;"",M7&lt;&gt;"",M7&lt;L7),"Haftungsdatum vor Kündigung. ","")&amp;IF(AND(S7&lt;&gt;"",M7&lt;&gt;"",S7&lt;M7),"Vermietung vor Leerstandsbeginn. ","")&amp;IF(AND(Z7&lt;&gt;"",L7&lt;&gt;"",Z7&lt;L7),"WA-Termin vor Kündigung. ","")&amp;IF(COUNTIFS($B$5:$B$404,$B7,$AY$5:$AY$404,"")&gt;1,"Zweiter offener Fall zum selben Objekt. ","")&amp;IF(AND($A7&lt;&gt;"",COUNTIFS($A$5:$A$404,$A7)&gt;1),"Fall-Nr. doppelt vergeben. ","")&amp;IF(E7="","ex-Mieter fehlt. ","")&amp;IF(M7="","Haftungsdatum fehlt. ","")&amp;IF(F7="","Bewirtschafter fehlt. ","")&amp;IF(AND(AY7&lt;&gt;"",AW7=""),"Abgeschlossen trotz offener Schlussabrechnung. ","")&amp;IF(AND(AY7="",S7="",ISNUMBER(J7),J7&gt;60),"Langläufer über 60 Tage. ","")))</f>
        <v/>
      </c>
      <c r="L7" s="24" t="n">
        <v>46154</v>
      </c>
      <c r="M7" s="24" t="n">
        <v>46216</v>
      </c>
      <c r="N7" s="25">
        <f>IF(M7="","",M7+1)</f>
        <v/>
      </c>
      <c r="O7" s="23">
        <f>IF(OR(L7="",M7=""),"",M7-L7)</f>
        <v/>
      </c>
      <c r="P7" s="22">
        <f>IF(M7="","",YEAR(M7+1)&amp;"-"&amp;TEXT(MONTH(M7+1),"00"))</f>
        <v/>
      </c>
      <c r="Q7" s="24" t="n"/>
      <c r="R7" s="21" t="inlineStr">
        <is>
          <t>A. Schuler</t>
        </is>
      </c>
      <c r="S7" s="24" t="n">
        <v>46231</v>
      </c>
      <c r="T7" s="22">
        <f>IF(U7="","",IF(LEFT(U7,1)="6","abgeschlossen",IF(OR(LEFT(U7,1)="1",LEFT(U7,1)="2"),"Kündigung &amp; Abnahme",IF(OR(LEFT(U7,1)="3",LEFT(U7,1)="4"),"Wiedervermietung","Schlussabrechnung"))))</f>
        <v/>
      </c>
      <c r="U7" s="22">
        <f>IF($B7="","",IF(AY7&lt;&gt;"","6 · abgeschlossen",IF(AW7&lt;&gt;"","5 · bereit zum Abschluss",IF(AT7&lt;&gt;"","5 · Schlussabrechnung",IF(AO7&lt;&gt;"","4 · Übergabe",IF(AM7&lt;&gt;"","3 · Neuvermietung",IF(M7&lt;&gt;"","2 · Abnahme &amp; Vermarktung","1 · Erfassung")))))))</f>
        <v/>
      </c>
      <c r="V7" s="21" t="inlineStr">
        <is>
          <t>8610 Uster</t>
        </is>
      </c>
      <c r="W7" s="26" t="n">
        <v>2.5</v>
      </c>
      <c r="X7" s="21" t="inlineStr">
        <is>
          <t>Erbengemeinschaft Vogt</t>
        </is>
      </c>
      <c r="Y7" s="21" t="inlineStr">
        <is>
          <t>https://schaeppi.sharepoint.com/objekte/0903-00-002</t>
        </is>
      </c>
      <c r="Z7" s="24" t="n"/>
      <c r="AA7" s="25">
        <f>IF(M7="","",M7-30)</f>
        <v/>
      </c>
      <c r="AB7" s="25">
        <f>IF(ISNUMBER(AJ7),AJ7+3,"")</f>
        <v/>
      </c>
      <c r="AC7" s="24" t="n"/>
      <c r="AD7" s="24" t="n"/>
      <c r="AE7" s="24" t="n">
        <v>46156</v>
      </c>
      <c r="AF7" s="24" t="n">
        <v>46157</v>
      </c>
      <c r="AG7" s="24" t="n">
        <v>46161</v>
      </c>
      <c r="AH7" s="24" t="n">
        <v>46163</v>
      </c>
      <c r="AI7" s="24" t="n">
        <v>46166</v>
      </c>
      <c r="AJ7" s="24" t="n">
        <v>46217</v>
      </c>
      <c r="AK7" s="24" t="n">
        <v>46218</v>
      </c>
      <c r="AL7" s="24" t="n">
        <v>46217</v>
      </c>
      <c r="AM7" s="24" t="n">
        <v>46220</v>
      </c>
      <c r="AN7" s="24" t="n">
        <v>46224</v>
      </c>
      <c r="AO7" s="24" t="n">
        <v>46229</v>
      </c>
      <c r="AP7" s="24" t="n">
        <v>46230</v>
      </c>
      <c r="AQ7" s="24" t="n">
        <v>46231</v>
      </c>
      <c r="AR7" s="24" t="n">
        <v>46229</v>
      </c>
      <c r="AS7" s="24" t="n">
        <v>46230</v>
      </c>
      <c r="AT7" s="24" t="n">
        <v>46228</v>
      </c>
      <c r="AU7" s="24" t="n">
        <v>46247</v>
      </c>
      <c r="AV7" s="24" t="n">
        <v>46261</v>
      </c>
      <c r="AW7" s="24" t="n"/>
      <c r="AX7" s="24" t="n"/>
      <c r="AY7" s="24" t="n"/>
      <c r="AZ7" s="21" t="n"/>
    </row>
    <row r="8">
      <c r="A8" s="21" t="inlineStr">
        <is>
          <t>BSP-004</t>
        </is>
      </c>
      <c r="B8" s="21" t="inlineStr">
        <is>
          <t>0348.05.011</t>
        </is>
      </c>
      <c r="C8" s="21" t="inlineStr">
        <is>
          <t>Birmensdorferstrasse 340</t>
        </is>
      </c>
      <c r="D8" s="21" t="inlineStr">
        <is>
          <t>5. OG</t>
        </is>
      </c>
      <c r="E8" s="21" t="inlineStr">
        <is>
          <t>D. Hofstetter</t>
        </is>
      </c>
      <c r="F8" s="21" t="inlineStr">
        <is>
          <t>Moren</t>
        </is>
      </c>
      <c r="G8" s="22">
        <f>IF(F8="","",IFERROR(INDEX(Stammdaten!$B$5:$B$24,MATCH(F8,Stammdaten!$A$5:$A$24,0)),"unbekannt"))</f>
        <v/>
      </c>
      <c r="H8" s="22">
        <f>IF($B8="","",IF(AY8&lt;&gt;"","abgeschlossen",IF(AND(ISNUMBER(AX8),AX8&gt;=TODAY()),"zurückgestellt",IF(OR(AND(ISNUMBER(AA8),AA8&lt;TODAY(),Z8="",AJ8=""),AND(ISNUMBER(Z8),Z8&lt;TODAY(),AJ8=""),AND(ISNUMBER(AB8),AB8&lt;TODAY(),AK8=""),AND(ISNUMBER(AC8),AC8&lt;TODAY(),AO8=""),AND(ISNUMBER(AD8),AD8&lt;TODAY(),AQ8="")),"überfällig","offen"))))</f>
        <v/>
      </c>
      <c r="I8" s="22">
        <f>IF($B8="","",IF(AY8&lt;&gt;"","—",IF(AND(ISNUMBER(AA8),AA8&lt;TODAY(),Z8="",AJ8=""),"Abnahmetermin vereinbaren – Sollfrist verstrichen",IF(AND(ISNUMBER(Z8),Z8&lt;TODAY(),AJ8=""),"Wohnungsabnahme nachtragen – Termin war fällig",IF(AND(ISNUMBER(AB8),AB8&lt;TODAY(),AK8=""),"Handwerker aufbieten – Frist verstrichen",IF(AND(ISNUMBER(AC8),AC8&lt;TODAY(),AO8=""),"Vertrag retour mahnen – Frist verstrichen",IF(AND(ISNUMBER(AD8),AD8&lt;TODAY(),AQ8=""),"Schlüsselübergabe nachtragen – Termin war fällig",IF(M8="","Haftungsdatum erfassen",IF(E8="","ex-Mieter erfassen",IF(AE8="","Kündigung bestätigen / G-Rem",IF(AF8="","Werke / EGT melden",IF(AG8="","Vorbesichtigung (oder n.e.)",IF(AH8="","VMZ aktualisieren",IF(AI8="","Inserat aufschalten",IF(AND(Z8="",AJ8=""),"Abnahmetermin vereinbaren",IF(AJ8="","Wohnungsabnahme durchführen",IF(AK8="","Handwerker aufbieten",IF(AL8="","Zustimmungserklärung einholen",IF(AM8="","Instandstellungen beauftragen",IF(R8="","Nachmieter erfassen",IF(AN8="","Vertrag versenden",IF(AO8="","Vertrag retour erfassen",IF(S8="","Vermietet per erfassen",IF(AP8="","Werke / EGT über Einzug informieren",IF(AND(AD8="",AQ8=""),"Schlüsselübergabe terminieren",IF(AQ8="","Schlüsselübergabe durchführen",IF(AR8="","Reinigung veranlassen",IF(AS8="","Namensschilder bestellen",IF(AT8="","Kaution prüfen / G-Rem mutieren",IF(AU8="","Instandstellungs-Rechnung erfassen",IF(AV8="","Schlussabrechnung erstellen",IF(AW8="","Zahlungseingang kontrollieren","Fall abschliessen"))))))))))))))))))))))))))))))))</f>
        <v/>
      </c>
      <c r="J8" s="23">
        <f>IF(M8="","",IF(S8&lt;&gt;"",MAX(0,S8-M8-1),MAX(0,TODAY()-M8)))</f>
        <v/>
      </c>
      <c r="K8" s="22">
        <f>IF($B8="","",TRIM(IF(AND(L8&lt;&gt;"",M8&lt;&gt;"",M8&lt;L8),"Haftungsdatum vor Kündigung. ","")&amp;IF(AND(S8&lt;&gt;"",M8&lt;&gt;"",S8&lt;M8),"Vermietung vor Leerstandsbeginn. ","")&amp;IF(AND(Z8&lt;&gt;"",L8&lt;&gt;"",Z8&lt;L8),"WA-Termin vor Kündigung. ","")&amp;IF(COUNTIFS($B$5:$B$404,$B8,$AY$5:$AY$404,"")&gt;1,"Zweiter offener Fall zum selben Objekt. ","")&amp;IF(AND($A8&lt;&gt;"",COUNTIFS($A$5:$A$404,$A8)&gt;1),"Fall-Nr. doppelt vergeben. ","")&amp;IF(E8="","ex-Mieter fehlt. ","")&amp;IF(M8="","Haftungsdatum fehlt. ","")&amp;IF(F8="","Bewirtschafter fehlt. ","")&amp;IF(AND(AY8&lt;&gt;"",AW8=""),"Abgeschlossen trotz offener Schlussabrechnung. ","")&amp;IF(AND(AY8="",S8="",ISNUMBER(J8),J8&gt;60),"Langläufer über 60 Tage. ","")))</f>
        <v/>
      </c>
      <c r="L8" s="24" t="n">
        <v>46278</v>
      </c>
      <c r="M8" s="24" t="n"/>
      <c r="N8" s="25">
        <f>IF(M8="","",M8+1)</f>
        <v/>
      </c>
      <c r="O8" s="23">
        <f>IF(OR(L8="",M8=""),"",M8-L8)</f>
        <v/>
      </c>
      <c r="P8" s="22">
        <f>IF(M8="","",YEAR(M8+1)&amp;"-"&amp;TEXT(MONTH(M8+1),"00"))</f>
        <v/>
      </c>
      <c r="Q8" s="24" t="n"/>
      <c r="R8" s="21" t="n"/>
      <c r="S8" s="24" t="n"/>
      <c r="T8" s="22">
        <f>IF(U8="","",IF(LEFT(U8,1)="6","abgeschlossen",IF(OR(LEFT(U8,1)="1",LEFT(U8,1)="2"),"Kündigung &amp; Abnahme",IF(OR(LEFT(U8,1)="3",LEFT(U8,1)="4"),"Wiedervermietung","Schlussabrechnung"))))</f>
        <v/>
      </c>
      <c r="U8" s="22">
        <f>IF($B8="","",IF(AY8&lt;&gt;"","6 · abgeschlossen",IF(AW8&lt;&gt;"","5 · bereit zum Abschluss",IF(AT8&lt;&gt;"","5 · Schlussabrechnung",IF(AO8&lt;&gt;"","4 · Übergabe",IF(AM8&lt;&gt;"","3 · Neuvermietung",IF(M8&lt;&gt;"","2 · Abnahme &amp; Vermarktung","1 · Erfassung")))))))</f>
        <v/>
      </c>
      <c r="V8" s="21" t="inlineStr">
        <is>
          <t>8055 Zürich</t>
        </is>
      </c>
      <c r="W8" s="26" t="n">
        <v>4.5</v>
      </c>
      <c r="X8" s="21" t="inlineStr">
        <is>
          <t>Erbengemeinschaft Vogt</t>
        </is>
      </c>
      <c r="Y8" s="21" t="inlineStr">
        <is>
          <t>https://schaeppi.sharepoint.com/objekte/0348-05-011</t>
        </is>
      </c>
      <c r="Z8" s="24" t="n"/>
      <c r="AA8" s="25">
        <f>IF(M8="","",M8-30)</f>
        <v/>
      </c>
      <c r="AB8" s="25">
        <f>IF(ISNUMBER(AJ8),AJ8+3,"")</f>
        <v/>
      </c>
      <c r="AC8" s="24" t="n"/>
      <c r="AD8" s="24" t="n"/>
      <c r="AE8" s="24" t="n">
        <v>46280</v>
      </c>
      <c r="AF8" s="24" t="n"/>
      <c r="AG8" s="24" t="n"/>
      <c r="AH8" s="24" t="n"/>
      <c r="AI8" s="24" t="n"/>
      <c r="AJ8" s="24" t="n"/>
      <c r="AK8" s="24" t="n"/>
      <c r="AL8" s="24" t="n"/>
      <c r="AM8" s="24" t="n"/>
      <c r="AN8" s="24" t="n"/>
      <c r="AO8" s="24" t="n"/>
      <c r="AP8" s="24" t="n"/>
      <c r="AQ8" s="24" t="n"/>
      <c r="AR8" s="24" t="n"/>
      <c r="AS8" s="24" t="n"/>
      <c r="AT8" s="24" t="n"/>
      <c r="AU8" s="24" t="n"/>
      <c r="AV8" s="24" t="n"/>
      <c r="AW8" s="24" t="n"/>
      <c r="AX8" s="24" t="n"/>
      <c r="AY8" s="24" t="n"/>
      <c r="AZ8" s="21" t="inlineStr">
        <is>
          <t>Haftungsdatum noch offen – Beispiel für einen Prüfhinweis.</t>
        </is>
      </c>
    </row>
    <row r="9">
      <c r="A9" s="21" t="inlineStr">
        <is>
          <t>BSP-005</t>
        </is>
      </c>
      <c r="B9" s="21" t="inlineStr">
        <is>
          <t>0501.02.007</t>
        </is>
      </c>
      <c r="C9" s="21" t="inlineStr">
        <is>
          <t>Zürcherstrasse 27</t>
        </is>
      </c>
      <c r="D9" s="21" t="inlineStr">
        <is>
          <t>2. OG</t>
        </is>
      </c>
      <c r="E9" s="21" t="inlineStr">
        <is>
          <t>R. Baumgartner</t>
        </is>
      </c>
      <c r="F9" s="21" t="inlineStr">
        <is>
          <t>Moren</t>
        </is>
      </c>
      <c r="G9" s="22">
        <f>IF(F9="","",IFERROR(INDEX(Stammdaten!$B$5:$B$24,MATCH(F9,Stammdaten!$A$5:$A$24,0)),"unbekannt"))</f>
        <v/>
      </c>
      <c r="H9" s="22">
        <f>IF($B9="","",IF(AY9&lt;&gt;"","abgeschlossen",IF(AND(ISNUMBER(AX9),AX9&gt;=TODAY()),"zurückgestellt",IF(OR(AND(ISNUMBER(AA9),AA9&lt;TODAY(),Z9="",AJ9=""),AND(ISNUMBER(Z9),Z9&lt;TODAY(),AJ9=""),AND(ISNUMBER(AB9),AB9&lt;TODAY(),AK9=""),AND(ISNUMBER(AC9),AC9&lt;TODAY(),AO9=""),AND(ISNUMBER(AD9),AD9&lt;TODAY(),AQ9="")),"überfällig","offen"))))</f>
        <v/>
      </c>
      <c r="I9" s="22">
        <f>IF($B9="","",IF(AY9&lt;&gt;"","—",IF(AND(ISNUMBER(AA9),AA9&lt;TODAY(),Z9="",AJ9=""),"Abnahmetermin vereinbaren – Sollfrist verstrichen",IF(AND(ISNUMBER(Z9),Z9&lt;TODAY(),AJ9=""),"Wohnungsabnahme nachtragen – Termin war fällig",IF(AND(ISNUMBER(AB9),AB9&lt;TODAY(),AK9=""),"Handwerker aufbieten – Frist verstrichen",IF(AND(ISNUMBER(AC9),AC9&lt;TODAY(),AO9=""),"Vertrag retour mahnen – Frist verstrichen",IF(AND(ISNUMBER(AD9),AD9&lt;TODAY(),AQ9=""),"Schlüsselübergabe nachtragen – Termin war fällig",IF(M9="","Haftungsdatum erfassen",IF(E9="","ex-Mieter erfassen",IF(AE9="","Kündigung bestätigen / G-Rem",IF(AF9="","Werke / EGT melden",IF(AG9="","Vorbesichtigung (oder n.e.)",IF(AH9="","VMZ aktualisieren",IF(AI9="","Inserat aufschalten",IF(AND(Z9="",AJ9=""),"Abnahmetermin vereinbaren",IF(AJ9="","Wohnungsabnahme durchführen",IF(AK9="","Handwerker aufbieten",IF(AL9="","Zustimmungserklärung einholen",IF(AM9="","Instandstellungen beauftragen",IF(R9="","Nachmieter erfassen",IF(AN9="","Vertrag versenden",IF(AO9="","Vertrag retour erfassen",IF(S9="","Vermietet per erfassen",IF(AP9="","Werke / EGT über Einzug informieren",IF(AND(AD9="",AQ9=""),"Schlüsselübergabe terminieren",IF(AQ9="","Schlüsselübergabe durchführen",IF(AR9="","Reinigung veranlassen",IF(AS9="","Namensschilder bestellen",IF(AT9="","Kaution prüfen / G-Rem mutieren",IF(AU9="","Instandstellungs-Rechnung erfassen",IF(AV9="","Schlussabrechnung erstellen",IF(AW9="","Zahlungseingang kontrollieren","Fall abschliessen"))))))))))))))))))))))))))))))))</f>
        <v/>
      </c>
      <c r="J9" s="23">
        <f>IF(M9="","",IF(S9&lt;&gt;"",MAX(0,S9-M9-1),MAX(0,TODAY()-M9)))</f>
        <v/>
      </c>
      <c r="K9" s="22">
        <f>IF($B9="","",TRIM(IF(AND(L9&lt;&gt;"",M9&lt;&gt;"",M9&lt;L9),"Haftungsdatum vor Kündigung. ","")&amp;IF(AND(S9&lt;&gt;"",M9&lt;&gt;"",S9&lt;M9),"Vermietung vor Leerstandsbeginn. ","")&amp;IF(AND(Z9&lt;&gt;"",L9&lt;&gt;"",Z9&lt;L9),"WA-Termin vor Kündigung. ","")&amp;IF(COUNTIFS($B$5:$B$404,$B9,$AY$5:$AY$404,"")&gt;1,"Zweiter offener Fall zum selben Objekt. ","")&amp;IF(AND($A9&lt;&gt;"",COUNTIFS($A$5:$A$404,$A9)&gt;1),"Fall-Nr. doppelt vergeben. ","")&amp;IF(E9="","ex-Mieter fehlt. ","")&amp;IF(M9="","Haftungsdatum fehlt. ","")&amp;IF(F9="","Bewirtschafter fehlt. ","")&amp;IF(AND(AY9&lt;&gt;"",AW9=""),"Abgeschlossen trotz offener Schlussabrechnung. ","")&amp;IF(AND(AY9="",S9="",ISNUMBER(J9),J9&gt;60),"Langläufer über 60 Tage. ","")))</f>
        <v/>
      </c>
      <c r="L9" s="24" t="n">
        <v>46089</v>
      </c>
      <c r="M9" s="24" t="n">
        <v>46147</v>
      </c>
      <c r="N9" s="25">
        <f>IF(M9="","",M9+1)</f>
        <v/>
      </c>
      <c r="O9" s="23">
        <f>IF(OR(L9="",M9=""),"",M9-L9)</f>
        <v/>
      </c>
      <c r="P9" s="22">
        <f>IF(M9="","",YEAR(M9+1)&amp;"-"&amp;TEXT(MONTH(M9+1),"00"))</f>
        <v/>
      </c>
      <c r="Q9" s="24" t="n"/>
      <c r="R9" s="21" t="inlineStr">
        <is>
          <t>Familie Zbinden</t>
        </is>
      </c>
      <c r="S9" s="24" t="n">
        <v>46189</v>
      </c>
      <c r="T9" s="22">
        <f>IF(U9="","",IF(LEFT(U9,1)="6","abgeschlossen",IF(OR(LEFT(U9,1)="1",LEFT(U9,1)="2"),"Kündigung &amp; Abnahme",IF(OR(LEFT(U9,1)="3",LEFT(U9,1)="4"),"Wiedervermietung","Schlussabrechnung"))))</f>
        <v/>
      </c>
      <c r="U9" s="22">
        <f>IF($B9="","",IF(AY9&lt;&gt;"","6 · abgeschlossen",IF(AW9&lt;&gt;"","5 · bereit zum Abschluss",IF(AT9&lt;&gt;"","5 · Schlussabrechnung",IF(AO9&lt;&gt;"","4 · Übergabe",IF(AM9&lt;&gt;"","3 · Neuvermietung",IF(M9&lt;&gt;"","2 · Abnahme &amp; Vermarktung","1 · Erfassung")))))))</f>
        <v/>
      </c>
      <c r="V9" s="21" t="inlineStr">
        <is>
          <t>8400 Winterthur</t>
        </is>
      </c>
      <c r="W9" s="26" t="n">
        <v>3.5</v>
      </c>
      <c r="X9" s="21" t="inlineStr">
        <is>
          <t>Immo Nordwest AG</t>
        </is>
      </c>
      <c r="Y9" s="21" t="inlineStr">
        <is>
          <t>https://schaeppi.sharepoint.com/objekte/0501-02-007</t>
        </is>
      </c>
      <c r="Z9" s="24" t="n"/>
      <c r="AA9" s="25">
        <f>IF(M9="","",M9-30)</f>
        <v/>
      </c>
      <c r="AB9" s="25">
        <f>IF(ISNUMBER(AJ9),AJ9+3,"")</f>
        <v/>
      </c>
      <c r="AC9" s="24" t="n"/>
      <c r="AD9" s="24" t="n"/>
      <c r="AE9" s="24" t="n">
        <v>46137</v>
      </c>
      <c r="AF9" s="24" t="n">
        <v>46142</v>
      </c>
      <c r="AG9" s="24" t="n">
        <v>46147</v>
      </c>
      <c r="AH9" s="24" t="n">
        <v>46152</v>
      </c>
      <c r="AI9" s="24" t="n">
        <v>46157</v>
      </c>
      <c r="AJ9" s="24" t="n">
        <v>46162</v>
      </c>
      <c r="AK9" s="24" t="n">
        <v>46167</v>
      </c>
      <c r="AL9" s="24" t="n">
        <v>46172</v>
      </c>
      <c r="AM9" s="24" t="n">
        <v>46177</v>
      </c>
      <c r="AN9" s="24" t="n">
        <v>46182</v>
      </c>
      <c r="AO9" s="24" t="n">
        <v>46187</v>
      </c>
      <c r="AP9" s="24" t="n">
        <v>46192</v>
      </c>
      <c r="AQ9" s="24" t="n">
        <v>46197</v>
      </c>
      <c r="AR9" s="24" t="n">
        <v>46202</v>
      </c>
      <c r="AS9" s="24" t="n">
        <v>46207</v>
      </c>
      <c r="AT9" s="24" t="n">
        <v>46212</v>
      </c>
      <c r="AU9" s="24" t="n">
        <v>46217</v>
      </c>
      <c r="AV9" s="24" t="n">
        <v>46222</v>
      </c>
      <c r="AW9" s="24" t="n">
        <v>46227</v>
      </c>
      <c r="AX9" s="24" t="n"/>
      <c r="AY9" s="24" t="n">
        <v>46224</v>
      </c>
      <c r="AZ9" s="21" t="n"/>
    </row>
    <row r="10">
      <c r="A10" s="21" t="inlineStr">
        <is>
          <t>BSP-006</t>
        </is>
      </c>
      <c r="B10" s="21" t="inlineStr">
        <is>
          <t>0620.04.014</t>
        </is>
      </c>
      <c r="C10" s="21" t="inlineStr">
        <is>
          <t>Im Sydefädeli 14</t>
        </is>
      </c>
      <c r="D10" s="21" t="inlineStr">
        <is>
          <t>4. OG</t>
        </is>
      </c>
      <c r="E10" s="21" t="inlineStr">
        <is>
          <t>T. Widmer</t>
        </is>
      </c>
      <c r="F10" s="21" t="inlineStr">
        <is>
          <t>Ryser</t>
        </is>
      </c>
      <c r="G10" s="22">
        <f>IF(F10="","",IFERROR(INDEX(Stammdaten!$B$5:$B$24,MATCH(F10,Stammdaten!$A$5:$A$24,0)),"unbekannt"))</f>
        <v/>
      </c>
      <c r="H10" s="22">
        <f>IF($B10="","",IF(AY10&lt;&gt;"","abgeschlossen",IF(AND(ISNUMBER(AX10),AX10&gt;=TODAY()),"zurückgestellt",IF(OR(AND(ISNUMBER(AA10),AA10&lt;TODAY(),Z10="",AJ10=""),AND(ISNUMBER(Z10),Z10&lt;TODAY(),AJ10=""),AND(ISNUMBER(AB10),AB10&lt;TODAY(),AK10=""),AND(ISNUMBER(AC10),AC10&lt;TODAY(),AO10=""),AND(ISNUMBER(AD10),AD10&lt;TODAY(),AQ10="")),"überfällig","offen"))))</f>
        <v/>
      </c>
      <c r="I10" s="22">
        <f>IF($B10="","",IF(AY10&lt;&gt;"","—",IF(AND(ISNUMBER(AA10),AA10&lt;TODAY(),Z10="",AJ10=""),"Abnahmetermin vereinbaren – Sollfrist verstrichen",IF(AND(ISNUMBER(Z10),Z10&lt;TODAY(),AJ10=""),"Wohnungsabnahme nachtragen – Termin war fällig",IF(AND(ISNUMBER(AB10),AB10&lt;TODAY(),AK10=""),"Handwerker aufbieten – Frist verstrichen",IF(AND(ISNUMBER(AC10),AC10&lt;TODAY(),AO10=""),"Vertrag retour mahnen – Frist verstrichen",IF(AND(ISNUMBER(AD10),AD10&lt;TODAY(),AQ10=""),"Schlüsselübergabe nachtragen – Termin war fällig",IF(M10="","Haftungsdatum erfassen",IF(E10="","ex-Mieter erfassen",IF(AE10="","Kündigung bestätigen / G-Rem",IF(AF10="","Werke / EGT melden",IF(AG10="","Vorbesichtigung (oder n.e.)",IF(AH10="","VMZ aktualisieren",IF(AI10="","Inserat aufschalten",IF(AND(Z10="",AJ10=""),"Abnahmetermin vereinbaren",IF(AJ10="","Wohnungsabnahme durchführen",IF(AK10="","Handwerker aufbieten",IF(AL10="","Zustimmungserklärung einholen",IF(AM10="","Instandstellungen beauftragen",IF(R10="","Nachmieter erfassen",IF(AN10="","Vertrag versenden",IF(AO10="","Vertrag retour erfassen",IF(S10="","Vermietet per erfassen",IF(AP10="","Werke / EGT über Einzug informieren",IF(AND(AD10="",AQ10=""),"Schlüsselübergabe terminieren",IF(AQ10="","Schlüsselübergabe durchführen",IF(AR10="","Reinigung veranlassen",IF(AS10="","Namensschilder bestellen",IF(AT10="","Kaution prüfen / G-Rem mutieren",IF(AU10="","Instandstellungs-Rechnung erfassen",IF(AV10="","Schlussabrechnung erstellen",IF(AW10="","Zahlungseingang kontrollieren","Fall abschliessen"))))))))))))))))))))))))))))))))</f>
        <v/>
      </c>
      <c r="J10" s="23">
        <f>IF(M10="","",IF(S10&lt;&gt;"",MAX(0,S10-M10-1),MAX(0,TODAY()-M10)))</f>
        <v/>
      </c>
      <c r="K10" s="22">
        <f>IF($B10="","",TRIM(IF(AND(L10&lt;&gt;"",M10&lt;&gt;"",M10&lt;L10),"Haftungsdatum vor Kündigung. ","")&amp;IF(AND(S10&lt;&gt;"",M10&lt;&gt;"",S10&lt;M10),"Vermietung vor Leerstandsbeginn. ","")&amp;IF(AND(Z10&lt;&gt;"",L10&lt;&gt;"",Z10&lt;L10),"WA-Termin vor Kündigung. ","")&amp;IF(COUNTIFS($B$5:$B$404,$B10,$AY$5:$AY$404,"")&gt;1,"Zweiter offener Fall zum selben Objekt. ","")&amp;IF(AND($A10&lt;&gt;"",COUNTIFS($A$5:$A$404,$A10)&gt;1),"Fall-Nr. doppelt vergeben. ","")&amp;IF(E10="","ex-Mieter fehlt. ","")&amp;IF(M10="","Haftungsdatum fehlt. ","")&amp;IF(F10="","Bewirtschafter fehlt. ","")&amp;IF(AND(AY10&lt;&gt;"",AW10=""),"Abgeschlossen trotz offener Schlussabrechnung. ","")&amp;IF(AND(AY10="",S10="",ISNUMBER(J10),J10&gt;60),"Langläufer über 60 Tage. ","")))</f>
        <v/>
      </c>
      <c r="L10" s="24" t="n">
        <v>46183</v>
      </c>
      <c r="M10" s="24" t="n">
        <v>46213</v>
      </c>
      <c r="N10" s="25">
        <f>IF(M10="","",M10+1)</f>
        <v/>
      </c>
      <c r="O10" s="23">
        <f>IF(OR(L10="",M10=""),"",M10-L10)</f>
        <v/>
      </c>
      <c r="P10" s="22">
        <f>IF(M10="","",YEAR(M10+1)&amp;"-"&amp;TEXT(MONTH(M10+1),"00"))</f>
        <v/>
      </c>
      <c r="Q10" s="24" t="n"/>
      <c r="R10" s="21" t="n"/>
      <c r="S10" s="24" t="n"/>
      <c r="T10" s="22">
        <f>IF(U10="","",IF(LEFT(U10,1)="6","abgeschlossen",IF(OR(LEFT(U10,1)="1",LEFT(U10,1)="2"),"Kündigung &amp; Abnahme",IF(OR(LEFT(U10,1)="3",LEFT(U10,1)="4"),"Wiedervermietung","Schlussabrechnung"))))</f>
        <v/>
      </c>
      <c r="U10" s="22">
        <f>IF($B10="","",IF(AY10&lt;&gt;"","6 · abgeschlossen",IF(AW10&lt;&gt;"","5 · bereit zum Abschluss",IF(AT10&lt;&gt;"","5 · Schlussabrechnung",IF(AO10&lt;&gt;"","4 · Übergabe",IF(AM10&lt;&gt;"","3 · Neuvermietung",IF(M10&lt;&gt;"","2 · Abnahme &amp; Vermarktung","1 · Erfassung")))))))</f>
        <v/>
      </c>
      <c r="V10" s="21" t="inlineStr">
        <is>
          <t>8037 Zürich</t>
        </is>
      </c>
      <c r="W10" s="26" t="n">
        <v>4.5</v>
      </c>
      <c r="X10" s="21" t="inlineStr">
        <is>
          <t>Stiftung Wohnwerk</t>
        </is>
      </c>
      <c r="Y10" s="21" t="inlineStr">
        <is>
          <t>https://schaeppi.sharepoint.com/objekte/0620-04-014</t>
        </is>
      </c>
      <c r="Z10" s="24" t="n"/>
      <c r="AA10" s="25">
        <f>IF(M10="","",M10-30)</f>
        <v/>
      </c>
      <c r="AB10" s="25">
        <f>IF(ISNUMBER(AJ10),AJ10+3,"")</f>
        <v/>
      </c>
      <c r="AC10" s="24" t="n"/>
      <c r="AD10" s="24" t="n"/>
      <c r="AE10" s="24" t="n">
        <v>46185</v>
      </c>
      <c r="AF10" s="24" t="n">
        <v>46186</v>
      </c>
      <c r="AG10" s="24" t="n">
        <v>46189</v>
      </c>
      <c r="AH10" s="24" t="n">
        <v>46192</v>
      </c>
      <c r="AI10" s="24" t="n">
        <v>46197</v>
      </c>
      <c r="AJ10" s="24" t="n">
        <v>46214</v>
      </c>
      <c r="AK10" s="24" t="n">
        <v>46215</v>
      </c>
      <c r="AL10" s="24" t="n">
        <v>46214</v>
      </c>
      <c r="AM10" s="24" t="n">
        <v>46217</v>
      </c>
      <c r="AN10" s="24" t="n"/>
      <c r="AO10" s="24" t="n"/>
      <c r="AP10" s="24" t="n"/>
      <c r="AQ10" s="24" t="n"/>
      <c r="AR10" s="24" t="n"/>
      <c r="AS10" s="24" t="n"/>
      <c r="AT10" s="24" t="n"/>
      <c r="AU10" s="24" t="n"/>
      <c r="AV10" s="24" t="n"/>
      <c r="AW10" s="24" t="n"/>
      <c r="AX10" s="24" t="n"/>
      <c r="AY10" s="24" t="n"/>
      <c r="AZ10" s="21" t="inlineStr">
        <is>
          <t>4,5 Zimmer – bisher nur zwei Besichtigungen. Mietzins prüfen.</t>
        </is>
      </c>
    </row>
    <row r="11">
      <c r="A11" s="21" t="inlineStr">
        <is>
          <t>BSP-007</t>
        </is>
      </c>
      <c r="B11" s="21" t="inlineStr">
        <is>
          <t>0903.03.009</t>
        </is>
      </c>
      <c r="C11" s="21" t="inlineStr">
        <is>
          <t>Rebbergstrasse 4</t>
        </is>
      </c>
      <c r="D11" s="21" t="inlineStr">
        <is>
          <t>3. OG</t>
        </is>
      </c>
      <c r="E11" s="21" t="inlineStr">
        <is>
          <t>K. Bühlmann</t>
        </is>
      </c>
      <c r="F11" s="21" t="inlineStr">
        <is>
          <t>Fazliu</t>
        </is>
      </c>
      <c r="G11" s="22">
        <f>IF(F11="","",IFERROR(INDEX(Stammdaten!$B$5:$B$24,MATCH(F11,Stammdaten!$A$5:$A$24,0)),"unbekannt"))</f>
        <v/>
      </c>
      <c r="H11" s="22">
        <f>IF($B11="","",IF(AY11&lt;&gt;"","abgeschlossen",IF(AND(ISNUMBER(AX11),AX11&gt;=TODAY()),"zurückgestellt",IF(OR(AND(ISNUMBER(AA11),AA11&lt;TODAY(),Z11="",AJ11=""),AND(ISNUMBER(Z11),Z11&lt;TODAY(),AJ11=""),AND(ISNUMBER(AB11),AB11&lt;TODAY(),AK11=""),AND(ISNUMBER(AC11),AC11&lt;TODAY(),AO11=""),AND(ISNUMBER(AD11),AD11&lt;TODAY(),AQ11="")),"überfällig","offen"))))</f>
        <v/>
      </c>
      <c r="I11" s="22">
        <f>IF($B11="","",IF(AY11&lt;&gt;"","—",IF(AND(ISNUMBER(AA11),AA11&lt;TODAY(),Z11="",AJ11=""),"Abnahmetermin vereinbaren – Sollfrist verstrichen",IF(AND(ISNUMBER(Z11),Z11&lt;TODAY(),AJ11=""),"Wohnungsabnahme nachtragen – Termin war fällig",IF(AND(ISNUMBER(AB11),AB11&lt;TODAY(),AK11=""),"Handwerker aufbieten – Frist verstrichen",IF(AND(ISNUMBER(AC11),AC11&lt;TODAY(),AO11=""),"Vertrag retour mahnen – Frist verstrichen",IF(AND(ISNUMBER(AD11),AD11&lt;TODAY(),AQ11=""),"Schlüsselübergabe nachtragen – Termin war fällig",IF(M11="","Haftungsdatum erfassen",IF(E11="","ex-Mieter erfassen",IF(AE11="","Kündigung bestätigen / G-Rem",IF(AF11="","Werke / EGT melden",IF(AG11="","Vorbesichtigung (oder n.e.)",IF(AH11="","VMZ aktualisieren",IF(AI11="","Inserat aufschalten",IF(AND(Z11="",AJ11=""),"Abnahmetermin vereinbaren",IF(AJ11="","Wohnungsabnahme durchführen",IF(AK11="","Handwerker aufbieten",IF(AL11="","Zustimmungserklärung einholen",IF(AM11="","Instandstellungen beauftragen",IF(R11="","Nachmieter erfassen",IF(AN11="","Vertrag versenden",IF(AO11="","Vertrag retour erfassen",IF(S11="","Vermietet per erfassen",IF(AP11="","Werke / EGT über Einzug informieren",IF(AND(AD11="",AQ11=""),"Schlüsselübergabe terminieren",IF(AQ11="","Schlüsselübergabe durchführen",IF(AR11="","Reinigung veranlassen",IF(AS11="","Namensschilder bestellen",IF(AT11="","Kaution prüfen / G-Rem mutieren",IF(AU11="","Instandstellungs-Rechnung erfassen",IF(AV11="","Schlussabrechnung erstellen",IF(AW11="","Zahlungseingang kontrollieren","Fall abschliessen"))))))))))))))))))))))))))))))))</f>
        <v/>
      </c>
      <c r="J11" s="23">
        <f>IF(M11="","",IF(S11&lt;&gt;"",MAX(0,S11-M11-1),MAX(0,TODAY()-M11)))</f>
        <v/>
      </c>
      <c r="K11" s="22">
        <f>IF($B11="","",TRIM(IF(AND(L11&lt;&gt;"",M11&lt;&gt;"",M11&lt;L11),"Haftungsdatum vor Kündigung. ","")&amp;IF(AND(S11&lt;&gt;"",M11&lt;&gt;"",S11&lt;M11),"Vermietung vor Leerstandsbeginn. ","")&amp;IF(AND(Z11&lt;&gt;"",L11&lt;&gt;"",Z11&lt;L11),"WA-Termin vor Kündigung. ","")&amp;IF(COUNTIFS($B$5:$B$404,$B11,$AY$5:$AY$404,"")&gt;1,"Zweiter offener Fall zum selben Objekt. ","")&amp;IF(AND($A11&lt;&gt;"",COUNTIFS($A$5:$A$404,$A11)&gt;1),"Fall-Nr. doppelt vergeben. ","")&amp;IF(E11="","ex-Mieter fehlt. ","")&amp;IF(M11="","Haftungsdatum fehlt. ","")&amp;IF(F11="","Bewirtschafter fehlt. ","")&amp;IF(AND(AY11&lt;&gt;"",AW11=""),"Abgeschlossen trotz offener Schlussabrechnung. ","")&amp;IF(AND(AY11="",S11="",ISNUMBER(J11),J11&gt;60),"Langläufer über 60 Tage. ","")))</f>
        <v/>
      </c>
      <c r="L11" s="24" t="n">
        <v>46192</v>
      </c>
      <c r="M11" s="24" t="n">
        <v>46247</v>
      </c>
      <c r="N11" s="25">
        <f>IF(M11="","",M11+1)</f>
        <v/>
      </c>
      <c r="O11" s="23">
        <f>IF(OR(L11="",M11=""),"",M11-L11)</f>
        <v/>
      </c>
      <c r="P11" s="22">
        <f>IF(M11="","",YEAR(M11+1)&amp;"-"&amp;TEXT(MONTH(M11+1),"00"))</f>
        <v/>
      </c>
      <c r="Q11" s="24" t="n"/>
      <c r="R11" s="21" t="n"/>
      <c r="S11" s="24" t="n"/>
      <c r="T11" s="22">
        <f>IF(U11="","",IF(LEFT(U11,1)="6","abgeschlossen",IF(OR(LEFT(U11,1)="1",LEFT(U11,1)="2"),"Kündigung &amp; Abnahme",IF(OR(LEFT(U11,1)="3",LEFT(U11,1)="4"),"Wiedervermietung","Schlussabrechnung"))))</f>
        <v/>
      </c>
      <c r="U11" s="22">
        <f>IF($B11="","",IF(AY11&lt;&gt;"","6 · abgeschlossen",IF(AW11&lt;&gt;"","5 · bereit zum Abschluss",IF(AT11&lt;&gt;"","5 · Schlussabrechnung",IF(AO11&lt;&gt;"","4 · Übergabe",IF(AM11&lt;&gt;"","3 · Neuvermietung",IF(M11&lt;&gt;"","2 · Abnahme &amp; Vermarktung","1 · Erfassung")))))))</f>
        <v/>
      </c>
      <c r="V11" s="21" t="inlineStr">
        <is>
          <t>8610 Uster</t>
        </is>
      </c>
      <c r="W11" s="26" t="n">
        <v>3.5</v>
      </c>
      <c r="X11" s="21" t="inlineStr">
        <is>
          <t>Erbengemeinschaft Vogt</t>
        </is>
      </c>
      <c r="Y11" s="21" t="inlineStr">
        <is>
          <t>https://schaeppi.sharepoint.com/objekte/0903-03-009</t>
        </is>
      </c>
      <c r="Z11" s="24" t="n"/>
      <c r="AA11" s="25">
        <f>IF(M11="","",M11-30)</f>
        <v/>
      </c>
      <c r="AB11" s="25">
        <f>IF(ISNUMBER(AJ11),AJ11+3,"")</f>
        <v/>
      </c>
      <c r="AC11" s="24" t="n"/>
      <c r="AD11" s="24" t="n"/>
      <c r="AE11" s="24" t="n">
        <v>46194</v>
      </c>
      <c r="AF11" s="24" t="n">
        <v>46195</v>
      </c>
      <c r="AG11" s="24" t="n"/>
      <c r="AH11" s="24" t="n">
        <v>46199</v>
      </c>
      <c r="AI11" s="24" t="n">
        <v>46203</v>
      </c>
      <c r="AJ11" s="24" t="n"/>
      <c r="AK11" s="24" t="n"/>
      <c r="AL11" s="24" t="n"/>
      <c r="AM11" s="24" t="n"/>
      <c r="AN11" s="24" t="n"/>
      <c r="AO11" s="24" t="n"/>
      <c r="AP11" s="24" t="n"/>
      <c r="AQ11" s="24" t="n"/>
      <c r="AR11" s="24" t="n"/>
      <c r="AS11" s="24" t="n"/>
      <c r="AT11" s="24" t="n"/>
      <c r="AU11" s="24" t="n"/>
      <c r="AV11" s="24" t="n"/>
      <c r="AW11" s="24" t="n"/>
      <c r="AX11" s="24" t="n"/>
      <c r="AY11" s="24" t="n"/>
      <c r="AZ11" s="21" t="inlineStr">
        <is>
          <t>Kein Abnahmetermin vereinbart – Sollfrist längst überschritten.</t>
        </is>
      </c>
    </row>
    <row r="12">
      <c r="A12" s="21" t="inlineStr">
        <is>
          <t>BSP-008</t>
        </is>
      </c>
      <c r="B12" s="21" t="inlineStr">
        <is>
          <t>0112.03.004</t>
        </is>
      </c>
      <c r="C12" s="21" t="inlineStr">
        <is>
          <t>Seestrasse 118</t>
        </is>
      </c>
      <c r="D12" s="21" t="inlineStr">
        <is>
          <t>3. OG</t>
        </is>
      </c>
      <c r="E12" s="21" t="inlineStr">
        <is>
          <t>Familie Brunner</t>
        </is>
      </c>
      <c r="F12" s="21" t="inlineStr">
        <is>
          <t>Sivanesan</t>
        </is>
      </c>
      <c r="G12" s="22">
        <f>IF(F12="","",IFERROR(INDEX(Stammdaten!$B$5:$B$24,MATCH(F12,Stammdaten!$A$5:$A$24,0)),"unbekannt"))</f>
        <v/>
      </c>
      <c r="H12" s="22">
        <f>IF($B12="","",IF(AY12&lt;&gt;"","abgeschlossen",IF(AND(ISNUMBER(AX12),AX12&gt;=TODAY()),"zurückgestellt",IF(OR(AND(ISNUMBER(AA12),AA12&lt;TODAY(),Z12="",AJ12=""),AND(ISNUMBER(Z12),Z12&lt;TODAY(),AJ12=""),AND(ISNUMBER(AB12),AB12&lt;TODAY(),AK12=""),AND(ISNUMBER(AC12),AC12&lt;TODAY(),AO12=""),AND(ISNUMBER(AD12),AD12&lt;TODAY(),AQ12="")),"überfällig","offen"))))</f>
        <v/>
      </c>
      <c r="I12" s="22">
        <f>IF($B12="","",IF(AY12&lt;&gt;"","—",IF(AND(ISNUMBER(AA12),AA12&lt;TODAY(),Z12="",AJ12=""),"Abnahmetermin vereinbaren – Sollfrist verstrichen",IF(AND(ISNUMBER(Z12),Z12&lt;TODAY(),AJ12=""),"Wohnungsabnahme nachtragen – Termin war fällig",IF(AND(ISNUMBER(AB12),AB12&lt;TODAY(),AK12=""),"Handwerker aufbieten – Frist verstrichen",IF(AND(ISNUMBER(AC12),AC12&lt;TODAY(),AO12=""),"Vertrag retour mahnen – Frist verstrichen",IF(AND(ISNUMBER(AD12),AD12&lt;TODAY(),AQ12=""),"Schlüsselübergabe nachtragen – Termin war fällig",IF(M12="","Haftungsdatum erfassen",IF(E12="","ex-Mieter erfassen",IF(AE12="","Kündigung bestätigen / G-Rem",IF(AF12="","Werke / EGT melden",IF(AG12="","Vorbesichtigung (oder n.e.)",IF(AH12="","VMZ aktualisieren",IF(AI12="","Inserat aufschalten",IF(AND(Z12="",AJ12=""),"Abnahmetermin vereinbaren",IF(AJ12="","Wohnungsabnahme durchführen",IF(AK12="","Handwerker aufbieten",IF(AL12="","Zustimmungserklärung einholen",IF(AM12="","Instandstellungen beauftragen",IF(R12="","Nachmieter erfassen",IF(AN12="","Vertrag versenden",IF(AO12="","Vertrag retour erfassen",IF(S12="","Vermietet per erfassen",IF(AP12="","Werke / EGT über Einzug informieren",IF(AND(AD12="",AQ12=""),"Schlüsselübergabe terminieren",IF(AQ12="","Schlüsselübergabe durchführen",IF(AR12="","Reinigung veranlassen",IF(AS12="","Namensschilder bestellen",IF(AT12="","Kaution prüfen / G-Rem mutieren",IF(AU12="","Instandstellungs-Rechnung erfassen",IF(AV12="","Schlussabrechnung erstellen",IF(AW12="","Zahlungseingang kontrollieren","Fall abschliessen"))))))))))))))))))))))))))))))))</f>
        <v/>
      </c>
      <c r="J12" s="23">
        <f>IF(M12="","",IF(S12&lt;&gt;"",MAX(0,S12-M12-1),MAX(0,TODAY()-M12)))</f>
        <v/>
      </c>
      <c r="K12" s="22">
        <f>IF($B12="","",TRIM(IF(AND(L12&lt;&gt;"",M12&lt;&gt;"",M12&lt;L12),"Haftungsdatum vor Kündigung. ","")&amp;IF(AND(S12&lt;&gt;"",M12&lt;&gt;"",S12&lt;M12),"Vermietung vor Leerstandsbeginn. ","")&amp;IF(AND(Z12&lt;&gt;"",L12&lt;&gt;"",Z12&lt;L12),"WA-Termin vor Kündigung. ","")&amp;IF(COUNTIFS($B$5:$B$404,$B12,$AY$5:$AY$404,"")&gt;1,"Zweiter offener Fall zum selben Objekt. ","")&amp;IF(AND($A12&lt;&gt;"",COUNTIFS($A$5:$A$404,$A12)&gt;1),"Fall-Nr. doppelt vergeben. ","")&amp;IF(E12="","ex-Mieter fehlt. ","")&amp;IF(M12="","Haftungsdatum fehlt. ","")&amp;IF(F12="","Bewirtschafter fehlt. ","")&amp;IF(AND(AY12&lt;&gt;"",AW12=""),"Abgeschlossen trotz offener Schlussabrechnung. ","")&amp;IF(AND(AY12="",S12="",ISNUMBER(J12),J12&gt;60),"Langläufer über 60 Tage. ","")))</f>
        <v/>
      </c>
      <c r="L12" s="24" t="n">
        <v>46261</v>
      </c>
      <c r="M12" s="24" t="n">
        <v>46263</v>
      </c>
      <c r="N12" s="25">
        <f>IF(M12="","",M12+1)</f>
        <v/>
      </c>
      <c r="O12" s="23">
        <f>IF(OR(L12="",M12=""),"",M12-L12)</f>
        <v/>
      </c>
      <c r="P12" s="22">
        <f>IF(M12="","",YEAR(M12+1)&amp;"-"&amp;TEXT(MONTH(M12+1),"00"))</f>
        <v/>
      </c>
      <c r="Q12" s="24" t="n"/>
      <c r="R12" s="21" t="n"/>
      <c r="S12" s="24" t="n"/>
      <c r="T12" s="22">
        <f>IF(U12="","",IF(LEFT(U12,1)="6","abgeschlossen",IF(OR(LEFT(U12,1)="1",LEFT(U12,1)="2"),"Kündigung &amp; Abnahme",IF(OR(LEFT(U12,1)="3",LEFT(U12,1)="4"),"Wiedervermietung","Schlussabrechnung"))))</f>
        <v/>
      </c>
      <c r="U12" s="22">
        <f>IF($B12="","",IF(AY12&lt;&gt;"","6 · abgeschlossen",IF(AW12&lt;&gt;"","5 · bereit zum Abschluss",IF(AT12&lt;&gt;"","5 · Schlussabrechnung",IF(AO12&lt;&gt;"","4 · Übergabe",IF(AM12&lt;&gt;"","3 · Neuvermietung",IF(M12&lt;&gt;"","2 · Abnahme &amp; Vermarktung","1 · Erfassung")))))))</f>
        <v/>
      </c>
      <c r="V12" s="21" t="inlineStr">
        <is>
          <t>8002 Zürich</t>
        </is>
      </c>
      <c r="W12" s="26" t="n">
        <v>3.5</v>
      </c>
      <c r="X12" s="21" t="inlineStr">
        <is>
          <t>PK Helvetia Immobilien</t>
        </is>
      </c>
      <c r="Y12" s="21" t="inlineStr">
        <is>
          <t>https://schaeppi.sharepoint.com/objekte/0112-03-004</t>
        </is>
      </c>
      <c r="Z12" s="24" t="n"/>
      <c r="AA12" s="25">
        <f>IF(M12="","",M12-30)</f>
        <v/>
      </c>
      <c r="AB12" s="25">
        <f>IF(ISNUMBER(AJ12),AJ12+3,"")</f>
        <v/>
      </c>
      <c r="AC12" s="24" t="n"/>
      <c r="AD12" s="24" t="n"/>
      <c r="AE12" s="24" t="n">
        <v>46285</v>
      </c>
      <c r="AF12" s="24" t="n"/>
      <c r="AG12" s="24" t="n"/>
      <c r="AH12" s="24" t="n"/>
      <c r="AI12" s="24" t="n"/>
      <c r="AJ12" s="24" t="n"/>
      <c r="AK12" s="24" t="n"/>
      <c r="AL12" s="24" t="n"/>
      <c r="AM12" s="24" t="n"/>
      <c r="AN12" s="24" t="n"/>
      <c r="AO12" s="24" t="n"/>
      <c r="AP12" s="24" t="n"/>
      <c r="AQ12" s="24" t="n"/>
      <c r="AR12" s="24" t="n"/>
      <c r="AS12" s="24" t="n"/>
      <c r="AT12" s="24" t="n"/>
      <c r="AU12" s="24" t="n"/>
      <c r="AV12" s="24" t="n"/>
      <c r="AW12" s="24" t="n"/>
      <c r="AX12" s="24" t="n"/>
      <c r="AY12" s="24" t="n"/>
      <c r="AZ12" s="21" t="inlineStr">
        <is>
          <t>Beispiel für eine Doppelerfassung – gleiche Obj.-Nr. wie BSP-001.</t>
        </is>
      </c>
    </row>
    <row r="13">
      <c r="A13" s="21" t="inlineStr">
        <is>
          <t>BSP-009</t>
        </is>
      </c>
      <c r="B13" s="21" t="inlineStr">
        <is>
          <t>0620.01.003</t>
        </is>
      </c>
      <c r="C13" s="21" t="inlineStr">
        <is>
          <t>Im Sydefädeli 14</t>
        </is>
      </c>
      <c r="D13" s="21" t="inlineStr">
        <is>
          <t>1. OG</t>
        </is>
      </c>
      <c r="E13" s="21" t="inlineStr">
        <is>
          <t>A. Vetter</t>
        </is>
      </c>
      <c r="F13" s="21" t="inlineStr">
        <is>
          <t>Loa</t>
        </is>
      </c>
      <c r="G13" s="22">
        <f>IF(F13="","",IFERROR(INDEX(Stammdaten!$B$5:$B$24,MATCH(F13,Stammdaten!$A$5:$A$24,0)),"unbekannt"))</f>
        <v/>
      </c>
      <c r="H13" s="22">
        <f>IF($B13="","",IF(AY13&lt;&gt;"","abgeschlossen",IF(AND(ISNUMBER(AX13),AX13&gt;=TODAY()),"zurückgestellt",IF(OR(AND(ISNUMBER(AA13),AA13&lt;TODAY(),Z13="",AJ13=""),AND(ISNUMBER(Z13),Z13&lt;TODAY(),AJ13=""),AND(ISNUMBER(AB13),AB13&lt;TODAY(),AK13=""),AND(ISNUMBER(AC13),AC13&lt;TODAY(),AO13=""),AND(ISNUMBER(AD13),AD13&lt;TODAY(),AQ13="")),"überfällig","offen"))))</f>
        <v/>
      </c>
      <c r="I13" s="22">
        <f>IF($B13="","",IF(AY13&lt;&gt;"","—",IF(AND(ISNUMBER(AA13),AA13&lt;TODAY(),Z13="",AJ13=""),"Abnahmetermin vereinbaren – Sollfrist verstrichen",IF(AND(ISNUMBER(Z13),Z13&lt;TODAY(),AJ13=""),"Wohnungsabnahme nachtragen – Termin war fällig",IF(AND(ISNUMBER(AB13),AB13&lt;TODAY(),AK13=""),"Handwerker aufbieten – Frist verstrichen",IF(AND(ISNUMBER(AC13),AC13&lt;TODAY(),AO13=""),"Vertrag retour mahnen – Frist verstrichen",IF(AND(ISNUMBER(AD13),AD13&lt;TODAY(),AQ13=""),"Schlüsselübergabe nachtragen – Termin war fällig",IF(M13="","Haftungsdatum erfassen",IF(E13="","ex-Mieter erfassen",IF(AE13="","Kündigung bestätigen / G-Rem",IF(AF13="","Werke / EGT melden",IF(AG13="","Vorbesichtigung (oder n.e.)",IF(AH13="","VMZ aktualisieren",IF(AI13="","Inserat aufschalten",IF(AND(Z13="",AJ13=""),"Abnahmetermin vereinbaren",IF(AJ13="","Wohnungsabnahme durchführen",IF(AK13="","Handwerker aufbieten",IF(AL13="","Zustimmungserklärung einholen",IF(AM13="","Instandstellungen beauftragen",IF(R13="","Nachmieter erfassen",IF(AN13="","Vertrag versenden",IF(AO13="","Vertrag retour erfassen",IF(S13="","Vermietet per erfassen",IF(AP13="","Werke / EGT über Einzug informieren",IF(AND(AD13="",AQ13=""),"Schlüsselübergabe terminieren",IF(AQ13="","Schlüsselübergabe durchführen",IF(AR13="","Reinigung veranlassen",IF(AS13="","Namensschilder bestellen",IF(AT13="","Kaution prüfen / G-Rem mutieren",IF(AU13="","Instandstellungs-Rechnung erfassen",IF(AV13="","Schlussabrechnung erstellen",IF(AW13="","Zahlungseingang kontrollieren","Fall abschliessen"))))))))))))))))))))))))))))))))</f>
        <v/>
      </c>
      <c r="J13" s="23">
        <f>IF(M13="","",IF(S13&lt;&gt;"",MAX(0,S13-M13-1),MAX(0,TODAY()-M13)))</f>
        <v/>
      </c>
      <c r="K13" s="22">
        <f>IF($B13="","",TRIM(IF(AND(L13&lt;&gt;"",M13&lt;&gt;"",M13&lt;L13),"Haftungsdatum vor Kündigung. ","")&amp;IF(AND(S13&lt;&gt;"",M13&lt;&gt;"",S13&lt;M13),"Vermietung vor Leerstandsbeginn. ","")&amp;IF(AND(Z13&lt;&gt;"",L13&lt;&gt;"",Z13&lt;L13),"WA-Termin vor Kündigung. ","")&amp;IF(COUNTIFS($B$5:$B$404,$B13,$AY$5:$AY$404,"")&gt;1,"Zweiter offener Fall zum selben Objekt. ","")&amp;IF(AND($A13&lt;&gt;"",COUNTIFS($A$5:$A$404,$A13)&gt;1),"Fall-Nr. doppelt vergeben. ","")&amp;IF(E13="","ex-Mieter fehlt. ","")&amp;IF(M13="","Haftungsdatum fehlt. ","")&amp;IF(F13="","Bewirtschafter fehlt. ","")&amp;IF(AND(AY13&lt;&gt;"",AW13=""),"Abgeschlossen trotz offener Schlussabrechnung. ","")&amp;IF(AND(AY13="",S13="",ISNUMBER(J13),J13&gt;60),"Langläufer über 60 Tage. ","")))</f>
        <v/>
      </c>
      <c r="L13" s="24" t="n">
        <v>46260</v>
      </c>
      <c r="M13" s="24" t="n">
        <v>46252</v>
      </c>
      <c r="N13" s="25">
        <f>IF(M13="","",M13+1)</f>
        <v/>
      </c>
      <c r="O13" s="23">
        <f>IF(OR(L13="",M13=""),"",M13-L13)</f>
        <v/>
      </c>
      <c r="P13" s="22">
        <f>IF(M13="","",YEAR(M13+1)&amp;"-"&amp;TEXT(MONTH(M13+1),"00"))</f>
        <v/>
      </c>
      <c r="Q13" s="24" t="n"/>
      <c r="R13" s="21" t="n"/>
      <c r="S13" s="24" t="n"/>
      <c r="T13" s="22">
        <f>IF(U13="","",IF(LEFT(U13,1)="6","abgeschlossen",IF(OR(LEFT(U13,1)="1",LEFT(U13,1)="2"),"Kündigung &amp; Abnahme",IF(OR(LEFT(U13,1)="3",LEFT(U13,1)="4"),"Wiedervermietung","Schlussabrechnung"))))</f>
        <v/>
      </c>
      <c r="U13" s="22">
        <f>IF($B13="","",IF(AY13&lt;&gt;"","6 · abgeschlossen",IF(AW13&lt;&gt;"","5 · bereit zum Abschluss",IF(AT13&lt;&gt;"","5 · Schlussabrechnung",IF(AO13&lt;&gt;"","4 · Übergabe",IF(AM13&lt;&gt;"","3 · Neuvermietung",IF(M13&lt;&gt;"","2 · Abnahme &amp; Vermarktung","1 · Erfassung")))))))</f>
        <v/>
      </c>
      <c r="V13" s="21" t="inlineStr">
        <is>
          <t>8037 Zürich</t>
        </is>
      </c>
      <c r="W13" s="26" t="n">
        <v>2.5</v>
      </c>
      <c r="X13" s="21" t="inlineStr">
        <is>
          <t>Stiftung Wohnwerk</t>
        </is>
      </c>
      <c r="Y13" s="21" t="inlineStr">
        <is>
          <t>https://schaeppi.sharepoint.com/objekte/0620-01-003</t>
        </is>
      </c>
      <c r="Z13" s="24" t="n"/>
      <c r="AA13" s="25">
        <f>IF(M13="","",M13-30)</f>
        <v/>
      </c>
      <c r="AB13" s="25">
        <f>IF(ISNUMBER(AJ13),AJ13+3,"")</f>
        <v/>
      </c>
      <c r="AC13" s="24" t="n"/>
      <c r="AD13" s="24" t="n"/>
      <c r="AE13" s="24" t="n">
        <v>46262</v>
      </c>
      <c r="AF13" s="24" t="n">
        <v>46263</v>
      </c>
      <c r="AG13" s="24" t="inlineStr">
        <is>
          <t>n.e.</t>
        </is>
      </c>
      <c r="AH13" s="24" t="n">
        <v>46266</v>
      </c>
      <c r="AI13" s="24" t="n"/>
      <c r="AJ13" s="24" t="n"/>
      <c r="AK13" s="24" t="n"/>
      <c r="AL13" s="24" t="n"/>
      <c r="AM13" s="24" t="n"/>
      <c r="AN13" s="24" t="n"/>
      <c r="AO13" s="24" t="n"/>
      <c r="AP13" s="24" t="n"/>
      <c r="AQ13" s="24" t="n"/>
      <c r="AR13" s="24" t="n"/>
      <c r="AS13" s="24" t="n"/>
      <c r="AT13" s="24" t="n"/>
      <c r="AU13" s="24" t="n"/>
      <c r="AV13" s="24" t="n"/>
      <c r="AW13" s="24" t="n"/>
      <c r="AX13" s="24" t="n"/>
      <c r="AY13" s="24" t="n"/>
      <c r="AZ13" s="21" t="inlineStr">
        <is>
          <t>Beispiel für einen Datumsfehler: Haftungsdatum liegt vor der Kündigung.</t>
        </is>
      </c>
    </row>
    <row r="14">
      <c r="A14" s="21" t="inlineStr">
        <is>
          <t>BSP-010</t>
        </is>
      </c>
      <c r="B14" s="21" t="inlineStr">
        <is>
          <t>0348.00.001</t>
        </is>
      </c>
      <c r="C14" s="21" t="inlineStr">
        <is>
          <t>Birmensdorferstrasse 340</t>
        </is>
      </c>
      <c r="D14" s="21" t="inlineStr">
        <is>
          <t>EG</t>
        </is>
      </c>
      <c r="E14" s="21" t="inlineStr">
        <is>
          <t>N. Aebi</t>
        </is>
      </c>
      <c r="F14" s="21" t="inlineStr">
        <is>
          <t>Scherb</t>
        </is>
      </c>
      <c r="G14" s="22">
        <f>IF(F14="","",IFERROR(INDEX(Stammdaten!$B$5:$B$24,MATCH(F14,Stammdaten!$A$5:$A$24,0)),"unbekannt"))</f>
        <v/>
      </c>
      <c r="H14" s="22">
        <f>IF($B14="","",IF(AY14&lt;&gt;"","abgeschlossen",IF(AND(ISNUMBER(AX14),AX14&gt;=TODAY()),"zurückgestellt",IF(OR(AND(ISNUMBER(AA14),AA14&lt;TODAY(),Z14="",AJ14=""),AND(ISNUMBER(Z14),Z14&lt;TODAY(),AJ14=""),AND(ISNUMBER(AB14),AB14&lt;TODAY(),AK14=""),AND(ISNUMBER(AC14),AC14&lt;TODAY(),AO14=""),AND(ISNUMBER(AD14),AD14&lt;TODAY(),AQ14="")),"überfällig","offen"))))</f>
        <v/>
      </c>
      <c r="I14" s="22">
        <f>IF($B14="","",IF(AY14&lt;&gt;"","—",IF(AND(ISNUMBER(AA14),AA14&lt;TODAY(),Z14="",AJ14=""),"Abnahmetermin vereinbaren – Sollfrist verstrichen",IF(AND(ISNUMBER(Z14),Z14&lt;TODAY(),AJ14=""),"Wohnungsabnahme nachtragen – Termin war fällig",IF(AND(ISNUMBER(AB14),AB14&lt;TODAY(),AK14=""),"Handwerker aufbieten – Frist verstrichen",IF(AND(ISNUMBER(AC14),AC14&lt;TODAY(),AO14=""),"Vertrag retour mahnen – Frist verstrichen",IF(AND(ISNUMBER(AD14),AD14&lt;TODAY(),AQ14=""),"Schlüsselübergabe nachtragen – Termin war fällig",IF(M14="","Haftungsdatum erfassen",IF(E14="","ex-Mieter erfassen",IF(AE14="","Kündigung bestätigen / G-Rem",IF(AF14="","Werke / EGT melden",IF(AG14="","Vorbesichtigung (oder n.e.)",IF(AH14="","VMZ aktualisieren",IF(AI14="","Inserat aufschalten",IF(AND(Z14="",AJ14=""),"Abnahmetermin vereinbaren",IF(AJ14="","Wohnungsabnahme durchführen",IF(AK14="","Handwerker aufbieten",IF(AL14="","Zustimmungserklärung einholen",IF(AM14="","Instandstellungen beauftragen",IF(R14="","Nachmieter erfassen",IF(AN14="","Vertrag versenden",IF(AO14="","Vertrag retour erfassen",IF(S14="","Vermietet per erfassen",IF(AP14="","Werke / EGT über Einzug informieren",IF(AND(AD14="",AQ14=""),"Schlüsselübergabe terminieren",IF(AQ14="","Schlüsselübergabe durchführen",IF(AR14="","Reinigung veranlassen",IF(AS14="","Namensschilder bestellen",IF(AT14="","Kaution prüfen / G-Rem mutieren",IF(AU14="","Instandstellungs-Rechnung erfassen",IF(AV14="","Schlussabrechnung erstellen",IF(AW14="","Zahlungseingang kontrollieren","Fall abschliessen"))))))))))))))))))))))))))))))))</f>
        <v/>
      </c>
      <c r="J14" s="23">
        <f>IF(M14="","",IF(S14&lt;&gt;"",MAX(0,S14-M14-1),MAX(0,TODAY()-M14)))</f>
        <v/>
      </c>
      <c r="K14" s="22">
        <f>IF($B14="","",TRIM(IF(AND(L14&lt;&gt;"",M14&lt;&gt;"",M14&lt;L14),"Haftungsdatum vor Kündigung. ","")&amp;IF(AND(S14&lt;&gt;"",M14&lt;&gt;"",S14&lt;M14),"Vermietung vor Leerstandsbeginn. ","")&amp;IF(AND(Z14&lt;&gt;"",L14&lt;&gt;"",Z14&lt;L14),"WA-Termin vor Kündigung. ","")&amp;IF(COUNTIFS($B$5:$B$404,$B14,$AY$5:$AY$404,"")&gt;1,"Zweiter offener Fall zum selben Objekt. ","")&amp;IF(AND($A14&lt;&gt;"",COUNTIFS($A$5:$A$404,$A14)&gt;1),"Fall-Nr. doppelt vergeben. ","")&amp;IF(E14="","ex-Mieter fehlt. ","")&amp;IF(M14="","Haftungsdatum fehlt. ","")&amp;IF(F14="","Bewirtschafter fehlt. ","")&amp;IF(AND(AY14&lt;&gt;"",AW14=""),"Abgeschlossen trotz offener Schlussabrechnung. ","")&amp;IF(AND(AY14="",S14="",ISNUMBER(J14),J14&gt;60),"Langläufer über 60 Tage. ","")))</f>
        <v/>
      </c>
      <c r="L14" s="24" t="n">
        <v>46282</v>
      </c>
      <c r="M14" s="24" t="n">
        <v>46299</v>
      </c>
      <c r="N14" s="25">
        <f>IF(M14="","",M14+1)</f>
        <v/>
      </c>
      <c r="O14" s="23">
        <f>IF(OR(L14="",M14=""),"",M14-L14)</f>
        <v/>
      </c>
      <c r="P14" s="22">
        <f>IF(M14="","",YEAR(M14+1)&amp;"-"&amp;TEXT(MONTH(M14+1),"00"))</f>
        <v/>
      </c>
      <c r="Q14" s="24" t="n"/>
      <c r="R14" s="21" t="n"/>
      <c r="S14" s="24" t="n"/>
      <c r="T14" s="22">
        <f>IF(U14="","",IF(LEFT(U14,1)="6","abgeschlossen",IF(OR(LEFT(U14,1)="1",LEFT(U14,1)="2"),"Kündigung &amp; Abnahme",IF(OR(LEFT(U14,1)="3",LEFT(U14,1)="4"),"Wiedervermietung","Schlussabrechnung"))))</f>
        <v/>
      </c>
      <c r="U14" s="22">
        <f>IF($B14="","",IF(AY14&lt;&gt;"","6 · abgeschlossen",IF(AW14&lt;&gt;"","5 · bereit zum Abschluss",IF(AT14&lt;&gt;"","5 · Schlussabrechnung",IF(AO14&lt;&gt;"","4 · Übergabe",IF(AM14&lt;&gt;"","3 · Neuvermietung",IF(M14&lt;&gt;"","2 · Abnahme &amp; Vermarktung","1 · Erfassung")))))))</f>
        <v/>
      </c>
      <c r="V14" s="21" t="inlineStr">
        <is>
          <t>8055 Zürich</t>
        </is>
      </c>
      <c r="W14" s="26" t="n">
        <v>1.5</v>
      </c>
      <c r="X14" s="21" t="inlineStr">
        <is>
          <t>Erbengemeinschaft Vogt</t>
        </is>
      </c>
      <c r="Y14" s="21" t="inlineStr">
        <is>
          <t>https://schaeppi.sharepoint.com/objekte/0348-00-001</t>
        </is>
      </c>
      <c r="Z14" s="24" t="n"/>
      <c r="AA14" s="25">
        <f>IF(M14="","",M14-30)</f>
        <v/>
      </c>
      <c r="AB14" s="25">
        <f>IF(ISNUMBER(AJ14),AJ14+3,"")</f>
        <v/>
      </c>
      <c r="AC14" s="24" t="n"/>
      <c r="AD14" s="24" t="n"/>
      <c r="AE14" s="24" t="n">
        <v>46283</v>
      </c>
      <c r="AF14" s="24" t="n">
        <v>46284</v>
      </c>
      <c r="AG14" s="24" t="inlineStr">
        <is>
          <t>n.e.</t>
        </is>
      </c>
      <c r="AH14" s="24" t="n"/>
      <c r="AI14" s="24" t="n"/>
      <c r="AJ14" s="24" t="n"/>
      <c r="AK14" s="24" t="n"/>
      <c r="AL14" s="24" t="n"/>
      <c r="AM14" s="24" t="n"/>
      <c r="AN14" s="24" t="n"/>
      <c r="AO14" s="24" t="n"/>
      <c r="AP14" s="24" t="n"/>
      <c r="AQ14" s="24" t="n"/>
      <c r="AR14" s="24" t="n"/>
      <c r="AS14" s="24" t="n"/>
      <c r="AT14" s="24" t="n"/>
      <c r="AU14" s="24" t="n"/>
      <c r="AV14" s="24" t="n"/>
      <c r="AW14" s="24" t="n"/>
      <c r="AX14" s="24" t="n"/>
      <c r="AY14" s="24" t="n"/>
      <c r="AZ14" s="21" t="inlineStr">
        <is>
          <t>Objekt noch bewohnt, Haftung läuft noch 12 Tage. Trotzdem rot: der Abnahmetermin hätte längst vereinbart sein müssen.</t>
        </is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conditionalFormatting sqref="A5:AZ14">
    <cfRule type="expression" priority="1" dxfId="0" stopIfTrue="0">
      <formula>$H5="überfällig"</formula>
    </cfRule>
    <cfRule type="expression" priority="2" dxfId="1" stopIfTrue="0">
      <formula>$H5="abgeschlossen"</formula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39"/>
  <sheetViews>
    <sheetView workbookViewId="0">
      <selection activeCell="A1" sqref="A1"/>
    </sheetView>
  </sheetViews>
  <sheetFormatPr baseColWidth="8" defaultRowHeight="15"/>
  <cols>
    <col width="42" customWidth="1" min="1" max="1"/>
    <col width="10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</cols>
  <sheetData>
    <row r="1">
      <c r="A1" s="11" t="inlineStr">
        <is>
          <t>Kennzahlen</t>
        </is>
      </c>
    </row>
    <row r="2">
      <c r="A2" s="6" t="inlineStr">
        <is>
          <t>Automatisch berechnet aus dem Blatt «Leerstände». Nicht bearbeiten.   |   «Ø Leerstandstage» zählt nur Fälle mit gesetztem «Vermietet per», also solche, bei denen der Leerstand tatsächlich zu Ende ist.</t>
        </is>
      </c>
    </row>
    <row r="3">
      <c r="A3" s="27" t="inlineStr">
        <is>
          <t>Stand</t>
        </is>
      </c>
      <c r="B3" s="28">
        <f>TODAY()</f>
        <v/>
      </c>
    </row>
    <row r="5" ht="30" customHeight="1">
      <c r="A5" s="29" t="inlineStr">
        <is>
          <t>Bewirtschafter</t>
        </is>
      </c>
      <c r="B5" s="29" t="inlineStr">
        <is>
          <t>Team</t>
        </is>
      </c>
      <c r="C5" s="29" t="inlineStr">
        <is>
          <t>Fälle gesamt</t>
        </is>
      </c>
      <c r="D5" s="29" t="inlineStr">
        <is>
          <t>offen</t>
        </is>
      </c>
      <c r="E5" s="29" t="inlineStr">
        <is>
          <t>überfällig</t>
        </is>
      </c>
      <c r="F5" s="29" t="inlineStr">
        <is>
          <t>zurückgestellt</t>
        </is>
      </c>
      <c r="G5" s="29" t="inlineStr">
        <is>
          <t>abgeschlossen</t>
        </is>
      </c>
      <c r="H5" s="29" t="inlineStr">
        <is>
          <t>Ø Leerstandstage (beendete Fälle)</t>
        </is>
      </c>
    </row>
    <row r="6">
      <c r="A6" s="9">
        <f>Stammdaten!$A$5</f>
        <v/>
      </c>
      <c r="B6" s="9">
        <f>Stammdaten!$B$5</f>
        <v/>
      </c>
      <c r="C6" s="30">
        <f>SUM(D6:G6)</f>
        <v/>
      </c>
      <c r="D6" s="30">
        <f>COUNTIFS(Leerstände!$F$5:$F$404,$A6,Leerstände!$H$5:$H$404,"offen")</f>
        <v/>
      </c>
      <c r="E6" s="30">
        <f>COUNTIFS(Leerstände!$F$5:$F$404,$A6,Leerstände!$H$5:$H$404,"überfällig")</f>
        <v/>
      </c>
      <c r="F6" s="30">
        <f>COUNTIFS(Leerstände!$F$5:$F$404,$A6,Leerstände!$H$5:$H$404,"zurückgestellt")</f>
        <v/>
      </c>
      <c r="G6" s="30">
        <f>COUNTIFS(Leerstände!$F$5:$F$404,$A6,Leerstände!$H$5:$H$404,"abgeschlossen")</f>
        <v/>
      </c>
      <c r="H6" s="30">
        <f>IFERROR(ROUND(AVERAGEIFS(Leerstände!$J$5:$J$404,Leerstände!$F$5:$F$404,$A6,Leerstände!$S$5:$S$404,"&gt;"&amp;DATE(1900,1,1)),0),"–")</f>
        <v/>
      </c>
    </row>
    <row r="7">
      <c r="A7" s="9">
        <f>Stammdaten!$A$6</f>
        <v/>
      </c>
      <c r="B7" s="9">
        <f>Stammdaten!$B$6</f>
        <v/>
      </c>
      <c r="C7" s="30">
        <f>SUM(D7:G7)</f>
        <v/>
      </c>
      <c r="D7" s="30">
        <f>COUNTIFS(Leerstände!$F$5:$F$404,$A7,Leerstände!$H$5:$H$404,"offen")</f>
        <v/>
      </c>
      <c r="E7" s="30">
        <f>COUNTIFS(Leerstände!$F$5:$F$404,$A7,Leerstände!$H$5:$H$404,"überfällig")</f>
        <v/>
      </c>
      <c r="F7" s="30">
        <f>COUNTIFS(Leerstände!$F$5:$F$404,$A7,Leerstände!$H$5:$H$404,"zurückgestellt")</f>
        <v/>
      </c>
      <c r="G7" s="30">
        <f>COUNTIFS(Leerstände!$F$5:$F$404,$A7,Leerstände!$H$5:$H$404,"abgeschlossen")</f>
        <v/>
      </c>
      <c r="H7" s="30">
        <f>IFERROR(ROUND(AVERAGEIFS(Leerstände!$J$5:$J$404,Leerstände!$F$5:$F$404,$A7,Leerstände!$S$5:$S$404,"&gt;"&amp;DATE(1900,1,1)),0),"–")</f>
        <v/>
      </c>
    </row>
    <row r="8">
      <c r="A8" s="9">
        <f>Stammdaten!$A$7</f>
        <v/>
      </c>
      <c r="B8" s="9">
        <f>Stammdaten!$B$7</f>
        <v/>
      </c>
      <c r="C8" s="30">
        <f>SUM(D8:G8)</f>
        <v/>
      </c>
      <c r="D8" s="30">
        <f>COUNTIFS(Leerstände!$F$5:$F$404,$A8,Leerstände!$H$5:$H$404,"offen")</f>
        <v/>
      </c>
      <c r="E8" s="30">
        <f>COUNTIFS(Leerstände!$F$5:$F$404,$A8,Leerstände!$H$5:$H$404,"überfällig")</f>
        <v/>
      </c>
      <c r="F8" s="30">
        <f>COUNTIFS(Leerstände!$F$5:$F$404,$A8,Leerstände!$H$5:$H$404,"zurückgestellt")</f>
        <v/>
      </c>
      <c r="G8" s="30">
        <f>COUNTIFS(Leerstände!$F$5:$F$404,$A8,Leerstände!$H$5:$H$404,"abgeschlossen")</f>
        <v/>
      </c>
      <c r="H8" s="30">
        <f>IFERROR(ROUND(AVERAGEIFS(Leerstände!$J$5:$J$404,Leerstände!$F$5:$F$404,$A8,Leerstände!$S$5:$S$404,"&gt;"&amp;DATE(1900,1,1)),0),"–")</f>
        <v/>
      </c>
    </row>
    <row r="9">
      <c r="A9" s="9">
        <f>Stammdaten!$A$8</f>
        <v/>
      </c>
      <c r="B9" s="9">
        <f>Stammdaten!$B$8</f>
        <v/>
      </c>
      <c r="C9" s="30">
        <f>SUM(D9:G9)</f>
        <v/>
      </c>
      <c r="D9" s="30">
        <f>COUNTIFS(Leerstände!$F$5:$F$404,$A9,Leerstände!$H$5:$H$404,"offen")</f>
        <v/>
      </c>
      <c r="E9" s="30">
        <f>COUNTIFS(Leerstände!$F$5:$F$404,$A9,Leerstände!$H$5:$H$404,"überfällig")</f>
        <v/>
      </c>
      <c r="F9" s="30">
        <f>COUNTIFS(Leerstände!$F$5:$F$404,$A9,Leerstände!$H$5:$H$404,"zurückgestellt")</f>
        <v/>
      </c>
      <c r="G9" s="30">
        <f>COUNTIFS(Leerstände!$F$5:$F$404,$A9,Leerstände!$H$5:$H$404,"abgeschlossen")</f>
        <v/>
      </c>
      <c r="H9" s="30">
        <f>IFERROR(ROUND(AVERAGEIFS(Leerstände!$J$5:$J$404,Leerstände!$F$5:$F$404,$A9,Leerstände!$S$5:$S$404,"&gt;"&amp;DATE(1900,1,1)),0),"–")</f>
        <v/>
      </c>
    </row>
    <row r="10">
      <c r="A10" s="9">
        <f>Stammdaten!$A$9</f>
        <v/>
      </c>
      <c r="B10" s="9">
        <f>Stammdaten!$B$9</f>
        <v/>
      </c>
      <c r="C10" s="30">
        <f>SUM(D10:G10)</f>
        <v/>
      </c>
      <c r="D10" s="30">
        <f>COUNTIFS(Leerstände!$F$5:$F$404,$A10,Leerstände!$H$5:$H$404,"offen")</f>
        <v/>
      </c>
      <c r="E10" s="30">
        <f>COUNTIFS(Leerstände!$F$5:$F$404,$A10,Leerstände!$H$5:$H$404,"überfällig")</f>
        <v/>
      </c>
      <c r="F10" s="30">
        <f>COUNTIFS(Leerstände!$F$5:$F$404,$A10,Leerstände!$H$5:$H$404,"zurückgestellt")</f>
        <v/>
      </c>
      <c r="G10" s="30">
        <f>COUNTIFS(Leerstände!$F$5:$F$404,$A10,Leerstände!$H$5:$H$404,"abgeschlossen")</f>
        <v/>
      </c>
      <c r="H10" s="30">
        <f>IFERROR(ROUND(AVERAGEIFS(Leerstände!$J$5:$J$404,Leerstände!$F$5:$F$404,$A10,Leerstände!$S$5:$S$404,"&gt;"&amp;DATE(1900,1,1)),0),"–")</f>
        <v/>
      </c>
    </row>
    <row r="11">
      <c r="A11" s="9">
        <f>Stammdaten!$A$10</f>
        <v/>
      </c>
      <c r="B11" s="9">
        <f>Stammdaten!$B$10</f>
        <v/>
      </c>
      <c r="C11" s="30">
        <f>SUM(D11:G11)</f>
        <v/>
      </c>
      <c r="D11" s="30">
        <f>COUNTIFS(Leerstände!$F$5:$F$404,$A11,Leerstände!$H$5:$H$404,"offen")</f>
        <v/>
      </c>
      <c r="E11" s="30">
        <f>COUNTIFS(Leerstände!$F$5:$F$404,$A11,Leerstände!$H$5:$H$404,"überfällig")</f>
        <v/>
      </c>
      <c r="F11" s="30">
        <f>COUNTIFS(Leerstände!$F$5:$F$404,$A11,Leerstände!$H$5:$H$404,"zurückgestellt")</f>
        <v/>
      </c>
      <c r="G11" s="30">
        <f>COUNTIFS(Leerstände!$F$5:$F$404,$A11,Leerstände!$H$5:$H$404,"abgeschlossen")</f>
        <v/>
      </c>
      <c r="H11" s="30">
        <f>IFERROR(ROUND(AVERAGEIFS(Leerstände!$J$5:$J$404,Leerstände!$F$5:$F$404,$A11,Leerstände!$S$5:$S$404,"&gt;"&amp;DATE(1900,1,1)),0),"–")</f>
        <v/>
      </c>
    </row>
    <row r="12">
      <c r="A12" s="9">
        <f>Stammdaten!$A$11</f>
        <v/>
      </c>
      <c r="B12" s="9">
        <f>Stammdaten!$B$11</f>
        <v/>
      </c>
      <c r="C12" s="30">
        <f>SUM(D12:G12)</f>
        <v/>
      </c>
      <c r="D12" s="30">
        <f>COUNTIFS(Leerstände!$F$5:$F$404,$A12,Leerstände!$H$5:$H$404,"offen")</f>
        <v/>
      </c>
      <c r="E12" s="30">
        <f>COUNTIFS(Leerstände!$F$5:$F$404,$A12,Leerstände!$H$5:$H$404,"überfällig")</f>
        <v/>
      </c>
      <c r="F12" s="30">
        <f>COUNTIFS(Leerstände!$F$5:$F$404,$A12,Leerstände!$H$5:$H$404,"zurückgestellt")</f>
        <v/>
      </c>
      <c r="G12" s="30">
        <f>COUNTIFS(Leerstände!$F$5:$F$404,$A12,Leerstände!$H$5:$H$404,"abgeschlossen")</f>
        <v/>
      </c>
      <c r="H12" s="30">
        <f>IFERROR(ROUND(AVERAGEIFS(Leerstände!$J$5:$J$404,Leerstände!$F$5:$F$404,$A12,Leerstände!$S$5:$S$404,"&gt;"&amp;DATE(1900,1,1)),0),"–")</f>
        <v/>
      </c>
    </row>
    <row r="13">
      <c r="A13" s="9">
        <f>Stammdaten!$A$12</f>
        <v/>
      </c>
      <c r="B13" s="9">
        <f>Stammdaten!$B$12</f>
        <v/>
      </c>
      <c r="C13" s="30">
        <f>SUM(D13:G13)</f>
        <v/>
      </c>
      <c r="D13" s="30">
        <f>COUNTIFS(Leerstände!$F$5:$F$404,$A13,Leerstände!$H$5:$H$404,"offen")</f>
        <v/>
      </c>
      <c r="E13" s="30">
        <f>COUNTIFS(Leerstände!$F$5:$F$404,$A13,Leerstände!$H$5:$H$404,"überfällig")</f>
        <v/>
      </c>
      <c r="F13" s="30">
        <f>COUNTIFS(Leerstände!$F$5:$F$404,$A13,Leerstände!$H$5:$H$404,"zurückgestellt")</f>
        <v/>
      </c>
      <c r="G13" s="30">
        <f>COUNTIFS(Leerstände!$F$5:$F$404,$A13,Leerstände!$H$5:$H$404,"abgeschlossen")</f>
        <v/>
      </c>
      <c r="H13" s="30">
        <f>IFERROR(ROUND(AVERAGEIFS(Leerstände!$J$5:$J$404,Leerstände!$F$5:$F$404,$A13,Leerstände!$S$5:$S$404,"&gt;"&amp;DATE(1900,1,1)),0),"–")</f>
        <v/>
      </c>
    </row>
    <row r="14">
      <c r="A14" s="9">
        <f>Stammdaten!$A$13</f>
        <v/>
      </c>
      <c r="B14" s="9">
        <f>Stammdaten!$B$13</f>
        <v/>
      </c>
      <c r="C14" s="30">
        <f>SUM(D14:G14)</f>
        <v/>
      </c>
      <c r="D14" s="30">
        <f>COUNTIFS(Leerstände!$F$5:$F$404,$A14,Leerstände!$H$5:$H$404,"offen")</f>
        <v/>
      </c>
      <c r="E14" s="30">
        <f>COUNTIFS(Leerstände!$F$5:$F$404,$A14,Leerstände!$H$5:$H$404,"überfällig")</f>
        <v/>
      </c>
      <c r="F14" s="30">
        <f>COUNTIFS(Leerstände!$F$5:$F$404,$A14,Leerstände!$H$5:$H$404,"zurückgestellt")</f>
        <v/>
      </c>
      <c r="G14" s="30">
        <f>COUNTIFS(Leerstände!$F$5:$F$404,$A14,Leerstände!$H$5:$H$404,"abgeschlossen")</f>
        <v/>
      </c>
      <c r="H14" s="30">
        <f>IFERROR(ROUND(AVERAGEIFS(Leerstände!$J$5:$J$404,Leerstände!$F$5:$F$404,$A14,Leerstände!$S$5:$S$404,"&gt;"&amp;DATE(1900,1,1)),0),"–")</f>
        <v/>
      </c>
    </row>
    <row r="16">
      <c r="A16" s="31" t="inlineStr">
        <is>
          <t>Total BS 01</t>
        </is>
      </c>
      <c r="B16" s="32" t="n"/>
      <c r="C16" s="33">
        <f>SUM(D16:G16)</f>
        <v/>
      </c>
      <c r="D16" s="33">
        <f>COUNTIFS(Leerstände!$G$5:$G$404,"BS 01",Leerstände!$H$5:$H$404,"offen")</f>
        <v/>
      </c>
      <c r="E16" s="33">
        <f>COUNTIFS(Leerstände!$G$5:$G$404,"BS 01",Leerstände!$H$5:$H$404,"überfällig")</f>
        <v/>
      </c>
      <c r="F16" s="33">
        <f>COUNTIFS(Leerstände!$G$5:$G$404,"BS 01",Leerstände!$H$5:$H$404,"zurückgestellt")</f>
        <v/>
      </c>
      <c r="G16" s="33">
        <f>COUNTIFS(Leerstände!$G$5:$G$404,"BS 01",Leerstände!$H$5:$H$404,"abgeschlossen")</f>
        <v/>
      </c>
      <c r="H16" s="33">
        <f>IFERROR(ROUND(AVERAGEIFS(Leerstände!$J$5:$J$404,Leerstände!$G$5:$G$404,"BS 01",Leerstände!$S$5:$S$404,"&gt;"&amp;DATE(1900,1,1)),0),"–")</f>
        <v/>
      </c>
    </row>
    <row r="17">
      <c r="A17" s="31" t="inlineStr">
        <is>
          <t>Total BS 02</t>
        </is>
      </c>
      <c r="B17" s="32" t="n"/>
      <c r="C17" s="33">
        <f>SUM(D17:G17)</f>
        <v/>
      </c>
      <c r="D17" s="33">
        <f>COUNTIFS(Leerstände!$G$5:$G$404,"BS 02",Leerstände!$H$5:$H$404,"offen")</f>
        <v/>
      </c>
      <c r="E17" s="33">
        <f>COUNTIFS(Leerstände!$G$5:$G$404,"BS 02",Leerstände!$H$5:$H$404,"überfällig")</f>
        <v/>
      </c>
      <c r="F17" s="33">
        <f>COUNTIFS(Leerstände!$G$5:$G$404,"BS 02",Leerstände!$H$5:$H$404,"zurückgestellt")</f>
        <v/>
      </c>
      <c r="G17" s="33">
        <f>COUNTIFS(Leerstände!$G$5:$G$404,"BS 02",Leerstände!$H$5:$H$404,"abgeschlossen")</f>
        <v/>
      </c>
      <c r="H17" s="33">
        <f>IFERROR(ROUND(AVERAGEIFS(Leerstände!$J$5:$J$404,Leerstände!$G$5:$G$404,"BS 02",Leerstände!$S$5:$S$404,"&gt;"&amp;DATE(1900,1,1)),0),"–")</f>
        <v/>
      </c>
    </row>
    <row r="18">
      <c r="A18" s="34" t="inlineStr">
        <is>
          <t>Gesamt</t>
        </is>
      </c>
      <c r="B18" s="10" t="n"/>
      <c r="C18" s="35">
        <f>SUM(D18:G18)</f>
        <v/>
      </c>
      <c r="D18" s="35">
        <f>COUNTIF(Leerstände!$H$5:$H$404,"offen")</f>
        <v/>
      </c>
      <c r="E18" s="35">
        <f>COUNTIF(Leerstände!$H$5:$H$404,"überfällig")</f>
        <v/>
      </c>
      <c r="F18" s="35">
        <f>COUNTIF(Leerstände!$H$5:$H$404,"zurückgestellt")</f>
        <v/>
      </c>
      <c r="G18" s="35">
        <f>COUNTIF(Leerstände!$H$5:$H$404,"abgeschlossen")</f>
        <v/>
      </c>
      <c r="H18" s="35">
        <f>IFERROR(ROUND(AVERAGEIFS(Leerstände!$J$5:$J$404,Leerstände!$S$5:$S$404,"&gt;"&amp;DATE(1900,1,1)),0),"–")</f>
        <v/>
      </c>
    </row>
    <row r="21">
      <c r="A21" s="3" t="inlineStr">
        <is>
          <t>Offene Fälle nach Arbeitsbereich</t>
        </is>
      </c>
    </row>
    <row r="22">
      <c r="A22" s="9" t="inlineStr">
        <is>
          <t>Kündigung &amp; Abnahme</t>
        </is>
      </c>
      <c r="B22" s="10" t="n"/>
      <c r="C22" s="36">
        <f>COUNTIF(Leerstände!$T$5:$T$404,"Kündigung &amp; Abnahme")</f>
        <v/>
      </c>
    </row>
    <row r="23">
      <c r="A23" s="9" t="inlineStr">
        <is>
          <t>Wiedervermietung</t>
        </is>
      </c>
      <c r="B23" s="10" t="n"/>
      <c r="C23" s="36">
        <f>COUNTIF(Leerstände!$T$5:$T$404,"Wiedervermietung")</f>
        <v/>
      </c>
    </row>
    <row r="24">
      <c r="A24" s="9" t="inlineStr">
        <is>
          <t>Schlussabrechnung</t>
        </is>
      </c>
      <c r="B24" s="10" t="n"/>
      <c r="C24" s="36">
        <f>COUNTIF(Leerstände!$T$5:$T$404,"Schlussabrechnung")</f>
        <v/>
      </c>
    </row>
    <row r="27">
      <c r="A27" s="3" t="inlineStr">
        <is>
          <t>Prüfhinweise – wie oft kommt was vor</t>
        </is>
      </c>
    </row>
    <row r="28">
      <c r="A28" s="9" t="inlineStr">
        <is>
          <t>Haftungsdatum vor Kündigung</t>
        </is>
      </c>
      <c r="B28" s="10" t="n"/>
      <c r="C28" s="36">
        <f>COUNTIF(Leerstände!$K$5:$K$404,"*Haftungsdatum vor Kündigung*")</f>
        <v/>
      </c>
    </row>
    <row r="29">
      <c r="A29" s="9" t="inlineStr">
        <is>
          <t>Vermietung vor Leerstandsbeginn</t>
        </is>
      </c>
      <c r="B29" s="10" t="n"/>
      <c r="C29" s="36">
        <f>COUNTIF(Leerstände!$K$5:$K$404,"*Vermietung vor Leerstandsbeginn*")</f>
        <v/>
      </c>
    </row>
    <row r="30">
      <c r="A30" s="9" t="inlineStr">
        <is>
          <t>WA-Termin vor Kündigung</t>
        </is>
      </c>
      <c r="B30" s="10" t="n"/>
      <c r="C30" s="36">
        <f>COUNTIF(Leerstände!$K$5:$K$404,"*WA-Termin vor Kündigung*")</f>
        <v/>
      </c>
    </row>
    <row r="31">
      <c r="A31" s="9" t="inlineStr">
        <is>
          <t>Zweiter offener Fall zum selben Objekt</t>
        </is>
      </c>
      <c r="B31" s="10" t="n"/>
      <c r="C31" s="36">
        <f>COUNTIF(Leerstände!$K$5:$K$404,"*Zweiter offener Fall zum selben Objekt*")</f>
        <v/>
      </c>
    </row>
    <row r="32">
      <c r="A32" s="9" t="inlineStr">
        <is>
          <t>Fall-Nr. doppelt vergeben</t>
        </is>
      </c>
      <c r="B32" s="10" t="n"/>
      <c r="C32" s="36">
        <f>COUNTIF(Leerstände!$K$5:$K$404,"*Fall-Nr. doppelt vergeben*")</f>
        <v/>
      </c>
    </row>
    <row r="33">
      <c r="A33" s="9" t="inlineStr">
        <is>
          <t>ex-Mieter fehlt</t>
        </is>
      </c>
      <c r="B33" s="10" t="n"/>
      <c r="C33" s="36">
        <f>COUNTIF(Leerstände!$K$5:$K$404,"*ex-Mieter fehlt*")</f>
        <v/>
      </c>
    </row>
    <row r="34">
      <c r="A34" s="9" t="inlineStr">
        <is>
          <t>Haftungsdatum fehlt</t>
        </is>
      </c>
      <c r="B34" s="10" t="n"/>
      <c r="C34" s="36">
        <f>COUNTIF(Leerstände!$K$5:$K$404,"*Haftungsdatum fehlt*")</f>
        <v/>
      </c>
    </row>
    <row r="35">
      <c r="A35" s="9" t="inlineStr">
        <is>
          <t>Bewirtschafter fehlt</t>
        </is>
      </c>
      <c r="B35" s="10" t="n"/>
      <c r="C35" s="36">
        <f>COUNTIF(Leerstände!$K$5:$K$404,"*Bewirtschafter fehlt*")</f>
        <v/>
      </c>
    </row>
    <row r="36">
      <c r="A36" s="9" t="inlineStr">
        <is>
          <t>Abgeschlossen trotz offener Schlussabrechnung</t>
        </is>
      </c>
      <c r="B36" s="10" t="n"/>
      <c r="C36" s="36">
        <f>COUNTIF(Leerstände!$K$5:$K$404,"*Abgeschlossen trotz offener Schlussabrechnung*")</f>
        <v/>
      </c>
    </row>
    <row r="37">
      <c r="A37" s="9" t="inlineStr">
        <is>
          <t>Langläufer über 60 Tage</t>
        </is>
      </c>
      <c r="B37" s="10" t="n"/>
      <c r="C37" s="36">
        <f>COUNTIF(Leerstände!$K$5:$K$404,"*Langläufer über 60 Tage*")</f>
        <v/>
      </c>
    </row>
    <row r="39">
      <c r="A39" s="37" t="inlineStr">
        <is>
          <t>Fälle mit mindestens einem Hinweis</t>
        </is>
      </c>
      <c r="C39" s="38">
        <f>COUNTIF(Leerstände!$K$5:$K$404,"*.*")</f>
        <v/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cols>
    <col width="6" customWidth="1" min="1" max="1"/>
    <col width="34" customWidth="1" min="2" max="2"/>
    <col width="16" customWidth="1" min="3" max="3"/>
    <col width="22" customWidth="1" min="4" max="4"/>
    <col width="14" customWidth="1" min="5" max="5"/>
    <col width="44" customWidth="1" min="6" max="6"/>
  </cols>
  <sheetData>
    <row r="1">
      <c r="A1" s="11" t="inlineStr">
        <is>
          <t>Prozessschritte</t>
        </is>
      </c>
    </row>
    <row r="2">
      <c r="A2" s="6" t="inlineStr">
        <is>
          <t>Nachschlagewerk: wo jeder Schritt auszuführen ist und welcher Spalte der bisherigen Liste er entspricht. Ein Haken hier bedeutet nie, dass in dieser Datei etwas gebucht wurde.</t>
        </is>
      </c>
    </row>
    <row r="4">
      <c r="A4" s="39" t="inlineStr">
        <is>
          <t>Nr.</t>
        </is>
      </c>
      <c r="B4" s="39" t="inlineStr">
        <is>
          <t>Schritt</t>
        </is>
      </c>
      <c r="C4" s="39" t="inlineStr">
        <is>
          <t>Spalte in dieser Datei</t>
        </is>
      </c>
      <c r="D4" s="39" t="inlineStr">
        <is>
          <t>Arbeitsbereich</t>
        </is>
      </c>
      <c r="E4" s="39" t="inlineStr">
        <is>
          <t>System</t>
        </is>
      </c>
      <c r="F4" s="39" t="inlineStr">
        <is>
          <t>Frist</t>
        </is>
      </c>
    </row>
    <row r="5">
      <c r="A5" s="40" t="n">
        <v>1</v>
      </c>
      <c r="B5" s="41" t="inlineStr">
        <is>
          <t>Kündigung bestätigt / G-Rem</t>
        </is>
      </c>
      <c r="C5" s="40" t="inlineStr">
        <is>
          <t>AE</t>
        </is>
      </c>
      <c r="D5" s="40" t="inlineStr">
        <is>
          <t>Kündigung &amp; Abnahme</t>
        </is>
      </c>
      <c r="E5" s="40" t="inlineStr">
        <is>
          <t>Garaio REM</t>
        </is>
      </c>
      <c r="F5" s="41" t="inlineStr">
        <is>
          <t>nach Eingang der Kündigung</t>
        </is>
      </c>
    </row>
    <row r="6">
      <c r="A6" s="40" t="n">
        <v>2</v>
      </c>
      <c r="B6" s="41" t="inlineStr">
        <is>
          <t>Meldung Werke / EGT</t>
        </is>
      </c>
      <c r="C6" s="40" t="inlineStr">
        <is>
          <t>AF</t>
        </is>
      </c>
      <c r="D6" s="40" t="inlineStr">
        <is>
          <t>Kündigung &amp; Abnahme</t>
        </is>
      </c>
      <c r="E6" s="40" t="inlineStr">
        <is>
          <t>extern</t>
        </is>
      </c>
      <c r="F6" s="41" t="inlineStr">
        <is>
          <t>nach Eingang der Kündigung</t>
        </is>
      </c>
    </row>
    <row r="7">
      <c r="A7" s="40" t="n">
        <v>3</v>
      </c>
      <c r="B7" s="41" t="inlineStr">
        <is>
          <t>Vorbesichtigung</t>
        </is>
      </c>
      <c r="C7" s="40" t="inlineStr">
        <is>
          <t>AG</t>
        </is>
      </c>
      <c r="D7" s="40" t="inlineStr">
        <is>
          <t>Kündigung &amp; Abnahme</t>
        </is>
      </c>
      <c r="E7" s="40" t="inlineStr">
        <is>
          <t>vor Ort</t>
        </is>
      </c>
      <c r="F7" s="41" t="inlineStr">
        <is>
          <t>Entscheid – «n.e.», wenn nicht nötig</t>
        </is>
      </c>
    </row>
    <row r="8">
      <c r="A8" s="40" t="n">
        <v>4</v>
      </c>
      <c r="B8" s="41" t="inlineStr">
        <is>
          <t>VMZ aktualisiert</t>
        </is>
      </c>
      <c r="C8" s="40" t="inlineStr">
        <is>
          <t>AH</t>
        </is>
      </c>
      <c r="D8" s="40" t="inlineStr">
        <is>
          <t>Kündigung &amp; Abnahme</t>
        </is>
      </c>
      <c r="E8" s="40" t="inlineStr">
        <is>
          <t>VMZ</t>
        </is>
      </c>
      <c r="F8" s="41" t="inlineStr">
        <is>
          <t>sobald der Bezugstermin feststeht</t>
        </is>
      </c>
    </row>
    <row r="9">
      <c r="A9" s="40" t="n">
        <v>5</v>
      </c>
      <c r="B9" s="41" t="inlineStr">
        <is>
          <t>Inserat online</t>
        </is>
      </c>
      <c r="C9" s="40" t="inlineStr">
        <is>
          <t>AI</t>
        </is>
      </c>
      <c r="D9" s="40" t="inlineStr">
        <is>
          <t>Kündigung &amp; Abnahme</t>
        </is>
      </c>
      <c r="E9" s="40" t="inlineStr">
        <is>
          <t>VMZ</t>
        </is>
      </c>
      <c r="F9" s="41" t="inlineStr">
        <is>
          <t>so früh wie möglich</t>
        </is>
      </c>
    </row>
    <row r="10">
      <c r="A10" s="40" t="n">
        <v>6</v>
      </c>
      <c r="B10" s="41" t="inlineStr">
        <is>
          <t>Wohnungsabnahme durchgeführt</t>
        </is>
      </c>
      <c r="C10" s="40" t="inlineStr">
        <is>
          <t>AJ</t>
        </is>
      </c>
      <c r="D10" s="40" t="inlineStr">
        <is>
          <t>Kündigung &amp; Abnahme</t>
        </is>
      </c>
      <c r="E10" s="40" t="inlineStr">
        <is>
          <t>vor Ort</t>
        </is>
      </c>
      <c r="F10" s="41" t="inlineStr">
        <is>
          <t>Termin: 30 Tage vor Wohnungsabgabe vereinbaren</t>
        </is>
      </c>
    </row>
    <row r="11">
      <c r="A11" s="40" t="n">
        <v>7</v>
      </c>
      <c r="B11" s="41" t="inlineStr">
        <is>
          <t>Handwerker aufgeboten</t>
        </is>
      </c>
      <c r="C11" s="40" t="inlineStr">
        <is>
          <t>AK</t>
        </is>
      </c>
      <c r="D11" s="40" t="inlineStr">
        <is>
          <t>Kündigung &amp; Abnahme</t>
        </is>
      </c>
      <c r="E11" s="40" t="inlineStr">
        <is>
          <t>extern</t>
        </is>
      </c>
      <c r="F11" s="41" t="inlineStr">
        <is>
          <t>3 Tage nach der Abnahme</t>
        </is>
      </c>
    </row>
    <row r="12">
      <c r="A12" s="40" t="n">
        <v>8</v>
      </c>
      <c r="B12" s="41" t="inlineStr">
        <is>
          <t>Zustimmungserklärung</t>
        </is>
      </c>
      <c r="C12" s="40" t="inlineStr">
        <is>
          <t>AL</t>
        </is>
      </c>
      <c r="D12" s="40" t="inlineStr">
        <is>
          <t>Kündigung &amp; Abnahme</t>
        </is>
      </c>
      <c r="E12" s="40" t="inlineStr">
        <is>
          <t>Dossier</t>
        </is>
      </c>
      <c r="F12" s="41" t="inlineStr">
        <is>
          <t>nach der Abnahme</t>
        </is>
      </c>
    </row>
    <row r="13">
      <c r="A13" s="40" t="n">
        <v>9</v>
      </c>
      <c r="B13" s="41" t="inlineStr">
        <is>
          <t>Instandstellungen beauftragt</t>
        </is>
      </c>
      <c r="C13" s="40" t="inlineStr">
        <is>
          <t>AM</t>
        </is>
      </c>
      <c r="D13" s="40" t="inlineStr">
        <is>
          <t>Kündigung &amp; Abnahme</t>
        </is>
      </c>
      <c r="E13" s="40" t="inlineStr">
        <is>
          <t>extern</t>
        </is>
      </c>
      <c r="F13" s="41" t="inlineStr">
        <is>
          <t>nach Vorliegen der Offerten</t>
        </is>
      </c>
    </row>
    <row r="14">
      <c r="A14" s="40" t="n">
        <v>10</v>
      </c>
      <c r="B14" s="41" t="inlineStr">
        <is>
          <t>Vertrag versendet</t>
        </is>
      </c>
      <c r="C14" s="40" t="inlineStr">
        <is>
          <t>AN</t>
        </is>
      </c>
      <c r="D14" s="40" t="inlineStr">
        <is>
          <t>Wiedervermietung</t>
        </is>
      </c>
      <c r="E14" s="40" t="inlineStr">
        <is>
          <t>Garaio REM</t>
        </is>
      </c>
      <c r="F14" s="41" t="inlineStr">
        <is>
          <t>nach Erfassung des Nachmieters</t>
        </is>
      </c>
    </row>
    <row r="15">
      <c r="A15" s="40" t="n">
        <v>11</v>
      </c>
      <c r="B15" s="41" t="inlineStr">
        <is>
          <t>Vertrag retour</t>
        </is>
      </c>
      <c r="C15" s="40" t="inlineStr">
        <is>
          <t>AO</t>
        </is>
      </c>
      <c r="D15" s="40" t="inlineStr">
        <is>
          <t>Wiedervermietung</t>
        </is>
      </c>
      <c r="E15" s="40" t="inlineStr">
        <is>
          <t>Dossier</t>
        </is>
      </c>
      <c r="F15" s="41" t="inlineStr">
        <is>
          <t>Frist im Einzelfall setzen</t>
        </is>
      </c>
    </row>
    <row r="16">
      <c r="A16" s="40" t="n">
        <v>12</v>
      </c>
      <c r="B16" s="41" t="inlineStr">
        <is>
          <t>Info Werke / EGT</t>
        </is>
      </c>
      <c r="C16" s="40" t="inlineStr">
        <is>
          <t>AP</t>
        </is>
      </c>
      <c r="D16" s="40" t="inlineStr">
        <is>
          <t>Wiedervermietung</t>
        </is>
      </c>
      <c r="E16" s="40" t="inlineStr">
        <is>
          <t>extern</t>
        </is>
      </c>
      <c r="F16" s="41" t="inlineStr">
        <is>
          <t>nach Vertragsabschluss</t>
        </is>
      </c>
    </row>
    <row r="17">
      <c r="A17" s="40" t="n">
        <v>13</v>
      </c>
      <c r="B17" s="41" t="inlineStr">
        <is>
          <t>Schlüsselübergabe erfolgt</t>
        </is>
      </c>
      <c r="C17" s="40" t="inlineStr">
        <is>
          <t>AQ</t>
        </is>
      </c>
      <c r="D17" s="40" t="inlineStr">
        <is>
          <t>Wiedervermietung</t>
        </is>
      </c>
      <c r="E17" s="40" t="inlineStr">
        <is>
          <t>vor Ort</t>
        </is>
      </c>
      <c r="F17" s="41" t="inlineStr">
        <is>
          <t>Termin im Einzelfall setzen</t>
        </is>
      </c>
    </row>
    <row r="18">
      <c r="A18" s="40" t="n">
        <v>14</v>
      </c>
      <c r="B18" s="41" t="inlineStr">
        <is>
          <t>Reinigung veranlasst</t>
        </is>
      </c>
      <c r="C18" s="40" t="inlineStr">
        <is>
          <t>AR</t>
        </is>
      </c>
      <c r="D18" s="40" t="inlineStr">
        <is>
          <t>Wiedervermietung</t>
        </is>
      </c>
      <c r="E18" s="40" t="inlineStr">
        <is>
          <t>extern</t>
        </is>
      </c>
      <c r="F18" s="41" t="inlineStr">
        <is>
          <t>vor der Übergabe</t>
        </is>
      </c>
    </row>
    <row r="19">
      <c r="A19" s="40" t="n">
        <v>15</v>
      </c>
      <c r="B19" s="41" t="inlineStr">
        <is>
          <t>Namensschilder</t>
        </is>
      </c>
      <c r="C19" s="40" t="inlineStr">
        <is>
          <t>AS</t>
        </is>
      </c>
      <c r="D19" s="40" t="inlineStr">
        <is>
          <t>Wiedervermietung</t>
        </is>
      </c>
      <c r="E19" s="40" t="inlineStr">
        <is>
          <t>extern</t>
        </is>
      </c>
      <c r="F19" s="41" t="inlineStr">
        <is>
          <t>vor der Übergabe</t>
        </is>
      </c>
    </row>
    <row r="20">
      <c r="A20" s="40" t="n">
        <v>16</v>
      </c>
      <c r="B20" s="41" t="inlineStr">
        <is>
          <t>Kaution / G-Rem mutiert</t>
        </is>
      </c>
      <c r="C20" s="40" t="inlineStr">
        <is>
          <t>AT</t>
        </is>
      </c>
      <c r="D20" s="40" t="inlineStr">
        <is>
          <t>Wiedervermietung</t>
        </is>
      </c>
      <c r="E20" s="40" t="inlineStr">
        <is>
          <t>Garaio REM</t>
        </is>
      </c>
      <c r="F20" s="41" t="inlineStr">
        <is>
          <t>vor der Schlüsselübergabe</t>
        </is>
      </c>
    </row>
    <row r="21">
      <c r="A21" s="40" t="n">
        <v>17</v>
      </c>
      <c r="B21" s="41" t="inlineStr">
        <is>
          <t>Instandstellungs-RG</t>
        </is>
      </c>
      <c r="C21" s="40" t="inlineStr">
        <is>
          <t>AU</t>
        </is>
      </c>
      <c r="D21" s="40" t="inlineStr">
        <is>
          <t>Schlussabrechnung</t>
        </is>
      </c>
      <c r="E21" s="40" t="inlineStr">
        <is>
          <t>Garaio REM</t>
        </is>
      </c>
      <c r="F21" s="41" t="inlineStr">
        <is>
          <t>nach Rechnungseingang</t>
        </is>
      </c>
    </row>
    <row r="22">
      <c r="A22" s="40" t="n">
        <v>18</v>
      </c>
      <c r="B22" s="41" t="inlineStr">
        <is>
          <t>Schlussabrechnung</t>
        </is>
      </c>
      <c r="C22" s="40" t="inlineStr">
        <is>
          <t>AV</t>
        </is>
      </c>
      <c r="D22" s="40" t="inlineStr">
        <is>
          <t>Schlussabrechnung</t>
        </is>
      </c>
      <c r="E22" s="40" t="inlineStr">
        <is>
          <t>Garaio REM</t>
        </is>
      </c>
      <c r="F22" s="41" t="inlineStr">
        <is>
          <t>nach Zuordnung der Rechnungen</t>
        </is>
      </c>
    </row>
    <row r="23">
      <c r="A23" s="40" t="n">
        <v>19</v>
      </c>
      <c r="B23" s="41" t="inlineStr">
        <is>
          <t>Zahlungseingang</t>
        </is>
      </c>
      <c r="C23" s="40" t="inlineStr">
        <is>
          <t>AW</t>
        </is>
      </c>
      <c r="D23" s="40" t="inlineStr">
        <is>
          <t>Schlussabrechnung</t>
        </is>
      </c>
      <c r="E23" s="40" t="inlineStr">
        <is>
          <t>Garaio REM</t>
        </is>
      </c>
      <c r="F23" s="41" t="inlineStr">
        <is>
          <t>nach Versand der Abrechnung</t>
        </is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2026-09-22T08:22:26Z</dcterms:created>
  <dcterms:modified xsi:type="dcterms:W3CDTF">2026-09-22T08:22:29Z</dcterms:modified>
</cp:coreProperties>
</file>