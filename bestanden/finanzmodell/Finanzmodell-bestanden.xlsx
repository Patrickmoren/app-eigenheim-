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Annahmen" sheetId="2" state="visible" r:id="rId2"/>
    <sheet name="Modell Vorsichtig" sheetId="3" state="visible" r:id="rId3"/>
    <sheet name="Modell Basis" sheetId="4" state="visible" r:id="rId4"/>
    <sheet name="Modell Wachstum" sheetId="5" state="visible" r:id="rId5"/>
    <sheet name="Zielrechnung CHF 7–10 Mio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C2410C"/>
      <sz val="14"/>
    </font>
    <font>
      <name val="Arial"/>
      <i val="1"/>
      <color rgb="001A1A1A"/>
      <sz val="9"/>
    </font>
    <font>
      <name val="Arial"/>
      <b val="1"/>
      <color rgb="00C2410C"/>
      <sz val="11"/>
    </font>
    <font>
      <name val="Arial"/>
      <b val="1"/>
      <color rgb="001A1A1A"/>
      <sz val="9"/>
    </font>
    <font>
      <name val="Arial"/>
      <b val="1"/>
      <color rgb="00FFFFFF"/>
      <sz val="10"/>
    </font>
    <font>
      <name val="Arial"/>
      <color rgb="00555555"/>
      <sz val="8"/>
    </font>
    <font>
      <name val="Arial"/>
      <color rgb="001F4FB4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FFFBEA"/>
      </patternFill>
    </fill>
    <fill>
      <patternFill patternType="solid">
        <fgColor rgb="00FFF1E8"/>
      </patternFill>
    </fill>
  </fills>
  <borders count="2">
    <border>
      <left/>
      <right/>
      <top/>
      <bottom/>
      <diagonal/>
    </border>
    <border>
      <top style="thin">
        <color rgb="001A1A1A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pivotButton="0" quotePrefix="0" xfId="0"/>
    <xf numFmtId="0" fontId="0" fillId="2" borderId="0" pivotButton="0" quotePrefix="0" xfId="0"/>
    <xf numFmtId="0" fontId="5" fillId="2" borderId="0" pivotButton="0" quotePrefix="0" xfId="0"/>
    <xf numFmtId="3" fontId="0" fillId="0" borderId="0" pivotButton="0" quotePrefix="0" xfId="0"/>
    <xf numFmtId="3" fontId="9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3" fontId="7" fillId="3" borderId="0" pivotButton="0" quotePrefix="0" xfId="0"/>
    <xf numFmtId="0" fontId="6" fillId="0" borderId="0" applyAlignment="1" pivotButton="0" quotePrefix="0" xfId="0">
      <alignment vertical="top" wrapText="1"/>
    </xf>
    <xf numFmtId="1" fontId="7" fillId="3" borderId="0" pivotButton="0" quotePrefix="0" xfId="0"/>
    <xf numFmtId="9" fontId="7" fillId="3" borderId="0" pivotButton="0" quotePrefix="0" xfId="0"/>
    <xf numFmtId="164" fontId="7" fillId="3" borderId="0" pivotButton="0" quotePrefix="0" xfId="0"/>
    <xf numFmtId="165" fontId="7" fillId="3" borderId="0" pivotButton="0" quotePrefix="0" xfId="0"/>
    <xf numFmtId="2" fontId="7" fillId="3" borderId="0" pivotButton="0" quotePrefix="0" xfId="0"/>
    <xf numFmtId="0" fontId="8" fillId="0" borderId="0" pivotButton="0" quotePrefix="0" xfId="0"/>
    <xf numFmtId="3" fontId="8" fillId="0" borderId="0" pivotButton="0" quotePrefix="0" xfId="0"/>
    <xf numFmtId="1" fontId="8" fillId="0" borderId="0" pivotButton="0" quotePrefix="0" xfId="0"/>
    <xf numFmtId="3" fontId="9" fillId="4" borderId="1" pivotButton="0" quotePrefix="0" xfId="0"/>
    <xf numFmtId="9" fontId="8" fillId="0" borderId="0" pivotButton="0" quotePrefix="0" xfId="0"/>
    <xf numFmtId="165" fontId="8" fillId="0" borderId="0" pivotButton="0" quotePrefix="0" xfId="0"/>
    <xf numFmtId="164" fontId="8" fillId="0" borderId="0" pivotButton="0" quotePrefix="0" xfId="0"/>
    <xf numFmtId="4" fontId="8" fillId="0" borderId="0" pivotButton="0" quotePrefix="0" xfId="0"/>
    <xf numFmtId="3" fontId="7" fillId="0" borderId="0" pivotButton="0" quotePrefix="0" xfId="0"/>
    <xf numFmtId="9" fontId="7" fillId="0" borderId="0" pivotButton="0" quotePrefix="0" xfId="0"/>
    <xf numFmtId="1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bestanden – Übersicht der drei Szenarien</t>
        </is>
      </c>
    </row>
    <row r="2">
      <c r="A2" s="2" t="inlineStr">
        <is>
          <t>CHF, ohne MWST und Steuern. Alle Werte sind Formeln auf die Modellblätter.</t>
        </is>
      </c>
    </row>
    <row r="4">
      <c r="A4" s="3" t="inlineStr">
        <is>
          <t>Vorsichtig</t>
        </is>
      </c>
      <c r="B4" s="4" t="n"/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</row>
    <row r="5">
      <c r="A5" t="inlineStr">
        <is>
          <t>Lernende abgedeckt</t>
        </is>
      </c>
      <c r="C5" s="6">
        <f>'Modell Vorsichtig'!C5</f>
        <v/>
      </c>
      <c r="D5" s="6">
        <f>'Modell Vorsichtig'!D5</f>
        <v/>
      </c>
      <c r="E5" s="6">
        <f>'Modell Vorsichtig'!E5</f>
        <v/>
      </c>
      <c r="F5" s="6">
        <f>'Modell Vorsichtig'!F5</f>
        <v/>
      </c>
      <c r="G5" s="6">
        <f>'Modell Vorsichtig'!G5</f>
        <v/>
      </c>
    </row>
    <row r="6">
      <c r="A6" t="inlineStr">
        <is>
          <t>Lernende mit Betriebslizenz</t>
        </is>
      </c>
      <c r="C6" s="6">
        <f>'Modell Vorsichtig'!C7</f>
        <v/>
      </c>
      <c r="D6" s="6">
        <f>'Modell Vorsichtig'!D7</f>
        <v/>
      </c>
      <c r="E6" s="6">
        <f>'Modell Vorsichtig'!E7</f>
        <v/>
      </c>
      <c r="F6" s="6">
        <f>'Modell Vorsichtig'!F7</f>
        <v/>
      </c>
      <c r="G6" s="6">
        <f>'Modell Vorsichtig'!G7</f>
        <v/>
      </c>
    </row>
    <row r="7">
      <c r="A7" t="inlineStr">
        <is>
          <t>Lehrbetriebe</t>
        </is>
      </c>
      <c r="C7" s="6">
        <f>'Modell Vorsichtig'!C8</f>
        <v/>
      </c>
      <c r="D7" s="6">
        <f>'Modell Vorsichtig'!D8</f>
        <v/>
      </c>
      <c r="E7" s="6">
        <f>'Modell Vorsichtig'!E8</f>
        <v/>
      </c>
      <c r="F7" s="6">
        <f>'Modell Vorsichtig'!F8</f>
        <v/>
      </c>
      <c r="G7" s="6">
        <f>'Modell Vorsichtig'!G8</f>
        <v/>
      </c>
    </row>
    <row r="8">
      <c r="A8" t="inlineStr">
        <is>
          <t>B2C-Käufer/innen</t>
        </is>
      </c>
      <c r="C8" s="6">
        <f>'Modell Vorsichtig'!C11</f>
        <v/>
      </c>
      <c r="D8" s="6">
        <f>'Modell Vorsichtig'!D11</f>
        <v/>
      </c>
      <c r="E8" s="6">
        <f>'Modell Vorsichtig'!E11</f>
        <v/>
      </c>
      <c r="F8" s="6">
        <f>'Modell Vorsichtig'!F11</f>
        <v/>
      </c>
      <c r="G8" s="6">
        <f>'Modell Vorsichtig'!G11</f>
        <v/>
      </c>
    </row>
    <row r="9">
      <c r="A9" t="inlineStr">
        <is>
          <t>Umsatz</t>
        </is>
      </c>
      <c r="C9" s="7">
        <f>'Modell Vorsichtig'!C18</f>
        <v/>
      </c>
      <c r="D9" s="7">
        <f>'Modell Vorsichtig'!D18</f>
        <v/>
      </c>
      <c r="E9" s="7">
        <f>'Modell Vorsichtig'!E18</f>
        <v/>
      </c>
      <c r="F9" s="7">
        <f>'Modell Vorsichtig'!F18</f>
        <v/>
      </c>
      <c r="G9" s="7">
        <f>'Modell Vorsichtig'!G18</f>
        <v/>
      </c>
    </row>
    <row r="10">
      <c r="A10" t="inlineStr">
        <is>
          <t>Anteil B2B</t>
        </is>
      </c>
      <c r="C10" s="8">
        <f>'Modell Vorsichtig'!C19</f>
        <v/>
      </c>
      <c r="D10" s="8">
        <f>'Modell Vorsichtig'!D19</f>
        <v/>
      </c>
      <c r="E10" s="8">
        <f>'Modell Vorsichtig'!E19</f>
        <v/>
      </c>
      <c r="F10" s="8">
        <f>'Modell Vorsichtig'!F19</f>
        <v/>
      </c>
      <c r="G10" s="8">
        <f>'Modell Vorsichtig'!G19</f>
        <v/>
      </c>
    </row>
    <row r="11">
      <c r="A11" t="inlineStr">
        <is>
          <t>Deckungsbeitrag</t>
        </is>
      </c>
      <c r="C11" s="6">
        <f>'Modell Vorsichtig'!C25</f>
        <v/>
      </c>
      <c r="D11" s="6">
        <f>'Modell Vorsichtig'!D25</f>
        <v/>
      </c>
      <c r="E11" s="6">
        <f>'Modell Vorsichtig'!E25</f>
        <v/>
      </c>
      <c r="F11" s="6">
        <f>'Modell Vorsichtig'!F25</f>
        <v/>
      </c>
      <c r="G11" s="6">
        <f>'Modell Vorsichtig'!G25</f>
        <v/>
      </c>
    </row>
    <row r="12">
      <c r="A12" t="inlineStr">
        <is>
          <t>Personal</t>
        </is>
      </c>
      <c r="C12" s="6">
        <f>'Modell Vorsichtig'!C28</f>
        <v/>
      </c>
      <c r="D12" s="6">
        <f>'Modell Vorsichtig'!D28</f>
        <v/>
      </c>
      <c r="E12" s="6">
        <f>'Modell Vorsichtig'!E28</f>
        <v/>
      </c>
      <c r="F12" s="6">
        <f>'Modell Vorsichtig'!F28</f>
        <v/>
      </c>
      <c r="G12" s="6">
        <f>'Modell Vorsichtig'!G28</f>
        <v/>
      </c>
    </row>
    <row r="13">
      <c r="A13" t="inlineStr">
        <is>
          <t>Marketing und Vertrieb</t>
        </is>
      </c>
      <c r="C13" s="6">
        <f>'Modell Vorsichtig'!C31</f>
        <v/>
      </c>
      <c r="D13" s="6">
        <f>'Modell Vorsichtig'!D31</f>
        <v/>
      </c>
      <c r="E13" s="6">
        <f>'Modell Vorsichtig'!E31</f>
        <v/>
      </c>
      <c r="F13" s="6">
        <f>'Modell Vorsichtig'!F31</f>
        <v/>
      </c>
      <c r="G13" s="6">
        <f>'Modell Vorsichtig'!G31</f>
        <v/>
      </c>
    </row>
    <row r="14">
      <c r="A14" t="inlineStr">
        <is>
          <t>Operatives Ergebnis</t>
        </is>
      </c>
      <c r="C14" s="7">
        <f>'Modell Vorsichtig'!C34</f>
        <v/>
      </c>
      <c r="D14" s="7">
        <f>'Modell Vorsichtig'!D34</f>
        <v/>
      </c>
      <c r="E14" s="7">
        <f>'Modell Vorsichtig'!E34</f>
        <v/>
      </c>
      <c r="F14" s="7">
        <f>'Modell Vorsichtig'!F34</f>
        <v/>
      </c>
      <c r="G14" s="7">
        <f>'Modell Vorsichtig'!G34</f>
        <v/>
      </c>
    </row>
    <row r="15">
      <c r="A15" t="inlineStr">
        <is>
          <t>Kasse Ende Jahr</t>
        </is>
      </c>
      <c r="C15" s="6">
        <f>'Modell Vorsichtig'!C37</f>
        <v/>
      </c>
      <c r="D15" s="6">
        <f>'Modell Vorsichtig'!D37</f>
        <v/>
      </c>
      <c r="E15" s="6">
        <f>'Modell Vorsichtig'!E37</f>
        <v/>
      </c>
      <c r="F15" s="6">
        <f>'Modell Vorsichtig'!F37</f>
        <v/>
      </c>
      <c r="G15" s="6">
        <f>'Modell Vorsichtig'!G37</f>
        <v/>
      </c>
    </row>
    <row r="16">
      <c r="A16" t="inlineStr">
        <is>
          <t>Finanzierungsbedarf (kumuliert)</t>
        </is>
      </c>
      <c r="C16" s="6">
        <f>'Modell Vorsichtig'!C38</f>
        <v/>
      </c>
      <c r="D16" s="6">
        <f>'Modell Vorsichtig'!D38</f>
        <v/>
      </c>
      <c r="E16" s="6">
        <f>'Modell Vorsichtig'!E38</f>
        <v/>
      </c>
      <c r="F16" s="6">
        <f>'Modell Vorsichtig'!F38</f>
        <v/>
      </c>
      <c r="G16" s="6">
        <f>'Modell Vorsichtig'!G38</f>
        <v/>
      </c>
    </row>
    <row r="17">
      <c r="A17" t="inlineStr">
        <is>
          <t>Marktanteil Lernende CH</t>
        </is>
      </c>
      <c r="C17" s="9">
        <f>'Modell Vorsichtig'!C40</f>
        <v/>
      </c>
      <c r="D17" s="9">
        <f>'Modell Vorsichtig'!D40</f>
        <v/>
      </c>
      <c r="E17" s="9">
        <f>'Modell Vorsichtig'!E40</f>
        <v/>
      </c>
      <c r="F17" s="9">
        <f>'Modell Vorsichtig'!F40</f>
        <v/>
      </c>
      <c r="G17" s="9">
        <f>'Modell Vorsichtig'!G40</f>
        <v/>
      </c>
    </row>
    <row r="18">
      <c r="A18" s="10" t="inlineStr">
        <is>
          <t>Dauerhaft positives Ergebnis ab</t>
        </is>
      </c>
      <c r="C18">
        <f>IF('Modell Vorsichtig'!G34&gt;0,IF('Modell Vorsichtig'!F34&gt;0,IF('Modell Vorsichtig'!E34&gt;0,IF('Modell Vorsichtig'!D34&gt;0,IF('Modell Vorsichtig'!C34&gt;0,2027,2028),2029),2030),2031),"nach 2031")</f>
        <v/>
      </c>
    </row>
    <row r="20">
      <c r="A20" s="3" t="inlineStr">
        <is>
          <t>Basis</t>
        </is>
      </c>
      <c r="B20" s="4" t="n"/>
      <c r="C20" s="5" t="n">
        <v>2027</v>
      </c>
      <c r="D20" s="5" t="n">
        <v>2028</v>
      </c>
      <c r="E20" s="5" t="n">
        <v>2029</v>
      </c>
      <c r="F20" s="5" t="n">
        <v>2030</v>
      </c>
      <c r="G20" s="5" t="n">
        <v>2031</v>
      </c>
    </row>
    <row r="21">
      <c r="A21" t="inlineStr">
        <is>
          <t>Lernende abgedeckt</t>
        </is>
      </c>
      <c r="C21" s="6">
        <f>'Modell Basis'!C5</f>
        <v/>
      </c>
      <c r="D21" s="6">
        <f>'Modell Basis'!D5</f>
        <v/>
      </c>
      <c r="E21" s="6">
        <f>'Modell Basis'!E5</f>
        <v/>
      </c>
      <c r="F21" s="6">
        <f>'Modell Basis'!F5</f>
        <v/>
      </c>
      <c r="G21" s="6">
        <f>'Modell Basis'!G5</f>
        <v/>
      </c>
    </row>
    <row r="22">
      <c r="A22" t="inlineStr">
        <is>
          <t>Lernende mit Betriebslizenz</t>
        </is>
      </c>
      <c r="C22" s="6">
        <f>'Modell Basis'!C7</f>
        <v/>
      </c>
      <c r="D22" s="6">
        <f>'Modell Basis'!D7</f>
        <v/>
      </c>
      <c r="E22" s="6">
        <f>'Modell Basis'!E7</f>
        <v/>
      </c>
      <c r="F22" s="6">
        <f>'Modell Basis'!F7</f>
        <v/>
      </c>
      <c r="G22" s="6">
        <f>'Modell Basis'!G7</f>
        <v/>
      </c>
    </row>
    <row r="23">
      <c r="A23" t="inlineStr">
        <is>
          <t>Lehrbetriebe</t>
        </is>
      </c>
      <c r="C23" s="6">
        <f>'Modell Basis'!C8</f>
        <v/>
      </c>
      <c r="D23" s="6">
        <f>'Modell Basis'!D8</f>
        <v/>
      </c>
      <c r="E23" s="6">
        <f>'Modell Basis'!E8</f>
        <v/>
      </c>
      <c r="F23" s="6">
        <f>'Modell Basis'!F8</f>
        <v/>
      </c>
      <c r="G23" s="6">
        <f>'Modell Basis'!G8</f>
        <v/>
      </c>
    </row>
    <row r="24">
      <c r="A24" t="inlineStr">
        <is>
          <t>B2C-Käufer/innen</t>
        </is>
      </c>
      <c r="C24" s="6">
        <f>'Modell Basis'!C11</f>
        <v/>
      </c>
      <c r="D24" s="6">
        <f>'Modell Basis'!D11</f>
        <v/>
      </c>
      <c r="E24" s="6">
        <f>'Modell Basis'!E11</f>
        <v/>
      </c>
      <c r="F24" s="6">
        <f>'Modell Basis'!F11</f>
        <v/>
      </c>
      <c r="G24" s="6">
        <f>'Modell Basis'!G11</f>
        <v/>
      </c>
    </row>
    <row r="25">
      <c r="A25" t="inlineStr">
        <is>
          <t>Umsatz</t>
        </is>
      </c>
      <c r="C25" s="7">
        <f>'Modell Basis'!C18</f>
        <v/>
      </c>
      <c r="D25" s="7">
        <f>'Modell Basis'!D18</f>
        <v/>
      </c>
      <c r="E25" s="7">
        <f>'Modell Basis'!E18</f>
        <v/>
      </c>
      <c r="F25" s="7">
        <f>'Modell Basis'!F18</f>
        <v/>
      </c>
      <c r="G25" s="7">
        <f>'Modell Basis'!G18</f>
        <v/>
      </c>
    </row>
    <row r="26">
      <c r="A26" t="inlineStr">
        <is>
          <t>Anteil B2B</t>
        </is>
      </c>
      <c r="C26" s="8">
        <f>'Modell Basis'!C19</f>
        <v/>
      </c>
      <c r="D26" s="8">
        <f>'Modell Basis'!D19</f>
        <v/>
      </c>
      <c r="E26" s="8">
        <f>'Modell Basis'!E19</f>
        <v/>
      </c>
      <c r="F26" s="8">
        <f>'Modell Basis'!F19</f>
        <v/>
      </c>
      <c r="G26" s="8">
        <f>'Modell Basis'!G19</f>
        <v/>
      </c>
    </row>
    <row r="27">
      <c r="A27" t="inlineStr">
        <is>
          <t>Deckungsbeitrag</t>
        </is>
      </c>
      <c r="C27" s="6">
        <f>'Modell Basis'!C25</f>
        <v/>
      </c>
      <c r="D27" s="6">
        <f>'Modell Basis'!D25</f>
        <v/>
      </c>
      <c r="E27" s="6">
        <f>'Modell Basis'!E25</f>
        <v/>
      </c>
      <c r="F27" s="6">
        <f>'Modell Basis'!F25</f>
        <v/>
      </c>
      <c r="G27" s="6">
        <f>'Modell Basis'!G25</f>
        <v/>
      </c>
    </row>
    <row r="28">
      <c r="A28" t="inlineStr">
        <is>
          <t>Personal</t>
        </is>
      </c>
      <c r="C28" s="6">
        <f>'Modell Basis'!C28</f>
        <v/>
      </c>
      <c r="D28" s="6">
        <f>'Modell Basis'!D28</f>
        <v/>
      </c>
      <c r="E28" s="6">
        <f>'Modell Basis'!E28</f>
        <v/>
      </c>
      <c r="F28" s="6">
        <f>'Modell Basis'!F28</f>
        <v/>
      </c>
      <c r="G28" s="6">
        <f>'Modell Basis'!G28</f>
        <v/>
      </c>
    </row>
    <row r="29">
      <c r="A29" t="inlineStr">
        <is>
          <t>Marketing und Vertrieb</t>
        </is>
      </c>
      <c r="C29" s="6">
        <f>'Modell Basis'!C31</f>
        <v/>
      </c>
      <c r="D29" s="6">
        <f>'Modell Basis'!D31</f>
        <v/>
      </c>
      <c r="E29" s="6">
        <f>'Modell Basis'!E31</f>
        <v/>
      </c>
      <c r="F29" s="6">
        <f>'Modell Basis'!F31</f>
        <v/>
      </c>
      <c r="G29" s="6">
        <f>'Modell Basis'!G31</f>
        <v/>
      </c>
    </row>
    <row r="30">
      <c r="A30" t="inlineStr">
        <is>
          <t>Operatives Ergebnis</t>
        </is>
      </c>
      <c r="C30" s="7">
        <f>'Modell Basis'!C34</f>
        <v/>
      </c>
      <c r="D30" s="7">
        <f>'Modell Basis'!D34</f>
        <v/>
      </c>
      <c r="E30" s="7">
        <f>'Modell Basis'!E34</f>
        <v/>
      </c>
      <c r="F30" s="7">
        <f>'Modell Basis'!F34</f>
        <v/>
      </c>
      <c r="G30" s="7">
        <f>'Modell Basis'!G34</f>
        <v/>
      </c>
    </row>
    <row r="31">
      <c r="A31" t="inlineStr">
        <is>
          <t>Kasse Ende Jahr</t>
        </is>
      </c>
      <c r="C31" s="6">
        <f>'Modell Basis'!C37</f>
        <v/>
      </c>
      <c r="D31" s="6">
        <f>'Modell Basis'!D37</f>
        <v/>
      </c>
      <c r="E31" s="6">
        <f>'Modell Basis'!E37</f>
        <v/>
      </c>
      <c r="F31" s="6">
        <f>'Modell Basis'!F37</f>
        <v/>
      </c>
      <c r="G31" s="6">
        <f>'Modell Basis'!G37</f>
        <v/>
      </c>
    </row>
    <row r="32">
      <c r="A32" t="inlineStr">
        <is>
          <t>Finanzierungsbedarf (kumuliert)</t>
        </is>
      </c>
      <c r="C32" s="6">
        <f>'Modell Basis'!C38</f>
        <v/>
      </c>
      <c r="D32" s="6">
        <f>'Modell Basis'!D38</f>
        <v/>
      </c>
      <c r="E32" s="6">
        <f>'Modell Basis'!E38</f>
        <v/>
      </c>
      <c r="F32" s="6">
        <f>'Modell Basis'!F38</f>
        <v/>
      </c>
      <c r="G32" s="6">
        <f>'Modell Basis'!G38</f>
        <v/>
      </c>
    </row>
    <row r="33">
      <c r="A33" t="inlineStr">
        <is>
          <t>Marktanteil Lernende CH</t>
        </is>
      </c>
      <c r="C33" s="9">
        <f>'Modell Basis'!C40</f>
        <v/>
      </c>
      <c r="D33" s="9">
        <f>'Modell Basis'!D40</f>
        <v/>
      </c>
      <c r="E33" s="9">
        <f>'Modell Basis'!E40</f>
        <v/>
      </c>
      <c r="F33" s="9">
        <f>'Modell Basis'!F40</f>
        <v/>
      </c>
      <c r="G33" s="9">
        <f>'Modell Basis'!G40</f>
        <v/>
      </c>
    </row>
    <row r="34">
      <c r="A34" s="10" t="inlineStr">
        <is>
          <t>Dauerhaft positives Ergebnis ab</t>
        </is>
      </c>
      <c r="C34">
        <f>IF('Modell Basis'!G34&gt;0,IF('Modell Basis'!F34&gt;0,IF('Modell Basis'!E34&gt;0,IF('Modell Basis'!D34&gt;0,IF('Modell Basis'!C34&gt;0,2027,2028),2029),2030),2031),"nach 2031")</f>
        <v/>
      </c>
    </row>
    <row r="36">
      <c r="A36" s="3" t="inlineStr">
        <is>
          <t>Wachstum</t>
        </is>
      </c>
      <c r="B36" s="4" t="n"/>
      <c r="C36" s="5" t="n">
        <v>2027</v>
      </c>
      <c r="D36" s="5" t="n">
        <v>2028</v>
      </c>
      <c r="E36" s="5" t="n">
        <v>2029</v>
      </c>
      <c r="F36" s="5" t="n">
        <v>2030</v>
      </c>
      <c r="G36" s="5" t="n">
        <v>2031</v>
      </c>
    </row>
    <row r="37">
      <c r="A37" t="inlineStr">
        <is>
          <t>Lernende abgedeckt</t>
        </is>
      </c>
      <c r="C37" s="6">
        <f>'Modell Wachstum'!C5</f>
        <v/>
      </c>
      <c r="D37" s="6">
        <f>'Modell Wachstum'!D5</f>
        <v/>
      </c>
      <c r="E37" s="6">
        <f>'Modell Wachstum'!E5</f>
        <v/>
      </c>
      <c r="F37" s="6">
        <f>'Modell Wachstum'!F5</f>
        <v/>
      </c>
      <c r="G37" s="6">
        <f>'Modell Wachstum'!G5</f>
        <v/>
      </c>
    </row>
    <row r="38">
      <c r="A38" t="inlineStr">
        <is>
          <t>Lernende mit Betriebslizenz</t>
        </is>
      </c>
      <c r="C38" s="6">
        <f>'Modell Wachstum'!C7</f>
        <v/>
      </c>
      <c r="D38" s="6">
        <f>'Modell Wachstum'!D7</f>
        <v/>
      </c>
      <c r="E38" s="6">
        <f>'Modell Wachstum'!E7</f>
        <v/>
      </c>
      <c r="F38" s="6">
        <f>'Modell Wachstum'!F7</f>
        <v/>
      </c>
      <c r="G38" s="6">
        <f>'Modell Wachstum'!G7</f>
        <v/>
      </c>
    </row>
    <row r="39">
      <c r="A39" t="inlineStr">
        <is>
          <t>Lehrbetriebe</t>
        </is>
      </c>
      <c r="C39" s="6">
        <f>'Modell Wachstum'!C8</f>
        <v/>
      </c>
      <c r="D39" s="6">
        <f>'Modell Wachstum'!D8</f>
        <v/>
      </c>
      <c r="E39" s="6">
        <f>'Modell Wachstum'!E8</f>
        <v/>
      </c>
      <c r="F39" s="6">
        <f>'Modell Wachstum'!F8</f>
        <v/>
      </c>
      <c r="G39" s="6">
        <f>'Modell Wachstum'!G8</f>
        <v/>
      </c>
    </row>
    <row r="40">
      <c r="A40" t="inlineStr">
        <is>
          <t>B2C-Käufer/innen</t>
        </is>
      </c>
      <c r="C40" s="6">
        <f>'Modell Wachstum'!C11</f>
        <v/>
      </c>
      <c r="D40" s="6">
        <f>'Modell Wachstum'!D11</f>
        <v/>
      </c>
      <c r="E40" s="6">
        <f>'Modell Wachstum'!E11</f>
        <v/>
      </c>
      <c r="F40" s="6">
        <f>'Modell Wachstum'!F11</f>
        <v/>
      </c>
      <c r="G40" s="6">
        <f>'Modell Wachstum'!G11</f>
        <v/>
      </c>
    </row>
    <row r="41">
      <c r="A41" t="inlineStr">
        <is>
          <t>Umsatz</t>
        </is>
      </c>
      <c r="C41" s="7">
        <f>'Modell Wachstum'!C18</f>
        <v/>
      </c>
      <c r="D41" s="7">
        <f>'Modell Wachstum'!D18</f>
        <v/>
      </c>
      <c r="E41" s="7">
        <f>'Modell Wachstum'!E18</f>
        <v/>
      </c>
      <c r="F41" s="7">
        <f>'Modell Wachstum'!F18</f>
        <v/>
      </c>
      <c r="G41" s="7">
        <f>'Modell Wachstum'!G18</f>
        <v/>
      </c>
    </row>
    <row r="42">
      <c r="A42" t="inlineStr">
        <is>
          <t>Anteil B2B</t>
        </is>
      </c>
      <c r="C42" s="8">
        <f>'Modell Wachstum'!C19</f>
        <v/>
      </c>
      <c r="D42" s="8">
        <f>'Modell Wachstum'!D19</f>
        <v/>
      </c>
      <c r="E42" s="8">
        <f>'Modell Wachstum'!E19</f>
        <v/>
      </c>
      <c r="F42" s="8">
        <f>'Modell Wachstum'!F19</f>
        <v/>
      </c>
      <c r="G42" s="8">
        <f>'Modell Wachstum'!G19</f>
        <v/>
      </c>
    </row>
    <row r="43">
      <c r="A43" t="inlineStr">
        <is>
          <t>Deckungsbeitrag</t>
        </is>
      </c>
      <c r="C43" s="6">
        <f>'Modell Wachstum'!C25</f>
        <v/>
      </c>
      <c r="D43" s="6">
        <f>'Modell Wachstum'!D25</f>
        <v/>
      </c>
      <c r="E43" s="6">
        <f>'Modell Wachstum'!E25</f>
        <v/>
      </c>
      <c r="F43" s="6">
        <f>'Modell Wachstum'!F25</f>
        <v/>
      </c>
      <c r="G43" s="6">
        <f>'Modell Wachstum'!G25</f>
        <v/>
      </c>
    </row>
    <row r="44">
      <c r="A44" t="inlineStr">
        <is>
          <t>Personal</t>
        </is>
      </c>
      <c r="C44" s="6">
        <f>'Modell Wachstum'!C28</f>
        <v/>
      </c>
      <c r="D44" s="6">
        <f>'Modell Wachstum'!D28</f>
        <v/>
      </c>
      <c r="E44" s="6">
        <f>'Modell Wachstum'!E28</f>
        <v/>
      </c>
      <c r="F44" s="6">
        <f>'Modell Wachstum'!F28</f>
        <v/>
      </c>
      <c r="G44" s="6">
        <f>'Modell Wachstum'!G28</f>
        <v/>
      </c>
    </row>
    <row r="45">
      <c r="A45" t="inlineStr">
        <is>
          <t>Marketing und Vertrieb</t>
        </is>
      </c>
      <c r="C45" s="6">
        <f>'Modell Wachstum'!C31</f>
        <v/>
      </c>
      <c r="D45" s="6">
        <f>'Modell Wachstum'!D31</f>
        <v/>
      </c>
      <c r="E45" s="6">
        <f>'Modell Wachstum'!E31</f>
        <v/>
      </c>
      <c r="F45" s="6">
        <f>'Modell Wachstum'!F31</f>
        <v/>
      </c>
      <c r="G45" s="6">
        <f>'Modell Wachstum'!G31</f>
        <v/>
      </c>
    </row>
    <row r="46">
      <c r="A46" t="inlineStr">
        <is>
          <t>Operatives Ergebnis</t>
        </is>
      </c>
      <c r="C46" s="7">
        <f>'Modell Wachstum'!C34</f>
        <v/>
      </c>
      <c r="D46" s="7">
        <f>'Modell Wachstum'!D34</f>
        <v/>
      </c>
      <c r="E46" s="7">
        <f>'Modell Wachstum'!E34</f>
        <v/>
      </c>
      <c r="F46" s="7">
        <f>'Modell Wachstum'!F34</f>
        <v/>
      </c>
      <c r="G46" s="7">
        <f>'Modell Wachstum'!G34</f>
        <v/>
      </c>
    </row>
    <row r="47">
      <c r="A47" t="inlineStr">
        <is>
          <t>Kasse Ende Jahr</t>
        </is>
      </c>
      <c r="C47" s="6">
        <f>'Modell Wachstum'!C37</f>
        <v/>
      </c>
      <c r="D47" s="6">
        <f>'Modell Wachstum'!D37</f>
        <v/>
      </c>
      <c r="E47" s="6">
        <f>'Modell Wachstum'!E37</f>
        <v/>
      </c>
      <c r="F47" s="6">
        <f>'Modell Wachstum'!F37</f>
        <v/>
      </c>
      <c r="G47" s="6">
        <f>'Modell Wachstum'!G37</f>
        <v/>
      </c>
    </row>
    <row r="48">
      <c r="A48" t="inlineStr">
        <is>
          <t>Finanzierungsbedarf (kumuliert)</t>
        </is>
      </c>
      <c r="C48" s="6">
        <f>'Modell Wachstum'!C38</f>
        <v/>
      </c>
      <c r="D48" s="6">
        <f>'Modell Wachstum'!D38</f>
        <v/>
      </c>
      <c r="E48" s="6">
        <f>'Modell Wachstum'!E38</f>
        <v/>
      </c>
      <c r="F48" s="6">
        <f>'Modell Wachstum'!F38</f>
        <v/>
      </c>
      <c r="G48" s="6">
        <f>'Modell Wachstum'!G38</f>
        <v/>
      </c>
    </row>
    <row r="49">
      <c r="A49" t="inlineStr">
        <is>
          <t>Marktanteil Lernende CH</t>
        </is>
      </c>
      <c r="C49" s="9">
        <f>'Modell Wachstum'!C40</f>
        <v/>
      </c>
      <c r="D49" s="9">
        <f>'Modell Wachstum'!D40</f>
        <v/>
      </c>
      <c r="E49" s="9">
        <f>'Modell Wachstum'!E40</f>
        <v/>
      </c>
      <c r="F49" s="9">
        <f>'Modell Wachstum'!F40</f>
        <v/>
      </c>
      <c r="G49" s="9">
        <f>'Modell Wachstum'!G40</f>
        <v/>
      </c>
    </row>
    <row r="50">
      <c r="A50" s="10" t="inlineStr">
        <is>
          <t>Dauerhaft positives Ergebnis ab</t>
        </is>
      </c>
      <c r="C50">
        <f>IF('Modell Wachstum'!G34&gt;0,IF('Modell Wachstum'!F34&gt;0,IF('Modell Wachstum'!E34&gt;0,IF('Modell Wachstum'!D34&gt;0,IF('Modell Wachstum'!C34&gt;0,2027,2028),2029),2030),2031),"nach 2031")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1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0" customWidth="1" min="21" max="21"/>
  </cols>
  <sheetData>
    <row r="1">
      <c r="A1" s="1" t="inlineStr">
        <is>
          <t>bestanden – Finanzmodell · Annahmen</t>
        </is>
      </c>
    </row>
    <row r="2">
      <c r="A2" s="2" t="inlineStr">
        <is>
          <t>Blaue Werte sind Eingaben, alles andere ist berechnet. Einzelwerte stehen im ersten Jahr des Szenarios und gelten für alle Jahre. CHF ohne MWST. Hypothesen sind in Spalte U so bezeichnet.</t>
        </is>
      </c>
    </row>
    <row r="4">
      <c r="C4" s="11" t="inlineStr">
        <is>
          <t>Vorsichtig</t>
        </is>
      </c>
      <c r="I4" s="11" t="inlineStr">
        <is>
          <t>Basis</t>
        </is>
      </c>
      <c r="O4" s="11" t="inlineStr">
        <is>
          <t>Wachstum</t>
        </is>
      </c>
    </row>
    <row r="5">
      <c r="C5" s="12" t="n">
        <v>2027</v>
      </c>
      <c r="D5" s="12" t="n">
        <v>2028</v>
      </c>
      <c r="E5" s="12" t="n">
        <v>2029</v>
      </c>
      <c r="F5" s="12" t="n">
        <v>2030</v>
      </c>
      <c r="G5" s="12" t="n">
        <v>2031</v>
      </c>
      <c r="I5" s="12" t="n">
        <v>2027</v>
      </c>
      <c r="J5" s="12" t="n">
        <v>2028</v>
      </c>
      <c r="K5" s="12" t="n">
        <v>2029</v>
      </c>
      <c r="L5" s="12" t="n">
        <v>2030</v>
      </c>
      <c r="M5" s="12" t="n">
        <v>2031</v>
      </c>
      <c r="O5" s="12" t="n">
        <v>2027</v>
      </c>
      <c r="P5" s="12" t="n">
        <v>2028</v>
      </c>
      <c r="Q5" s="12" t="n">
        <v>2029</v>
      </c>
      <c r="R5" s="12" t="n">
        <v>2030</v>
      </c>
      <c r="S5" s="12" t="n">
        <v>2031</v>
      </c>
      <c r="U5" s="12" t="inlineStr">
        <is>
          <t>Quelle / Begründung</t>
        </is>
      </c>
    </row>
    <row r="6">
      <c r="A6" s="5" t="inlineStr">
        <is>
          <t>Markt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>
      <c r="A7" t="inlineStr">
        <is>
          <t>Lernende in den abgedeckten Berufen</t>
        </is>
      </c>
      <c r="B7" s="13" t="inlineStr">
        <is>
          <t>Personen</t>
        </is>
      </c>
      <c r="C7" s="14" t="n">
        <v>2000</v>
      </c>
      <c r="D7" s="14" t="n">
        <v>5000</v>
      </c>
      <c r="E7" s="14" t="n">
        <v>10000</v>
      </c>
      <c r="F7" s="14" t="n">
        <v>18000</v>
      </c>
      <c r="G7" s="14" t="n">
        <v>28000</v>
      </c>
      <c r="I7" s="14" t="n">
        <v>2500</v>
      </c>
      <c r="J7" s="14" t="n">
        <v>9000</v>
      </c>
      <c r="K7" s="14" t="n">
        <v>22000</v>
      </c>
      <c r="L7" s="14" t="n">
        <v>40000</v>
      </c>
      <c r="M7" s="14" t="n">
        <v>60000</v>
      </c>
      <c r="O7" s="14" t="n">
        <v>4000</v>
      </c>
      <c r="P7" s="14" t="n">
        <v>15000</v>
      </c>
      <c r="Q7" s="14" t="n">
        <v>35000</v>
      </c>
      <c r="R7" s="14" t="n">
        <v>65000</v>
      </c>
      <c r="S7" s="14" t="n">
        <v>100000</v>
      </c>
      <c r="U7" s="15" t="inlineStr">
        <is>
          <t>Start Sanitär (rund 600 QV-Antritte/Jahr, EHB 2024), danach Heizung (rund 280). Danach weitere Berufe. Obergrenze Schweiz: 215'052 Lernende (BFS 2025). Wachstum 2031 = 46 % aller Lernenden: nur erreichbar, wenn auch grosse Berufe mit bestehender Konkurrenz dazukommen.</t>
        </is>
      </c>
    </row>
    <row r="8">
      <c r="A8" t="inlineStr">
        <is>
          <t>Berufe live (kumuliert)</t>
        </is>
      </c>
      <c r="B8" s="13" t="inlineStr">
        <is>
          <t>Anzahl</t>
        </is>
      </c>
      <c r="C8" s="16" t="n">
        <v>1</v>
      </c>
      <c r="D8" s="16" t="n">
        <v>2</v>
      </c>
      <c r="E8" s="16" t="n">
        <v>4</v>
      </c>
      <c r="F8" s="16" t="n">
        <v>6</v>
      </c>
      <c r="G8" s="16" t="n">
        <v>8</v>
      </c>
      <c r="I8" s="16" t="n">
        <v>1</v>
      </c>
      <c r="J8" s="16" t="n">
        <v>3</v>
      </c>
      <c r="K8" s="16" t="n">
        <v>6</v>
      </c>
      <c r="L8" s="16" t="n">
        <v>10</v>
      </c>
      <c r="M8" s="16" t="n">
        <v>14</v>
      </c>
      <c r="O8" s="16" t="n">
        <v>2</v>
      </c>
      <c r="P8" s="16" t="n">
        <v>5</v>
      </c>
      <c r="Q8" s="16" t="n">
        <v>11</v>
      </c>
      <c r="R8" s="16" t="n">
        <v>17</v>
      </c>
      <c r="S8" s="16" t="n">
        <v>24</v>
      </c>
      <c r="U8" s="15" t="inlineStr">
        <is>
          <t>Pro Beruf eine Fachperson für die Prüfung der Inhalte.</t>
        </is>
      </c>
    </row>
    <row r="9">
      <c r="A9" t="inlineStr">
        <is>
          <t>QV-Kandidaten je Lernende</t>
        </is>
      </c>
      <c r="B9" s="13" t="inlineStr">
        <is>
          <t>Anteil</t>
        </is>
      </c>
      <c r="C9" s="17" t="n">
        <v>0.32</v>
      </c>
      <c r="I9" s="17" t="n">
        <v>0.32</v>
      </c>
      <c r="O9" s="17" t="n">
        <v>0.32</v>
      </c>
      <c r="U9" s="15" t="inlineStr">
        <is>
          <t>70'000 Antritte (EHB 2024) ÷ 215'052 Lernende (BFS 2025) = 0,33. Gerundet 0,32.</t>
        </is>
      </c>
    </row>
    <row r="10">
      <c r="A10" s="5" t="inlineStr">
        <is>
          <t>Lehrbetriebe (B2B)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t="inlineStr">
        <is>
          <t>Anteil Lernende mit Betriebslizenz</t>
        </is>
      </c>
      <c r="B11" s="13" t="inlineStr">
        <is>
          <t>%</t>
        </is>
      </c>
      <c r="C11" s="17" t="n">
        <v>0.03</v>
      </c>
      <c r="D11" s="17" t="n">
        <v>0.05</v>
      </c>
      <c r="E11" s="17" t="n">
        <v>0.07000000000000001</v>
      </c>
      <c r="F11" s="17" t="n">
        <v>0.09</v>
      </c>
      <c r="G11" s="17" t="n">
        <v>0.1</v>
      </c>
      <c r="I11" s="17" t="n">
        <v>0.04</v>
      </c>
      <c r="J11" s="17" t="n">
        <v>0.07000000000000001</v>
      </c>
      <c r="K11" s="17" t="n">
        <v>0.11</v>
      </c>
      <c r="L11" s="17" t="n">
        <v>0.15</v>
      </c>
      <c r="M11" s="17" t="n">
        <v>0.18</v>
      </c>
      <c r="O11" s="17" t="n">
        <v>0.05</v>
      </c>
      <c r="P11" s="17" t="n">
        <v>0.1</v>
      </c>
      <c r="Q11" s="17" t="n">
        <v>0.15</v>
      </c>
      <c r="R11" s="17" t="n">
        <v>0.21</v>
      </c>
      <c r="S11" s="17" t="n">
        <v>0.26</v>
      </c>
      <c r="U11" s="15" t="inlineStr">
        <is>
          <t>Hypothese, im Pilot zu messen. time2learn nennt &gt;5'000 Betriebe (Selbstangabe) – Betriebe zahlen für Ausbildungssoftware.</t>
        </is>
      </c>
    </row>
    <row r="12">
      <c r="A12" t="inlineStr">
        <is>
          <t>Lizenzierte Lernende je Lehrbetrieb</t>
        </is>
      </c>
      <c r="B12" s="13" t="inlineStr">
        <is>
          <t>Personen</t>
        </is>
      </c>
      <c r="C12" s="18" t="n">
        <v>2</v>
      </c>
      <c r="I12" s="18" t="n">
        <v>2.5</v>
      </c>
      <c r="O12" s="18" t="n">
        <v>3</v>
      </c>
      <c r="U12" s="15" t="inlineStr">
        <is>
          <t>Annahme. Gebäudetechnik-Betriebe sind oft klein (1–3 Lernende).</t>
        </is>
      </c>
    </row>
    <row r="13">
      <c r="A13" t="inlineStr">
        <is>
          <t>Kündigungsrate Lehrbetriebe</t>
        </is>
      </c>
      <c r="B13" s="13" t="inlineStr">
        <is>
          <t>%/Jahr</t>
        </is>
      </c>
      <c r="C13" s="17" t="n">
        <v>0.25</v>
      </c>
      <c r="I13" s="17" t="n">
        <v>0.18</v>
      </c>
      <c r="O13" s="17" t="n">
        <v>0.12</v>
      </c>
      <c r="U13" s="15" t="inlineStr">
        <is>
          <t>Annahme. Betriebe ohne Lernende im nächsten Jahrgang kündigen.</t>
        </is>
      </c>
    </row>
    <row r="14">
      <c r="A14" t="inlineStr">
        <is>
          <t>Ø erzielter Preis je lizenzierte/r Lernende/r</t>
        </is>
      </c>
      <c r="B14" s="13" t="inlineStr">
        <is>
          <t>CHF/Jahr</t>
        </is>
      </c>
      <c r="C14" s="14" t="n">
        <v>90</v>
      </c>
      <c r="D14" s="14" t="n">
        <v>95</v>
      </c>
      <c r="E14" s="14" t="n">
        <v>100</v>
      </c>
      <c r="F14" s="14" t="n">
        <v>100</v>
      </c>
      <c r="G14" s="14" t="n">
        <v>100</v>
      </c>
      <c r="I14" s="14" t="n">
        <v>100</v>
      </c>
      <c r="J14" s="14" t="n">
        <v>105</v>
      </c>
      <c r="K14" s="14" t="n">
        <v>110</v>
      </c>
      <c r="L14" s="14" t="n">
        <v>110</v>
      </c>
      <c r="M14" s="14" t="n">
        <v>110</v>
      </c>
      <c r="O14" s="14" t="n">
        <v>100</v>
      </c>
      <c r="P14" s="14" t="n">
        <v>110</v>
      </c>
      <c r="Q14" s="14" t="n">
        <v>115</v>
      </c>
      <c r="R14" s="14" t="n">
        <v>115</v>
      </c>
      <c r="S14" s="14" t="n">
        <v>115</v>
      </c>
      <c r="U14" s="15" t="inlineStr">
        <is>
          <t>Liste CHF 120 (= CHF 10/Monat), abzüglich Staffel- und Verbandsrabatte. Preisanker der Konkurrenz: LernStrom Sanitär CHF 80 einmalig. Der Aufpreis muss durch Berufsbildner-Ansicht und Fachgespräch-Training begründet sein.</t>
        </is>
      </c>
    </row>
    <row r="15">
      <c r="A15" t="inlineStr">
        <is>
          <t>Akquisekosten je neuer Lehrbetrieb</t>
        </is>
      </c>
      <c r="B15" s="13" t="inlineStr">
        <is>
          <t>CHF</t>
        </is>
      </c>
      <c r="C15" s="14" t="n">
        <v>80</v>
      </c>
      <c r="D15" s="14" t="n">
        <v>350</v>
      </c>
      <c r="E15" s="14" t="n">
        <v>350</v>
      </c>
      <c r="F15" s="14" t="n">
        <v>350</v>
      </c>
      <c r="G15" s="14" t="n">
        <v>350</v>
      </c>
      <c r="I15" s="14" t="n">
        <v>60</v>
      </c>
      <c r="J15" s="14" t="n">
        <v>250</v>
      </c>
      <c r="K15" s="14" t="n">
        <v>250</v>
      </c>
      <c r="L15" s="14" t="n">
        <v>220</v>
      </c>
      <c r="M15" s="14" t="n">
        <v>200</v>
      </c>
      <c r="O15" s="14" t="n">
        <v>60</v>
      </c>
      <c r="P15" s="14" t="n">
        <v>200</v>
      </c>
      <c r="Q15" s="14" t="n">
        <v>180</v>
      </c>
      <c r="R15" s="14" t="n">
        <v>160</v>
      </c>
      <c r="S15" s="14" t="n">
        <v>150</v>
      </c>
      <c r="U15" s="15" t="inlineStr">
        <is>
          <t>Annahme. 2027 verkauft der Gründer selbst (nur Spesen). Danach Anrufe, Besuche, Verbandsanlässe; über Verbandskanal sinkend. Im Pilot messen.</t>
        </is>
      </c>
    </row>
    <row r="16">
      <c r="A16" s="5" t="inlineStr">
        <is>
          <t>Lernende direkt (B2C)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t="inlineStr">
        <is>
          <t>Kaufquote QV-Kandidaten ohne Betriebslizenz</t>
        </is>
      </c>
      <c r="B17" s="13" t="inlineStr">
        <is>
          <t>%</t>
        </is>
      </c>
      <c r="C17" s="19" t="n">
        <v>0.015</v>
      </c>
      <c r="D17" s="19" t="n">
        <v>0.02</v>
      </c>
      <c r="E17" s="19" t="n">
        <v>0.025</v>
      </c>
      <c r="F17" s="19" t="n">
        <v>0.03</v>
      </c>
      <c r="G17" s="19" t="n">
        <v>0.03</v>
      </c>
      <c r="I17" s="19" t="n">
        <v>0.02</v>
      </c>
      <c r="J17" s="19" t="n">
        <v>0.03</v>
      </c>
      <c r="K17" s="19" t="n">
        <v>0.04</v>
      </c>
      <c r="L17" s="19" t="n">
        <v>0.045</v>
      </c>
      <c r="M17" s="19" t="n">
        <v>0.05</v>
      </c>
      <c r="O17" s="19" t="n">
        <v>0.03</v>
      </c>
      <c r="P17" s="19" t="n">
        <v>0.04</v>
      </c>
      <c r="Q17" s="19" t="n">
        <v>0.05</v>
      </c>
      <c r="R17" s="19" t="n">
        <v>0.06</v>
      </c>
      <c r="S17" s="19" t="n">
        <v>0.07000000000000001</v>
      </c>
      <c r="U17" s="15" t="inlineStr">
        <is>
          <t>Hypothese. Freemium-Apps wandeln typischerweise wenige Prozent um; Gratis-Konkurrenz in grossen Berufen (FaGefit).</t>
        </is>
      </c>
    </row>
    <row r="18">
      <c r="A18" t="inlineStr">
        <is>
          <t>Preis QV-Pass (Januar bis QV)</t>
        </is>
      </c>
      <c r="B18" s="13" t="inlineStr">
        <is>
          <t>CHF</t>
        </is>
      </c>
      <c r="C18" s="14" t="n">
        <v>59</v>
      </c>
      <c r="I18" s="14" t="n">
        <v>59</v>
      </c>
      <c r="O18" s="14" t="n">
        <v>59</v>
      </c>
      <c r="U18" s="15" t="inlineStr">
        <is>
          <t>Vergleich: LernStrom QV Sanitär CHF 80 einmalig (5 Jahre Zugriff), «I got this» (KV) CHF 89/365 Tage. B2C ist im Modell nur ein Nebenkanal.</t>
        </is>
      </c>
    </row>
    <row r="19">
      <c r="A19" t="inlineStr">
        <is>
          <t>Akquisekosten je bezahlte/r B2C-Käufer/in</t>
        </is>
      </c>
      <c r="B19" s="13" t="inlineStr">
        <is>
          <t>CHF</t>
        </is>
      </c>
      <c r="C19" s="14" t="n">
        <v>20</v>
      </c>
      <c r="I19" s="14" t="n">
        <v>15</v>
      </c>
      <c r="O19" s="14" t="n">
        <v>12</v>
      </c>
      <c r="U19" s="15" t="inlineStr">
        <is>
          <t>Annahme für Social Ads (TikTok/Instagram) an 17–20-Jährige. Im Pilot messen.</t>
        </is>
      </c>
    </row>
    <row r="20">
      <c r="A20" t="inlineStr">
        <is>
          <t>Anteil B2C-Käufe ohne Werbung (Empfehlung, Schule)</t>
        </is>
      </c>
      <c r="B20" s="13" t="inlineStr">
        <is>
          <t>%</t>
        </is>
      </c>
      <c r="C20" s="17" t="n">
        <v>0.3</v>
      </c>
      <c r="I20" s="17" t="n">
        <v>0.4</v>
      </c>
      <c r="O20" s="17" t="n">
        <v>0.5</v>
      </c>
      <c r="U20" s="15" t="inlineStr">
        <is>
          <t>Annahme.</t>
        </is>
      </c>
    </row>
    <row r="21">
      <c r="A21" s="5" t="inlineStr">
        <is>
          <t>Verbände (OdA-Lizenz)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t="inlineStr">
        <is>
          <t>Verbandslizenzen (Branchenlizenz, eigenes Branding)</t>
        </is>
      </c>
      <c r="B22" s="13" t="inlineStr">
        <is>
          <t>Anzahl</t>
        </is>
      </c>
      <c r="C22" s="16" t="n">
        <v>0</v>
      </c>
      <c r="D22" s="16" t="n">
        <v>0</v>
      </c>
      <c r="E22" s="16" t="n">
        <v>0</v>
      </c>
      <c r="F22" s="16" t="n">
        <v>1</v>
      </c>
      <c r="G22" s="16" t="n">
        <v>1</v>
      </c>
      <c r="I22" s="16" t="n">
        <v>0</v>
      </c>
      <c r="J22" s="16" t="n">
        <v>0</v>
      </c>
      <c r="K22" s="16" t="n">
        <v>1</v>
      </c>
      <c r="L22" s="16" t="n">
        <v>2</v>
      </c>
      <c r="M22" s="16" t="n">
        <v>3</v>
      </c>
      <c r="O22" s="16" t="n">
        <v>0</v>
      </c>
      <c r="P22" s="16" t="n">
        <v>1</v>
      </c>
      <c r="Q22" s="16" t="n">
        <v>2</v>
      </c>
      <c r="R22" s="16" t="n">
        <v>4</v>
      </c>
      <c r="S22" s="16" t="n">
        <v>6</v>
      </c>
      <c r="U22" s="15" t="inlineStr">
        <is>
          <t>Hypothese. Verbände investieren bereits in QV-Erfolg (suissetec: Bildungscoachs seit 2024).</t>
        </is>
      </c>
    </row>
    <row r="23">
      <c r="A23" t="inlineStr">
        <is>
          <t>Preis Verbandslizenz</t>
        </is>
      </c>
      <c r="B23" s="13" t="inlineStr">
        <is>
          <t>CHF/Jahr</t>
        </is>
      </c>
      <c r="C23" s="14" t="n">
        <v>25000</v>
      </c>
      <c r="I23" s="14" t="n">
        <v>25000</v>
      </c>
      <c r="O23" s="14" t="n">
        <v>25000</v>
      </c>
      <c r="U23" s="15" t="inlineStr">
        <is>
          <t>Annahme: Plattform, Branding, Auswertungen; Inhalte bleiben beim Verband oder werden geteilt.</t>
        </is>
      </c>
    </row>
    <row r="24">
      <c r="A24" s="5" t="inlineStr">
        <is>
          <t>Variable Kosten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>
      <c r="A25" t="inlineStr">
        <is>
          <t>Anteil aktive Nutzer/innen unter den Lizenzierten</t>
        </is>
      </c>
      <c r="B25" s="13" t="inlineStr">
        <is>
          <t>%</t>
        </is>
      </c>
      <c r="C25" s="17" t="n">
        <v>0.6</v>
      </c>
      <c r="I25" s="17" t="n">
        <v>0.6</v>
      </c>
      <c r="O25" s="17" t="n">
        <v>0.6</v>
      </c>
      <c r="U25" s="15" t="inlineStr">
        <is>
          <t>Annahme.</t>
        </is>
      </c>
    </row>
    <row r="26">
      <c r="A26" t="inlineStr">
        <is>
          <t>KI-Kosten je aktive/r Nutzer/in</t>
        </is>
      </c>
      <c r="B26" s="13" t="inlineStr">
        <is>
          <t>CHF/Jahr</t>
        </is>
      </c>
      <c r="C26" s="20" t="n">
        <v>3</v>
      </c>
      <c r="I26" s="20" t="n">
        <v>3</v>
      </c>
      <c r="O26" s="20" t="n">
        <v>3</v>
      </c>
      <c r="U26" s="15" t="inlineStr">
        <is>
          <t>150 Bewertungen offener Antworten/Jahr × ~2'000 Eingabe- und 400 Ausgabe-Tokens. Claude Opus 5 ($5/$25 je Mio. Tokens): USD 0.02 je Bewertung = USD 3.00/Jahr; Sonnet 5 ($2/$10): USD 1.20. Ohne Rabatt durch Caching. Siehe 05-ki-konzept.md.</t>
        </is>
      </c>
    </row>
    <row r="27">
      <c r="A27" t="inlineStr">
        <is>
          <t>Hosting und Speicher je aktive/r Nutzer/in</t>
        </is>
      </c>
      <c r="B27" s="13" t="inlineStr">
        <is>
          <t>CHF/Jahr</t>
        </is>
      </c>
      <c r="C27" s="20" t="n">
        <v>1.5</v>
      </c>
      <c r="I27" s="20" t="n">
        <v>1.5</v>
      </c>
      <c r="O27" s="20" t="n">
        <v>1.5</v>
      </c>
      <c r="U27" s="15" t="inlineStr">
        <is>
          <t>Annahme, Schweizer Hosting.</t>
        </is>
      </c>
    </row>
    <row r="28">
      <c r="A28" t="inlineStr">
        <is>
          <t>Zahlungsgebühren B2C (Karte, TWINT)</t>
        </is>
      </c>
      <c r="B28" s="13" t="inlineStr">
        <is>
          <t>% Umsatz</t>
        </is>
      </c>
      <c r="C28" s="19" t="n">
        <v>0.035</v>
      </c>
      <c r="I28" s="19" t="n">
        <v>0.035</v>
      </c>
      <c r="O28" s="19" t="n">
        <v>0.035</v>
      </c>
      <c r="U28" s="15" t="inlineStr">
        <is>
          <t>Annahme rund 3–3,5 %.</t>
        </is>
      </c>
    </row>
    <row r="29">
      <c r="A29" t="inlineStr">
        <is>
          <t>Zahlungs- und Mahnkosten B2B</t>
        </is>
      </c>
      <c r="B29" s="13" t="inlineStr">
        <is>
          <t>% Umsatz</t>
        </is>
      </c>
      <c r="C29" s="19" t="n">
        <v>0.01</v>
      </c>
      <c r="I29" s="19" t="n">
        <v>0.01</v>
      </c>
      <c r="O29" s="19" t="n">
        <v>0.01</v>
      </c>
      <c r="U29" s="15" t="inlineStr">
        <is>
          <t>Rechnung per QR-Rechnung.</t>
        </is>
      </c>
    </row>
    <row r="30">
      <c r="A30" s="5" t="inlineStr">
        <is>
          <t>Fixkosten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</row>
    <row r="31">
      <c r="A31" t="inlineStr">
        <is>
          <t>Angestellte (Vollzeitstellen, Gründer ab Lohn)</t>
        </is>
      </c>
      <c r="B31" s="13" t="inlineStr">
        <is>
          <t>FTE</t>
        </is>
      </c>
      <c r="C31" s="18" t="n">
        <v>0</v>
      </c>
      <c r="D31" s="18" t="n">
        <v>0</v>
      </c>
      <c r="E31" s="18" t="n">
        <v>0.3</v>
      </c>
      <c r="F31" s="18" t="n">
        <v>0.8</v>
      </c>
      <c r="G31" s="18" t="n">
        <v>1.5</v>
      </c>
      <c r="I31" s="18" t="n">
        <v>0</v>
      </c>
      <c r="J31" s="18" t="n">
        <v>0</v>
      </c>
      <c r="K31" s="18" t="n">
        <v>1</v>
      </c>
      <c r="L31" s="18" t="n">
        <v>3</v>
      </c>
      <c r="M31" s="18" t="n">
        <v>5.5</v>
      </c>
      <c r="O31" s="18" t="n">
        <v>0</v>
      </c>
      <c r="P31" s="18" t="n">
        <v>0.5</v>
      </c>
      <c r="Q31" s="18" t="n">
        <v>3</v>
      </c>
      <c r="R31" s="18" t="n">
        <v>7</v>
      </c>
      <c r="S31" s="18" t="n">
        <v>11</v>
      </c>
      <c r="U31" s="15" t="inlineStr">
        <is>
          <t>2027 arbeitet der Gründer abends ohne Lohn. Stellen erst, wenn Umsatz sie trägt (siehe Gates).</t>
        </is>
      </c>
    </row>
    <row r="32">
      <c r="A32" t="inlineStr">
        <is>
          <t>Vollkosten je FTE</t>
        </is>
      </c>
      <c r="B32" s="13" t="inlineStr">
        <is>
          <t>CHF/Jahr</t>
        </is>
      </c>
      <c r="C32" s="14" t="n">
        <v>110000</v>
      </c>
      <c r="I32" s="14" t="n">
        <v>110000</v>
      </c>
      <c r="O32" s="14" t="n">
        <v>110000</v>
      </c>
      <c r="U32" s="15" t="inlineStr">
        <is>
          <t>Lohn ~CHF 90k + Sozialabgaben/BVG ~18 %. Mischwert Entwicklung, Vertrieb, Inhalte.</t>
        </is>
      </c>
    </row>
    <row r="33">
      <c r="A33" t="inlineStr">
        <is>
          <t>Inhalte je neuer Beruf (Fachprüfung, Bilder)</t>
        </is>
      </c>
      <c r="B33" s="13" t="inlineStr">
        <is>
          <t>CHF</t>
        </is>
      </c>
      <c r="C33" s="14" t="n">
        <v>4000</v>
      </c>
      <c r="D33" s="14" t="n">
        <v>15000</v>
      </c>
      <c r="E33" s="14" t="n">
        <v>20000</v>
      </c>
      <c r="F33" s="14" t="n">
        <v>20000</v>
      </c>
      <c r="G33" s="14" t="n">
        <v>20000</v>
      </c>
      <c r="I33" s="14" t="n">
        <v>4000</v>
      </c>
      <c r="J33" s="14" t="n">
        <v>15000</v>
      </c>
      <c r="K33" s="14" t="n">
        <v>18000</v>
      </c>
      <c r="L33" s="14" t="n">
        <v>18000</v>
      </c>
      <c r="M33" s="14" t="n">
        <v>18000</v>
      </c>
      <c r="O33" s="14" t="n">
        <v>4000</v>
      </c>
      <c r="P33" s="14" t="n">
        <v>15000</v>
      </c>
      <c r="Q33" s="14" t="n">
        <v>18000</v>
      </c>
      <c r="R33" s="14" t="n">
        <v>18000</v>
      </c>
      <c r="S33" s="14" t="n">
        <v>18000</v>
      </c>
      <c r="U33" s="15" t="inlineStr">
        <is>
          <t>2027: KI-Entwurf durch Gründer, Fachperson prüft ~50 h à CHF 80. Später ~180 h plus Grafiken.</t>
        </is>
      </c>
    </row>
    <row r="34">
      <c r="A34" t="inlineStr">
        <is>
          <t>Inhaltspflege je Beruf live</t>
        </is>
      </c>
      <c r="B34" s="13" t="inlineStr">
        <is>
          <t>CHF/Jahr</t>
        </is>
      </c>
      <c r="C34" s="14" t="n">
        <v>4000</v>
      </c>
      <c r="I34" s="14" t="n">
        <v>4000</v>
      </c>
      <c r="O34" s="14" t="n">
        <v>4000</v>
      </c>
      <c r="U34" s="15" t="inlineStr">
        <is>
          <t>Ab dem Jahr nach dem Start: Durchsicht, Korrekturen, Änderungen im Bildungsplan.</t>
        </is>
      </c>
    </row>
    <row r="35">
      <c r="A35" t="inlineStr">
        <is>
          <t>Technik fix (Werkzeuge, Monitoring, App-Stores)</t>
        </is>
      </c>
      <c r="B35" s="13" t="inlineStr">
        <is>
          <t>CHF/Jahr</t>
        </is>
      </c>
      <c r="C35" s="14" t="n">
        <v>600</v>
      </c>
      <c r="D35" s="14" t="n">
        <v>2400</v>
      </c>
      <c r="E35" s="14" t="n">
        <v>6000</v>
      </c>
      <c r="F35" s="14" t="n">
        <v>10000</v>
      </c>
      <c r="G35" s="14" t="n">
        <v>15000</v>
      </c>
      <c r="I35" s="14" t="n">
        <v>600</v>
      </c>
      <c r="J35" s="14" t="n">
        <v>3000</v>
      </c>
      <c r="K35" s="14" t="n">
        <v>8000</v>
      </c>
      <c r="L35" s="14" t="n">
        <v>15000</v>
      </c>
      <c r="M35" s="14" t="n">
        <v>25000</v>
      </c>
      <c r="O35" s="14" t="n">
        <v>800</v>
      </c>
      <c r="P35" s="14" t="n">
        <v>5000</v>
      </c>
      <c r="Q35" s="14" t="n">
        <v>15000</v>
      </c>
      <c r="R35" s="14" t="n">
        <v>30000</v>
      </c>
      <c r="S35" s="14" t="n">
        <v>50000</v>
      </c>
      <c r="U35" s="15" t="inlineStr">
        <is>
          <t>Annahme.</t>
        </is>
      </c>
    </row>
    <row r="36">
      <c r="A36" t="inlineStr">
        <is>
          <t>Marketing fix (Messen, Material, Inhalte Social Media)</t>
        </is>
      </c>
      <c r="B36" s="13" t="inlineStr">
        <is>
          <t>CHF/Jahr</t>
        </is>
      </c>
      <c r="C36" s="14" t="n">
        <v>300</v>
      </c>
      <c r="D36" s="14" t="n">
        <v>3000</v>
      </c>
      <c r="E36" s="14" t="n">
        <v>10000</v>
      </c>
      <c r="F36" s="14" t="n">
        <v>20000</v>
      </c>
      <c r="G36" s="14" t="n">
        <v>30000</v>
      </c>
      <c r="I36" s="14" t="n">
        <v>500</v>
      </c>
      <c r="J36" s="14" t="n">
        <v>8000</v>
      </c>
      <c r="K36" s="14" t="n">
        <v>20000</v>
      </c>
      <c r="L36" s="14" t="n">
        <v>40000</v>
      </c>
      <c r="M36" s="14" t="n">
        <v>60000</v>
      </c>
      <c r="O36" s="14" t="n">
        <v>800</v>
      </c>
      <c r="P36" s="14" t="n">
        <v>15000</v>
      </c>
      <c r="Q36" s="14" t="n">
        <v>40000</v>
      </c>
      <c r="R36" s="14" t="n">
        <v>70000</v>
      </c>
      <c r="S36" s="14" t="n">
        <v>100000</v>
      </c>
      <c r="U36" s="15" t="inlineStr">
        <is>
          <t>Annahme.</t>
        </is>
      </c>
    </row>
    <row r="37">
      <c r="A37" t="inlineStr">
        <is>
          <t>Administration (Treuhand, Versicherung, Recht, Datenschutzprüfung)</t>
        </is>
      </c>
      <c r="B37" s="13" t="inlineStr">
        <is>
          <t>CHF/Jahr</t>
        </is>
      </c>
      <c r="C37" s="14" t="n">
        <v>1200</v>
      </c>
      <c r="D37" s="14" t="n">
        <v>5000</v>
      </c>
      <c r="E37" s="14" t="n">
        <v>10000</v>
      </c>
      <c r="F37" s="14" t="n">
        <v>20000</v>
      </c>
      <c r="G37" s="14" t="n">
        <v>30000</v>
      </c>
      <c r="I37" s="14" t="n">
        <v>1500</v>
      </c>
      <c r="J37" s="14" t="n">
        <v>6000</v>
      </c>
      <c r="K37" s="14" t="n">
        <v>15000</v>
      </c>
      <c r="L37" s="14" t="n">
        <v>30000</v>
      </c>
      <c r="M37" s="14" t="n">
        <v>50000</v>
      </c>
      <c r="O37" s="14" t="n">
        <v>1500</v>
      </c>
      <c r="P37" s="14" t="n">
        <v>10000</v>
      </c>
      <c r="Q37" s="14" t="n">
        <v>25000</v>
      </c>
      <c r="R37" s="14" t="n">
        <v>50000</v>
      </c>
      <c r="S37" s="14" t="n">
        <v>80000</v>
      </c>
      <c r="U37" s="15" t="inlineStr">
        <is>
          <t>2027: Einzelfirma, Versicherung, einmalige Rechtsprüfung AGB/Datenschutz (Offerte einholen).</t>
        </is>
      </c>
    </row>
    <row r="38">
      <c r="A38" t="inlineStr">
        <is>
          <t>Eigenmittel zu Beginn</t>
        </is>
      </c>
      <c r="B38" s="13" t="inlineStr">
        <is>
          <t>CHF</t>
        </is>
      </c>
      <c r="C38" s="14" t="n">
        <v>1000</v>
      </c>
      <c r="I38" s="14" t="n">
        <v>1000</v>
      </c>
      <c r="O38" s="14" t="n">
        <v>1000</v>
      </c>
      <c r="U38" s="15" t="inlineStr">
        <is>
          <t>Vorgabe: CHF 100–1'000.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bestanden – Modell · Szenario Vorsichtig</t>
        </is>
      </c>
    </row>
    <row r="2">
      <c r="A2" s="2" t="inlineStr">
        <is>
          <t>Berechnet aus «Annahmen». Nicht von Hand ändern.</t>
        </is>
      </c>
    </row>
    <row r="4">
      <c r="A4" s="5" t="inlineStr">
        <is>
          <t>Mengen</t>
        </is>
      </c>
      <c r="B4" s="4" t="n"/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</row>
    <row r="5">
      <c r="A5" s="21" t="inlineStr">
        <is>
          <t>Lernende in abgedeckten Berufen</t>
        </is>
      </c>
      <c r="C5" s="22">
        <f>Annahmen!$C$7</f>
        <v/>
      </c>
      <c r="D5" s="22">
        <f>Annahmen!$D$7</f>
        <v/>
      </c>
      <c r="E5" s="22">
        <f>Annahmen!$E$7</f>
        <v/>
      </c>
      <c r="F5" s="22">
        <f>Annahmen!$F$7</f>
        <v/>
      </c>
      <c r="G5" s="22">
        <f>Annahmen!$G$7</f>
        <v/>
      </c>
    </row>
    <row r="6">
      <c r="A6" s="21" t="inlineStr">
        <is>
          <t>QV-Kandidaten pro Jahr</t>
        </is>
      </c>
      <c r="C6" s="22">
        <f>C5*Annahmen!$C$9</f>
        <v/>
      </c>
      <c r="D6" s="22">
        <f>D5*Annahmen!$C$9</f>
        <v/>
      </c>
      <c r="E6" s="22">
        <f>E5*Annahmen!$C$9</f>
        <v/>
      </c>
      <c r="F6" s="22">
        <f>F5*Annahmen!$C$9</f>
        <v/>
      </c>
      <c r="G6" s="22">
        <f>G5*Annahmen!$C$9</f>
        <v/>
      </c>
    </row>
    <row r="7">
      <c r="A7" s="10" t="inlineStr">
        <is>
          <t>Lernende mit Betriebslizenz</t>
        </is>
      </c>
      <c r="C7" s="7">
        <f>C5*Annahmen!$C$11</f>
        <v/>
      </c>
      <c r="D7" s="7">
        <f>D5*Annahmen!$D$11</f>
        <v/>
      </c>
      <c r="E7" s="7">
        <f>E5*Annahmen!$E$11</f>
        <v/>
      </c>
      <c r="F7" s="7">
        <f>F5*Annahmen!$F$11</f>
        <v/>
      </c>
      <c r="G7" s="7">
        <f>G5*Annahmen!$G$11</f>
        <v/>
      </c>
    </row>
    <row r="8">
      <c r="A8" s="21" t="inlineStr">
        <is>
          <t>Lehrbetriebe mit Lizenz</t>
        </is>
      </c>
      <c r="C8" s="22">
        <f>C7/Annahmen!$C$12</f>
        <v/>
      </c>
      <c r="D8" s="22">
        <f>D7/Annahmen!$C$12</f>
        <v/>
      </c>
      <c r="E8" s="22">
        <f>E7/Annahmen!$C$12</f>
        <v/>
      </c>
      <c r="F8" s="22">
        <f>F7/Annahmen!$C$12</f>
        <v/>
      </c>
      <c r="G8" s="22">
        <f>G7/Annahmen!$C$12</f>
        <v/>
      </c>
    </row>
    <row r="9">
      <c r="A9" s="21" t="inlineStr">
        <is>
          <t>davon neu gewonnen</t>
        </is>
      </c>
      <c r="C9" s="22">
        <f>C8</f>
        <v/>
      </c>
      <c r="D9" s="22">
        <f>MAX(0,D8-C8*(1-Annahmen!$C$13))</f>
        <v/>
      </c>
      <c r="E9" s="22">
        <f>MAX(0,E8-D8*(1-Annahmen!$C$13))</f>
        <v/>
      </c>
      <c r="F9" s="22">
        <f>MAX(0,F8-E8*(1-Annahmen!$C$13))</f>
        <v/>
      </c>
      <c r="G9" s="22">
        <f>MAX(0,G8-F8*(1-Annahmen!$C$13))</f>
        <v/>
      </c>
    </row>
    <row r="10">
      <c r="A10" s="21" t="inlineStr">
        <is>
          <t>QV-Kandidaten ohne Betriebslizenz</t>
        </is>
      </c>
      <c r="C10" s="22">
        <f>C6*(1-Annahmen!$C$11)</f>
        <v/>
      </c>
      <c r="D10" s="22">
        <f>D6*(1-Annahmen!$D$11)</f>
        <v/>
      </c>
      <c r="E10" s="22">
        <f>E6*(1-Annahmen!$E$11)</f>
        <v/>
      </c>
      <c r="F10" s="22">
        <f>F6*(1-Annahmen!$F$11)</f>
        <v/>
      </c>
      <c r="G10" s="22">
        <f>G6*(1-Annahmen!$G$11)</f>
        <v/>
      </c>
    </row>
    <row r="11">
      <c r="A11" s="10" t="inlineStr">
        <is>
          <t>B2C-Käufer/innen QV-Pass</t>
        </is>
      </c>
      <c r="C11" s="7">
        <f>C10*Annahmen!$C$17</f>
        <v/>
      </c>
      <c r="D11" s="7">
        <f>D10*Annahmen!$D$17</f>
        <v/>
      </c>
      <c r="E11" s="7">
        <f>E10*Annahmen!$E$17</f>
        <v/>
      </c>
      <c r="F11" s="7">
        <f>F10*Annahmen!$F$17</f>
        <v/>
      </c>
      <c r="G11" s="7">
        <f>G10*Annahmen!$G$17</f>
        <v/>
      </c>
    </row>
    <row r="12">
      <c r="A12" s="21" t="inlineStr">
        <is>
          <t>Verbandslizenzen</t>
        </is>
      </c>
      <c r="C12" s="23">
        <f>Annahmen!$C$22</f>
        <v/>
      </c>
      <c r="D12" s="23">
        <f>Annahmen!$D$22</f>
        <v/>
      </c>
      <c r="E12" s="23">
        <f>Annahmen!$E$22</f>
        <v/>
      </c>
      <c r="F12" s="23">
        <f>Annahmen!$F$22</f>
        <v/>
      </c>
      <c r="G12" s="23">
        <f>Annahmen!$G$22</f>
        <v/>
      </c>
    </row>
    <row r="13">
      <c r="A13" s="21" t="inlineStr">
        <is>
          <t>Aktive Nutzer/innen (bezahlt)</t>
        </is>
      </c>
      <c r="C13" s="22">
        <f>C7*Annahmen!$C$25+C11</f>
        <v/>
      </c>
      <c r="D13" s="22">
        <f>D7*Annahmen!$C$25+D11</f>
        <v/>
      </c>
      <c r="E13" s="22">
        <f>E7*Annahmen!$C$25+E11</f>
        <v/>
      </c>
      <c r="F13" s="22">
        <f>F7*Annahmen!$C$25+F11</f>
        <v/>
      </c>
      <c r="G13" s="22">
        <f>G7*Annahmen!$C$25+G11</f>
        <v/>
      </c>
    </row>
    <row r="14">
      <c r="A14" s="5" t="inlineStr">
        <is>
          <t>Umsatz</t>
        </is>
      </c>
      <c r="B14" s="4" t="n"/>
      <c r="C14" s="5" t="n">
        <v>2027</v>
      </c>
      <c r="D14" s="5" t="n">
        <v>2028</v>
      </c>
      <c r="E14" s="5" t="n">
        <v>2029</v>
      </c>
      <c r="F14" s="5" t="n">
        <v>2030</v>
      </c>
      <c r="G14" s="5" t="n">
        <v>2031</v>
      </c>
    </row>
    <row r="15">
      <c r="A15" s="21" t="inlineStr">
        <is>
          <t>Betriebslizenzen (B2B)</t>
        </is>
      </c>
      <c r="C15" s="22">
        <f>C7*Annahmen!$C$14</f>
        <v/>
      </c>
      <c r="D15" s="22">
        <f>D7*Annahmen!$D$14</f>
        <v/>
      </c>
      <c r="E15" s="22">
        <f>E7*Annahmen!$E$14</f>
        <v/>
      </c>
      <c r="F15" s="22">
        <f>F7*Annahmen!$F$14</f>
        <v/>
      </c>
      <c r="G15" s="22">
        <f>G7*Annahmen!$G$14</f>
        <v/>
      </c>
    </row>
    <row r="16">
      <c r="A16" s="21" t="inlineStr">
        <is>
          <t>QV-Pass (B2C)</t>
        </is>
      </c>
      <c r="C16" s="22">
        <f>C11*Annahmen!$C$18</f>
        <v/>
      </c>
      <c r="D16" s="22">
        <f>D11*Annahmen!$C$18</f>
        <v/>
      </c>
      <c r="E16" s="22">
        <f>E11*Annahmen!$C$18</f>
        <v/>
      </c>
      <c r="F16" s="22">
        <f>F11*Annahmen!$C$18</f>
        <v/>
      </c>
      <c r="G16" s="22">
        <f>G11*Annahmen!$C$18</f>
        <v/>
      </c>
    </row>
    <row r="17">
      <c r="A17" s="21" t="inlineStr">
        <is>
          <t>Verbandslizenzen (B2B2C)</t>
        </is>
      </c>
      <c r="C17" s="22">
        <f>C12*Annahmen!$C$23</f>
        <v/>
      </c>
      <c r="D17" s="22">
        <f>D12*Annahmen!$C$23</f>
        <v/>
      </c>
      <c r="E17" s="22">
        <f>E12*Annahmen!$C$23</f>
        <v/>
      </c>
      <c r="F17" s="22">
        <f>F12*Annahmen!$C$23</f>
        <v/>
      </c>
      <c r="G17" s="22">
        <f>G12*Annahmen!$C$23</f>
        <v/>
      </c>
    </row>
    <row r="18">
      <c r="A18" s="10" t="inlineStr">
        <is>
          <t>Umsatz total</t>
        </is>
      </c>
      <c r="C18" s="24">
        <f>C15+C16+C17</f>
        <v/>
      </c>
      <c r="D18" s="24">
        <f>D15+D16+D17</f>
        <v/>
      </c>
      <c r="E18" s="24">
        <f>E15+E16+E17</f>
        <v/>
      </c>
      <c r="F18" s="24">
        <f>F15+F16+F17</f>
        <v/>
      </c>
      <c r="G18" s="24">
        <f>G15+G16+G17</f>
        <v/>
      </c>
    </row>
    <row r="19">
      <c r="A19" s="21" t="inlineStr">
        <is>
          <t>Anteil B2B inkl. Verbände</t>
        </is>
      </c>
      <c r="C19" s="25">
        <f>IF(C18=0,0,(C15+C17)/C18)</f>
        <v/>
      </c>
      <c r="D19" s="25">
        <f>IF(D18=0,0,(D15+D17)/D18)</f>
        <v/>
      </c>
      <c r="E19" s="25">
        <f>IF(E18=0,0,(E15+E17)/E18)</f>
        <v/>
      </c>
      <c r="F19" s="25">
        <f>IF(F18=0,0,(F15+F17)/F18)</f>
        <v/>
      </c>
      <c r="G19" s="25">
        <f>IF(G18=0,0,(G15+G17)/G18)</f>
        <v/>
      </c>
    </row>
    <row r="20">
      <c r="A20" s="5" t="inlineStr">
        <is>
          <t>Variable Kosten und Deckungsbeitrag</t>
        </is>
      </c>
      <c r="B20" s="4" t="n"/>
      <c r="C20" s="5" t="n">
        <v>2027</v>
      </c>
      <c r="D20" s="5" t="n">
        <v>2028</v>
      </c>
      <c r="E20" s="5" t="n">
        <v>2029</v>
      </c>
      <c r="F20" s="5" t="n">
        <v>2030</v>
      </c>
      <c r="G20" s="5" t="n">
        <v>2031</v>
      </c>
    </row>
    <row r="21">
      <c r="A21" s="21" t="inlineStr">
        <is>
          <t>Zahlungsgebühren</t>
        </is>
      </c>
      <c r="C21" s="22">
        <f>C16*Annahmen!$C$28+(C15+C17)*Annahmen!$C$29</f>
        <v/>
      </c>
      <c r="D21" s="22">
        <f>D16*Annahmen!$C$28+(D15+D17)*Annahmen!$C$29</f>
        <v/>
      </c>
      <c r="E21" s="22">
        <f>E16*Annahmen!$C$28+(E15+E17)*Annahmen!$C$29</f>
        <v/>
      </c>
      <c r="F21" s="22">
        <f>F16*Annahmen!$C$28+(F15+F17)*Annahmen!$C$29</f>
        <v/>
      </c>
      <c r="G21" s="22">
        <f>G16*Annahmen!$C$28+(G15+G17)*Annahmen!$C$29</f>
        <v/>
      </c>
    </row>
    <row r="22">
      <c r="A22" s="21" t="inlineStr">
        <is>
          <t>KI-Kosten</t>
        </is>
      </c>
      <c r="C22" s="22">
        <f>C13*Annahmen!$C$26</f>
        <v/>
      </c>
      <c r="D22" s="22">
        <f>D13*Annahmen!$C$26</f>
        <v/>
      </c>
      <c r="E22" s="22">
        <f>E13*Annahmen!$C$26</f>
        <v/>
      </c>
      <c r="F22" s="22">
        <f>F13*Annahmen!$C$26</f>
        <v/>
      </c>
      <c r="G22" s="22">
        <f>G13*Annahmen!$C$26</f>
        <v/>
      </c>
    </row>
    <row r="23">
      <c r="A23" s="21" t="inlineStr">
        <is>
          <t>Hosting variabel</t>
        </is>
      </c>
      <c r="C23" s="22">
        <f>C13*Annahmen!$C$27</f>
        <v/>
      </c>
      <c r="D23" s="22">
        <f>D13*Annahmen!$C$27</f>
        <v/>
      </c>
      <c r="E23" s="22">
        <f>E13*Annahmen!$C$27</f>
        <v/>
      </c>
      <c r="F23" s="22">
        <f>F13*Annahmen!$C$27</f>
        <v/>
      </c>
      <c r="G23" s="22">
        <f>G13*Annahmen!$C$27</f>
        <v/>
      </c>
    </row>
    <row r="24">
      <c r="A24" s="21" t="inlineStr">
        <is>
          <t>Variable Kosten total</t>
        </is>
      </c>
      <c r="C24" s="22">
        <f>C21+C22+C23</f>
        <v/>
      </c>
      <c r="D24" s="22">
        <f>D21+D22+D23</f>
        <v/>
      </c>
      <c r="E24" s="22">
        <f>E21+E22+E23</f>
        <v/>
      </c>
      <c r="F24" s="22">
        <f>F21+F22+F23</f>
        <v/>
      </c>
      <c r="G24" s="22">
        <f>G21+G22+G23</f>
        <v/>
      </c>
    </row>
    <row r="25">
      <c r="A25" s="10" t="inlineStr">
        <is>
          <t>Deckungsbeitrag</t>
        </is>
      </c>
      <c r="C25" s="24">
        <f>C18-C24</f>
        <v/>
      </c>
      <c r="D25" s="24">
        <f>D18-D24</f>
        <v/>
      </c>
      <c r="E25" s="24">
        <f>E18-E24</f>
        <v/>
      </c>
      <c r="F25" s="24">
        <f>F18-F24</f>
        <v/>
      </c>
      <c r="G25" s="24">
        <f>G18-G24</f>
        <v/>
      </c>
    </row>
    <row r="26">
      <c r="A26" s="21" t="inlineStr">
        <is>
          <t>Deckungsbeitrag in % des Umsatzes</t>
        </is>
      </c>
      <c r="C26" s="25">
        <f>IF(C18=0,0,C25/C18)</f>
        <v/>
      </c>
      <c r="D26" s="25">
        <f>IF(D18=0,0,D25/D18)</f>
        <v/>
      </c>
      <c r="E26" s="25">
        <f>IF(E18=0,0,E25/E18)</f>
        <v/>
      </c>
      <c r="F26" s="25">
        <f>IF(F18=0,0,F25/F18)</f>
        <v/>
      </c>
      <c r="G26" s="25">
        <f>IF(G18=0,0,G25/G18)</f>
        <v/>
      </c>
    </row>
    <row r="27">
      <c r="A27" s="5" t="inlineStr">
        <is>
          <t>Fixkosten</t>
        </is>
      </c>
      <c r="B27" s="4" t="n"/>
      <c r="C27" s="5" t="n">
        <v>2027</v>
      </c>
      <c r="D27" s="5" t="n">
        <v>2028</v>
      </c>
      <c r="E27" s="5" t="n">
        <v>2029</v>
      </c>
      <c r="F27" s="5" t="n">
        <v>2030</v>
      </c>
      <c r="G27" s="5" t="n">
        <v>2031</v>
      </c>
    </row>
    <row r="28">
      <c r="A28" s="21" t="inlineStr">
        <is>
          <t>Personal</t>
        </is>
      </c>
      <c r="C28" s="22">
        <f>Annahmen!$C$31*Annahmen!$C$32</f>
        <v/>
      </c>
      <c r="D28" s="22">
        <f>Annahmen!$D$31*Annahmen!$C$32</f>
        <v/>
      </c>
      <c r="E28" s="22">
        <f>Annahmen!$E$31*Annahmen!$C$32</f>
        <v/>
      </c>
      <c r="F28" s="22">
        <f>Annahmen!$F$31*Annahmen!$C$32</f>
        <v/>
      </c>
      <c r="G28" s="22">
        <f>Annahmen!$G$31*Annahmen!$C$32</f>
        <v/>
      </c>
    </row>
    <row r="29">
      <c r="A29" s="21" t="inlineStr">
        <is>
          <t>Inhalte (neue Berufe + Pflege)</t>
        </is>
      </c>
      <c r="C29" s="22">
        <f>Annahmen!$C$8*Annahmen!$C$33</f>
        <v/>
      </c>
      <c r="D29" s="22">
        <f>MAX(0,Annahmen!$D$8-Annahmen!$C$8)*Annahmen!$D$33+Annahmen!$C$8*Annahmen!$C$34</f>
        <v/>
      </c>
      <c r="E29" s="22">
        <f>MAX(0,Annahmen!$E$8-Annahmen!$D$8)*Annahmen!$E$33+Annahmen!$D$8*Annahmen!$C$34</f>
        <v/>
      </c>
      <c r="F29" s="22">
        <f>MAX(0,Annahmen!$F$8-Annahmen!$E$8)*Annahmen!$F$33+Annahmen!$E$8*Annahmen!$C$34</f>
        <v/>
      </c>
      <c r="G29" s="22">
        <f>MAX(0,Annahmen!$G$8-Annahmen!$F$8)*Annahmen!$G$33+Annahmen!$F$8*Annahmen!$C$34</f>
        <v/>
      </c>
    </row>
    <row r="30">
      <c r="A30" s="21" t="inlineStr">
        <is>
          <t>Technologie fix</t>
        </is>
      </c>
      <c r="C30" s="22">
        <f>Annahmen!$C$35</f>
        <v/>
      </c>
      <c r="D30" s="22">
        <f>Annahmen!$D$35</f>
        <v/>
      </c>
      <c r="E30" s="22">
        <f>Annahmen!$E$35</f>
        <v/>
      </c>
      <c r="F30" s="22">
        <f>Annahmen!$F$35</f>
        <v/>
      </c>
      <c r="G30" s="22">
        <f>Annahmen!$G$35</f>
        <v/>
      </c>
    </row>
    <row r="31">
      <c r="A31" s="21" t="inlineStr">
        <is>
          <t>Marketing und Vertrieb</t>
        </is>
      </c>
      <c r="C31" s="22">
        <f>C11*(1-Annahmen!$C$20)*Annahmen!$C$19+C9*Annahmen!$C$15+Annahmen!$C$36</f>
        <v/>
      </c>
      <c r="D31" s="22">
        <f>D11*(1-Annahmen!$C$20)*Annahmen!$C$19+D9*Annahmen!$D$15+Annahmen!$D$36</f>
        <v/>
      </c>
      <c r="E31" s="22">
        <f>E11*(1-Annahmen!$C$20)*Annahmen!$C$19+E9*Annahmen!$E$15+Annahmen!$E$36</f>
        <v/>
      </c>
      <c r="F31" s="22">
        <f>F11*(1-Annahmen!$C$20)*Annahmen!$C$19+F9*Annahmen!$F$15+Annahmen!$F$36</f>
        <v/>
      </c>
      <c r="G31" s="22">
        <f>G11*(1-Annahmen!$C$20)*Annahmen!$C$19+G9*Annahmen!$G$15+Annahmen!$G$36</f>
        <v/>
      </c>
    </row>
    <row r="32">
      <c r="A32" s="21" t="inlineStr">
        <is>
          <t>Administration</t>
        </is>
      </c>
      <c r="C32" s="22">
        <f>Annahmen!$C$37</f>
        <v/>
      </c>
      <c r="D32" s="22">
        <f>Annahmen!$D$37</f>
        <v/>
      </c>
      <c r="E32" s="22">
        <f>Annahmen!$E$37</f>
        <v/>
      </c>
      <c r="F32" s="22">
        <f>Annahmen!$F$37</f>
        <v/>
      </c>
      <c r="G32" s="22">
        <f>Annahmen!$G$37</f>
        <v/>
      </c>
    </row>
    <row r="33">
      <c r="A33" s="21" t="inlineStr">
        <is>
          <t>Fixkosten total</t>
        </is>
      </c>
      <c r="C33" s="22">
        <f>C28+C29+C30+C31+C32</f>
        <v/>
      </c>
      <c r="D33" s="22">
        <f>D28+D29+D30+D31+D32</f>
        <v/>
      </c>
      <c r="E33" s="22">
        <f>E28+E29+E30+E31+E32</f>
        <v/>
      </c>
      <c r="F33" s="22">
        <f>F28+F29+F30+F31+F32</f>
        <v/>
      </c>
      <c r="G33" s="22">
        <f>G28+G29+G30+G31+G32</f>
        <v/>
      </c>
    </row>
    <row r="34">
      <c r="A34" s="10" t="inlineStr">
        <is>
          <t>Operatives Ergebnis</t>
        </is>
      </c>
      <c r="C34" s="24">
        <f>C25-C33</f>
        <v/>
      </c>
      <c r="D34" s="24">
        <f>D25-D33</f>
        <v/>
      </c>
      <c r="E34" s="24">
        <f>E25-E33</f>
        <v/>
      </c>
      <c r="F34" s="24">
        <f>F25-F33</f>
        <v/>
      </c>
      <c r="G34" s="24">
        <f>G25-G33</f>
        <v/>
      </c>
    </row>
    <row r="35">
      <c r="A35" s="21" t="inlineStr">
        <is>
          <t>Operative Marge</t>
        </is>
      </c>
      <c r="C35" s="25">
        <f>IF(C18=0,0,C34/C18)</f>
        <v/>
      </c>
      <c r="D35" s="25">
        <f>IF(D18=0,0,D34/D18)</f>
        <v/>
      </c>
      <c r="E35" s="25">
        <f>IF(E18=0,0,E34/E18)</f>
        <v/>
      </c>
      <c r="F35" s="25">
        <f>IF(F18=0,0,F34/F18)</f>
        <v/>
      </c>
      <c r="G35" s="25">
        <f>IF(G18=0,0,G34/G18)</f>
        <v/>
      </c>
    </row>
    <row r="36">
      <c r="A36" s="5" t="inlineStr">
        <is>
          <t>Kasse (ohne Steuern, ohne Fremdkapital)</t>
        </is>
      </c>
      <c r="B36" s="4" t="n"/>
      <c r="C36" s="5" t="n">
        <v>2027</v>
      </c>
      <c r="D36" s="5" t="n">
        <v>2028</v>
      </c>
      <c r="E36" s="5" t="n">
        <v>2029</v>
      </c>
      <c r="F36" s="5" t="n">
        <v>2030</v>
      </c>
      <c r="G36" s="5" t="n">
        <v>2031</v>
      </c>
    </row>
    <row r="37">
      <c r="A37" s="10" t="inlineStr">
        <is>
          <t>Kasse Ende Jahr</t>
        </is>
      </c>
      <c r="C37" s="7">
        <f>Annahmen!$C$38+C34</f>
        <v/>
      </c>
      <c r="D37" s="7">
        <f>C37+D34</f>
        <v/>
      </c>
      <c r="E37" s="7">
        <f>D37+E34</f>
        <v/>
      </c>
      <c r="F37" s="7">
        <f>E37+F34</f>
        <v/>
      </c>
      <c r="G37" s="7">
        <f>F37+G34</f>
        <v/>
      </c>
    </row>
    <row r="38">
      <c r="A38" s="21" t="inlineStr">
        <is>
          <t>Finanzierungsbedarf bis hier (tiefster Kassenstand)</t>
        </is>
      </c>
      <c r="C38" s="22">
        <f>MAX(0,-C37)</f>
        <v/>
      </c>
      <c r="D38" s="22">
        <f>MAX(C38,-D37)</f>
        <v/>
      </c>
      <c r="E38" s="22">
        <f>MAX(D38,-E37)</f>
        <v/>
      </c>
      <c r="F38" s="22">
        <f>MAX(E38,-F37)</f>
        <v/>
      </c>
      <c r="G38" s="22">
        <f>MAX(F38,-G37)</f>
        <v/>
      </c>
    </row>
    <row r="39">
      <c r="A39" s="5" t="inlineStr">
        <is>
          <t>Kennzahlen</t>
        </is>
      </c>
      <c r="B39" s="4" t="n"/>
      <c r="C39" s="5" t="n">
        <v>2027</v>
      </c>
      <c r="D39" s="5" t="n">
        <v>2028</v>
      </c>
      <c r="E39" s="5" t="n">
        <v>2029</v>
      </c>
      <c r="F39" s="5" t="n">
        <v>2030</v>
      </c>
      <c r="G39" s="5" t="n">
        <v>2031</v>
      </c>
    </row>
    <row r="40">
      <c r="A40" s="21" t="inlineStr">
        <is>
          <t>Marktanteil an allen Lernenden CH (Betriebslizenz)</t>
        </is>
      </c>
      <c r="C40" s="26">
        <f>C7/215052</f>
        <v/>
      </c>
      <c r="D40" s="26">
        <f>D7/215052</f>
        <v/>
      </c>
      <c r="E40" s="26">
        <f>E7/215052</f>
        <v/>
      </c>
      <c r="F40" s="26">
        <f>F7/215052</f>
        <v/>
      </c>
      <c r="G40" s="26">
        <f>G7/215052</f>
        <v/>
      </c>
    </row>
    <row r="41">
      <c r="A41" s="21" t="inlineStr">
        <is>
          <t>LTV je Lehrbetrieb (Deckungsbeitrag über Lebensdauer)</t>
        </is>
      </c>
      <c r="C41" s="22">
        <f>Annahmen!$C$12*Annahmen!$C$14*(1-Annahmen!$C$29)/Annahmen!$C$13-Annahmen!$C$12*Annahmen!$C$25*(Annahmen!$C$26+Annahmen!$C$27)/Annahmen!$C$13</f>
        <v/>
      </c>
      <c r="D41" s="22">
        <f>Annahmen!$C$12*Annahmen!$D$14*(1-Annahmen!$C$29)/Annahmen!$C$13-Annahmen!$C$12*Annahmen!$C$25*(Annahmen!$C$26+Annahmen!$C$27)/Annahmen!$C$13</f>
        <v/>
      </c>
      <c r="E41" s="22">
        <f>Annahmen!$C$12*Annahmen!$E$14*(1-Annahmen!$C$29)/Annahmen!$C$13-Annahmen!$C$12*Annahmen!$C$25*(Annahmen!$C$26+Annahmen!$C$27)/Annahmen!$C$13</f>
        <v/>
      </c>
      <c r="F41" s="22">
        <f>Annahmen!$C$12*Annahmen!$F$14*(1-Annahmen!$C$29)/Annahmen!$C$13-Annahmen!$C$12*Annahmen!$C$25*(Annahmen!$C$26+Annahmen!$C$27)/Annahmen!$C$13</f>
        <v/>
      </c>
      <c r="G41" s="22">
        <f>Annahmen!$C$12*Annahmen!$G$14*(1-Annahmen!$C$29)/Annahmen!$C$13-Annahmen!$C$12*Annahmen!$C$25*(Annahmen!$C$26+Annahmen!$C$27)/Annahmen!$C$13</f>
        <v/>
      </c>
    </row>
    <row r="42">
      <c r="A42" s="21" t="inlineStr">
        <is>
          <t>LTV : Akquisekosten Lehrbetrieb</t>
        </is>
      </c>
      <c r="C42" s="27">
        <f>C41/Annahmen!$C$15</f>
        <v/>
      </c>
      <c r="D42" s="27">
        <f>D41/Annahmen!$D$15</f>
        <v/>
      </c>
      <c r="E42" s="27">
        <f>E41/Annahmen!$E$15</f>
        <v/>
      </c>
      <c r="F42" s="27">
        <f>F41/Annahmen!$F$15</f>
        <v/>
      </c>
      <c r="G42" s="27">
        <f>G41/Annahmen!$G$15</f>
        <v/>
      </c>
    </row>
    <row r="43">
      <c r="A43" s="21" t="inlineStr">
        <is>
          <t>Deckungsbeitrag je B2C-Käufer/in</t>
        </is>
      </c>
      <c r="C43" s="28">
        <f>Annahmen!$C$18*(1-Annahmen!$C$28)-Annahmen!$C$26-Annahmen!$C$27</f>
        <v/>
      </c>
      <c r="D43" s="28">
        <f>Annahmen!$C$18*(1-Annahmen!$C$28)-Annahmen!$C$26-Annahmen!$C$27</f>
        <v/>
      </c>
      <c r="E43" s="28">
        <f>Annahmen!$C$18*(1-Annahmen!$C$28)-Annahmen!$C$26-Annahmen!$C$27</f>
        <v/>
      </c>
      <c r="F43" s="28">
        <f>Annahmen!$C$18*(1-Annahmen!$C$28)-Annahmen!$C$26-Annahmen!$C$27</f>
        <v/>
      </c>
      <c r="G43" s="28">
        <f>Annahmen!$C$18*(1-Annahmen!$C$28)-Annahmen!$C$26-Annahmen!$C$27</f>
        <v/>
      </c>
    </row>
    <row r="44">
      <c r="A44" s="21" t="inlineStr">
        <is>
          <t>Ø bezahlte Akquise je B2C-Käufer/in (inkl. Gratiskanäle)</t>
        </is>
      </c>
      <c r="C44" s="28">
        <f>Annahmen!$C$19*(1-Annahmen!$C$20)</f>
        <v/>
      </c>
      <c r="D44" s="28">
        <f>Annahmen!$C$19*(1-Annahmen!$C$20)</f>
        <v/>
      </c>
      <c r="E44" s="28">
        <f>Annahmen!$C$19*(1-Annahmen!$C$20)</f>
        <v/>
      </c>
      <c r="F44" s="28">
        <f>Annahmen!$C$19*(1-Annahmen!$C$20)</f>
        <v/>
      </c>
      <c r="G44" s="28">
        <f>Annahmen!$C$19*(1-Annahmen!$C$20)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bestanden – Modell · Szenario Basis</t>
        </is>
      </c>
    </row>
    <row r="2">
      <c r="A2" s="2" t="inlineStr">
        <is>
          <t>Berechnet aus «Annahmen». Nicht von Hand ändern.</t>
        </is>
      </c>
    </row>
    <row r="4">
      <c r="A4" s="5" t="inlineStr">
        <is>
          <t>Mengen</t>
        </is>
      </c>
      <c r="B4" s="4" t="n"/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</row>
    <row r="5">
      <c r="A5" s="21" t="inlineStr">
        <is>
          <t>Lernende in abgedeckten Berufen</t>
        </is>
      </c>
      <c r="C5" s="22">
        <f>Annahmen!$I$7</f>
        <v/>
      </c>
      <c r="D5" s="22">
        <f>Annahmen!$J$7</f>
        <v/>
      </c>
      <c r="E5" s="22">
        <f>Annahmen!$K$7</f>
        <v/>
      </c>
      <c r="F5" s="22">
        <f>Annahmen!$L$7</f>
        <v/>
      </c>
      <c r="G5" s="22">
        <f>Annahmen!$M$7</f>
        <v/>
      </c>
    </row>
    <row r="6">
      <c r="A6" s="21" t="inlineStr">
        <is>
          <t>QV-Kandidaten pro Jahr</t>
        </is>
      </c>
      <c r="C6" s="22">
        <f>C5*Annahmen!$I$9</f>
        <v/>
      </c>
      <c r="D6" s="22">
        <f>D5*Annahmen!$I$9</f>
        <v/>
      </c>
      <c r="E6" s="22">
        <f>E5*Annahmen!$I$9</f>
        <v/>
      </c>
      <c r="F6" s="22">
        <f>F5*Annahmen!$I$9</f>
        <v/>
      </c>
      <c r="G6" s="22">
        <f>G5*Annahmen!$I$9</f>
        <v/>
      </c>
    </row>
    <row r="7">
      <c r="A7" s="10" t="inlineStr">
        <is>
          <t>Lernende mit Betriebslizenz</t>
        </is>
      </c>
      <c r="C7" s="7">
        <f>C5*Annahmen!$I$11</f>
        <v/>
      </c>
      <c r="D7" s="7">
        <f>D5*Annahmen!$J$11</f>
        <v/>
      </c>
      <c r="E7" s="7">
        <f>E5*Annahmen!$K$11</f>
        <v/>
      </c>
      <c r="F7" s="7">
        <f>F5*Annahmen!$L$11</f>
        <v/>
      </c>
      <c r="G7" s="7">
        <f>G5*Annahmen!$M$11</f>
        <v/>
      </c>
    </row>
    <row r="8">
      <c r="A8" s="21" t="inlineStr">
        <is>
          <t>Lehrbetriebe mit Lizenz</t>
        </is>
      </c>
      <c r="C8" s="22">
        <f>C7/Annahmen!$I$12</f>
        <v/>
      </c>
      <c r="D8" s="22">
        <f>D7/Annahmen!$I$12</f>
        <v/>
      </c>
      <c r="E8" s="22">
        <f>E7/Annahmen!$I$12</f>
        <v/>
      </c>
      <c r="F8" s="22">
        <f>F7/Annahmen!$I$12</f>
        <v/>
      </c>
      <c r="G8" s="22">
        <f>G7/Annahmen!$I$12</f>
        <v/>
      </c>
    </row>
    <row r="9">
      <c r="A9" s="21" t="inlineStr">
        <is>
          <t>davon neu gewonnen</t>
        </is>
      </c>
      <c r="C9" s="22">
        <f>C8</f>
        <v/>
      </c>
      <c r="D9" s="22">
        <f>MAX(0,D8-C8*(1-Annahmen!$I$13))</f>
        <v/>
      </c>
      <c r="E9" s="22">
        <f>MAX(0,E8-D8*(1-Annahmen!$I$13))</f>
        <v/>
      </c>
      <c r="F9" s="22">
        <f>MAX(0,F8-E8*(1-Annahmen!$I$13))</f>
        <v/>
      </c>
      <c r="G9" s="22">
        <f>MAX(0,G8-F8*(1-Annahmen!$I$13))</f>
        <v/>
      </c>
    </row>
    <row r="10">
      <c r="A10" s="21" t="inlineStr">
        <is>
          <t>QV-Kandidaten ohne Betriebslizenz</t>
        </is>
      </c>
      <c r="C10" s="22">
        <f>C6*(1-Annahmen!$I$11)</f>
        <v/>
      </c>
      <c r="D10" s="22">
        <f>D6*(1-Annahmen!$J$11)</f>
        <v/>
      </c>
      <c r="E10" s="22">
        <f>E6*(1-Annahmen!$K$11)</f>
        <v/>
      </c>
      <c r="F10" s="22">
        <f>F6*(1-Annahmen!$L$11)</f>
        <v/>
      </c>
      <c r="G10" s="22">
        <f>G6*(1-Annahmen!$M$11)</f>
        <v/>
      </c>
    </row>
    <row r="11">
      <c r="A11" s="10" t="inlineStr">
        <is>
          <t>B2C-Käufer/innen QV-Pass</t>
        </is>
      </c>
      <c r="C11" s="7">
        <f>C10*Annahmen!$I$17</f>
        <v/>
      </c>
      <c r="D11" s="7">
        <f>D10*Annahmen!$J$17</f>
        <v/>
      </c>
      <c r="E11" s="7">
        <f>E10*Annahmen!$K$17</f>
        <v/>
      </c>
      <c r="F11" s="7">
        <f>F10*Annahmen!$L$17</f>
        <v/>
      </c>
      <c r="G11" s="7">
        <f>G10*Annahmen!$M$17</f>
        <v/>
      </c>
    </row>
    <row r="12">
      <c r="A12" s="21" t="inlineStr">
        <is>
          <t>Verbandslizenzen</t>
        </is>
      </c>
      <c r="C12" s="23">
        <f>Annahmen!$I$22</f>
        <v/>
      </c>
      <c r="D12" s="23">
        <f>Annahmen!$J$22</f>
        <v/>
      </c>
      <c r="E12" s="23">
        <f>Annahmen!$K$22</f>
        <v/>
      </c>
      <c r="F12" s="23">
        <f>Annahmen!$L$22</f>
        <v/>
      </c>
      <c r="G12" s="23">
        <f>Annahmen!$M$22</f>
        <v/>
      </c>
    </row>
    <row r="13">
      <c r="A13" s="21" t="inlineStr">
        <is>
          <t>Aktive Nutzer/innen (bezahlt)</t>
        </is>
      </c>
      <c r="C13" s="22">
        <f>C7*Annahmen!$I$25+C11</f>
        <v/>
      </c>
      <c r="D13" s="22">
        <f>D7*Annahmen!$I$25+D11</f>
        <v/>
      </c>
      <c r="E13" s="22">
        <f>E7*Annahmen!$I$25+E11</f>
        <v/>
      </c>
      <c r="F13" s="22">
        <f>F7*Annahmen!$I$25+F11</f>
        <v/>
      </c>
      <c r="G13" s="22">
        <f>G7*Annahmen!$I$25+G11</f>
        <v/>
      </c>
    </row>
    <row r="14">
      <c r="A14" s="5" t="inlineStr">
        <is>
          <t>Umsatz</t>
        </is>
      </c>
      <c r="B14" s="4" t="n"/>
      <c r="C14" s="5" t="n">
        <v>2027</v>
      </c>
      <c r="D14" s="5" t="n">
        <v>2028</v>
      </c>
      <c r="E14" s="5" t="n">
        <v>2029</v>
      </c>
      <c r="F14" s="5" t="n">
        <v>2030</v>
      </c>
      <c r="G14" s="5" t="n">
        <v>2031</v>
      </c>
    </row>
    <row r="15">
      <c r="A15" s="21" t="inlineStr">
        <is>
          <t>Betriebslizenzen (B2B)</t>
        </is>
      </c>
      <c r="C15" s="22">
        <f>C7*Annahmen!$I$14</f>
        <v/>
      </c>
      <c r="D15" s="22">
        <f>D7*Annahmen!$J$14</f>
        <v/>
      </c>
      <c r="E15" s="22">
        <f>E7*Annahmen!$K$14</f>
        <v/>
      </c>
      <c r="F15" s="22">
        <f>F7*Annahmen!$L$14</f>
        <v/>
      </c>
      <c r="G15" s="22">
        <f>G7*Annahmen!$M$14</f>
        <v/>
      </c>
    </row>
    <row r="16">
      <c r="A16" s="21" t="inlineStr">
        <is>
          <t>QV-Pass (B2C)</t>
        </is>
      </c>
      <c r="C16" s="22">
        <f>C11*Annahmen!$I$18</f>
        <v/>
      </c>
      <c r="D16" s="22">
        <f>D11*Annahmen!$I$18</f>
        <v/>
      </c>
      <c r="E16" s="22">
        <f>E11*Annahmen!$I$18</f>
        <v/>
      </c>
      <c r="F16" s="22">
        <f>F11*Annahmen!$I$18</f>
        <v/>
      </c>
      <c r="G16" s="22">
        <f>G11*Annahmen!$I$18</f>
        <v/>
      </c>
    </row>
    <row r="17">
      <c r="A17" s="21" t="inlineStr">
        <is>
          <t>Verbandslizenzen (B2B2C)</t>
        </is>
      </c>
      <c r="C17" s="22">
        <f>C12*Annahmen!$I$23</f>
        <v/>
      </c>
      <c r="D17" s="22">
        <f>D12*Annahmen!$I$23</f>
        <v/>
      </c>
      <c r="E17" s="22">
        <f>E12*Annahmen!$I$23</f>
        <v/>
      </c>
      <c r="F17" s="22">
        <f>F12*Annahmen!$I$23</f>
        <v/>
      </c>
      <c r="G17" s="22">
        <f>G12*Annahmen!$I$23</f>
        <v/>
      </c>
    </row>
    <row r="18">
      <c r="A18" s="10" t="inlineStr">
        <is>
          <t>Umsatz total</t>
        </is>
      </c>
      <c r="C18" s="24">
        <f>C15+C16+C17</f>
        <v/>
      </c>
      <c r="D18" s="24">
        <f>D15+D16+D17</f>
        <v/>
      </c>
      <c r="E18" s="24">
        <f>E15+E16+E17</f>
        <v/>
      </c>
      <c r="F18" s="24">
        <f>F15+F16+F17</f>
        <v/>
      </c>
      <c r="G18" s="24">
        <f>G15+G16+G17</f>
        <v/>
      </c>
    </row>
    <row r="19">
      <c r="A19" s="21" t="inlineStr">
        <is>
          <t>Anteil B2B inkl. Verbände</t>
        </is>
      </c>
      <c r="C19" s="25">
        <f>IF(C18=0,0,(C15+C17)/C18)</f>
        <v/>
      </c>
      <c r="D19" s="25">
        <f>IF(D18=0,0,(D15+D17)/D18)</f>
        <v/>
      </c>
      <c r="E19" s="25">
        <f>IF(E18=0,0,(E15+E17)/E18)</f>
        <v/>
      </c>
      <c r="F19" s="25">
        <f>IF(F18=0,0,(F15+F17)/F18)</f>
        <v/>
      </c>
      <c r="G19" s="25">
        <f>IF(G18=0,0,(G15+G17)/G18)</f>
        <v/>
      </c>
    </row>
    <row r="20">
      <c r="A20" s="5" t="inlineStr">
        <is>
          <t>Variable Kosten und Deckungsbeitrag</t>
        </is>
      </c>
      <c r="B20" s="4" t="n"/>
      <c r="C20" s="5" t="n">
        <v>2027</v>
      </c>
      <c r="D20" s="5" t="n">
        <v>2028</v>
      </c>
      <c r="E20" s="5" t="n">
        <v>2029</v>
      </c>
      <c r="F20" s="5" t="n">
        <v>2030</v>
      </c>
      <c r="G20" s="5" t="n">
        <v>2031</v>
      </c>
    </row>
    <row r="21">
      <c r="A21" s="21" t="inlineStr">
        <is>
          <t>Zahlungsgebühren</t>
        </is>
      </c>
      <c r="C21" s="22">
        <f>C16*Annahmen!$I$28+(C15+C17)*Annahmen!$I$29</f>
        <v/>
      </c>
      <c r="D21" s="22">
        <f>D16*Annahmen!$I$28+(D15+D17)*Annahmen!$I$29</f>
        <v/>
      </c>
      <c r="E21" s="22">
        <f>E16*Annahmen!$I$28+(E15+E17)*Annahmen!$I$29</f>
        <v/>
      </c>
      <c r="F21" s="22">
        <f>F16*Annahmen!$I$28+(F15+F17)*Annahmen!$I$29</f>
        <v/>
      </c>
      <c r="G21" s="22">
        <f>G16*Annahmen!$I$28+(G15+G17)*Annahmen!$I$29</f>
        <v/>
      </c>
    </row>
    <row r="22">
      <c r="A22" s="21" t="inlineStr">
        <is>
          <t>KI-Kosten</t>
        </is>
      </c>
      <c r="C22" s="22">
        <f>C13*Annahmen!$I$26</f>
        <v/>
      </c>
      <c r="D22" s="22">
        <f>D13*Annahmen!$I$26</f>
        <v/>
      </c>
      <c r="E22" s="22">
        <f>E13*Annahmen!$I$26</f>
        <v/>
      </c>
      <c r="F22" s="22">
        <f>F13*Annahmen!$I$26</f>
        <v/>
      </c>
      <c r="G22" s="22">
        <f>G13*Annahmen!$I$26</f>
        <v/>
      </c>
    </row>
    <row r="23">
      <c r="A23" s="21" t="inlineStr">
        <is>
          <t>Hosting variabel</t>
        </is>
      </c>
      <c r="C23" s="22">
        <f>C13*Annahmen!$I$27</f>
        <v/>
      </c>
      <c r="D23" s="22">
        <f>D13*Annahmen!$I$27</f>
        <v/>
      </c>
      <c r="E23" s="22">
        <f>E13*Annahmen!$I$27</f>
        <v/>
      </c>
      <c r="F23" s="22">
        <f>F13*Annahmen!$I$27</f>
        <v/>
      </c>
      <c r="G23" s="22">
        <f>G13*Annahmen!$I$27</f>
        <v/>
      </c>
    </row>
    <row r="24">
      <c r="A24" s="21" t="inlineStr">
        <is>
          <t>Variable Kosten total</t>
        </is>
      </c>
      <c r="C24" s="22">
        <f>C21+C22+C23</f>
        <v/>
      </c>
      <c r="D24" s="22">
        <f>D21+D22+D23</f>
        <v/>
      </c>
      <c r="E24" s="22">
        <f>E21+E22+E23</f>
        <v/>
      </c>
      <c r="F24" s="22">
        <f>F21+F22+F23</f>
        <v/>
      </c>
      <c r="G24" s="22">
        <f>G21+G22+G23</f>
        <v/>
      </c>
    </row>
    <row r="25">
      <c r="A25" s="10" t="inlineStr">
        <is>
          <t>Deckungsbeitrag</t>
        </is>
      </c>
      <c r="C25" s="24">
        <f>C18-C24</f>
        <v/>
      </c>
      <c r="D25" s="24">
        <f>D18-D24</f>
        <v/>
      </c>
      <c r="E25" s="24">
        <f>E18-E24</f>
        <v/>
      </c>
      <c r="F25" s="24">
        <f>F18-F24</f>
        <v/>
      </c>
      <c r="G25" s="24">
        <f>G18-G24</f>
        <v/>
      </c>
    </row>
    <row r="26">
      <c r="A26" s="21" t="inlineStr">
        <is>
          <t>Deckungsbeitrag in % des Umsatzes</t>
        </is>
      </c>
      <c r="C26" s="25">
        <f>IF(C18=0,0,C25/C18)</f>
        <v/>
      </c>
      <c r="D26" s="25">
        <f>IF(D18=0,0,D25/D18)</f>
        <v/>
      </c>
      <c r="E26" s="25">
        <f>IF(E18=0,0,E25/E18)</f>
        <v/>
      </c>
      <c r="F26" s="25">
        <f>IF(F18=0,0,F25/F18)</f>
        <v/>
      </c>
      <c r="G26" s="25">
        <f>IF(G18=0,0,G25/G18)</f>
        <v/>
      </c>
    </row>
    <row r="27">
      <c r="A27" s="5" t="inlineStr">
        <is>
          <t>Fixkosten</t>
        </is>
      </c>
      <c r="B27" s="4" t="n"/>
      <c r="C27" s="5" t="n">
        <v>2027</v>
      </c>
      <c r="D27" s="5" t="n">
        <v>2028</v>
      </c>
      <c r="E27" s="5" t="n">
        <v>2029</v>
      </c>
      <c r="F27" s="5" t="n">
        <v>2030</v>
      </c>
      <c r="G27" s="5" t="n">
        <v>2031</v>
      </c>
    </row>
    <row r="28">
      <c r="A28" s="21" t="inlineStr">
        <is>
          <t>Personal</t>
        </is>
      </c>
      <c r="C28" s="22">
        <f>Annahmen!$I$31*Annahmen!$I$32</f>
        <v/>
      </c>
      <c r="D28" s="22">
        <f>Annahmen!$J$31*Annahmen!$I$32</f>
        <v/>
      </c>
      <c r="E28" s="22">
        <f>Annahmen!$K$31*Annahmen!$I$32</f>
        <v/>
      </c>
      <c r="F28" s="22">
        <f>Annahmen!$L$31*Annahmen!$I$32</f>
        <v/>
      </c>
      <c r="G28" s="22">
        <f>Annahmen!$M$31*Annahmen!$I$32</f>
        <v/>
      </c>
    </row>
    <row r="29">
      <c r="A29" s="21" t="inlineStr">
        <is>
          <t>Inhalte (neue Berufe + Pflege)</t>
        </is>
      </c>
      <c r="C29" s="22">
        <f>Annahmen!$I$8*Annahmen!$I$33</f>
        <v/>
      </c>
      <c r="D29" s="22">
        <f>MAX(0,Annahmen!$J$8-Annahmen!$I$8)*Annahmen!$J$33+Annahmen!$I$8*Annahmen!$I$34</f>
        <v/>
      </c>
      <c r="E29" s="22">
        <f>MAX(0,Annahmen!$K$8-Annahmen!$J$8)*Annahmen!$K$33+Annahmen!$J$8*Annahmen!$I$34</f>
        <v/>
      </c>
      <c r="F29" s="22">
        <f>MAX(0,Annahmen!$L$8-Annahmen!$K$8)*Annahmen!$L$33+Annahmen!$K$8*Annahmen!$I$34</f>
        <v/>
      </c>
      <c r="G29" s="22">
        <f>MAX(0,Annahmen!$M$8-Annahmen!$L$8)*Annahmen!$M$33+Annahmen!$L$8*Annahmen!$I$34</f>
        <v/>
      </c>
    </row>
    <row r="30">
      <c r="A30" s="21" t="inlineStr">
        <is>
          <t>Technologie fix</t>
        </is>
      </c>
      <c r="C30" s="22">
        <f>Annahmen!$I$35</f>
        <v/>
      </c>
      <c r="D30" s="22">
        <f>Annahmen!$J$35</f>
        <v/>
      </c>
      <c r="E30" s="22">
        <f>Annahmen!$K$35</f>
        <v/>
      </c>
      <c r="F30" s="22">
        <f>Annahmen!$L$35</f>
        <v/>
      </c>
      <c r="G30" s="22">
        <f>Annahmen!$M$35</f>
        <v/>
      </c>
    </row>
    <row r="31">
      <c r="A31" s="21" t="inlineStr">
        <is>
          <t>Marketing und Vertrieb</t>
        </is>
      </c>
      <c r="C31" s="22">
        <f>C11*(1-Annahmen!$I$20)*Annahmen!$I$19+C9*Annahmen!$I$15+Annahmen!$I$36</f>
        <v/>
      </c>
      <c r="D31" s="22">
        <f>D11*(1-Annahmen!$I$20)*Annahmen!$I$19+D9*Annahmen!$J$15+Annahmen!$J$36</f>
        <v/>
      </c>
      <c r="E31" s="22">
        <f>E11*(1-Annahmen!$I$20)*Annahmen!$I$19+E9*Annahmen!$K$15+Annahmen!$K$36</f>
        <v/>
      </c>
      <c r="F31" s="22">
        <f>F11*(1-Annahmen!$I$20)*Annahmen!$I$19+F9*Annahmen!$L$15+Annahmen!$L$36</f>
        <v/>
      </c>
      <c r="G31" s="22">
        <f>G11*(1-Annahmen!$I$20)*Annahmen!$I$19+G9*Annahmen!$M$15+Annahmen!$M$36</f>
        <v/>
      </c>
    </row>
    <row r="32">
      <c r="A32" s="21" t="inlineStr">
        <is>
          <t>Administration</t>
        </is>
      </c>
      <c r="C32" s="22">
        <f>Annahmen!$I$37</f>
        <v/>
      </c>
      <c r="D32" s="22">
        <f>Annahmen!$J$37</f>
        <v/>
      </c>
      <c r="E32" s="22">
        <f>Annahmen!$K$37</f>
        <v/>
      </c>
      <c r="F32" s="22">
        <f>Annahmen!$L$37</f>
        <v/>
      </c>
      <c r="G32" s="22">
        <f>Annahmen!$M$37</f>
        <v/>
      </c>
    </row>
    <row r="33">
      <c r="A33" s="21" t="inlineStr">
        <is>
          <t>Fixkosten total</t>
        </is>
      </c>
      <c r="C33" s="22">
        <f>C28+C29+C30+C31+C32</f>
        <v/>
      </c>
      <c r="D33" s="22">
        <f>D28+D29+D30+D31+D32</f>
        <v/>
      </c>
      <c r="E33" s="22">
        <f>E28+E29+E30+E31+E32</f>
        <v/>
      </c>
      <c r="F33" s="22">
        <f>F28+F29+F30+F31+F32</f>
        <v/>
      </c>
      <c r="G33" s="22">
        <f>G28+G29+G30+G31+G32</f>
        <v/>
      </c>
    </row>
    <row r="34">
      <c r="A34" s="10" t="inlineStr">
        <is>
          <t>Operatives Ergebnis</t>
        </is>
      </c>
      <c r="C34" s="24">
        <f>C25-C33</f>
        <v/>
      </c>
      <c r="D34" s="24">
        <f>D25-D33</f>
        <v/>
      </c>
      <c r="E34" s="24">
        <f>E25-E33</f>
        <v/>
      </c>
      <c r="F34" s="24">
        <f>F25-F33</f>
        <v/>
      </c>
      <c r="G34" s="24">
        <f>G25-G33</f>
        <v/>
      </c>
    </row>
    <row r="35">
      <c r="A35" s="21" t="inlineStr">
        <is>
          <t>Operative Marge</t>
        </is>
      </c>
      <c r="C35" s="25">
        <f>IF(C18=0,0,C34/C18)</f>
        <v/>
      </c>
      <c r="D35" s="25">
        <f>IF(D18=0,0,D34/D18)</f>
        <v/>
      </c>
      <c r="E35" s="25">
        <f>IF(E18=0,0,E34/E18)</f>
        <v/>
      </c>
      <c r="F35" s="25">
        <f>IF(F18=0,0,F34/F18)</f>
        <v/>
      </c>
      <c r="G35" s="25">
        <f>IF(G18=0,0,G34/G18)</f>
        <v/>
      </c>
    </row>
    <row r="36">
      <c r="A36" s="5" t="inlineStr">
        <is>
          <t>Kasse (ohne Steuern, ohne Fremdkapital)</t>
        </is>
      </c>
      <c r="B36" s="4" t="n"/>
      <c r="C36" s="5" t="n">
        <v>2027</v>
      </c>
      <c r="D36" s="5" t="n">
        <v>2028</v>
      </c>
      <c r="E36" s="5" t="n">
        <v>2029</v>
      </c>
      <c r="F36" s="5" t="n">
        <v>2030</v>
      </c>
      <c r="G36" s="5" t="n">
        <v>2031</v>
      </c>
    </row>
    <row r="37">
      <c r="A37" s="10" t="inlineStr">
        <is>
          <t>Kasse Ende Jahr</t>
        </is>
      </c>
      <c r="C37" s="7">
        <f>Annahmen!$I$38+C34</f>
        <v/>
      </c>
      <c r="D37" s="7">
        <f>C37+D34</f>
        <v/>
      </c>
      <c r="E37" s="7">
        <f>D37+E34</f>
        <v/>
      </c>
      <c r="F37" s="7">
        <f>E37+F34</f>
        <v/>
      </c>
      <c r="G37" s="7">
        <f>F37+G34</f>
        <v/>
      </c>
    </row>
    <row r="38">
      <c r="A38" s="21" t="inlineStr">
        <is>
          <t>Finanzierungsbedarf bis hier (tiefster Kassenstand)</t>
        </is>
      </c>
      <c r="C38" s="22">
        <f>MAX(0,-C37)</f>
        <v/>
      </c>
      <c r="D38" s="22">
        <f>MAX(C38,-D37)</f>
        <v/>
      </c>
      <c r="E38" s="22">
        <f>MAX(D38,-E37)</f>
        <v/>
      </c>
      <c r="F38" s="22">
        <f>MAX(E38,-F37)</f>
        <v/>
      </c>
      <c r="G38" s="22">
        <f>MAX(F38,-G37)</f>
        <v/>
      </c>
    </row>
    <row r="39">
      <c r="A39" s="5" t="inlineStr">
        <is>
          <t>Kennzahlen</t>
        </is>
      </c>
      <c r="B39" s="4" t="n"/>
      <c r="C39" s="5" t="n">
        <v>2027</v>
      </c>
      <c r="D39" s="5" t="n">
        <v>2028</v>
      </c>
      <c r="E39" s="5" t="n">
        <v>2029</v>
      </c>
      <c r="F39" s="5" t="n">
        <v>2030</v>
      </c>
      <c r="G39" s="5" t="n">
        <v>2031</v>
      </c>
    </row>
    <row r="40">
      <c r="A40" s="21" t="inlineStr">
        <is>
          <t>Marktanteil an allen Lernenden CH (Betriebslizenz)</t>
        </is>
      </c>
      <c r="C40" s="26">
        <f>C7/215052</f>
        <v/>
      </c>
      <c r="D40" s="26">
        <f>D7/215052</f>
        <v/>
      </c>
      <c r="E40" s="26">
        <f>E7/215052</f>
        <v/>
      </c>
      <c r="F40" s="26">
        <f>F7/215052</f>
        <v/>
      </c>
      <c r="G40" s="26">
        <f>G7/215052</f>
        <v/>
      </c>
    </row>
    <row r="41">
      <c r="A41" s="21" t="inlineStr">
        <is>
          <t>LTV je Lehrbetrieb (Deckungsbeitrag über Lebensdauer)</t>
        </is>
      </c>
      <c r="C41" s="22">
        <f>Annahmen!$I$12*Annahmen!$I$14*(1-Annahmen!$I$29)/Annahmen!$I$13-Annahmen!$I$12*Annahmen!$I$25*(Annahmen!$I$26+Annahmen!$I$27)/Annahmen!$I$13</f>
        <v/>
      </c>
      <c r="D41" s="22">
        <f>Annahmen!$I$12*Annahmen!$J$14*(1-Annahmen!$I$29)/Annahmen!$I$13-Annahmen!$I$12*Annahmen!$I$25*(Annahmen!$I$26+Annahmen!$I$27)/Annahmen!$I$13</f>
        <v/>
      </c>
      <c r="E41" s="22">
        <f>Annahmen!$I$12*Annahmen!$K$14*(1-Annahmen!$I$29)/Annahmen!$I$13-Annahmen!$I$12*Annahmen!$I$25*(Annahmen!$I$26+Annahmen!$I$27)/Annahmen!$I$13</f>
        <v/>
      </c>
      <c r="F41" s="22">
        <f>Annahmen!$I$12*Annahmen!$L$14*(1-Annahmen!$I$29)/Annahmen!$I$13-Annahmen!$I$12*Annahmen!$I$25*(Annahmen!$I$26+Annahmen!$I$27)/Annahmen!$I$13</f>
        <v/>
      </c>
      <c r="G41" s="22">
        <f>Annahmen!$I$12*Annahmen!$M$14*(1-Annahmen!$I$29)/Annahmen!$I$13-Annahmen!$I$12*Annahmen!$I$25*(Annahmen!$I$26+Annahmen!$I$27)/Annahmen!$I$13</f>
        <v/>
      </c>
    </row>
    <row r="42">
      <c r="A42" s="21" t="inlineStr">
        <is>
          <t>LTV : Akquisekosten Lehrbetrieb</t>
        </is>
      </c>
      <c r="C42" s="27">
        <f>C41/Annahmen!$I$15</f>
        <v/>
      </c>
      <c r="D42" s="27">
        <f>D41/Annahmen!$J$15</f>
        <v/>
      </c>
      <c r="E42" s="27">
        <f>E41/Annahmen!$K$15</f>
        <v/>
      </c>
      <c r="F42" s="27">
        <f>F41/Annahmen!$L$15</f>
        <v/>
      </c>
      <c r="G42" s="27">
        <f>G41/Annahmen!$M$15</f>
        <v/>
      </c>
    </row>
    <row r="43">
      <c r="A43" s="21" t="inlineStr">
        <is>
          <t>Deckungsbeitrag je B2C-Käufer/in</t>
        </is>
      </c>
      <c r="C43" s="28">
        <f>Annahmen!$I$18*(1-Annahmen!$I$28)-Annahmen!$I$26-Annahmen!$I$27</f>
        <v/>
      </c>
      <c r="D43" s="28">
        <f>Annahmen!$I$18*(1-Annahmen!$I$28)-Annahmen!$I$26-Annahmen!$I$27</f>
        <v/>
      </c>
      <c r="E43" s="28">
        <f>Annahmen!$I$18*(1-Annahmen!$I$28)-Annahmen!$I$26-Annahmen!$I$27</f>
        <v/>
      </c>
      <c r="F43" s="28">
        <f>Annahmen!$I$18*(1-Annahmen!$I$28)-Annahmen!$I$26-Annahmen!$I$27</f>
        <v/>
      </c>
      <c r="G43" s="28">
        <f>Annahmen!$I$18*(1-Annahmen!$I$28)-Annahmen!$I$26-Annahmen!$I$27</f>
        <v/>
      </c>
    </row>
    <row r="44">
      <c r="A44" s="21" t="inlineStr">
        <is>
          <t>Ø bezahlte Akquise je B2C-Käufer/in (inkl. Gratiskanäle)</t>
        </is>
      </c>
      <c r="C44" s="28">
        <f>Annahmen!$I$19*(1-Annahmen!$I$20)</f>
        <v/>
      </c>
      <c r="D44" s="28">
        <f>Annahmen!$I$19*(1-Annahmen!$I$20)</f>
        <v/>
      </c>
      <c r="E44" s="28">
        <f>Annahmen!$I$19*(1-Annahmen!$I$20)</f>
        <v/>
      </c>
      <c r="F44" s="28">
        <f>Annahmen!$I$19*(1-Annahmen!$I$20)</f>
        <v/>
      </c>
      <c r="G44" s="28">
        <f>Annahmen!$I$19*(1-Annahmen!$I$20)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bestanden – Modell · Szenario Wachstum</t>
        </is>
      </c>
    </row>
    <row r="2">
      <c r="A2" s="2" t="inlineStr">
        <is>
          <t>Berechnet aus «Annahmen». Nicht von Hand ändern.</t>
        </is>
      </c>
    </row>
    <row r="4">
      <c r="A4" s="5" t="inlineStr">
        <is>
          <t>Mengen</t>
        </is>
      </c>
      <c r="B4" s="4" t="n"/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</row>
    <row r="5">
      <c r="A5" s="21" t="inlineStr">
        <is>
          <t>Lernende in abgedeckten Berufen</t>
        </is>
      </c>
      <c r="C5" s="22">
        <f>Annahmen!$O$7</f>
        <v/>
      </c>
      <c r="D5" s="22">
        <f>Annahmen!$P$7</f>
        <v/>
      </c>
      <c r="E5" s="22">
        <f>Annahmen!$Q$7</f>
        <v/>
      </c>
      <c r="F5" s="22">
        <f>Annahmen!$R$7</f>
        <v/>
      </c>
      <c r="G5" s="22">
        <f>Annahmen!$S$7</f>
        <v/>
      </c>
    </row>
    <row r="6">
      <c r="A6" s="21" t="inlineStr">
        <is>
          <t>QV-Kandidaten pro Jahr</t>
        </is>
      </c>
      <c r="C6" s="22">
        <f>C5*Annahmen!$O$9</f>
        <v/>
      </c>
      <c r="D6" s="22">
        <f>D5*Annahmen!$O$9</f>
        <v/>
      </c>
      <c r="E6" s="22">
        <f>E5*Annahmen!$O$9</f>
        <v/>
      </c>
      <c r="F6" s="22">
        <f>F5*Annahmen!$O$9</f>
        <v/>
      </c>
      <c r="G6" s="22">
        <f>G5*Annahmen!$O$9</f>
        <v/>
      </c>
    </row>
    <row r="7">
      <c r="A7" s="10" t="inlineStr">
        <is>
          <t>Lernende mit Betriebslizenz</t>
        </is>
      </c>
      <c r="C7" s="7">
        <f>C5*Annahmen!$O$11</f>
        <v/>
      </c>
      <c r="D7" s="7">
        <f>D5*Annahmen!$P$11</f>
        <v/>
      </c>
      <c r="E7" s="7">
        <f>E5*Annahmen!$Q$11</f>
        <v/>
      </c>
      <c r="F7" s="7">
        <f>F5*Annahmen!$R$11</f>
        <v/>
      </c>
      <c r="G7" s="7">
        <f>G5*Annahmen!$S$11</f>
        <v/>
      </c>
    </row>
    <row r="8">
      <c r="A8" s="21" t="inlineStr">
        <is>
          <t>Lehrbetriebe mit Lizenz</t>
        </is>
      </c>
      <c r="C8" s="22">
        <f>C7/Annahmen!$O$12</f>
        <v/>
      </c>
      <c r="D8" s="22">
        <f>D7/Annahmen!$O$12</f>
        <v/>
      </c>
      <c r="E8" s="22">
        <f>E7/Annahmen!$O$12</f>
        <v/>
      </c>
      <c r="F8" s="22">
        <f>F7/Annahmen!$O$12</f>
        <v/>
      </c>
      <c r="G8" s="22">
        <f>G7/Annahmen!$O$12</f>
        <v/>
      </c>
    </row>
    <row r="9">
      <c r="A9" s="21" t="inlineStr">
        <is>
          <t>davon neu gewonnen</t>
        </is>
      </c>
      <c r="C9" s="22">
        <f>C8</f>
        <v/>
      </c>
      <c r="D9" s="22">
        <f>MAX(0,D8-C8*(1-Annahmen!$O$13))</f>
        <v/>
      </c>
      <c r="E9" s="22">
        <f>MAX(0,E8-D8*(1-Annahmen!$O$13))</f>
        <v/>
      </c>
      <c r="F9" s="22">
        <f>MAX(0,F8-E8*(1-Annahmen!$O$13))</f>
        <v/>
      </c>
      <c r="G9" s="22">
        <f>MAX(0,G8-F8*(1-Annahmen!$O$13))</f>
        <v/>
      </c>
    </row>
    <row r="10">
      <c r="A10" s="21" t="inlineStr">
        <is>
          <t>QV-Kandidaten ohne Betriebslizenz</t>
        </is>
      </c>
      <c r="C10" s="22">
        <f>C6*(1-Annahmen!$O$11)</f>
        <v/>
      </c>
      <c r="D10" s="22">
        <f>D6*(1-Annahmen!$P$11)</f>
        <v/>
      </c>
      <c r="E10" s="22">
        <f>E6*(1-Annahmen!$Q$11)</f>
        <v/>
      </c>
      <c r="F10" s="22">
        <f>F6*(1-Annahmen!$R$11)</f>
        <v/>
      </c>
      <c r="G10" s="22">
        <f>G6*(1-Annahmen!$S$11)</f>
        <v/>
      </c>
    </row>
    <row r="11">
      <c r="A11" s="10" t="inlineStr">
        <is>
          <t>B2C-Käufer/innen QV-Pass</t>
        </is>
      </c>
      <c r="C11" s="7">
        <f>C10*Annahmen!$O$17</f>
        <v/>
      </c>
      <c r="D11" s="7">
        <f>D10*Annahmen!$P$17</f>
        <v/>
      </c>
      <c r="E11" s="7">
        <f>E10*Annahmen!$Q$17</f>
        <v/>
      </c>
      <c r="F11" s="7">
        <f>F10*Annahmen!$R$17</f>
        <v/>
      </c>
      <c r="G11" s="7">
        <f>G10*Annahmen!$S$17</f>
        <v/>
      </c>
    </row>
    <row r="12">
      <c r="A12" s="21" t="inlineStr">
        <is>
          <t>Verbandslizenzen</t>
        </is>
      </c>
      <c r="C12" s="23">
        <f>Annahmen!$O$22</f>
        <v/>
      </c>
      <c r="D12" s="23">
        <f>Annahmen!$P$22</f>
        <v/>
      </c>
      <c r="E12" s="23">
        <f>Annahmen!$Q$22</f>
        <v/>
      </c>
      <c r="F12" s="23">
        <f>Annahmen!$R$22</f>
        <v/>
      </c>
      <c r="G12" s="23">
        <f>Annahmen!$S$22</f>
        <v/>
      </c>
    </row>
    <row r="13">
      <c r="A13" s="21" t="inlineStr">
        <is>
          <t>Aktive Nutzer/innen (bezahlt)</t>
        </is>
      </c>
      <c r="C13" s="22">
        <f>C7*Annahmen!$O$25+C11</f>
        <v/>
      </c>
      <c r="D13" s="22">
        <f>D7*Annahmen!$O$25+D11</f>
        <v/>
      </c>
      <c r="E13" s="22">
        <f>E7*Annahmen!$O$25+E11</f>
        <v/>
      </c>
      <c r="F13" s="22">
        <f>F7*Annahmen!$O$25+F11</f>
        <v/>
      </c>
      <c r="G13" s="22">
        <f>G7*Annahmen!$O$25+G11</f>
        <v/>
      </c>
    </row>
    <row r="14">
      <c r="A14" s="5" t="inlineStr">
        <is>
          <t>Umsatz</t>
        </is>
      </c>
      <c r="B14" s="4" t="n"/>
      <c r="C14" s="5" t="n">
        <v>2027</v>
      </c>
      <c r="D14" s="5" t="n">
        <v>2028</v>
      </c>
      <c r="E14" s="5" t="n">
        <v>2029</v>
      </c>
      <c r="F14" s="5" t="n">
        <v>2030</v>
      </c>
      <c r="G14" s="5" t="n">
        <v>2031</v>
      </c>
    </row>
    <row r="15">
      <c r="A15" s="21" t="inlineStr">
        <is>
          <t>Betriebslizenzen (B2B)</t>
        </is>
      </c>
      <c r="C15" s="22">
        <f>C7*Annahmen!$O$14</f>
        <v/>
      </c>
      <c r="D15" s="22">
        <f>D7*Annahmen!$P$14</f>
        <v/>
      </c>
      <c r="E15" s="22">
        <f>E7*Annahmen!$Q$14</f>
        <v/>
      </c>
      <c r="F15" s="22">
        <f>F7*Annahmen!$R$14</f>
        <v/>
      </c>
      <c r="G15" s="22">
        <f>G7*Annahmen!$S$14</f>
        <v/>
      </c>
    </row>
    <row r="16">
      <c r="A16" s="21" t="inlineStr">
        <is>
          <t>QV-Pass (B2C)</t>
        </is>
      </c>
      <c r="C16" s="22">
        <f>C11*Annahmen!$O$18</f>
        <v/>
      </c>
      <c r="D16" s="22">
        <f>D11*Annahmen!$O$18</f>
        <v/>
      </c>
      <c r="E16" s="22">
        <f>E11*Annahmen!$O$18</f>
        <v/>
      </c>
      <c r="F16" s="22">
        <f>F11*Annahmen!$O$18</f>
        <v/>
      </c>
      <c r="G16" s="22">
        <f>G11*Annahmen!$O$18</f>
        <v/>
      </c>
    </row>
    <row r="17">
      <c r="A17" s="21" t="inlineStr">
        <is>
          <t>Verbandslizenzen (B2B2C)</t>
        </is>
      </c>
      <c r="C17" s="22">
        <f>C12*Annahmen!$O$23</f>
        <v/>
      </c>
      <c r="D17" s="22">
        <f>D12*Annahmen!$O$23</f>
        <v/>
      </c>
      <c r="E17" s="22">
        <f>E12*Annahmen!$O$23</f>
        <v/>
      </c>
      <c r="F17" s="22">
        <f>F12*Annahmen!$O$23</f>
        <v/>
      </c>
      <c r="G17" s="22">
        <f>G12*Annahmen!$O$23</f>
        <v/>
      </c>
    </row>
    <row r="18">
      <c r="A18" s="10" t="inlineStr">
        <is>
          <t>Umsatz total</t>
        </is>
      </c>
      <c r="C18" s="24">
        <f>C15+C16+C17</f>
        <v/>
      </c>
      <c r="D18" s="24">
        <f>D15+D16+D17</f>
        <v/>
      </c>
      <c r="E18" s="24">
        <f>E15+E16+E17</f>
        <v/>
      </c>
      <c r="F18" s="24">
        <f>F15+F16+F17</f>
        <v/>
      </c>
      <c r="G18" s="24">
        <f>G15+G16+G17</f>
        <v/>
      </c>
    </row>
    <row r="19">
      <c r="A19" s="21" t="inlineStr">
        <is>
          <t>Anteil B2B inkl. Verbände</t>
        </is>
      </c>
      <c r="C19" s="25">
        <f>IF(C18=0,0,(C15+C17)/C18)</f>
        <v/>
      </c>
      <c r="D19" s="25">
        <f>IF(D18=0,0,(D15+D17)/D18)</f>
        <v/>
      </c>
      <c r="E19" s="25">
        <f>IF(E18=0,0,(E15+E17)/E18)</f>
        <v/>
      </c>
      <c r="F19" s="25">
        <f>IF(F18=0,0,(F15+F17)/F18)</f>
        <v/>
      </c>
      <c r="G19" s="25">
        <f>IF(G18=0,0,(G15+G17)/G18)</f>
        <v/>
      </c>
    </row>
    <row r="20">
      <c r="A20" s="5" t="inlineStr">
        <is>
          <t>Variable Kosten und Deckungsbeitrag</t>
        </is>
      </c>
      <c r="B20" s="4" t="n"/>
      <c r="C20" s="5" t="n">
        <v>2027</v>
      </c>
      <c r="D20" s="5" t="n">
        <v>2028</v>
      </c>
      <c r="E20" s="5" t="n">
        <v>2029</v>
      </c>
      <c r="F20" s="5" t="n">
        <v>2030</v>
      </c>
      <c r="G20" s="5" t="n">
        <v>2031</v>
      </c>
    </row>
    <row r="21">
      <c r="A21" s="21" t="inlineStr">
        <is>
          <t>Zahlungsgebühren</t>
        </is>
      </c>
      <c r="C21" s="22">
        <f>C16*Annahmen!$O$28+(C15+C17)*Annahmen!$O$29</f>
        <v/>
      </c>
      <c r="D21" s="22">
        <f>D16*Annahmen!$O$28+(D15+D17)*Annahmen!$O$29</f>
        <v/>
      </c>
      <c r="E21" s="22">
        <f>E16*Annahmen!$O$28+(E15+E17)*Annahmen!$O$29</f>
        <v/>
      </c>
      <c r="F21" s="22">
        <f>F16*Annahmen!$O$28+(F15+F17)*Annahmen!$O$29</f>
        <v/>
      </c>
      <c r="G21" s="22">
        <f>G16*Annahmen!$O$28+(G15+G17)*Annahmen!$O$29</f>
        <v/>
      </c>
    </row>
    <row r="22">
      <c r="A22" s="21" t="inlineStr">
        <is>
          <t>KI-Kosten</t>
        </is>
      </c>
      <c r="C22" s="22">
        <f>C13*Annahmen!$O$26</f>
        <v/>
      </c>
      <c r="D22" s="22">
        <f>D13*Annahmen!$O$26</f>
        <v/>
      </c>
      <c r="E22" s="22">
        <f>E13*Annahmen!$O$26</f>
        <v/>
      </c>
      <c r="F22" s="22">
        <f>F13*Annahmen!$O$26</f>
        <v/>
      </c>
      <c r="G22" s="22">
        <f>G13*Annahmen!$O$26</f>
        <v/>
      </c>
    </row>
    <row r="23">
      <c r="A23" s="21" t="inlineStr">
        <is>
          <t>Hosting variabel</t>
        </is>
      </c>
      <c r="C23" s="22">
        <f>C13*Annahmen!$O$27</f>
        <v/>
      </c>
      <c r="D23" s="22">
        <f>D13*Annahmen!$O$27</f>
        <v/>
      </c>
      <c r="E23" s="22">
        <f>E13*Annahmen!$O$27</f>
        <v/>
      </c>
      <c r="F23" s="22">
        <f>F13*Annahmen!$O$27</f>
        <v/>
      </c>
      <c r="G23" s="22">
        <f>G13*Annahmen!$O$27</f>
        <v/>
      </c>
    </row>
    <row r="24">
      <c r="A24" s="21" t="inlineStr">
        <is>
          <t>Variable Kosten total</t>
        </is>
      </c>
      <c r="C24" s="22">
        <f>C21+C22+C23</f>
        <v/>
      </c>
      <c r="D24" s="22">
        <f>D21+D22+D23</f>
        <v/>
      </c>
      <c r="E24" s="22">
        <f>E21+E22+E23</f>
        <v/>
      </c>
      <c r="F24" s="22">
        <f>F21+F22+F23</f>
        <v/>
      </c>
      <c r="G24" s="22">
        <f>G21+G22+G23</f>
        <v/>
      </c>
    </row>
    <row r="25">
      <c r="A25" s="10" t="inlineStr">
        <is>
          <t>Deckungsbeitrag</t>
        </is>
      </c>
      <c r="C25" s="24">
        <f>C18-C24</f>
        <v/>
      </c>
      <c r="D25" s="24">
        <f>D18-D24</f>
        <v/>
      </c>
      <c r="E25" s="24">
        <f>E18-E24</f>
        <v/>
      </c>
      <c r="F25" s="24">
        <f>F18-F24</f>
        <v/>
      </c>
      <c r="G25" s="24">
        <f>G18-G24</f>
        <v/>
      </c>
    </row>
    <row r="26">
      <c r="A26" s="21" t="inlineStr">
        <is>
          <t>Deckungsbeitrag in % des Umsatzes</t>
        </is>
      </c>
      <c r="C26" s="25">
        <f>IF(C18=0,0,C25/C18)</f>
        <v/>
      </c>
      <c r="D26" s="25">
        <f>IF(D18=0,0,D25/D18)</f>
        <v/>
      </c>
      <c r="E26" s="25">
        <f>IF(E18=0,0,E25/E18)</f>
        <v/>
      </c>
      <c r="F26" s="25">
        <f>IF(F18=0,0,F25/F18)</f>
        <v/>
      </c>
      <c r="G26" s="25">
        <f>IF(G18=0,0,G25/G18)</f>
        <v/>
      </c>
    </row>
    <row r="27">
      <c r="A27" s="5" t="inlineStr">
        <is>
          <t>Fixkosten</t>
        </is>
      </c>
      <c r="B27" s="4" t="n"/>
      <c r="C27" s="5" t="n">
        <v>2027</v>
      </c>
      <c r="D27" s="5" t="n">
        <v>2028</v>
      </c>
      <c r="E27" s="5" t="n">
        <v>2029</v>
      </c>
      <c r="F27" s="5" t="n">
        <v>2030</v>
      </c>
      <c r="G27" s="5" t="n">
        <v>2031</v>
      </c>
    </row>
    <row r="28">
      <c r="A28" s="21" t="inlineStr">
        <is>
          <t>Personal</t>
        </is>
      </c>
      <c r="C28" s="22">
        <f>Annahmen!$O$31*Annahmen!$O$32</f>
        <v/>
      </c>
      <c r="D28" s="22">
        <f>Annahmen!$P$31*Annahmen!$O$32</f>
        <v/>
      </c>
      <c r="E28" s="22">
        <f>Annahmen!$Q$31*Annahmen!$O$32</f>
        <v/>
      </c>
      <c r="F28" s="22">
        <f>Annahmen!$R$31*Annahmen!$O$32</f>
        <v/>
      </c>
      <c r="G28" s="22">
        <f>Annahmen!$S$31*Annahmen!$O$32</f>
        <v/>
      </c>
    </row>
    <row r="29">
      <c r="A29" s="21" t="inlineStr">
        <is>
          <t>Inhalte (neue Berufe + Pflege)</t>
        </is>
      </c>
      <c r="C29" s="22">
        <f>Annahmen!$O$8*Annahmen!$O$33</f>
        <v/>
      </c>
      <c r="D29" s="22">
        <f>MAX(0,Annahmen!$P$8-Annahmen!$O$8)*Annahmen!$P$33+Annahmen!$O$8*Annahmen!$O$34</f>
        <v/>
      </c>
      <c r="E29" s="22">
        <f>MAX(0,Annahmen!$Q$8-Annahmen!$P$8)*Annahmen!$Q$33+Annahmen!$P$8*Annahmen!$O$34</f>
        <v/>
      </c>
      <c r="F29" s="22">
        <f>MAX(0,Annahmen!$R$8-Annahmen!$Q$8)*Annahmen!$R$33+Annahmen!$Q$8*Annahmen!$O$34</f>
        <v/>
      </c>
      <c r="G29" s="22">
        <f>MAX(0,Annahmen!$S$8-Annahmen!$R$8)*Annahmen!$S$33+Annahmen!$R$8*Annahmen!$O$34</f>
        <v/>
      </c>
    </row>
    <row r="30">
      <c r="A30" s="21" t="inlineStr">
        <is>
          <t>Technologie fix</t>
        </is>
      </c>
      <c r="C30" s="22">
        <f>Annahmen!$O$35</f>
        <v/>
      </c>
      <c r="D30" s="22">
        <f>Annahmen!$P$35</f>
        <v/>
      </c>
      <c r="E30" s="22">
        <f>Annahmen!$Q$35</f>
        <v/>
      </c>
      <c r="F30" s="22">
        <f>Annahmen!$R$35</f>
        <v/>
      </c>
      <c r="G30" s="22">
        <f>Annahmen!$S$35</f>
        <v/>
      </c>
    </row>
    <row r="31">
      <c r="A31" s="21" t="inlineStr">
        <is>
          <t>Marketing und Vertrieb</t>
        </is>
      </c>
      <c r="C31" s="22">
        <f>C11*(1-Annahmen!$O$20)*Annahmen!$O$19+C9*Annahmen!$O$15+Annahmen!$O$36</f>
        <v/>
      </c>
      <c r="D31" s="22">
        <f>D11*(1-Annahmen!$O$20)*Annahmen!$O$19+D9*Annahmen!$P$15+Annahmen!$P$36</f>
        <v/>
      </c>
      <c r="E31" s="22">
        <f>E11*(1-Annahmen!$O$20)*Annahmen!$O$19+E9*Annahmen!$Q$15+Annahmen!$Q$36</f>
        <v/>
      </c>
      <c r="F31" s="22">
        <f>F11*(1-Annahmen!$O$20)*Annahmen!$O$19+F9*Annahmen!$R$15+Annahmen!$R$36</f>
        <v/>
      </c>
      <c r="G31" s="22">
        <f>G11*(1-Annahmen!$O$20)*Annahmen!$O$19+G9*Annahmen!$S$15+Annahmen!$S$36</f>
        <v/>
      </c>
    </row>
    <row r="32">
      <c r="A32" s="21" t="inlineStr">
        <is>
          <t>Administration</t>
        </is>
      </c>
      <c r="C32" s="22">
        <f>Annahmen!$O$37</f>
        <v/>
      </c>
      <c r="D32" s="22">
        <f>Annahmen!$P$37</f>
        <v/>
      </c>
      <c r="E32" s="22">
        <f>Annahmen!$Q$37</f>
        <v/>
      </c>
      <c r="F32" s="22">
        <f>Annahmen!$R$37</f>
        <v/>
      </c>
      <c r="G32" s="22">
        <f>Annahmen!$S$37</f>
        <v/>
      </c>
    </row>
    <row r="33">
      <c r="A33" s="21" t="inlineStr">
        <is>
          <t>Fixkosten total</t>
        </is>
      </c>
      <c r="C33" s="22">
        <f>C28+C29+C30+C31+C32</f>
        <v/>
      </c>
      <c r="D33" s="22">
        <f>D28+D29+D30+D31+D32</f>
        <v/>
      </c>
      <c r="E33" s="22">
        <f>E28+E29+E30+E31+E32</f>
        <v/>
      </c>
      <c r="F33" s="22">
        <f>F28+F29+F30+F31+F32</f>
        <v/>
      </c>
      <c r="G33" s="22">
        <f>G28+G29+G30+G31+G32</f>
        <v/>
      </c>
    </row>
    <row r="34">
      <c r="A34" s="10" t="inlineStr">
        <is>
          <t>Operatives Ergebnis</t>
        </is>
      </c>
      <c r="C34" s="24">
        <f>C25-C33</f>
        <v/>
      </c>
      <c r="D34" s="24">
        <f>D25-D33</f>
        <v/>
      </c>
      <c r="E34" s="24">
        <f>E25-E33</f>
        <v/>
      </c>
      <c r="F34" s="24">
        <f>F25-F33</f>
        <v/>
      </c>
      <c r="G34" s="24">
        <f>G25-G33</f>
        <v/>
      </c>
    </row>
    <row r="35">
      <c r="A35" s="21" t="inlineStr">
        <is>
          <t>Operative Marge</t>
        </is>
      </c>
      <c r="C35" s="25">
        <f>IF(C18=0,0,C34/C18)</f>
        <v/>
      </c>
      <c r="D35" s="25">
        <f>IF(D18=0,0,D34/D18)</f>
        <v/>
      </c>
      <c r="E35" s="25">
        <f>IF(E18=0,0,E34/E18)</f>
        <v/>
      </c>
      <c r="F35" s="25">
        <f>IF(F18=0,0,F34/F18)</f>
        <v/>
      </c>
      <c r="G35" s="25">
        <f>IF(G18=0,0,G34/G18)</f>
        <v/>
      </c>
    </row>
    <row r="36">
      <c r="A36" s="5" t="inlineStr">
        <is>
          <t>Kasse (ohne Steuern, ohne Fremdkapital)</t>
        </is>
      </c>
      <c r="B36" s="4" t="n"/>
      <c r="C36" s="5" t="n">
        <v>2027</v>
      </c>
      <c r="D36" s="5" t="n">
        <v>2028</v>
      </c>
      <c r="E36" s="5" t="n">
        <v>2029</v>
      </c>
      <c r="F36" s="5" t="n">
        <v>2030</v>
      </c>
      <c r="G36" s="5" t="n">
        <v>2031</v>
      </c>
    </row>
    <row r="37">
      <c r="A37" s="10" t="inlineStr">
        <is>
          <t>Kasse Ende Jahr</t>
        </is>
      </c>
      <c r="C37" s="7">
        <f>Annahmen!$O$38+C34</f>
        <v/>
      </c>
      <c r="D37" s="7">
        <f>C37+D34</f>
        <v/>
      </c>
      <c r="E37" s="7">
        <f>D37+E34</f>
        <v/>
      </c>
      <c r="F37" s="7">
        <f>E37+F34</f>
        <v/>
      </c>
      <c r="G37" s="7">
        <f>F37+G34</f>
        <v/>
      </c>
    </row>
    <row r="38">
      <c r="A38" s="21" t="inlineStr">
        <is>
          <t>Finanzierungsbedarf bis hier (tiefster Kassenstand)</t>
        </is>
      </c>
      <c r="C38" s="22">
        <f>MAX(0,-C37)</f>
        <v/>
      </c>
      <c r="D38" s="22">
        <f>MAX(C38,-D37)</f>
        <v/>
      </c>
      <c r="E38" s="22">
        <f>MAX(D38,-E37)</f>
        <v/>
      </c>
      <c r="F38" s="22">
        <f>MAX(E38,-F37)</f>
        <v/>
      </c>
      <c r="G38" s="22">
        <f>MAX(F38,-G37)</f>
        <v/>
      </c>
    </row>
    <row r="39">
      <c r="A39" s="5" t="inlineStr">
        <is>
          <t>Kennzahlen</t>
        </is>
      </c>
      <c r="B39" s="4" t="n"/>
      <c r="C39" s="5" t="n">
        <v>2027</v>
      </c>
      <c r="D39" s="5" t="n">
        <v>2028</v>
      </c>
      <c r="E39" s="5" t="n">
        <v>2029</v>
      </c>
      <c r="F39" s="5" t="n">
        <v>2030</v>
      </c>
      <c r="G39" s="5" t="n">
        <v>2031</v>
      </c>
    </row>
    <row r="40">
      <c r="A40" s="21" t="inlineStr">
        <is>
          <t>Marktanteil an allen Lernenden CH (Betriebslizenz)</t>
        </is>
      </c>
      <c r="C40" s="26">
        <f>C7/215052</f>
        <v/>
      </c>
      <c r="D40" s="26">
        <f>D7/215052</f>
        <v/>
      </c>
      <c r="E40" s="26">
        <f>E7/215052</f>
        <v/>
      </c>
      <c r="F40" s="26">
        <f>F7/215052</f>
        <v/>
      </c>
      <c r="G40" s="26">
        <f>G7/215052</f>
        <v/>
      </c>
    </row>
    <row r="41">
      <c r="A41" s="21" t="inlineStr">
        <is>
          <t>LTV je Lehrbetrieb (Deckungsbeitrag über Lebensdauer)</t>
        </is>
      </c>
      <c r="C41" s="22">
        <f>Annahmen!$O$12*Annahmen!$O$14*(1-Annahmen!$O$29)/Annahmen!$O$13-Annahmen!$O$12*Annahmen!$O$25*(Annahmen!$O$26+Annahmen!$O$27)/Annahmen!$O$13</f>
        <v/>
      </c>
      <c r="D41" s="22">
        <f>Annahmen!$O$12*Annahmen!$P$14*(1-Annahmen!$O$29)/Annahmen!$O$13-Annahmen!$O$12*Annahmen!$O$25*(Annahmen!$O$26+Annahmen!$O$27)/Annahmen!$O$13</f>
        <v/>
      </c>
      <c r="E41" s="22">
        <f>Annahmen!$O$12*Annahmen!$Q$14*(1-Annahmen!$O$29)/Annahmen!$O$13-Annahmen!$O$12*Annahmen!$O$25*(Annahmen!$O$26+Annahmen!$O$27)/Annahmen!$O$13</f>
        <v/>
      </c>
      <c r="F41" s="22">
        <f>Annahmen!$O$12*Annahmen!$R$14*(1-Annahmen!$O$29)/Annahmen!$O$13-Annahmen!$O$12*Annahmen!$O$25*(Annahmen!$O$26+Annahmen!$O$27)/Annahmen!$O$13</f>
        <v/>
      </c>
      <c r="G41" s="22">
        <f>Annahmen!$O$12*Annahmen!$S$14*(1-Annahmen!$O$29)/Annahmen!$O$13-Annahmen!$O$12*Annahmen!$O$25*(Annahmen!$O$26+Annahmen!$O$27)/Annahmen!$O$13</f>
        <v/>
      </c>
    </row>
    <row r="42">
      <c r="A42" s="21" t="inlineStr">
        <is>
          <t>LTV : Akquisekosten Lehrbetrieb</t>
        </is>
      </c>
      <c r="C42" s="27">
        <f>C41/Annahmen!$O$15</f>
        <v/>
      </c>
      <c r="D42" s="27">
        <f>D41/Annahmen!$P$15</f>
        <v/>
      </c>
      <c r="E42" s="27">
        <f>E41/Annahmen!$Q$15</f>
        <v/>
      </c>
      <c r="F42" s="27">
        <f>F41/Annahmen!$R$15</f>
        <v/>
      </c>
      <c r="G42" s="27">
        <f>G41/Annahmen!$S$15</f>
        <v/>
      </c>
    </row>
    <row r="43">
      <c r="A43" s="21" t="inlineStr">
        <is>
          <t>Deckungsbeitrag je B2C-Käufer/in</t>
        </is>
      </c>
      <c r="C43" s="28">
        <f>Annahmen!$O$18*(1-Annahmen!$O$28)-Annahmen!$O$26-Annahmen!$O$27</f>
        <v/>
      </c>
      <c r="D43" s="28">
        <f>Annahmen!$O$18*(1-Annahmen!$O$28)-Annahmen!$O$26-Annahmen!$O$27</f>
        <v/>
      </c>
      <c r="E43" s="28">
        <f>Annahmen!$O$18*(1-Annahmen!$O$28)-Annahmen!$O$26-Annahmen!$O$27</f>
        <v/>
      </c>
      <c r="F43" s="28">
        <f>Annahmen!$O$18*(1-Annahmen!$O$28)-Annahmen!$O$26-Annahmen!$O$27</f>
        <v/>
      </c>
      <c r="G43" s="28">
        <f>Annahmen!$O$18*(1-Annahmen!$O$28)-Annahmen!$O$26-Annahmen!$O$27</f>
        <v/>
      </c>
    </row>
    <row r="44">
      <c r="A44" s="21" t="inlineStr">
        <is>
          <t>Ø bezahlte Akquise je B2C-Käufer/in (inkl. Gratiskanäle)</t>
        </is>
      </c>
      <c r="C44" s="28">
        <f>Annahmen!$O$19*(1-Annahmen!$O$20)</f>
        <v/>
      </c>
      <c r="D44" s="28">
        <f>Annahmen!$O$19*(1-Annahmen!$O$20)</f>
        <v/>
      </c>
      <c r="E44" s="28">
        <f>Annahmen!$O$19*(1-Annahmen!$O$20)</f>
        <v/>
      </c>
      <c r="F44" s="28">
        <f>Annahmen!$O$19*(1-Annahmen!$O$20)</f>
        <v/>
      </c>
      <c r="G44" s="28">
        <f>Annahmen!$O$19*(1-Annahmen!$O$20)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60" customWidth="1" min="4" max="4"/>
  </cols>
  <sheetData>
    <row r="1">
      <c r="A1" s="1" t="inlineStr">
        <is>
          <t>Was braucht es für CHF 7,5 Mio. oder CHF 10 Mio. Umsatz – nur Schweiz?</t>
        </is>
      </c>
    </row>
    <row r="3">
      <c r="B3" s="10" t="inlineStr">
        <is>
          <t>CHF 7,5 Mio.</t>
        </is>
      </c>
      <c r="C3" s="10" t="inlineStr">
        <is>
          <t>CHF 10 Mio.</t>
        </is>
      </c>
    </row>
    <row r="4">
      <c r="A4" t="inlineStr">
        <is>
          <t>Umsatzziel</t>
        </is>
      </c>
      <c r="B4" s="29" t="n">
        <v>7500000</v>
      </c>
      <c r="C4" s="29" t="n">
        <v>10000000</v>
      </c>
      <c r="D4" s="13" t="inlineStr"/>
    </row>
    <row r="5">
      <c r="A5" t="inlineStr">
        <is>
          <t>Lernende in der Schweiz (alle Berufe)</t>
        </is>
      </c>
      <c r="B5" s="29" t="n">
        <v>215052</v>
      </c>
      <c r="C5" s="29" t="n">
        <v>215052</v>
      </c>
      <c r="D5" s="13" t="inlineStr">
        <is>
          <t>BFS, Lehrverhältnisse 2025</t>
        </is>
      </c>
    </row>
    <row r="6">
      <c r="A6" t="inlineStr">
        <is>
          <t>QV-Kandidaten pro Jahr (alle Berufe)</t>
        </is>
      </c>
      <c r="B6" s="29" t="n">
        <v>70000</v>
      </c>
      <c r="C6" s="29" t="n">
        <v>70000</v>
      </c>
      <c r="D6" s="13" t="inlineStr">
        <is>
          <t>EHB Trendbericht 6, 2024</t>
        </is>
      </c>
    </row>
    <row r="7">
      <c r="A7" t="inlineStr">
        <is>
          <t>Ø Preis Betriebslizenz je Lernende/r und Jahr</t>
        </is>
      </c>
      <c r="B7" s="29" t="n">
        <v>110</v>
      </c>
      <c r="C7" s="29" t="n">
        <v>110</v>
      </c>
      <c r="D7" s="13" t="inlineStr"/>
    </row>
    <row r="8">
      <c r="A8" t="inlineStr">
        <is>
          <t>Preis QV-Pass</t>
        </is>
      </c>
      <c r="B8" s="29" t="n">
        <v>59</v>
      </c>
      <c r="C8" s="29" t="n">
        <v>59</v>
      </c>
      <c r="D8" s="13" t="inlineStr"/>
    </row>
    <row r="10">
      <c r="A10" t="inlineStr">
        <is>
          <t>Nur Betriebslizenzen: nötige lizenzierte Lernende</t>
        </is>
      </c>
      <c r="B10" s="6">
        <f>B4/B7</f>
        <v/>
      </c>
      <c r="C10" s="6">
        <f>C4/C7</f>
        <v/>
      </c>
      <c r="D10" s="13" t="inlineStr"/>
    </row>
    <row r="11">
      <c r="A11" t="inlineStr">
        <is>
          <t>… in % aller Lernenden der Schweiz</t>
        </is>
      </c>
      <c r="B11" s="8">
        <f>B10/B5</f>
        <v/>
      </c>
      <c r="C11" s="8">
        <f>C10/C5</f>
        <v/>
      </c>
      <c r="D11" s="13" t="inlineStr"/>
    </row>
    <row r="12">
      <c r="A12" t="inlineStr">
        <is>
          <t>Nur QV-Pass: nötige Käufer/innen pro Jahr</t>
        </is>
      </c>
      <c r="B12" s="6">
        <f>B4/B8</f>
        <v/>
      </c>
      <c r="C12" s="6">
        <f>C4/C8</f>
        <v/>
      </c>
      <c r="D12" s="13" t="inlineStr"/>
    </row>
    <row r="13">
      <c r="A13" t="inlineStr">
        <is>
          <t>… in % aller QV-Kandidaten (über 100 % = unmöglich)</t>
        </is>
      </c>
      <c r="B13" s="8">
        <f>B12/B6</f>
        <v/>
      </c>
      <c r="C13" s="8">
        <f>C12/C6</f>
        <v/>
      </c>
      <c r="D13" s="13" t="inlineStr"/>
    </row>
    <row r="15">
      <c r="A15" s="10" t="inlineStr">
        <is>
          <t>Obere plausible Grenze mit heutigem Modell (Annahmen blau, Hypothesen)</t>
        </is>
      </c>
    </row>
    <row r="16">
      <c r="A16" t="inlineStr">
        <is>
          <t>Anteil aller Lernenden mit Betriebslizenz</t>
        </is>
      </c>
      <c r="B16" s="30" t="n">
        <v>0.25</v>
      </c>
      <c r="C16" s="30" t="n">
        <v>0.25</v>
      </c>
      <c r="D16" s="13" t="inlineStr">
        <is>
          <t>Hypothese: jede/r vierte Lernende der Schweiz</t>
        </is>
      </c>
    </row>
    <row r="17">
      <c r="A17" t="inlineStr">
        <is>
          <t>Kaufquote QV-Pass unter den übrigen Kandidaten</t>
        </is>
      </c>
      <c r="B17" s="30" t="n">
        <v>0.08</v>
      </c>
      <c r="C17" s="30" t="n">
        <v>0.08</v>
      </c>
      <c r="D17" s="13" t="inlineStr">
        <is>
          <t>Hypothese</t>
        </is>
      </c>
    </row>
    <row r="18">
      <c r="A18" t="inlineStr">
        <is>
          <t>Verbandslizenzen × CHF 40'000</t>
        </is>
      </c>
      <c r="B18" s="31" t="n">
        <v>20</v>
      </c>
      <c r="C18" s="31" t="n">
        <v>20</v>
      </c>
      <c r="D18" s="13" t="inlineStr">
        <is>
          <t>Hypothese: 20 Verbände</t>
        </is>
      </c>
    </row>
    <row r="19">
      <c r="A19" t="inlineStr">
        <is>
          <t>Umsatz Betriebslizenzen</t>
        </is>
      </c>
      <c r="B19" s="6">
        <f>B5*B16*B7</f>
        <v/>
      </c>
      <c r="C19" s="6">
        <f>C5*C16*C7</f>
        <v/>
      </c>
      <c r="D19" s="13" t="inlineStr"/>
    </row>
    <row r="20">
      <c r="A20" t="inlineStr">
        <is>
          <t>Umsatz QV-Pass</t>
        </is>
      </c>
      <c r="B20" s="6">
        <f>B6*(1-B16)*B17*B8</f>
        <v/>
      </c>
      <c r="C20" s="6">
        <f>C6*(1-C16)*C17*C8</f>
        <v/>
      </c>
      <c r="D20" s="13" t="inlineStr"/>
    </row>
    <row r="21">
      <c r="A21" t="inlineStr">
        <is>
          <t>Umsatz Verbände</t>
        </is>
      </c>
      <c r="B21" s="6">
        <f>B18*40000</f>
        <v/>
      </c>
      <c r="C21" s="6">
        <f>C18*40000</f>
        <v/>
      </c>
      <c r="D21" s="13" t="inlineStr"/>
    </row>
    <row r="22">
      <c r="A22" s="10" t="inlineStr">
        <is>
          <t>Umsatz total bei oberer Grenze</t>
        </is>
      </c>
      <c r="B22" s="7">
        <f>B19+B20+B21</f>
        <v/>
      </c>
      <c r="C22" s="7">
        <f>C19+C20+C21</f>
        <v/>
      </c>
      <c r="D22" s="13" t="inlineStr"/>
    </row>
    <row r="23">
      <c r="A23" s="10" t="inlineStr">
        <is>
          <t>Lücke zum Ziel (muss aus neuen Segmenten kommen)</t>
        </is>
      </c>
      <c r="B23" s="7">
        <f>MAX(0,B4-B22)</f>
        <v/>
      </c>
      <c r="C23" s="7">
        <f>MAX(0,C4-C22)</f>
        <v/>
      </c>
      <c r="D23" s="13" t="inlineStr"/>
    </row>
    <row r="25" ht="45" customHeight="1">
      <c r="A25" s="32" t="inlineStr">
        <is>
          <t>Mögliche Segmente für die Lücke (nur Schweiz, alle zu prüfen): Erwachsene mit Berufsabschluss (Art. 32 BBV), Berufsprüfungen und höhere Fachprüfungen, üK-Zentren und Berufsfachschulen als Kunden, Prüfungs- und Aufgabenplattform für Verbände (eQV).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2026-09-25T16:25:05Z</dcterms:created>
  <dcterms:modified xsi:type="dcterms:W3CDTF">2026-09-25T16:25:05Z</dcterms:modified>
</cp:coreProperties>
</file>