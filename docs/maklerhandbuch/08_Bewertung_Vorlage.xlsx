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" state="visible" r:id="rId4"/>
    <sheet sheetId="2" name="Vergleichswert" state="visible" r:id="rId5"/>
    <sheet sheetId="3" name="Realwert" state="visible" r:id="rId6"/>
    <sheet sheetId="4" name="Sanierungsbedarf" state="visible" r:id="rId7"/>
    <sheet sheetId="5" name="Ertragswert" state="visible" r:id="rId8"/>
    <sheet sheetId="6" name="Ergebnis" state="visible" r:id="rId9"/>
    <sheet sheetId="7" name="Chancen und Risiken" state="visible" r:id="rId10"/>
    <sheet sheetId="8" name="Nettoerloes" state="visible" r:id="rId11"/>
    <sheet sheetId="9" name="Grundlagen" state="visible" r:id="rId12"/>
  </sheets>
  <calcPr calcId="171027"/>
</workbook>
</file>

<file path=xl/sharedStrings.xml><?xml version="1.0" encoding="utf-8"?>
<sst xmlns="http://schemas.openxmlformats.org/spreadsheetml/2006/main" count="281" uniqueCount="232">
  <si>
    <t>08 · Bewertung – Objektkopf</t>
  </si>
  <si>
    <t>Gelb hinterlegte Spalten sind Eingabefelder. Auswahlfelder haben eine Liste. Die Spalte «Register» verweist auf Teil W des Makler-Handbuchs.</t>
  </si>
  <si>
    <t>Feld</t>
  </si>
  <si>
    <t>Eintrag</t>
  </si>
  <si>
    <t>Hinweis</t>
  </si>
  <si>
    <t>Objekt</t>
  </si>
  <si>
    <t>Objektnummer intern</t>
  </si>
  <si>
    <t>Aus dem CRM</t>
  </si>
  <si>
    <t>Strasse und Hausnummer</t>
  </si>
  <si>
    <t>PLZ und Ort</t>
  </si>
  <si>
    <t>Gemeinde</t>
  </si>
  <si>
    <t>Kanton</t>
  </si>
  <si>
    <t>Bestimmt Notariatssystem, Steuern, Gebühren und GEAK-Pflicht</t>
  </si>
  <si>
    <t>Parzellennummer</t>
  </si>
  <si>
    <t>Aus Grundbuchauszug</t>
  </si>
  <si>
    <t>Grundbuchblatt</t>
  </si>
  <si>
    <t>Objekttyp</t>
  </si>
  <si>
    <t>Eigentümerschaft</t>
  </si>
  <si>
    <t>Eigentümer 1</t>
  </si>
  <si>
    <t>Eigentümer 2</t>
  </si>
  <si>
    <t>Eigentumsform</t>
  </si>
  <si>
    <t>Allein-, Mit-, Gesamteigentum, Stockwerkeigentum, Baurecht</t>
  </si>
  <si>
    <t>Alle Verfügungsberechtigten bekannt</t>
  </si>
  <si>
    <t>Register R13, R14</t>
  </si>
  <si>
    <t>Mandat</t>
  </si>
  <si>
    <t>Zuständiger Makler</t>
  </si>
  <si>
    <t>Mandat unterzeichnet am</t>
  </si>
  <si>
    <t>Mandat läuft bis</t>
  </si>
  <si>
    <t>Angebotspreis CHF</t>
  </si>
  <si>
    <t>Mindestpreis CHF (intern)</t>
  </si>
  <si>
    <t>Wird keinem Interessenten genannt</t>
  </si>
  <si>
    <t>Identifikation GwG abgeschlossen</t>
  </si>
  <si>
    <t>Register R37; vor Vermarktungsstart</t>
  </si>
  <si>
    <t>Termine</t>
  </si>
  <si>
    <t>Vermarktungsstart</t>
  </si>
  <si>
    <t>Startpunkt der Zählung «Tage am Markt»</t>
  </si>
  <si>
    <t>Beurkundungstermin</t>
  </si>
  <si>
    <t>Eintragung im Grundbuch</t>
  </si>
  <si>
    <t>Übergabetermin</t>
  </si>
  <si>
    <t>Kantonale Abklärungen</t>
  </si>
  <si>
    <t>Notariatssystem und zuständiges Notariat</t>
  </si>
  <si>
    <t>Register R1</t>
  </si>
  <si>
    <t>Handänderungssteuer: Höhe und Kostenträger</t>
  </si>
  <si>
    <t>Register R26</t>
  </si>
  <si>
    <t>Grundstückgewinnsteuer: Stelle und Frist</t>
  </si>
  <si>
    <t>Register R22</t>
  </si>
  <si>
    <t>GEAK-Pflicht im Kanton</t>
  </si>
  <si>
    <t>Obligatorisch in FR, VD, NE, JU; Register R33</t>
  </si>
  <si>
    <t>Formerfordernis Vollmachten</t>
  </si>
  <si>
    <t>Register R16</t>
  </si>
  <si>
    <t>08 · Vergleichswertmethode</t>
  </si>
  <si>
    <t>Mindestens drei, besser fünf Vergleichsobjekte. Angebotspreise sind keine Abschlusspreise und entsprechend zu korrigieren. Unter drei belastbaren Vergleichen ist die Methode allein nicht tragfähig.</t>
  </si>
  <si>
    <t>Nr.</t>
  </si>
  <si>
    <t>Lage / Adresse</t>
  </si>
  <si>
    <t>Wohnfläche m²</t>
  </si>
  <si>
    <t>Grundstück m²</t>
  </si>
  <si>
    <t>Baujahr</t>
  </si>
  <si>
    <t>Zustand</t>
  </si>
  <si>
    <t>Preis CHF</t>
  </si>
  <si>
    <t>Preis pro m² Wohnfläche</t>
  </si>
  <si>
    <t>Angebots- oder Abschlusspreis</t>
  </si>
  <si>
    <t>Angebotsdauer Tage</t>
  </si>
  <si>
    <t>Zu-/Abschlag %</t>
  </si>
  <si>
    <t>Begründung des Zu-/Abschlags</t>
  </si>
  <si>
    <t>Umgerechnet auf Bewertungsobjekt CHF</t>
  </si>
  <si>
    <t>Quelle und Abrufdatum</t>
  </si>
  <si>
    <t>**Mittelwert umgerechnet</t>
  </si>
  <si>
    <t>**Tiefster Wert</t>
  </si>
  <si>
    <t>**Höchster Wert</t>
  </si>
  <si>
    <t>08 · Realwertmethode als Kontrollrechnung</t>
  </si>
  <si>
    <t>Gelbe Felder ausfüllen. Die berechneten Zeilen rechnen selbst. Der Gebäudeversicherungswert ist Kontrollgrösse für den Neuwert, kein Marktwert.</t>
  </si>
  <si>
    <t>Position</t>
  </si>
  <si>
    <t>Einheit</t>
  </si>
  <si>
    <t>Wert</t>
  </si>
  <si>
    <t>Landfläche</t>
  </si>
  <si>
    <t>m²</t>
  </si>
  <si>
    <t>Eingabe</t>
  </si>
  <si>
    <t>Landpreis</t>
  </si>
  <si>
    <t>CHF/m²</t>
  </si>
  <si>
    <t>Quelle und Datum in der Bemerkung</t>
  </si>
  <si>
    <t>Landwert</t>
  </si>
  <si>
    <t>CHF</t>
  </si>
  <si>
    <t>Berechnet</t>
  </si>
  <si>
    <t>Gebäudevolumen</t>
  </si>
  <si>
    <t>m³</t>
  </si>
  <si>
    <t>Aus Gebäudeversicherungsausweis</t>
  </si>
  <si>
    <t>Neuwert pro m³</t>
  </si>
  <si>
    <t>CHF/m³</t>
  </si>
  <si>
    <t>Neuwert Gebäude</t>
  </si>
  <si>
    <t>Altersentwertung</t>
  </si>
  <si>
    <t>%</t>
  </si>
  <si>
    <t>Bauteilgewichtet, unter Berücksichtigung erfolgter Sanierungen</t>
  </si>
  <si>
    <t>Zeitbauwert Gebäude</t>
  </si>
  <si>
    <t>Umgebung und Nebenbauten</t>
  </si>
  <si>
    <t>Baunebenkosten</t>
  </si>
  <si>
    <t>Zwischentotal</t>
  </si>
  <si>
    <t>Abzug aufgestauter Sanierungsbedarf</t>
  </si>
  <si>
    <t>Summe aus dem Blatt Sanierungsbedarf</t>
  </si>
  <si>
    <t>Realwert</t>
  </si>
  <si>
    <t>08 · Sanierungsbedarf, bauteilweise</t>
  </si>
  <si>
    <t>Nie als Pauschale. Nur ein bauteilweise bezifferter Bedarf lässt sich gegenüber Eigentümer und Käufer begründen. Die Summe fliesst als Abzug in den Realwert.</t>
  </si>
  <si>
    <t>Bauteil</t>
  </si>
  <si>
    <t>Jahr der letzten Erneuerung</t>
  </si>
  <si>
    <t>Feststellung</t>
  </si>
  <si>
    <t>Zeithorizont</t>
  </si>
  <si>
    <t>Geschätzte Kosten CHF</t>
  </si>
  <si>
    <t>Quelle der Schätzung</t>
  </si>
  <si>
    <t>Dach und Spenglerarbeiten</t>
  </si>
  <si>
    <t>Fassade und Aussenwärmedämmung</t>
  </si>
  <si>
    <t>Fenster und Aussentüren</t>
  </si>
  <si>
    <t>Wärmeerzeuger</t>
  </si>
  <si>
    <t>Wärmeabgabe und Verteilung</t>
  </si>
  <si>
    <t>Warmwasseraufbereitung</t>
  </si>
  <si>
    <t>Lüftung</t>
  </si>
  <si>
    <t>Sanitärleitungen und Apparate</t>
  </si>
  <si>
    <t>Elektroinstallation</t>
  </si>
  <si>
    <t>Küche</t>
  </si>
  <si>
    <t>Badezimmer und Nassräume</t>
  </si>
  <si>
    <t>Bodenbeläge</t>
  </si>
  <si>
    <t>Innentüren und Innenausbau</t>
  </si>
  <si>
    <t>Umgebung, Zufahrt, Einfriedung</t>
  </si>
  <si>
    <t>Kanalisation und Entwässerung</t>
  </si>
  <si>
    <t>**Total geschätzter Sanierungsbedarf</t>
  </si>
  <si>
    <t>08 · Ertragswertmethode, nur bei relevantem Mietertrag</t>
  </si>
  <si>
    <t>Nur ausfüllen bei Einliegerwohnung, vermieteter Garage, Mehrfamilienhaus oder Renditeanteil. Sonst mit Begründung als nicht anwendbar bezeichnen.</t>
  </si>
  <si>
    <t>Nachhaltig erzielbarer Bruttomietertrag pro Jahr</t>
  </si>
  <si>
    <t>Aus Mietverträgen; nicht der Wunschmietzins</t>
  </si>
  <si>
    <t>Leerstands- und Mietausfallrisiko</t>
  </si>
  <si>
    <t>Marktabhängig</t>
  </si>
  <si>
    <t>Effektiver Bruttoertrag</t>
  </si>
  <si>
    <t>Nicht überwälzbare Betriebskosten</t>
  </si>
  <si>
    <t>Verwaltung, Versicherung, Abgaben</t>
  </si>
  <si>
    <t>Unterhalt und Instandsetzung</t>
  </si>
  <si>
    <t>Langjähriger Durchschnitt</t>
  </si>
  <si>
    <t>Nettoertrag</t>
  </si>
  <si>
    <t>Kapitalisierungssatz</t>
  </si>
  <si>
    <t>Marktgerecht, mit Begründung in der Bemerkung</t>
  </si>
  <si>
    <t>Ertragswert</t>
  </si>
  <si>
    <t>Begründung des Kapitalisierungssatzes</t>
  </si>
  <si>
    <t>Text</t>
  </si>
  <si>
    <t>Anwendbar</t>
  </si>
  <si>
    <t>ja/nein</t>
  </si>
  <si>
    <t>Bei «nein» Begründung in der nächsten Zeile</t>
  </si>
  <si>
    <t>Begründung bei Nichtanwendbarkeit</t>
  </si>
  <si>
    <t>08 · Gewichtung, Wertspanne und Angebotspreis</t>
  </si>
  <si>
    <t>Die Wertspanne ist das Ergebnis, nicht der Punktwert. Abweichungen über 15 Prozent zwischen Vergleichs- und Realwert sind zu begründen, nicht zu mitteln.</t>
  </si>
  <si>
    <t>Gewichtung</t>
  </si>
  <si>
    <t>Vergleichswert, Mittelwert</t>
  </si>
  <si>
    <t>Aus dem Blatt Vergleichswert</t>
  </si>
  <si>
    <t>Vergleichswert, tiefster Wert</t>
  </si>
  <si>
    <t>Vergleichswert, höchster Wert</t>
  </si>
  <si>
    <t>Aus dem Blatt Realwert</t>
  </si>
  <si>
    <t>Nur bei Anwendbarkeit</t>
  </si>
  <si>
    <t>Abweichung Vergleichs- zu Realwert</t>
  </si>
  <si>
    <t>Über 15 Prozent: Ursache benennen</t>
  </si>
  <si>
    <t>**Gewichteter Wert</t>
  </si>
  <si>
    <t>Die Summe der Gewichtungen muss 100 Prozent ergeben</t>
  </si>
  <si>
    <t>Gewichtung Vergleichswert</t>
  </si>
  <si>
    <t>Begründung unten</t>
  </si>
  <si>
    <t>Gewichtung Realwert</t>
  </si>
  <si>
    <t>Gewichtung Ertragswert</t>
  </si>
  <si>
    <t>Begründung der Gewichtung</t>
  </si>
  <si>
    <t>Aus der Objektaufnahme, Arbeitsmappe 07</t>
  </si>
  <si>
    <t>**Wertspanne untere Grenze</t>
  </si>
  <si>
    <t>Eingabe, hergeleitet aus den Methoden</t>
  </si>
  <si>
    <t>**Wertspanne obere Grenze</t>
  </si>
  <si>
    <t>Mittelwert der Spanne</t>
  </si>
  <si>
    <t>Preis pro m² Wohnfläche, Mittelwert</t>
  </si>
  <si>
    <t>Plausibilitätsgrösse gegen die Vergleichsobjekte</t>
  </si>
  <si>
    <t>**Empfohlener Angebotspreis</t>
  </si>
  <si>
    <t>Ein Betrag, mit Begründung der Lage innerhalb der Spanne</t>
  </si>
  <si>
    <t>Begründung</t>
  </si>
  <si>
    <t>Bewertungsdatum</t>
  </si>
  <si>
    <t>Bearbeitet durch</t>
  </si>
  <si>
    <t>Geprüft durch (Vier-Augen-Prinzip)</t>
  </si>
  <si>
    <t>Vor der Unterschrift zwingend</t>
  </si>
  <si>
    <t>08 · Chancen, Risiken und Vermarktungsstrategie</t>
  </si>
  <si>
    <t>Je Position eine Zeile. Vermutetes Potenzial gehört nicht in die Zahl, sondern hierher (Register R27).</t>
  </si>
  <si>
    <t>Art</t>
  </si>
  <si>
    <t>Sachverhalt</t>
  </si>
  <si>
    <t>Wirkung auf Preis oder Angebotsdauer</t>
  </si>
  <si>
    <t>Voraussetzung bzw. Gegenmassnahme</t>
  </si>
  <si>
    <t>08 · Nettoerlösrechnung für die Verkäuferschaft</t>
  </si>
  <si>
    <t>Unverbindliche Orientierung. Der Makler rechnet die Grundstückgewinnsteuer nicht selbst; er verlangt eine Schätzung des Steueramts (Register R22, R25).</t>
  </si>
  <si>
    <t>Betrag CHF</t>
  </si>
  <si>
    <t>Quelle und Datum</t>
  </si>
  <si>
    <t>Angebotspreis bzw. erwarteter Kaufpreis</t>
  </si>
  <si>
    <t>Kaufpreis Inventar</t>
  </si>
  <si>
    <t>Gemäss Inventarliste</t>
  </si>
  <si>
    <t>**Total Erlös</t>
  </si>
  <si>
    <t>./. Ablösung Hypothek, Saldo</t>
  </si>
  <si>
    <t>Bestätigung der Bank</t>
  </si>
  <si>
    <t>Register R41</t>
  </si>
  <si>
    <t>./. Vorfälligkeitsentschädigung</t>
  </si>
  <si>
    <t>Berechnung der Bank</t>
  </si>
  <si>
    <t>./. Grundstückgewinnsteuer</t>
  </si>
  <si>
    <t>Schätzung Steueramt</t>
  </si>
  <si>
    <t>Kantonal; Register R22</t>
  </si>
  <si>
    <t>./. Handänderungsabgabe, Anteil Verkäufer</t>
  </si>
  <si>
    <t>Notariat</t>
  </si>
  <si>
    <t>Kantonal; Register R26</t>
  </si>
  <si>
    <t>./. Beurkundungs- und Grundbuchgebühren, Anteil Verkäufer</t>
  </si>
  <si>
    <t>./. Maklerhonorar</t>
  </si>
  <si>
    <t>Register R18</t>
  </si>
  <si>
    <t>./. Mehrwertsteuer auf dem Honorar, 8,1 %</t>
  </si>
  <si>
    <t>Berechnet; Register R21</t>
  </si>
  <si>
    <t>./. Kosten GEAK, Fotografie, Grundrisse und übrige Vermarktung</t>
  </si>
  <si>
    <t>Budget</t>
  </si>
  <si>
    <t>./. Weitere Kosten</t>
  </si>
  <si>
    <t>**Geschätzter Nettoerlös</t>
  </si>
  <si>
    <t>08 · Verwendete Grundlagen und Vorbehalte</t>
  </si>
  <si>
    <t>Jede Eingangsgrösse der Bewertung braucht eine belegte Quelle. Fehlt eine Unterlage, ist der Vorbehalt im Bewertungsbericht zu nennen.</t>
  </si>
  <si>
    <t>Unterlage bzw. Auskunft</t>
  </si>
  <si>
    <t>Ausstellungsdatum</t>
  </si>
  <si>
    <t>Bezugsquelle</t>
  </si>
  <si>
    <t>Vorhanden</t>
  </si>
  <si>
    <t>Bemerkung bzw. Vorbehalt</t>
  </si>
  <si>
    <t>Grundbuchauszug</t>
  </si>
  <si>
    <t>Belege zu Dienstbarkeiten und Anmerkungen</t>
  </si>
  <si>
    <t>Katasterplan</t>
  </si>
  <si>
    <t>Zonenauskunft und Nutzungskennzahlen</t>
  </si>
  <si>
    <t>Baupläne, Grundrisse, Schnitte</t>
  </si>
  <si>
    <t>Baubewilligungen</t>
  </si>
  <si>
    <t>Gebäudeversicherungsausweis</t>
  </si>
  <si>
    <t>Renovationsnachweise und Belege</t>
  </si>
  <si>
    <t>Heizungs- und Haustechnikunterlagen</t>
  </si>
  <si>
    <t>GEAK</t>
  </si>
  <si>
    <t>Katasterauszug belastete Standorte</t>
  </si>
  <si>
    <t>Naturgefahrenkarte</t>
  </si>
  <si>
    <t>Objektaufnahme (Arbeitsmappe 07)</t>
  </si>
  <si>
    <t>Marktanalyse und Vergleichsobjekte</t>
  </si>
  <si>
    <t>Mietverträge, soweit vermietet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</si>
</sst>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0F5C6E"/>
      <sz val="14"/>
      <name val="Calibri"/>
    </font>
    <font>
      <i/>
      <color rgb="FF5A6B76"/>
      <sz val="9"/>
      <name val="Calibri"/>
    </font>
    <font>
      <b/>
      <color rgb="FFFFFFFF"/>
      <sz val="10"/>
      <name val="Calibri"/>
    </font>
    <font>
      <b/>
      <color rgb="FF0B4655"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5C6E"/>
      </patternFill>
    </fill>
    <fill>
      <patternFill patternType="solid">
        <fgColor rgb="FFEDF1F2"/>
      </patternFill>
    </fill>
    <fill>
      <patternFill patternType="solid">
        <fgColor rgb="FFFBF3E2"/>
      </patternFill>
    </fill>
    <fill>
      <patternFill patternType="solid">
        <fgColor rgb="FFF7F9F9"/>
      </patternFill>
    </fill>
  </fills>
  <borders count="2">
    <border>
      <left/>
      <right/>
      <top/>
      <bottom/>
      <diagonal/>
    </border>
    <border>
      <left style="thin">
        <color rgb="FFC6D0D5"/>
      </left>
      <right style="thin">
        <color rgb="FFC6D0D5"/>
      </right>
      <top style="thin">
        <color rgb="FFC6D0D5"/>
      </top>
      <bottom style="thin">
        <color rgb="FFC6D0D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4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4" fontId="5" fillId="4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52" customWidth="1"/>
  </cols>
  <sheetData>
    <row r="1" ht="26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3" ht="30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4" t="s">
        <v>5</v>
      </c>
      <c r="B4" s="4"/>
      <c r="C4" s="4"/>
    </row>
    <row r="5" spans="1:3" x14ac:dyDescent="0.25">
      <c r="A5" s="5" t="s">
        <v>6</v>
      </c>
      <c r="B5" s="6"/>
      <c r="C5" s="5" t="s">
        <v>7</v>
      </c>
    </row>
    <row r="6" spans="1:3" x14ac:dyDescent="0.25">
      <c r="A6" s="7" t="s">
        <v>8</v>
      </c>
      <c r="B6" s="6"/>
      <c r="C6" s="7"/>
    </row>
    <row r="7" spans="1:3" x14ac:dyDescent="0.25">
      <c r="A7" s="5" t="s">
        <v>9</v>
      </c>
      <c r="B7" s="6"/>
      <c r="C7" s="5"/>
    </row>
    <row r="8" spans="1:3" x14ac:dyDescent="0.25">
      <c r="A8" s="7" t="s">
        <v>10</v>
      </c>
      <c r="B8" s="6"/>
      <c r="C8" s="7"/>
    </row>
    <row r="9" spans="1:3" x14ac:dyDescent="0.25">
      <c r="A9" s="5" t="s">
        <v>11</v>
      </c>
      <c r="B9" s="6"/>
      <c r="C9" s="5" t="s">
        <v>12</v>
      </c>
    </row>
    <row r="10" spans="1:3" x14ac:dyDescent="0.25">
      <c r="A10" s="7" t="s">
        <v>13</v>
      </c>
      <c r="B10" s="6"/>
      <c r="C10" s="7" t="s">
        <v>14</v>
      </c>
    </row>
    <row r="11" spans="1:3" x14ac:dyDescent="0.25">
      <c r="A11" s="5" t="s">
        <v>15</v>
      </c>
      <c r="B11" s="6"/>
      <c r="C11" s="5" t="s">
        <v>14</v>
      </c>
    </row>
    <row r="12" spans="1:3" x14ac:dyDescent="0.25">
      <c r="A12" s="7" t="s">
        <v>16</v>
      </c>
      <c r="B12" s="6"/>
      <c r="C12" s="7"/>
    </row>
    <row r="13" ht="20" customHeight="1" spans="1:3" x14ac:dyDescent="0.25">
      <c r="A13" s="4" t="s">
        <v>17</v>
      </c>
      <c r="B13" s="4"/>
      <c r="C13" s="4"/>
    </row>
    <row r="14" spans="1:3" x14ac:dyDescent="0.25">
      <c r="A14" s="5" t="s">
        <v>18</v>
      </c>
      <c r="B14" s="6"/>
      <c r="C14" s="5"/>
    </row>
    <row r="15" spans="1:3" x14ac:dyDescent="0.25">
      <c r="A15" s="7" t="s">
        <v>19</v>
      </c>
      <c r="B15" s="6"/>
      <c r="C15" s="7"/>
    </row>
    <row r="16" spans="1:3" x14ac:dyDescent="0.25">
      <c r="A16" s="5" t="s">
        <v>20</v>
      </c>
      <c r="B16" s="6"/>
      <c r="C16" s="5" t="s">
        <v>21</v>
      </c>
    </row>
    <row r="17" spans="1:3" x14ac:dyDescent="0.25">
      <c r="A17" s="7" t="s">
        <v>22</v>
      </c>
      <c r="B17" s="6"/>
      <c r="C17" s="7" t="s">
        <v>23</v>
      </c>
    </row>
    <row r="18" ht="20" customHeight="1" spans="1:3" x14ac:dyDescent="0.25">
      <c r="A18" s="4" t="s">
        <v>24</v>
      </c>
      <c r="B18" s="4"/>
      <c r="C18" s="4"/>
    </row>
    <row r="19" spans="1:3" x14ac:dyDescent="0.25">
      <c r="A19" s="5" t="s">
        <v>25</v>
      </c>
      <c r="B19" s="6"/>
      <c r="C19" s="5"/>
    </row>
    <row r="20" spans="1:3" x14ac:dyDescent="0.25">
      <c r="A20" s="7" t="s">
        <v>26</v>
      </c>
      <c r="B20" s="6"/>
      <c r="C20" s="7"/>
    </row>
    <row r="21" spans="1:3" x14ac:dyDescent="0.25">
      <c r="A21" s="5" t="s">
        <v>27</v>
      </c>
      <c r="B21" s="6"/>
      <c r="C21" s="5"/>
    </row>
    <row r="22" spans="1:3" x14ac:dyDescent="0.25">
      <c r="A22" s="7" t="s">
        <v>28</v>
      </c>
      <c r="B22" s="6"/>
      <c r="C22" s="7"/>
    </row>
    <row r="23" spans="1:3" x14ac:dyDescent="0.25">
      <c r="A23" s="5" t="s">
        <v>29</v>
      </c>
      <c r="B23" s="6"/>
      <c r="C23" s="5" t="s">
        <v>30</v>
      </c>
    </row>
    <row r="24" spans="1:3" x14ac:dyDescent="0.25">
      <c r="A24" s="7" t="s">
        <v>31</v>
      </c>
      <c r="B24" s="6"/>
      <c r="C24" s="7" t="s">
        <v>32</v>
      </c>
    </row>
    <row r="25" ht="20" customHeight="1" spans="1:3" x14ac:dyDescent="0.25">
      <c r="A25" s="4" t="s">
        <v>33</v>
      </c>
      <c r="B25" s="4"/>
      <c r="C25" s="4"/>
    </row>
    <row r="26" spans="1:3" x14ac:dyDescent="0.25">
      <c r="A26" s="5" t="s">
        <v>34</v>
      </c>
      <c r="B26" s="6"/>
      <c r="C26" s="5" t="s">
        <v>35</v>
      </c>
    </row>
    <row r="27" spans="1:3" x14ac:dyDescent="0.25">
      <c r="A27" s="7" t="s">
        <v>36</v>
      </c>
      <c r="B27" s="6"/>
      <c r="C27" s="7"/>
    </row>
    <row r="28" spans="1:3" x14ac:dyDescent="0.25">
      <c r="A28" s="5" t="s">
        <v>37</v>
      </c>
      <c r="B28" s="6"/>
      <c r="C28" s="5"/>
    </row>
    <row r="29" spans="1:3" x14ac:dyDescent="0.25">
      <c r="A29" s="7" t="s">
        <v>38</v>
      </c>
      <c r="B29" s="6"/>
      <c r="C29" s="7"/>
    </row>
    <row r="30" ht="20" customHeight="1" spans="1:3" x14ac:dyDescent="0.25">
      <c r="A30" s="4" t="s">
        <v>39</v>
      </c>
      <c r="B30" s="4"/>
      <c r="C30" s="4"/>
    </row>
    <row r="31" spans="1:3" x14ac:dyDescent="0.25">
      <c r="A31" s="5" t="s">
        <v>40</v>
      </c>
      <c r="B31" s="6"/>
      <c r="C31" s="5" t="s">
        <v>41</v>
      </c>
    </row>
    <row r="32" spans="1:3" x14ac:dyDescent="0.25">
      <c r="A32" s="7" t="s">
        <v>42</v>
      </c>
      <c r="B32" s="6"/>
      <c r="C32" s="7" t="s">
        <v>43</v>
      </c>
    </row>
    <row r="33" spans="1:3" x14ac:dyDescent="0.25">
      <c r="A33" s="5" t="s">
        <v>44</v>
      </c>
      <c r="B33" s="6"/>
      <c r="C33" s="5" t="s">
        <v>45</v>
      </c>
    </row>
    <row r="34" spans="1:3" x14ac:dyDescent="0.25">
      <c r="A34" s="7" t="s">
        <v>46</v>
      </c>
      <c r="B34" s="6"/>
      <c r="C34" s="7" t="s">
        <v>47</v>
      </c>
    </row>
    <row r="35" spans="1:3" x14ac:dyDescent="0.25">
      <c r="A35" s="5" t="s">
        <v>48</v>
      </c>
      <c r="B35" s="6"/>
      <c r="C35" s="5" t="s">
        <v>49</v>
      </c>
    </row>
  </sheetData>
  <autoFilter ref="A3:C3"/>
  <mergeCells count="7">
    <mergeCell ref="A1:C1"/>
    <mergeCell ref="A2:C2"/>
    <mergeCell ref="A4:C4"/>
    <mergeCell ref="A13:C13"/>
    <mergeCell ref="A18:C18"/>
    <mergeCell ref="A25:C25"/>
    <mergeCell ref="A30:C30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6" customWidth="1"/>
    <col min="3" max="4" width="12" customWidth="1"/>
    <col min="6" max="6" width="18" customWidth="1"/>
    <col min="7" max="8" width="15" customWidth="1"/>
    <col min="9" max="9" width="17" customWidth="1"/>
    <col min="10" max="10" width="12" customWidth="1"/>
    <col min="11" max="11" width="13" customWidth="1"/>
    <col min="12" max="12" width="40" customWidth="1"/>
    <col min="13" max="13" width="20" customWidth="1"/>
    <col min="14" max="14" width="26" customWidth="1"/>
  </cols>
  <sheetData>
    <row r="1" ht="26" customHeight="1" spans="1:14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</row>
    <row r="4" spans="1:14" x14ac:dyDescent="0.25">
      <c r="A4" s="5">
        <v>1</v>
      </c>
      <c r="B4" s="6"/>
      <c r="C4" s="8"/>
      <c r="D4" s="8"/>
      <c r="E4" s="6"/>
      <c r="F4" s="6"/>
      <c r="G4" s="8"/>
      <c r="H4" s="9">
        <f>IF(OR(G4="",C4=""),"",G4/C4)</f>
      </c>
      <c r="I4" s="6"/>
      <c r="J4" s="6"/>
      <c r="K4" s="10"/>
      <c r="L4" s="6"/>
      <c r="M4" s="9">
        <f>IF(G4="","",G4*(1+N(K4)))</f>
      </c>
      <c r="N4" s="6"/>
    </row>
    <row r="5" spans="1:14" x14ac:dyDescent="0.25">
      <c r="A5" s="7">
        <v>2</v>
      </c>
      <c r="B5" s="6"/>
      <c r="C5" s="8"/>
      <c r="D5" s="8"/>
      <c r="E5" s="6"/>
      <c r="F5" s="6"/>
      <c r="G5" s="8"/>
      <c r="H5" s="11">
        <f>IF(OR(G5="",C5=""),"",G5/C5)</f>
      </c>
      <c r="I5" s="6"/>
      <c r="J5" s="6"/>
      <c r="K5" s="10"/>
      <c r="L5" s="6"/>
      <c r="M5" s="11">
        <f>IF(G5="","",G5*(1+N(K5)))</f>
      </c>
      <c r="N5" s="6"/>
    </row>
    <row r="6" spans="1:14" x14ac:dyDescent="0.25">
      <c r="A6" s="5">
        <v>3</v>
      </c>
      <c r="B6" s="6"/>
      <c r="C6" s="8"/>
      <c r="D6" s="8"/>
      <c r="E6" s="6"/>
      <c r="F6" s="6"/>
      <c r="G6" s="8"/>
      <c r="H6" s="9">
        <f>IF(OR(G6="",C6=""),"",G6/C6)</f>
      </c>
      <c r="I6" s="6"/>
      <c r="J6" s="6"/>
      <c r="K6" s="10"/>
      <c r="L6" s="6"/>
      <c r="M6" s="9">
        <f>IF(G6="","",G6*(1+N(K6)))</f>
      </c>
      <c r="N6" s="6"/>
    </row>
    <row r="7" spans="1:14" x14ac:dyDescent="0.25">
      <c r="A7" s="7">
        <v>4</v>
      </c>
      <c r="B7" s="6"/>
      <c r="C7" s="8"/>
      <c r="D7" s="8"/>
      <c r="E7" s="6"/>
      <c r="F7" s="6"/>
      <c r="G7" s="8"/>
      <c r="H7" s="11">
        <f>IF(OR(G7="",C7=""),"",G7/C7)</f>
      </c>
      <c r="I7" s="6"/>
      <c r="J7" s="6"/>
      <c r="K7" s="10"/>
      <c r="L7" s="6"/>
      <c r="M7" s="11">
        <f>IF(G7="","",G7*(1+N(K7)))</f>
      </c>
      <c r="N7" s="6"/>
    </row>
    <row r="8" spans="1:14" x14ac:dyDescent="0.25">
      <c r="A8" s="5">
        <v>5</v>
      </c>
      <c r="B8" s="6"/>
      <c r="C8" s="8"/>
      <c r="D8" s="8"/>
      <c r="E8" s="6"/>
      <c r="F8" s="6"/>
      <c r="G8" s="8"/>
      <c r="H8" s="9">
        <f>IF(OR(G8="",C8=""),"",G8/C8)</f>
      </c>
      <c r="I8" s="6"/>
      <c r="J8" s="6"/>
      <c r="K8" s="10"/>
      <c r="L8" s="6"/>
      <c r="M8" s="9">
        <f>IF(G8="","",G8*(1+N(K8)))</f>
      </c>
      <c r="N8" s="6"/>
    </row>
    <row r="9" spans="1:14" x14ac:dyDescent="0.25">
      <c r="A9" s="7">
        <v>6</v>
      </c>
      <c r="B9" s="6"/>
      <c r="C9" s="8"/>
      <c r="D9" s="8"/>
      <c r="E9" s="6"/>
      <c r="F9" s="6"/>
      <c r="G9" s="8"/>
      <c r="H9" s="11">
        <f>IF(OR(G9="",C9=""),"",G9/C9)</f>
      </c>
      <c r="I9" s="6"/>
      <c r="J9" s="6"/>
      <c r="K9" s="10"/>
      <c r="L9" s="6"/>
      <c r="M9" s="11">
        <f>IF(G9="","",G9*(1+N(K9)))</f>
      </c>
      <c r="N9" s="6"/>
    </row>
    <row r="10" spans="1:14" x14ac:dyDescent="0.25">
      <c r="A10" s="5"/>
      <c r="B10" s="6"/>
      <c r="C10" s="8"/>
      <c r="D10" s="8"/>
      <c r="E10" s="6"/>
      <c r="F10" s="6"/>
      <c r="G10" s="8"/>
      <c r="H10" s="9"/>
      <c r="I10" s="6"/>
      <c r="J10" s="6"/>
      <c r="K10" s="10"/>
      <c r="L10" s="6"/>
      <c r="M10" s="9"/>
      <c r="N10" s="6"/>
    </row>
    <row r="11" spans="1:14" x14ac:dyDescent="0.25">
      <c r="A11" s="7"/>
      <c r="B11" s="6" t="s">
        <v>66</v>
      </c>
      <c r="C11" s="8"/>
      <c r="D11" s="8"/>
      <c r="E11" s="6"/>
      <c r="F11" s="6"/>
      <c r="G11" s="8"/>
      <c r="H11" s="11"/>
      <c r="I11" s="6"/>
      <c r="J11" s="6"/>
      <c r="K11" s="10"/>
      <c r="L11" s="6"/>
      <c r="M11" s="11">
        <f>IF(COUNT(M4:M9)=0,"",AVERAGE(M4:M9))</f>
      </c>
      <c r="N11" s="6"/>
    </row>
    <row r="12" spans="1:14" x14ac:dyDescent="0.25">
      <c r="A12" s="5"/>
      <c r="B12" s="6" t="s">
        <v>67</v>
      </c>
      <c r="C12" s="8"/>
      <c r="D12" s="8"/>
      <c r="E12" s="6"/>
      <c r="F12" s="6"/>
      <c r="G12" s="8"/>
      <c r="H12" s="9"/>
      <c r="I12" s="6"/>
      <c r="J12" s="6"/>
      <c r="K12" s="10"/>
      <c r="L12" s="6"/>
      <c r="M12" s="9">
        <f>IF(COUNT(M4:M9)=0,"",MIN(M4:M9))</f>
      </c>
      <c r="N12" s="6"/>
    </row>
    <row r="13" spans="1:14" x14ac:dyDescent="0.25">
      <c r="A13" s="7"/>
      <c r="B13" s="6" t="s">
        <v>68</v>
      </c>
      <c r="C13" s="8"/>
      <c r="D13" s="8"/>
      <c r="E13" s="6"/>
      <c r="F13" s="6"/>
      <c r="G13" s="8"/>
      <c r="H13" s="11"/>
      <c r="I13" s="6"/>
      <c r="J13" s="6"/>
      <c r="K13" s="10"/>
      <c r="L13" s="6"/>
      <c r="M13" s="11">
        <f>IF(COUNT(M4:M9)=0,"",MAX(M4:M9))</f>
      </c>
      <c r="N13" s="6"/>
    </row>
  </sheetData>
  <autoFilter ref="A3:N3"/>
  <mergeCells count="2">
    <mergeCell ref="A1:N1"/>
    <mergeCell ref="A2:N2"/>
  </mergeCells>
  <dataValidations count="6">
    <dataValidation type="list" allowBlank="1" sqref="F10:F13">
      <formula1>"neu,gut,gebraucht,sanierungsbedürftig,nicht vorhanden"</formula1>
    </dataValidation>
    <dataValidation type="list" allowBlank="1" sqref="F4:F13">
      <formula1>"neu,gut,gebraucht,sanierungsbedürftig,nicht vorhanden"</formula1>
    </dataValidation>
    <dataValidation type="list" allowBlank="1" sqref="F4:F213">
      <formula1>"neu,gut,gebraucht,sanierungsbedürftig,nicht vorhanden"</formula1>
    </dataValidation>
    <dataValidation type="list" allowBlank="1" sqref="I10:I13">
      <formula1>"Angebotspreis,Abschlusspreis"</formula1>
    </dataValidation>
    <dataValidation type="list" allowBlank="1" sqref="I4:I13">
      <formula1>"Angebotspreis,Abschlusspreis"</formula1>
    </dataValidation>
    <dataValidation type="list" allowBlank="1" sqref="I4:I213">
      <formula1>"Angebotspreis,Abschlusspreis"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2" customWidth="1"/>
    <col min="3" max="3" width="18" customWidth="1"/>
    <col min="4" max="4" width="62" customWidth="1"/>
  </cols>
  <sheetData>
    <row r="1" ht="26" customHeight="1" spans="1:4" x14ac:dyDescent="0.25">
      <c r="A1" s="1" t="s">
        <v>69</v>
      </c>
      <c r="B1" s="1"/>
      <c r="C1" s="1"/>
      <c r="D1" s="1"/>
    </row>
    <row r="2" ht="16" customHeight="1" spans="1:4" x14ac:dyDescent="0.25">
      <c r="A2" s="2" t="s">
        <v>70</v>
      </c>
      <c r="B2" s="2"/>
      <c r="C2" s="2"/>
      <c r="D2" s="2"/>
    </row>
    <row r="3" ht="30" customHeight="1" spans="1:4" x14ac:dyDescent="0.25">
      <c r="A3" s="3" t="s">
        <v>71</v>
      </c>
      <c r="B3" s="3" t="s">
        <v>72</v>
      </c>
      <c r="C3" s="3" t="s">
        <v>73</v>
      </c>
      <c r="D3" s="3" t="s">
        <v>4</v>
      </c>
    </row>
    <row r="4" spans="1:4" x14ac:dyDescent="0.25">
      <c r="A4" s="5" t="s">
        <v>74</v>
      </c>
      <c r="B4" s="5" t="s">
        <v>75</v>
      </c>
      <c r="C4" s="12"/>
      <c r="D4" s="5" t="s">
        <v>76</v>
      </c>
    </row>
    <row r="5" spans="1:4" x14ac:dyDescent="0.25">
      <c r="A5" s="7" t="s">
        <v>77</v>
      </c>
      <c r="B5" s="7" t="s">
        <v>78</v>
      </c>
      <c r="C5" s="12"/>
      <c r="D5" s="7" t="s">
        <v>79</v>
      </c>
    </row>
    <row r="6" spans="1:4" x14ac:dyDescent="0.25">
      <c r="A6" s="5" t="s">
        <v>80</v>
      </c>
      <c r="B6" s="5" t="s">
        <v>81</v>
      </c>
      <c r="C6" s="12">
        <f>IF(OR(C4="",C5=""),"",C4*C5)</f>
      </c>
      <c r="D6" s="5" t="s">
        <v>82</v>
      </c>
    </row>
    <row r="7" spans="1:4" x14ac:dyDescent="0.25">
      <c r="A7" s="7" t="s">
        <v>83</v>
      </c>
      <c r="B7" s="7" t="s">
        <v>84</v>
      </c>
      <c r="C7" s="12"/>
      <c r="D7" s="7" t="s">
        <v>85</v>
      </c>
    </row>
    <row r="8" spans="1:4" x14ac:dyDescent="0.25">
      <c r="A8" s="5" t="s">
        <v>86</v>
      </c>
      <c r="B8" s="5" t="s">
        <v>87</v>
      </c>
      <c r="C8" s="12"/>
      <c r="D8" s="5" t="s">
        <v>76</v>
      </c>
    </row>
    <row r="9" spans="1:4" x14ac:dyDescent="0.25">
      <c r="A9" s="7" t="s">
        <v>88</v>
      </c>
      <c r="B9" s="7" t="s">
        <v>81</v>
      </c>
      <c r="C9" s="12">
        <f>IF(OR(C7="",C8=""),"",C7*C8)</f>
      </c>
      <c r="D9" s="7" t="s">
        <v>82</v>
      </c>
    </row>
    <row r="10" spans="1:4" x14ac:dyDescent="0.25">
      <c r="A10" s="5" t="s">
        <v>89</v>
      </c>
      <c r="B10" s="5" t="s">
        <v>90</v>
      </c>
      <c r="C10" s="12"/>
      <c r="D10" s="5" t="s">
        <v>91</v>
      </c>
    </row>
    <row r="11" spans="1:4" x14ac:dyDescent="0.25">
      <c r="A11" s="7" t="s">
        <v>92</v>
      </c>
      <c r="B11" s="7" t="s">
        <v>81</v>
      </c>
      <c r="C11" s="12">
        <f>IF(OR(C9="",C10=""),"",C9*(1-C10))</f>
      </c>
      <c r="D11" s="7" t="s">
        <v>82</v>
      </c>
    </row>
    <row r="12" spans="1:4" x14ac:dyDescent="0.25">
      <c r="A12" s="5" t="s">
        <v>93</v>
      </c>
      <c r="B12" s="5" t="s">
        <v>81</v>
      </c>
      <c r="C12" s="12"/>
      <c r="D12" s="5" t="s">
        <v>76</v>
      </c>
    </row>
    <row r="13" spans="1:4" x14ac:dyDescent="0.25">
      <c r="A13" s="7" t="s">
        <v>94</v>
      </c>
      <c r="B13" s="7" t="s">
        <v>81</v>
      </c>
      <c r="C13" s="12"/>
      <c r="D13" s="7" t="s">
        <v>76</v>
      </c>
    </row>
    <row r="14" spans="1:4" x14ac:dyDescent="0.25">
      <c r="A14" s="5" t="s">
        <v>95</v>
      </c>
      <c r="B14" s="5" t="s">
        <v>81</v>
      </c>
      <c r="C14" s="12">
        <f>IF(C6="","",N(C6)+N(C11)+N(C12)+N(C13))</f>
      </c>
      <c r="D14" s="5" t="s">
        <v>82</v>
      </c>
    </row>
    <row r="15" spans="1:4" x14ac:dyDescent="0.25">
      <c r="A15" s="7" t="s">
        <v>96</v>
      </c>
      <c r="B15" s="7" t="s">
        <v>81</v>
      </c>
      <c r="C15" s="12"/>
      <c r="D15" s="7" t="s">
        <v>97</v>
      </c>
    </row>
    <row r="16" spans="1:4" x14ac:dyDescent="0.25">
      <c r="A16" s="5" t="s">
        <v>98</v>
      </c>
      <c r="B16" s="5" t="s">
        <v>81</v>
      </c>
      <c r="C16" s="12">
        <f>IF(C14="","",C14-N(C15))</f>
      </c>
      <c r="D16" s="5" t="s">
        <v>82</v>
      </c>
    </row>
  </sheetData>
  <autoFilter ref="A3:D3"/>
  <mergeCells count="2">
    <mergeCell ref="A1:D1"/>
    <mergeCell ref="A2:D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15" customWidth="1"/>
    <col min="4" max="4" width="44" customWidth="1"/>
    <col min="5" max="5" width="20" customWidth="1"/>
    <col min="6" max="6" width="17" customWidth="1"/>
    <col min="7" max="7" width="26" customWidth="1"/>
  </cols>
  <sheetData>
    <row r="1" ht="26" customHeight="1" spans="1:7" x14ac:dyDescent="0.25">
      <c r="A1" s="1" t="s">
        <v>99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100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101</v>
      </c>
      <c r="B3" s="3" t="s">
        <v>57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</row>
    <row r="4" spans="1:7" x14ac:dyDescent="0.25">
      <c r="A4" s="5" t="s">
        <v>107</v>
      </c>
      <c r="B4" s="6"/>
      <c r="C4" s="6"/>
      <c r="D4" s="6"/>
      <c r="E4" s="6"/>
      <c r="F4" s="8"/>
      <c r="G4" s="6"/>
    </row>
    <row r="5" spans="1:7" x14ac:dyDescent="0.25">
      <c r="A5" s="7" t="s">
        <v>108</v>
      </c>
      <c r="B5" s="6"/>
      <c r="C5" s="6"/>
      <c r="D5" s="6"/>
      <c r="E5" s="6"/>
      <c r="F5" s="8"/>
      <c r="G5" s="6"/>
    </row>
    <row r="6" spans="1:7" x14ac:dyDescent="0.25">
      <c r="A6" s="5" t="s">
        <v>109</v>
      </c>
      <c r="B6" s="6"/>
      <c r="C6" s="6"/>
      <c r="D6" s="6"/>
      <c r="E6" s="6"/>
      <c r="F6" s="8"/>
      <c r="G6" s="6"/>
    </row>
    <row r="7" spans="1:7" x14ac:dyDescent="0.25">
      <c r="A7" s="7" t="s">
        <v>110</v>
      </c>
      <c r="B7" s="6"/>
      <c r="C7" s="6"/>
      <c r="D7" s="6"/>
      <c r="E7" s="6"/>
      <c r="F7" s="8"/>
      <c r="G7" s="6"/>
    </row>
    <row r="8" spans="1:7" x14ac:dyDescent="0.25">
      <c r="A8" s="5" t="s">
        <v>111</v>
      </c>
      <c r="B8" s="6"/>
      <c r="C8" s="6"/>
      <c r="D8" s="6"/>
      <c r="E8" s="6"/>
      <c r="F8" s="8"/>
      <c r="G8" s="6"/>
    </row>
    <row r="9" spans="1:7" x14ac:dyDescent="0.25">
      <c r="A9" s="7" t="s">
        <v>112</v>
      </c>
      <c r="B9" s="6"/>
      <c r="C9" s="6"/>
      <c r="D9" s="6"/>
      <c r="E9" s="6"/>
      <c r="F9" s="8"/>
      <c r="G9" s="6"/>
    </row>
    <row r="10" spans="1:7" x14ac:dyDescent="0.25">
      <c r="A10" s="5" t="s">
        <v>113</v>
      </c>
      <c r="B10" s="6"/>
      <c r="C10" s="6"/>
      <c r="D10" s="6"/>
      <c r="E10" s="6"/>
      <c r="F10" s="8"/>
      <c r="G10" s="6"/>
    </row>
    <row r="11" spans="1:7" x14ac:dyDescent="0.25">
      <c r="A11" s="7" t="s">
        <v>114</v>
      </c>
      <c r="B11" s="6"/>
      <c r="C11" s="6"/>
      <c r="D11" s="6"/>
      <c r="E11" s="6"/>
      <c r="F11" s="8"/>
      <c r="G11" s="6"/>
    </row>
    <row r="12" spans="1:7" x14ac:dyDescent="0.25">
      <c r="A12" s="5" t="s">
        <v>115</v>
      </c>
      <c r="B12" s="6"/>
      <c r="C12" s="6"/>
      <c r="D12" s="6"/>
      <c r="E12" s="6"/>
      <c r="F12" s="8"/>
      <c r="G12" s="6"/>
    </row>
    <row r="13" spans="1:7" x14ac:dyDescent="0.25">
      <c r="A13" s="7" t="s">
        <v>116</v>
      </c>
      <c r="B13" s="6"/>
      <c r="C13" s="6"/>
      <c r="D13" s="6"/>
      <c r="E13" s="6"/>
      <c r="F13" s="8"/>
      <c r="G13" s="6"/>
    </row>
    <row r="14" spans="1:7" x14ac:dyDescent="0.25">
      <c r="A14" s="5" t="s">
        <v>117</v>
      </c>
      <c r="B14" s="6"/>
      <c r="C14" s="6"/>
      <c r="D14" s="6"/>
      <c r="E14" s="6"/>
      <c r="F14" s="8"/>
      <c r="G14" s="6"/>
    </row>
    <row r="15" spans="1:7" x14ac:dyDescent="0.25">
      <c r="A15" s="7" t="s">
        <v>118</v>
      </c>
      <c r="B15" s="6"/>
      <c r="C15" s="6"/>
      <c r="D15" s="6"/>
      <c r="E15" s="6"/>
      <c r="F15" s="8"/>
      <c r="G15" s="6"/>
    </row>
    <row r="16" spans="1:7" x14ac:dyDescent="0.25">
      <c r="A16" s="5" t="s">
        <v>119</v>
      </c>
      <c r="B16" s="6"/>
      <c r="C16" s="6"/>
      <c r="D16" s="6"/>
      <c r="E16" s="6"/>
      <c r="F16" s="8"/>
      <c r="G16" s="6"/>
    </row>
    <row r="17" spans="1:7" x14ac:dyDescent="0.25">
      <c r="A17" s="7" t="s">
        <v>120</v>
      </c>
      <c r="B17" s="6"/>
      <c r="C17" s="6"/>
      <c r="D17" s="6"/>
      <c r="E17" s="6"/>
      <c r="F17" s="8"/>
      <c r="G17" s="6"/>
    </row>
    <row r="18" spans="1:7" x14ac:dyDescent="0.25">
      <c r="A18" s="5" t="s">
        <v>121</v>
      </c>
      <c r="B18" s="6"/>
      <c r="C18" s="6"/>
      <c r="D18" s="6"/>
      <c r="E18" s="6"/>
      <c r="F18" s="8"/>
      <c r="G18" s="6"/>
    </row>
    <row r="19" spans="1:7" x14ac:dyDescent="0.25">
      <c r="A19" s="7"/>
      <c r="B19" s="6"/>
      <c r="C19" s="6"/>
      <c r="D19" s="6"/>
      <c r="E19" s="6"/>
      <c r="F19" s="8"/>
      <c r="G19" s="6"/>
    </row>
    <row r="20" spans="1:7" x14ac:dyDescent="0.25">
      <c r="A20" s="5" t="s">
        <v>122</v>
      </c>
      <c r="B20" s="6"/>
      <c r="C20" s="6"/>
      <c r="D20" s="6"/>
      <c r="E20" s="6"/>
      <c r="F20" s="8">
        <f>SUM(F4:F18)</f>
      </c>
      <c r="G20" s="6"/>
    </row>
  </sheetData>
  <autoFilter ref="A3:G3"/>
  <mergeCells count="2">
    <mergeCell ref="A1:G1"/>
    <mergeCell ref="A2:G2"/>
  </mergeCells>
  <dataValidations count="6">
    <dataValidation type="list" allowBlank="1" sqref="B10:B20">
      <formula1>"neu,gut,gebraucht,sanierungsbedürftig,nicht vorhanden"</formula1>
    </dataValidation>
    <dataValidation type="list" allowBlank="1" sqref="B4:B20">
      <formula1>"neu,gut,gebraucht,sanierungsbedürftig,nicht vorhanden"</formula1>
    </dataValidation>
    <dataValidation type="list" allowBlank="1" sqref="B4:B220">
      <formula1>"neu,gut,gebraucht,sanierungsbedürftig,nicht vorhanden"</formula1>
    </dataValidation>
    <dataValidation type="list" allowBlank="1" sqref="E10:E20">
      <formula1>"sofort,1–3 Jahre,4–10 Jahre,über 10 Jahre,kein Bedarf"</formula1>
    </dataValidation>
    <dataValidation type="list" allowBlank="1" sqref="E4:E20">
      <formula1>"sofort,1–3 Jahre,4–10 Jahre,über 10 Jahre,kein Bedarf"</formula1>
    </dataValidation>
    <dataValidation type="list" allowBlank="1" sqref="E4:E220">
      <formula1>"sofort,1–3 Jahre,4–10 Jahre,über 10 Jahre,kein Bedarf"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2" customWidth="1"/>
    <col min="3" max="3" width="18" customWidth="1"/>
    <col min="4" max="4" width="62" customWidth="1"/>
  </cols>
  <sheetData>
    <row r="1" ht="26" customHeight="1" spans="1:4" x14ac:dyDescent="0.25">
      <c r="A1" s="1" t="s">
        <v>123</v>
      </c>
      <c r="B1" s="1"/>
      <c r="C1" s="1"/>
      <c r="D1" s="1"/>
    </row>
    <row r="2" ht="16" customHeight="1" spans="1:4" x14ac:dyDescent="0.25">
      <c r="A2" s="2" t="s">
        <v>124</v>
      </c>
      <c r="B2" s="2"/>
      <c r="C2" s="2"/>
      <c r="D2" s="2"/>
    </row>
    <row r="3" ht="30" customHeight="1" spans="1:4" x14ac:dyDescent="0.25">
      <c r="A3" s="3" t="s">
        <v>71</v>
      </c>
      <c r="B3" s="3" t="s">
        <v>72</v>
      </c>
      <c r="C3" s="3" t="s">
        <v>73</v>
      </c>
      <c r="D3" s="3" t="s">
        <v>4</v>
      </c>
    </row>
    <row r="4" spans="1:4" x14ac:dyDescent="0.25">
      <c r="A4" s="5" t="s">
        <v>125</v>
      </c>
      <c r="B4" s="5" t="s">
        <v>81</v>
      </c>
      <c r="C4" s="12"/>
      <c r="D4" s="5" t="s">
        <v>126</v>
      </c>
    </row>
    <row r="5" spans="1:4" x14ac:dyDescent="0.25">
      <c r="A5" s="7" t="s">
        <v>127</v>
      </c>
      <c r="B5" s="7" t="s">
        <v>90</v>
      </c>
      <c r="C5" s="12"/>
      <c r="D5" s="7" t="s">
        <v>128</v>
      </c>
    </row>
    <row r="6" spans="1:4" x14ac:dyDescent="0.25">
      <c r="A6" s="5" t="s">
        <v>129</v>
      </c>
      <c r="B6" s="5" t="s">
        <v>81</v>
      </c>
      <c r="C6" s="12">
        <f>IF(C4="","",C4*(1-N(C5)))</f>
      </c>
      <c r="D6" s="5" t="s">
        <v>82</v>
      </c>
    </row>
    <row r="7" spans="1:4" x14ac:dyDescent="0.25">
      <c r="A7" s="7" t="s">
        <v>130</v>
      </c>
      <c r="B7" s="7" t="s">
        <v>81</v>
      </c>
      <c r="C7" s="12"/>
      <c r="D7" s="7" t="s">
        <v>131</v>
      </c>
    </row>
    <row r="8" spans="1:4" x14ac:dyDescent="0.25">
      <c r="A8" s="5" t="s">
        <v>132</v>
      </c>
      <c r="B8" s="5" t="s">
        <v>81</v>
      </c>
      <c r="C8" s="12"/>
      <c r="D8" s="5" t="s">
        <v>133</v>
      </c>
    </row>
    <row r="9" spans="1:4" x14ac:dyDescent="0.25">
      <c r="A9" s="7" t="s">
        <v>134</v>
      </c>
      <c r="B9" s="7" t="s">
        <v>81</v>
      </c>
      <c r="C9" s="12">
        <f>IF(C6="","",C6-N(C7)-N(C8))</f>
      </c>
      <c r="D9" s="7" t="s">
        <v>82</v>
      </c>
    </row>
    <row r="10" spans="1:4" x14ac:dyDescent="0.25">
      <c r="A10" s="5" t="s">
        <v>135</v>
      </c>
      <c r="B10" s="5" t="s">
        <v>90</v>
      </c>
      <c r="C10" s="12"/>
      <c r="D10" s="5" t="s">
        <v>136</v>
      </c>
    </row>
    <row r="11" spans="1:4" x14ac:dyDescent="0.25">
      <c r="A11" s="7" t="s">
        <v>137</v>
      </c>
      <c r="B11" s="7" t="s">
        <v>81</v>
      </c>
      <c r="C11" s="12">
        <f>IF(OR(C9="",C10=""),"",C9/C10)</f>
      </c>
      <c r="D11" s="7" t="s">
        <v>82</v>
      </c>
    </row>
    <row r="12" spans="1:4" x14ac:dyDescent="0.25">
      <c r="A12" s="5" t="s">
        <v>138</v>
      </c>
      <c r="B12" s="5" t="s">
        <v>139</v>
      </c>
      <c r="C12" s="12"/>
      <c r="D12" s="5"/>
    </row>
    <row r="13" spans="1:4" x14ac:dyDescent="0.25">
      <c r="A13" s="7" t="s">
        <v>140</v>
      </c>
      <c r="B13" s="7" t="s">
        <v>141</v>
      </c>
      <c r="C13" s="12"/>
      <c r="D13" s="7" t="s">
        <v>142</v>
      </c>
    </row>
    <row r="14" spans="1:4" x14ac:dyDescent="0.25">
      <c r="A14" s="5" t="s">
        <v>143</v>
      </c>
      <c r="B14" s="5" t="s">
        <v>139</v>
      </c>
      <c r="C14" s="12"/>
      <c r="D14" s="5"/>
    </row>
  </sheetData>
  <autoFilter ref="A3:D3"/>
  <mergeCells count="2">
    <mergeCell ref="A1:D1"/>
    <mergeCell ref="A2:D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0" customWidth="1"/>
    <col min="3" max="3" width="13" customWidth="1"/>
    <col min="4" max="4" width="66" customWidth="1"/>
  </cols>
  <sheetData>
    <row r="1" ht="26" customHeight="1" spans="1:4" x14ac:dyDescent="0.25">
      <c r="A1" s="1" t="s">
        <v>144</v>
      </c>
      <c r="B1" s="1"/>
      <c r="C1" s="1"/>
      <c r="D1" s="1"/>
    </row>
    <row r="2" ht="30" customHeight="1" spans="1:4" x14ac:dyDescent="0.25">
      <c r="A2" s="2" t="s">
        <v>145</v>
      </c>
      <c r="B2" s="2"/>
      <c r="C2" s="2"/>
      <c r="D2" s="2"/>
    </row>
    <row r="3" ht="30" customHeight="1" spans="1:4" x14ac:dyDescent="0.25">
      <c r="A3" s="3" t="s">
        <v>71</v>
      </c>
      <c r="B3" s="3" t="s">
        <v>73</v>
      </c>
      <c r="C3" s="3" t="s">
        <v>146</v>
      </c>
      <c r="D3" s="3" t="s">
        <v>4</v>
      </c>
    </row>
    <row r="4" spans="1:4" x14ac:dyDescent="0.25">
      <c r="A4" s="5" t="s">
        <v>147</v>
      </c>
      <c r="B4" s="8">
        <f>IF(Vergleichswert!M11="","",Vergleichswert!M11)</f>
      </c>
      <c r="C4" s="13"/>
      <c r="D4" s="5" t="s">
        <v>148</v>
      </c>
    </row>
    <row r="5" spans="1:4" x14ac:dyDescent="0.25">
      <c r="A5" s="7" t="s">
        <v>149</v>
      </c>
      <c r="B5" s="8">
        <f>IF(Vergleichswert!M12="","",Vergleichswert!M12)</f>
      </c>
      <c r="C5" s="13"/>
      <c r="D5" s="7"/>
    </row>
    <row r="6" spans="1:4" x14ac:dyDescent="0.25">
      <c r="A6" s="5" t="s">
        <v>150</v>
      </c>
      <c r="B6" s="8">
        <f>IF(Vergleichswert!M13="","",Vergleichswert!M13)</f>
      </c>
      <c r="C6" s="13"/>
      <c r="D6" s="5"/>
    </row>
    <row r="7" spans="1:4" x14ac:dyDescent="0.25">
      <c r="A7" s="7" t="s">
        <v>98</v>
      </c>
      <c r="B7" s="8">
        <f>IF(Realwert!C16="","",Realwert!C16)</f>
      </c>
      <c r="C7" s="13"/>
      <c r="D7" s="7" t="s">
        <v>151</v>
      </c>
    </row>
    <row r="8" spans="1:4" x14ac:dyDescent="0.25">
      <c r="A8" s="5" t="s">
        <v>137</v>
      </c>
      <c r="B8" s="8">
        <f>IF(Ertragswert!C11="","",Ertragswert!C11)</f>
      </c>
      <c r="C8" s="13"/>
      <c r="D8" s="5" t="s">
        <v>152</v>
      </c>
    </row>
    <row r="9" spans="1:4" x14ac:dyDescent="0.25">
      <c r="A9" s="7" t="s">
        <v>153</v>
      </c>
      <c r="B9" s="10">
        <f>IF(OR(B4="",B7=""),"",B4/B7-1)</f>
      </c>
      <c r="C9" s="13"/>
      <c r="D9" s="7" t="s">
        <v>154</v>
      </c>
    </row>
    <row r="10" spans="1:4" x14ac:dyDescent="0.25">
      <c r="A10" s="5"/>
      <c r="B10" s="8"/>
      <c r="C10" s="13"/>
      <c r="D10" s="5"/>
    </row>
    <row r="11" spans="1:4" x14ac:dyDescent="0.25">
      <c r="A11" s="7" t="s">
        <v>155</v>
      </c>
      <c r="B11" s="8">
        <f>IF(SUM(C12:C14)=0,"",(N(B4)*N(C12)+N(B7)*N(C13)+N(B8)*N(C14))/SUM(C12:C14))</f>
      </c>
      <c r="C11" s="13"/>
      <c r="D11" s="7" t="s">
        <v>156</v>
      </c>
    </row>
    <row r="12" spans="1:4" x14ac:dyDescent="0.25">
      <c r="A12" s="5" t="s">
        <v>157</v>
      </c>
      <c r="B12" s="8"/>
      <c r="C12" s="13"/>
      <c r="D12" s="5" t="s">
        <v>158</v>
      </c>
    </row>
    <row r="13" spans="1:4" x14ac:dyDescent="0.25">
      <c r="A13" s="7" t="s">
        <v>159</v>
      </c>
      <c r="B13" s="8"/>
      <c r="C13" s="13"/>
      <c r="D13" s="7"/>
    </row>
    <row r="14" spans="1:4" x14ac:dyDescent="0.25">
      <c r="A14" s="5" t="s">
        <v>160</v>
      </c>
      <c r="B14" s="8"/>
      <c r="C14" s="13"/>
      <c r="D14" s="5"/>
    </row>
    <row r="15" spans="1:4" x14ac:dyDescent="0.25">
      <c r="A15" s="7" t="s">
        <v>161</v>
      </c>
      <c r="B15" s="8"/>
      <c r="C15" s="13"/>
      <c r="D15" s="7"/>
    </row>
    <row r="16" spans="1:4" x14ac:dyDescent="0.25">
      <c r="A16" s="5"/>
      <c r="B16" s="8"/>
      <c r="C16" s="13"/>
      <c r="D16" s="5"/>
    </row>
    <row r="17" spans="1:4" x14ac:dyDescent="0.25">
      <c r="A17" s="7" t="s">
        <v>54</v>
      </c>
      <c r="B17" s="8"/>
      <c r="C17" s="13"/>
      <c r="D17" s="7" t="s">
        <v>162</v>
      </c>
    </row>
    <row r="18" spans="1:4" x14ac:dyDescent="0.25">
      <c r="A18" s="5" t="s">
        <v>163</v>
      </c>
      <c r="B18" s="8"/>
      <c r="C18" s="13"/>
      <c r="D18" s="5" t="s">
        <v>164</v>
      </c>
    </row>
    <row r="19" spans="1:4" x14ac:dyDescent="0.25">
      <c r="A19" s="7" t="s">
        <v>165</v>
      </c>
      <c r="B19" s="8"/>
      <c r="C19" s="13"/>
      <c r="D19" s="7"/>
    </row>
    <row r="20" spans="1:4" x14ac:dyDescent="0.25">
      <c r="A20" s="5" t="s">
        <v>166</v>
      </c>
      <c r="B20" s="8">
        <f>IF(OR(B18="",B19=""),"",(B18+B19)/2)</f>
      </c>
      <c r="C20" s="13"/>
      <c r="D20" s="5" t="s">
        <v>82</v>
      </c>
    </row>
    <row r="21" spans="1:4" x14ac:dyDescent="0.25">
      <c r="A21" s="7" t="s">
        <v>167</v>
      </c>
      <c r="B21" s="8">
        <f>IF(OR(B20="",B17="",B17=0),"",B20/B17)</f>
      </c>
      <c r="C21" s="13"/>
      <c r="D21" s="7" t="s">
        <v>168</v>
      </c>
    </row>
    <row r="22" spans="1:4" x14ac:dyDescent="0.25">
      <c r="A22" s="5"/>
      <c r="B22" s="8"/>
      <c r="C22" s="13"/>
      <c r="D22" s="5"/>
    </row>
    <row r="23" spans="1:4" x14ac:dyDescent="0.25">
      <c r="A23" s="7" t="s">
        <v>169</v>
      </c>
      <c r="B23" s="8"/>
      <c r="C23" s="13"/>
      <c r="D23" s="7" t="s">
        <v>170</v>
      </c>
    </row>
    <row r="24" spans="1:4" x14ac:dyDescent="0.25">
      <c r="A24" s="5" t="s">
        <v>171</v>
      </c>
      <c r="B24" s="8"/>
      <c r="C24" s="13"/>
      <c r="D24" s="5"/>
    </row>
    <row r="25" spans="1:4" x14ac:dyDescent="0.25">
      <c r="A25" s="7"/>
      <c r="B25" s="8"/>
      <c r="C25" s="13"/>
      <c r="D25" s="7"/>
    </row>
    <row r="26" spans="1:4" x14ac:dyDescent="0.25">
      <c r="A26" s="5" t="s">
        <v>172</v>
      </c>
      <c r="B26" s="8"/>
      <c r="C26" s="13"/>
      <c r="D26" s="5"/>
    </row>
    <row r="27" spans="1:4" x14ac:dyDescent="0.25">
      <c r="A27" s="7" t="s">
        <v>173</v>
      </c>
      <c r="B27" s="8"/>
      <c r="C27" s="13"/>
      <c r="D27" s="7"/>
    </row>
    <row r="28" spans="1:4" x14ac:dyDescent="0.25">
      <c r="A28" s="5" t="s">
        <v>174</v>
      </c>
      <c r="B28" s="8"/>
      <c r="C28" s="13"/>
      <c r="D28" s="5" t="s">
        <v>175</v>
      </c>
    </row>
  </sheetData>
  <autoFilter ref="A3:D3"/>
  <mergeCells count="2">
    <mergeCell ref="A1:D1"/>
    <mergeCell ref="A2:D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4" width="40" customWidth="1"/>
  </cols>
  <sheetData>
    <row r="1" ht="26" customHeight="1" spans="1:4" x14ac:dyDescent="0.25">
      <c r="A1" s="1" t="s">
        <v>176</v>
      </c>
      <c r="B1" s="1"/>
      <c r="C1" s="1"/>
      <c r="D1" s="1"/>
    </row>
    <row r="2" ht="16" customHeight="1" spans="1:4" x14ac:dyDescent="0.25">
      <c r="A2" s="2" t="s">
        <v>177</v>
      </c>
      <c r="B2" s="2"/>
      <c r="C2" s="2"/>
      <c r="D2" s="2"/>
    </row>
    <row r="3" ht="30" customHeight="1" spans="1:4" x14ac:dyDescent="0.25">
      <c r="A3" s="3" t="s">
        <v>178</v>
      </c>
      <c r="B3" s="3" t="s">
        <v>179</v>
      </c>
      <c r="C3" s="3" t="s">
        <v>180</v>
      </c>
      <c r="D3" s="3" t="s">
        <v>181</v>
      </c>
    </row>
    <row r="4" spans="1:4" x14ac:dyDescent="0.25">
      <c r="A4" s="6"/>
      <c r="B4" s="6"/>
      <c r="C4" s="6"/>
      <c r="D4" s="6"/>
    </row>
    <row r="5" spans="1:4" x14ac:dyDescent="0.25">
      <c r="A5" s="6"/>
      <c r="B5" s="6"/>
      <c r="C5" s="6"/>
      <c r="D5" s="6"/>
    </row>
    <row r="6" spans="1:4" x14ac:dyDescent="0.25">
      <c r="A6" s="6"/>
      <c r="B6" s="6"/>
      <c r="C6" s="6"/>
      <c r="D6" s="6"/>
    </row>
    <row r="7" spans="1:4" x14ac:dyDescent="0.25">
      <c r="A7" s="6"/>
      <c r="B7" s="6"/>
      <c r="C7" s="6"/>
      <c r="D7" s="6"/>
    </row>
    <row r="8" spans="1:4" x14ac:dyDescent="0.25">
      <c r="A8" s="6"/>
      <c r="B8" s="6"/>
      <c r="C8" s="6"/>
      <c r="D8" s="6"/>
    </row>
    <row r="9" spans="1:4" x14ac:dyDescent="0.25">
      <c r="A9" s="6"/>
      <c r="B9" s="6"/>
      <c r="C9" s="6"/>
      <c r="D9" s="6"/>
    </row>
    <row r="10" spans="1:4" x14ac:dyDescent="0.25">
      <c r="A10" s="6"/>
      <c r="B10" s="6"/>
      <c r="C10" s="6"/>
      <c r="D10" s="6"/>
    </row>
    <row r="11" spans="1:4" x14ac:dyDescent="0.25">
      <c r="A11" s="6"/>
      <c r="B11" s="6"/>
      <c r="C11" s="6"/>
      <c r="D11" s="6"/>
    </row>
    <row r="12" spans="1:4" x14ac:dyDescent="0.25">
      <c r="A12" s="6"/>
      <c r="B12" s="6"/>
      <c r="C12" s="6"/>
      <c r="D12" s="6"/>
    </row>
    <row r="13" spans="1:4" x14ac:dyDescent="0.25">
      <c r="A13" s="6"/>
      <c r="B13" s="6"/>
      <c r="C13" s="6"/>
      <c r="D13" s="6"/>
    </row>
    <row r="14" spans="1:4" x14ac:dyDescent="0.25">
      <c r="A14" s="6"/>
      <c r="B14" s="6"/>
      <c r="C14" s="6"/>
      <c r="D14" s="6"/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</sheetData>
  <autoFilter ref="A3:D3"/>
  <mergeCells count="2">
    <mergeCell ref="A1:D1"/>
    <mergeCell ref="A2:D2"/>
  </mergeCells>
  <dataValidations count="3">
    <dataValidation type="list" allowBlank="1" sqref="A10:A19">
      <formula1>"Chance,Risiko"</formula1>
    </dataValidation>
    <dataValidation type="list" allowBlank="1" sqref="A4:A19">
      <formula1>"Chance,Risiko"</formula1>
    </dataValidation>
    <dataValidation type="list" allowBlank="1" sqref="A4:A219">
      <formula1>"Chance,Risiko"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8" customWidth="1"/>
    <col min="3" max="3" width="30" customWidth="1"/>
    <col min="4" max="4" width="56" customWidth="1"/>
  </cols>
  <sheetData>
    <row r="1" ht="26" customHeight="1" spans="1:4" x14ac:dyDescent="0.25">
      <c r="A1" s="1" t="s">
        <v>182</v>
      </c>
      <c r="B1" s="1"/>
      <c r="C1" s="1"/>
      <c r="D1" s="1"/>
    </row>
    <row r="2" ht="30" customHeight="1" spans="1:4" x14ac:dyDescent="0.25">
      <c r="A2" s="2" t="s">
        <v>183</v>
      </c>
      <c r="B2" s="2"/>
      <c r="C2" s="2"/>
      <c r="D2" s="2"/>
    </row>
    <row r="3" ht="30" customHeight="1" spans="1:4" x14ac:dyDescent="0.25">
      <c r="A3" s="3" t="s">
        <v>71</v>
      </c>
      <c r="B3" s="3" t="s">
        <v>184</v>
      </c>
      <c r="C3" s="3" t="s">
        <v>185</v>
      </c>
      <c r="D3" s="3" t="s">
        <v>4</v>
      </c>
    </row>
    <row r="4" spans="1:4" x14ac:dyDescent="0.25">
      <c r="A4" s="5" t="s">
        <v>186</v>
      </c>
      <c r="B4" s="8"/>
      <c r="C4" s="6"/>
      <c r="D4" s="5"/>
    </row>
    <row r="5" spans="1:4" x14ac:dyDescent="0.25">
      <c r="A5" s="7" t="s">
        <v>187</v>
      </c>
      <c r="B5" s="8"/>
      <c r="C5" s="6"/>
      <c r="D5" s="7" t="s">
        <v>188</v>
      </c>
    </row>
    <row r="6" spans="1:4" x14ac:dyDescent="0.25">
      <c r="A6" s="5" t="s">
        <v>189</v>
      </c>
      <c r="B6" s="8">
        <f>IF(B4="","",B4+N(B5))</f>
      </c>
      <c r="C6" s="6"/>
      <c r="D6" s="5" t="s">
        <v>82</v>
      </c>
    </row>
    <row r="7" spans="1:4" x14ac:dyDescent="0.25">
      <c r="A7" s="7" t="s">
        <v>190</v>
      </c>
      <c r="B7" s="8"/>
      <c r="C7" s="6" t="s">
        <v>191</v>
      </c>
      <c r="D7" s="7" t="s">
        <v>192</v>
      </c>
    </row>
    <row r="8" spans="1:4" x14ac:dyDescent="0.25">
      <c r="A8" s="5" t="s">
        <v>193</v>
      </c>
      <c r="B8" s="8"/>
      <c r="C8" s="6" t="s">
        <v>194</v>
      </c>
      <c r="D8" s="5" t="s">
        <v>192</v>
      </c>
    </row>
    <row r="9" spans="1:4" x14ac:dyDescent="0.25">
      <c r="A9" s="7" t="s">
        <v>195</v>
      </c>
      <c r="B9" s="8"/>
      <c r="C9" s="6" t="s">
        <v>196</v>
      </c>
      <c r="D9" s="7" t="s">
        <v>197</v>
      </c>
    </row>
    <row r="10" spans="1:4" x14ac:dyDescent="0.25">
      <c r="A10" s="5" t="s">
        <v>198</v>
      </c>
      <c r="B10" s="8"/>
      <c r="C10" s="6" t="s">
        <v>199</v>
      </c>
      <c r="D10" s="5" t="s">
        <v>200</v>
      </c>
    </row>
    <row r="11" spans="1:4" x14ac:dyDescent="0.25">
      <c r="A11" s="7" t="s">
        <v>201</v>
      </c>
      <c r="B11" s="8"/>
      <c r="C11" s="6" t="s">
        <v>199</v>
      </c>
      <c r="D11" s="7" t="s">
        <v>200</v>
      </c>
    </row>
    <row r="12" spans="1:4" x14ac:dyDescent="0.25">
      <c r="A12" s="5" t="s">
        <v>202</v>
      </c>
      <c r="B12" s="8"/>
      <c r="C12" s="6" t="s">
        <v>24</v>
      </c>
      <c r="D12" s="5" t="s">
        <v>203</v>
      </c>
    </row>
    <row r="13" spans="1:4" x14ac:dyDescent="0.25">
      <c r="A13" s="7" t="s">
        <v>204</v>
      </c>
      <c r="B13" s="8">
        <f>IF(B12="","",B12*0.081)</f>
      </c>
      <c r="C13" s="6" t="s">
        <v>24</v>
      </c>
      <c r="D13" s="7" t="s">
        <v>205</v>
      </c>
    </row>
    <row r="14" spans="1:4" x14ac:dyDescent="0.25">
      <c r="A14" s="5" t="s">
        <v>206</v>
      </c>
      <c r="B14" s="8"/>
      <c r="C14" s="6" t="s">
        <v>207</v>
      </c>
      <c r="D14" s="5"/>
    </row>
    <row r="15" spans="1:4" x14ac:dyDescent="0.25">
      <c r="A15" s="7" t="s">
        <v>208</v>
      </c>
      <c r="B15" s="8"/>
      <c r="C15" s="6"/>
      <c r="D15" s="7"/>
    </row>
    <row r="16" spans="1:4" x14ac:dyDescent="0.25">
      <c r="A16" s="5" t="s">
        <v>209</v>
      </c>
      <c r="B16" s="8">
        <f>IF(B6="","",B6-N(B7)-N(B8)-N(B9)-N(B10)-N(B11)-N(B12)-N(B13)-N(B14)-N(B15))</f>
      </c>
      <c r="C16" s="6"/>
      <c r="D16" s="5" t="s">
        <v>82</v>
      </c>
    </row>
  </sheetData>
  <autoFilter ref="A3:D3"/>
  <mergeCells count="2">
    <mergeCell ref="A1:D1"/>
    <mergeCell ref="A2:D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customWidth="1"/>
    <col min="3" max="3" width="30" customWidth="1"/>
    <col min="4" max="4" width="12" customWidth="1"/>
    <col min="5" max="5" width="44" customWidth="1"/>
  </cols>
  <sheetData>
    <row r="1" ht="26" customHeight="1" spans="1:5" x14ac:dyDescent="0.25">
      <c r="A1" s="1" t="s">
        <v>210</v>
      </c>
      <c r="B1" s="1"/>
      <c r="C1" s="1"/>
      <c r="D1" s="1"/>
      <c r="E1" s="1"/>
    </row>
    <row r="2" ht="16" customHeight="1" spans="1:5" x14ac:dyDescent="0.25">
      <c r="A2" s="2" t="s">
        <v>211</v>
      </c>
      <c r="B2" s="2"/>
      <c r="C2" s="2"/>
      <c r="D2" s="2"/>
      <c r="E2" s="2"/>
    </row>
    <row r="3" ht="30" customHeight="1" spans="1:5" x14ac:dyDescent="0.25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</row>
    <row r="4" spans="1:5" x14ac:dyDescent="0.25">
      <c r="A4" s="5" t="s">
        <v>217</v>
      </c>
      <c r="B4" s="6"/>
      <c r="C4" s="6"/>
      <c r="D4" s="6"/>
      <c r="E4" s="6"/>
    </row>
    <row r="5" spans="1:5" x14ac:dyDescent="0.25">
      <c r="A5" s="7" t="s">
        <v>218</v>
      </c>
      <c r="B5" s="6"/>
      <c r="C5" s="6"/>
      <c r="D5" s="6"/>
      <c r="E5" s="6"/>
    </row>
    <row r="6" spans="1:5" x14ac:dyDescent="0.25">
      <c r="A6" s="5" t="s">
        <v>219</v>
      </c>
      <c r="B6" s="6"/>
      <c r="C6" s="6"/>
      <c r="D6" s="6"/>
      <c r="E6" s="6"/>
    </row>
    <row r="7" spans="1:5" x14ac:dyDescent="0.25">
      <c r="A7" s="7" t="s">
        <v>220</v>
      </c>
      <c r="B7" s="6"/>
      <c r="C7" s="6"/>
      <c r="D7" s="6"/>
      <c r="E7" s="6"/>
    </row>
    <row r="8" spans="1:5" x14ac:dyDescent="0.25">
      <c r="A8" s="5" t="s">
        <v>221</v>
      </c>
      <c r="B8" s="6"/>
      <c r="C8" s="6"/>
      <c r="D8" s="6"/>
      <c r="E8" s="6"/>
    </row>
    <row r="9" spans="1:5" x14ac:dyDescent="0.25">
      <c r="A9" s="7" t="s">
        <v>222</v>
      </c>
      <c r="B9" s="6"/>
      <c r="C9" s="6"/>
      <c r="D9" s="6"/>
      <c r="E9" s="6"/>
    </row>
    <row r="10" spans="1:5" x14ac:dyDescent="0.25">
      <c r="A10" s="5" t="s">
        <v>223</v>
      </c>
      <c r="B10" s="6"/>
      <c r="C10" s="6"/>
      <c r="D10" s="6"/>
      <c r="E10" s="6"/>
    </row>
    <row r="11" spans="1:5" x14ac:dyDescent="0.25">
      <c r="A11" s="7" t="s">
        <v>224</v>
      </c>
      <c r="B11" s="6"/>
      <c r="C11" s="6"/>
      <c r="D11" s="6"/>
      <c r="E11" s="6"/>
    </row>
    <row r="12" spans="1:5" x14ac:dyDescent="0.25">
      <c r="A12" s="5" t="s">
        <v>225</v>
      </c>
      <c r="B12" s="6"/>
      <c r="C12" s="6"/>
      <c r="D12" s="6"/>
      <c r="E12" s="6"/>
    </row>
    <row r="13" spans="1:5" x14ac:dyDescent="0.25">
      <c r="A13" s="7" t="s">
        <v>226</v>
      </c>
      <c r="B13" s="6"/>
      <c r="C13" s="6"/>
      <c r="D13" s="6"/>
      <c r="E13" s="6"/>
    </row>
    <row r="14" spans="1:5" x14ac:dyDescent="0.25">
      <c r="A14" s="5" t="s">
        <v>227</v>
      </c>
      <c r="B14" s="6"/>
      <c r="C14" s="6"/>
      <c r="D14" s="6"/>
      <c r="E14" s="6"/>
    </row>
    <row r="15" spans="1:5" x14ac:dyDescent="0.25">
      <c r="A15" s="7" t="s">
        <v>228</v>
      </c>
      <c r="B15" s="6"/>
      <c r="C15" s="6"/>
      <c r="D15" s="6"/>
      <c r="E15" s="6"/>
    </row>
    <row r="16" spans="1:5" x14ac:dyDescent="0.25">
      <c r="A16" s="5" t="s">
        <v>229</v>
      </c>
      <c r="B16" s="6"/>
      <c r="C16" s="6"/>
      <c r="D16" s="6"/>
      <c r="E16" s="6"/>
    </row>
    <row r="17" spans="1:5" x14ac:dyDescent="0.25">
      <c r="A17" s="7" t="s">
        <v>230</v>
      </c>
      <c r="B17" s="6"/>
      <c r="C17" s="6"/>
      <c r="D17" s="6"/>
      <c r="E17" s="6"/>
    </row>
    <row r="18" spans="1:5" x14ac:dyDescent="0.25">
      <c r="A18" s="5" t="s">
        <v>231</v>
      </c>
      <c r="B18" s="6"/>
      <c r="C18" s="6"/>
      <c r="D18" s="6"/>
      <c r="E18" s="6"/>
    </row>
  </sheetData>
  <autoFilter ref="A3:E3"/>
  <mergeCells count="2">
    <mergeCell ref="A1:E1"/>
    <mergeCell ref="A2:E2"/>
  </mergeCells>
  <dataValidations count="3">
    <dataValidation type="list" allowBlank="1" sqref="D10:D18">
      <formula1>"ja,nein,offen"</formula1>
    </dataValidation>
    <dataValidation type="list" allowBlank="1" sqref="D4:D18">
      <formula1>"ja,nein,offen"</formula1>
    </dataValidation>
    <dataValidation type="list" allowBlank="1" sqref="D4:D218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Objekt</vt:lpstr>
      <vt:lpstr>Vergleichswert</vt:lpstr>
      <vt:lpstr>Realwert</vt:lpstr>
      <vt:lpstr>Sanierungsbedarf</vt:lpstr>
      <vt:lpstr>Ertragswert</vt:lpstr>
      <vt:lpstr>Ergebnis</vt:lpstr>
      <vt:lpstr>Chancen und Risiken</vt:lpstr>
      <vt:lpstr>Nettoerloes</vt:lpstr>
      <vt:lpstr>Grundlagen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Makler-Handbuch Hausverkauf Schweiz</dc:creator>
  <dc:title/>
  <dc:subject/>
  <dc:description/>
  <cp:keywords/>
  <cp:category/>
  <cp:lastModifiedBy>Unknown</cp:lastModifiedBy>
  <dcterms:created xsi:type="dcterms:W3CDTF">2026-09-18T06:41:24Z</dcterms:created>
  <dcterms:modified xsi:type="dcterms:W3CDTF">2026-09-18T06:41:24Z</dcterms:modified>
</cp:coreProperties>
</file>