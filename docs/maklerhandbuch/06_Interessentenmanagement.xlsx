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kt" state="visible" r:id="rId4"/>
    <sheet sheetId="2" name="Interessenten" state="visible" r:id="rId5"/>
    <sheet sheetId="3" name="Feldbeschreibung" state="visible" r:id="rId6"/>
    <sheet sheetId="4" name="Besichtigungen" state="visible" r:id="rId7"/>
    <sheet sheetId="5" name="Angebote" state="visible" r:id="rId8"/>
    <sheet sheetId="6" name="Controlling" state="visible" r:id="rId9"/>
    <sheet sheetId="7" name="Absagegruende" state="visible" r:id="rId10"/>
  </sheets>
  <calcPr calcId="171027"/>
</workbook>
</file>

<file path=xl/sharedStrings.xml><?xml version="1.0" encoding="utf-8"?>
<sst xmlns="http://schemas.openxmlformats.org/spreadsheetml/2006/main" count="328" uniqueCount="237">
  <si>
    <t>06 · Interessentenmanagement – Objektkopf</t>
  </si>
  <si>
    <t>Gelb hinterlegte Spalten sind Eingabefelder. Auswahlfelder haben eine Liste. Die Spalte «Register» verweist auf Teil W des Makler-Handbuchs.</t>
  </si>
  <si>
    <t>Feld</t>
  </si>
  <si>
    <t>Eintrag</t>
  </si>
  <si>
    <t>Hinweis</t>
  </si>
  <si>
    <t>Objekt</t>
  </si>
  <si>
    <t>Objektnummer intern</t>
  </si>
  <si>
    <t>Aus dem CRM</t>
  </si>
  <si>
    <t>Strasse und Hausnummer</t>
  </si>
  <si>
    <t>PLZ und Ort</t>
  </si>
  <si>
    <t>Gemeinde</t>
  </si>
  <si>
    <t>Kanton</t>
  </si>
  <si>
    <t>Bestimmt Notariatssystem, Steuern, Gebühren und GEAK-Pflicht</t>
  </si>
  <si>
    <t>Parzellennummer</t>
  </si>
  <si>
    <t>Aus Grundbuchauszug</t>
  </si>
  <si>
    <t>Grundbuchblatt</t>
  </si>
  <si>
    <t>Objekttyp</t>
  </si>
  <si>
    <t>Eigentümerschaft</t>
  </si>
  <si>
    <t>Eigentümer 1</t>
  </si>
  <si>
    <t>Eigentümer 2</t>
  </si>
  <si>
    <t>Eigentumsform</t>
  </si>
  <si>
    <t>Allein-, Mit-, Gesamteigentum, Stockwerkeigentum, Baurecht</t>
  </si>
  <si>
    <t>Alle Verfügungsberechtigten bekannt</t>
  </si>
  <si>
    <t>Register R13, R14</t>
  </si>
  <si>
    <t>Mandat</t>
  </si>
  <si>
    <t>Zuständiger Makler</t>
  </si>
  <si>
    <t>Mandat unterzeichnet am</t>
  </si>
  <si>
    <t>Mandat läuft bis</t>
  </si>
  <si>
    <t>Angebotspreis CHF</t>
  </si>
  <si>
    <t>Mindestpreis CHF (intern)</t>
  </si>
  <si>
    <t>Wird keinem Interessenten genannt</t>
  </si>
  <si>
    <t>Identifikation GwG abgeschlossen</t>
  </si>
  <si>
    <t>Register R37; vor Vermarktungsstart</t>
  </si>
  <si>
    <t>Termine</t>
  </si>
  <si>
    <t>Vermarktungsstart</t>
  </si>
  <si>
    <t>Startpunkt der Zählung «Tage am Markt»</t>
  </si>
  <si>
    <t>Beurkundungstermin</t>
  </si>
  <si>
    <t>Eintragung im Grundbuch</t>
  </si>
  <si>
    <t>Übergabetermin</t>
  </si>
  <si>
    <t>Kantonale Abklärungen</t>
  </si>
  <si>
    <t>Notariatssystem und zuständiges Notariat</t>
  </si>
  <si>
    <t>Register R1</t>
  </si>
  <si>
    <t>Handänderungssteuer: Höhe und Kostenträger</t>
  </si>
  <si>
    <t>Register R26</t>
  </si>
  <si>
    <t>Grundstückgewinnsteuer: Stelle und Frist</t>
  </si>
  <si>
    <t>Register R22</t>
  </si>
  <si>
    <t>GEAK-Pflicht im Kanton</t>
  </si>
  <si>
    <t>Obligatorisch in FR, VD, NE, JU; Register R33</t>
  </si>
  <si>
    <t>Formerfordernis Vollmachten</t>
  </si>
  <si>
    <t>Register R16</t>
  </si>
  <si>
    <t>06 · CRM-Liste der Kaufinteressenten</t>
  </si>
  <si>
    <t>Eine Zeile je Interessent. Feld «Datenschutz: Löschfrist» ist ein Pflichtfeld (Register R39). Erwerbsrechtliche Zulässigkeit vor der Terminvergabe klären (R34).</t>
  </si>
  <si>
    <t>Interessenten-Nr.</t>
  </si>
  <si>
    <t>Name</t>
  </si>
  <si>
    <t>Kontakt Telefon</t>
  </si>
  <si>
    <t>Kontakt E-Mail</t>
  </si>
  <si>
    <t>Datum Anfrage</t>
  </si>
  <si>
    <t>Quelle</t>
  </si>
  <si>
    <t>Personen im Haushalt</t>
  </si>
  <si>
    <t>Aktuelle Wohnsituation</t>
  </si>
  <si>
    <t>Staatsangehörigkeit und Ausländerstatus</t>
  </si>
  <si>
    <t>Finanzierung vorhanden</t>
  </si>
  <si>
    <t>Finanzierende Bank</t>
  </si>
  <si>
    <t>Eigenmittel total</t>
  </si>
  <si>
    <t>davon harte Eigenmittel</t>
  </si>
  <si>
    <t>Gewünschter Einzug</t>
  </si>
  <si>
    <t>Dossier versandt am</t>
  </si>
  <si>
    <t>Besichtigung am</t>
  </si>
  <si>
    <t>Zweitbesichtigung am</t>
  </si>
  <si>
    <t>Interesse</t>
  </si>
  <si>
    <t>Stufe</t>
  </si>
  <si>
    <t>Angebot</t>
  </si>
  <si>
    <t>Angebotsdatum</t>
  </si>
  <si>
    <t>Angebotspreis</t>
  </si>
  <si>
    <t>Bedingungen und Vorbehalte</t>
  </si>
  <si>
    <t>Finanzierungsnachweis</t>
  </si>
  <si>
    <t>Identifikation GwG</t>
  </si>
  <si>
    <t>Status</t>
  </si>
  <si>
    <t>Absagegrund</t>
  </si>
  <si>
    <t>Nächste Aktion</t>
  </si>
  <si>
    <t>Nächste Aktion fällig</t>
  </si>
  <si>
    <t>Zuständig</t>
  </si>
  <si>
    <t>Datenschutz: Löschfrist</t>
  </si>
  <si>
    <t>Bemerkungen</t>
  </si>
  <si>
    <t>06 · Bedeutung der CRM-Felder</t>
  </si>
  <si>
    <t>Fundstelle: Teil K3 des Makler-Handbuchs.</t>
  </si>
  <si>
    <t>Art</t>
  </si>
  <si>
    <t>Zweck</t>
  </si>
  <si>
    <t>Text</t>
  </si>
  <si>
    <t>Eindeutige Kennung, fortlaufend je Objekt</t>
  </si>
  <si>
    <t>Objektnummer, damit Interessenten über Objekte hinweg auswertbar sind</t>
  </si>
  <si>
    <t>Vollständiger Name aller Kaufinteressenten</t>
  </si>
  <si>
    <t>Direktnummer</t>
  </si>
  <si>
    <t>Korrespondenzadresse</t>
  </si>
  <si>
    <t>Datum</t>
  </si>
  <si>
    <t>Startpunkt der Reaktionszeitmessung</t>
  </si>
  <si>
    <t>Auswahl</t>
  </si>
  <si>
    <t>Portal, Website, Newsletter, Empfehlung, Schild, Direktkontakt</t>
  </si>
  <si>
    <t>Zahl</t>
  </si>
  <si>
    <t>Passung zum Objekt</t>
  </si>
  <si>
    <t>Miete, Eigentum mit Verkaufsbedarf, Eigentum ohne Verkaufsbedarf</t>
  </si>
  <si>
    <t>Erwerbsrechtliche Zulässigkeit (R34); vor Terminvergabe erfassen</t>
  </si>
  <si>
    <t>nein, in Abklärung, Selbstauskunft, schriftliche Bestätigung</t>
  </si>
  <si>
    <t>Ansprechpartner für die Verifikation, nur mit Einwilligung</t>
  </si>
  <si>
    <t>CHF</t>
  </si>
  <si>
    <t>Plausibilisierung</t>
  </si>
  <si>
    <t>Ohne Guthaben der zweiten Säule; Rahmen der Selbstregulierung (R40)</t>
  </si>
  <si>
    <t>Passung zum Terminwunsch des Eigentümers</t>
  </si>
  <si>
    <t>Nachweis der Unterlagenabgabe</t>
  </si>
  <si>
    <t>Erste Besichtigung</t>
  </si>
  <si>
    <t>Starkes Kaufsignal</t>
  </si>
  <si>
    <t>hoch, mittel, gering, keines</t>
  </si>
  <si>
    <t>A finanziert und entscheidungsfähig, B Finanzierung offen, C nicht qualifiziert</t>
  </si>
  <si>
    <t>nein, angekündigt, eingegangen, zurückgezogen</t>
  </si>
  <si>
    <t>Reihenfolge bei mehreren Angeboten</t>
  </si>
  <si>
    <t>Vergleich und Controlling</t>
  </si>
  <si>
    <t>Finanzierungsvorbehalt, Verkauf eigener Liegenschaft, Gutachten</t>
  </si>
  <si>
    <t>fehlt, Selbstauskunft, Bankbestätigung objektbezogen</t>
  </si>
  <si>
    <t>offen, erfasst, vollständig dokumentiert (R37)</t>
  </si>
  <si>
    <t>neu, qualifiziert, Besichtigung terminiert, besichtigt, Angebot, Verhandlung, Reservation, abgeschlossen, abgesagt</t>
  </si>
  <si>
    <t>Preis, Lage, Zustand, Grösse, Finanzierung, Zeitpunkt, anderes Objekt, Lärm, Sanierungsbedarf</t>
  </si>
  <si>
    <t>Konkrete Handlung, nicht «nachfassen»</t>
  </si>
  <si>
    <t>Steuert die Wiedervorlage</t>
  </si>
  <si>
    <t>Verantwortliche Person</t>
  </si>
  <si>
    <t>Pflichtfeld; Zweckbindung und Löschung dokumentieren (R39)</t>
  </si>
  <si>
    <t>Gesprächsnotizen, sachlich formuliert – der Eintrag ist auskunftspflichtig (R39)</t>
  </si>
  <si>
    <t>06 · Besichtigungsjournal</t>
  </si>
  <si>
    <t>Der Vermerk «Mängel offengelegt und protokolliert» ist der Nachweis der Offenlegung (Register R10, R11).</t>
  </si>
  <si>
    <t>Nr.</t>
  </si>
  <si>
    <t>Zeit</t>
  </si>
  <si>
    <t>Interessent</t>
  </si>
  <si>
    <t>Teilnehmer</t>
  </si>
  <si>
    <t>Erstbesichtigung / Zweitbesichtigung</t>
  </si>
  <si>
    <t>Interessentenformular vollständig</t>
  </si>
  <si>
    <t>Mängel offengelegt und protokolliert</t>
  </si>
  <si>
    <t>Preisempfinden</t>
  </si>
  <si>
    <t>Rückmeldung erhalten am</t>
  </si>
  <si>
    <t>Ergebnis</t>
  </si>
  <si>
    <t>06 · Eingegangene Kaufangebote</t>
  </si>
  <si>
    <t>Die Spalten «Total» und «Abweichung» rechnen selbst. Angebotspreis der Vermarktung wird dem Blatt Objekt entnommen.</t>
  </si>
  <si>
    <t>Eingang Datum</t>
  </si>
  <si>
    <t>Eingang Zeit</t>
  </si>
  <si>
    <t>Kaufinteressent</t>
  </si>
  <si>
    <t>Angebot Liegenschaft CHF</t>
  </si>
  <si>
    <t>Angebot Inventar CHF</t>
  </si>
  <si>
    <t>Total CHF</t>
  </si>
  <si>
    <t>Abweichung zum Angebotspreis</t>
  </si>
  <si>
    <t>Harte Eigenmittel CHF</t>
  </si>
  <si>
    <t>Gewünschter Übergabetermin</t>
  </si>
  <si>
    <t>Bewilligung erforderlich</t>
  </si>
  <si>
    <t>Gültig bis</t>
  </si>
  <si>
    <t>Abschlusswahrscheinlichkeit</t>
  </si>
  <si>
    <t>Entscheid der Verkäuferschaft</t>
  </si>
  <si>
    <t>Entscheid am</t>
  </si>
  <si>
    <t>offen</t>
  </si>
  <si>
    <t>06 · Controlling-Dashboard</t>
  </si>
  <si>
    <t>Wöchentlich aktualisieren. Berechnete Felder ziehen aus den Blättern Interessenten, Besichtigungen und Angebote.</t>
  </si>
  <si>
    <t>Kennzahl</t>
  </si>
  <si>
    <t>Wert</t>
  </si>
  <si>
    <t>Definition</t>
  </si>
  <si>
    <t>Orientierung und Handlungsauslöser</t>
  </si>
  <si>
    <t>Tage am Markt</t>
  </si>
  <si>
    <t>Kalendertage seit der Veröffentlichung</t>
  </si>
  <si>
    <t>Segmentabhängig; ab 90 Tagen Strategieüberprüfung</t>
  </si>
  <si>
    <t>Anzahl Anfragen</t>
  </si>
  <si>
    <t>Alle eingegangenen Kontaktaufnahmen</t>
  </si>
  <si>
    <t>In den ersten 14 Tagen der grösste Teil</t>
  </si>
  <si>
    <t>Anfragen pro Woche</t>
  </si>
  <si>
    <t>Anfragen der Kalenderwoche</t>
  </si>
  <si>
    <t>Rückgang unter 20 Prozent des Startwerts ist ein Warnsignal</t>
  </si>
  <si>
    <t>Reaktionszeit</t>
  </si>
  <si>
    <t>Stunden von der Anfrage bis zur ersten Antwort</t>
  </si>
  <si>
    <t>Unter 4 Arbeitsstunden</t>
  </si>
  <si>
    <t>Anzahl Interessenten</t>
  </si>
  <si>
    <t>Im CRM erfasste Personen oder Haushalte</t>
  </si>
  <si>
    <t>—</t>
  </si>
  <si>
    <t>Anzahl qualifizierte Interessenten</t>
  </si>
  <si>
    <t>Stufe A: finanziert und entscheidungsfähig</t>
  </si>
  <si>
    <t>Mindestens 20 Prozent der Anfragen</t>
  </si>
  <si>
    <t>Anzahl Besichtigungen</t>
  </si>
  <si>
    <t>Durchgeführte Termine</t>
  </si>
  <si>
    <t>Quote Anfrage zu Besichtigung</t>
  </si>
  <si>
    <t>Besichtigungen geteilt durch Anfragen</t>
  </si>
  <si>
    <t>Tiefe Quote deutet auf Preis- oder Erwartungsproblem</t>
  </si>
  <si>
    <t>Anzahl Zweitbesichtigungen</t>
  </si>
  <si>
    <t>Termine mit demselben Interessenten</t>
  </si>
  <si>
    <t>Stärkster Frühindikator für ein Angebot</t>
  </si>
  <si>
    <t>Anzahl Absagen</t>
  </si>
  <si>
    <t>Interessenten mit Status abgesagt</t>
  </si>
  <si>
    <t>Gründe für Absagen</t>
  </si>
  <si>
    <t>Verteilung nach Absagegrund</t>
  </si>
  <si>
    <t>Häufung bei «Preis» ab 5 Nennungen erfordert Preisgespräch</t>
  </si>
  <si>
    <t>Anzahl Angebote</t>
  </si>
  <si>
    <t>Schriftlich eingegangene Kaufangebote</t>
  </si>
  <si>
    <t>Angebotspreise</t>
  </si>
  <si>
    <t>Einzelwerte aller Angebote</t>
  </si>
  <si>
    <t>Durchschnittlicher Angebotspreis</t>
  </si>
  <si>
    <t>Mittel aller eingegangenen Angebote</t>
  </si>
  <si>
    <t>Höchstes Angebot</t>
  </si>
  <si>
    <t>Grösster Angebotswert</t>
  </si>
  <si>
    <t>Höchstes Angebot geteilt durch Angebotspreis, minus 1</t>
  </si>
  <si>
    <t>Abweichung über 10 Prozent nach unten: Preisstrategie prüfen</t>
  </si>
  <si>
    <t>Abweichung zur Bewertung</t>
  </si>
  <si>
    <t>Erzielter Preis im Verhältnis zur bewerteten Spanne</t>
  </si>
  <si>
    <t>Innerhalb der Spanne</t>
  </si>
  <si>
    <t>Preisreduktionen</t>
  </si>
  <si>
    <t>Anzahl und Höhe der Anpassungen mit Datum</t>
  </si>
  <si>
    <t>Möglichst keine; jede Reduktion schwächt die Verhandlungsposition</t>
  </si>
  <si>
    <t>Quote Besichtigung zu Angebot</t>
  </si>
  <si>
    <t>Angebote geteilt durch Besichtigungen</t>
  </si>
  <si>
    <t>Unter 10 Prozent nach 10 Besichtigungen: Ursache klären</t>
  </si>
  <si>
    <t>Dauer Einigung bis Beurkundung</t>
  </si>
  <si>
    <t>Kalendertage</t>
  </si>
  <si>
    <t>Verzögerungen meist durch fehlende Unterlagen beim Notariat</t>
  </si>
  <si>
    <t>Dauer Beurkundung bis Eintragung</t>
  </si>
  <si>
    <t>Kantonal unterschiedlich</t>
  </si>
  <si>
    <t>Aktueller Status</t>
  </si>
  <si>
    <t>Phase 1 bis 20 gemäss Teil B</t>
  </si>
  <si>
    <t>Wöchentlich aktualisieren</t>
  </si>
  <si>
    <t>Vermarktungskosten</t>
  </si>
  <si>
    <t>Aufgelaufene Kosten gegen Budget</t>
  </si>
  <si>
    <t>Innerhalb der Budgetfreigabe</t>
  </si>
  <si>
    <t>06 · Verteilung der Absagegründe</t>
  </si>
  <si>
    <t>Häufung bei «Preis» ab fünf Nennungen: Preisgespräch mit dem Eigentümer ansetzen (Teil U des Handbuchs).</t>
  </si>
  <si>
    <t>Grund</t>
  </si>
  <si>
    <t>Anzahl</t>
  </si>
  <si>
    <t>Bemerkung</t>
  </si>
  <si>
    <t>Preis</t>
  </si>
  <si>
    <t>Lage</t>
  </si>
  <si>
    <t>Zustand</t>
  </si>
  <si>
    <t>Grösse</t>
  </si>
  <si>
    <t>Finanzierung</t>
  </si>
  <si>
    <t>Zeitpunkt</t>
  </si>
  <si>
    <t>anderes Objekt</t>
  </si>
  <si>
    <t>Lärm</t>
  </si>
  <si>
    <t>Sanierungsbedarf</t>
  </si>
  <si>
    <t>kein Grund genannt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</si>
</sst>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0F5C6E"/>
      <sz val="14"/>
      <name val="Calibri"/>
    </font>
    <font>
      <i/>
      <color rgb="FF5A6B76"/>
      <sz val="9"/>
      <name val="Calibri"/>
    </font>
    <font>
      <b/>
      <color rgb="FFFFFFFF"/>
      <sz val="10"/>
      <name val="Calibri"/>
    </font>
    <font>
      <b/>
      <color rgb="FF0B4655"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5C6E"/>
      </patternFill>
    </fill>
    <fill>
      <patternFill patternType="solid">
        <fgColor rgb="FFEDF1F2"/>
      </patternFill>
    </fill>
    <fill>
      <patternFill patternType="solid">
        <fgColor rgb="FFFBF3E2"/>
      </patternFill>
    </fill>
    <fill>
      <patternFill patternType="solid">
        <fgColor rgb="FFF7F9F9"/>
      </patternFill>
    </fill>
  </fills>
  <borders count="2">
    <border>
      <left/>
      <right/>
      <top/>
      <bottom/>
      <diagonal/>
    </border>
    <border>
      <left style="thin">
        <color rgb="FFC6D0D5"/>
      </left>
      <right style="thin">
        <color rgb="FFC6D0D5"/>
      </right>
      <top style="thin">
        <color rgb="FFC6D0D5"/>
      </top>
      <bottom style="thin">
        <color rgb="FFC6D0D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3" fontId="5" fillId="4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3" fontId="5" fillId="5" borderId="1" xfId="0" applyNumberFormat="1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52" customWidth="1"/>
  </cols>
  <sheetData>
    <row r="1" ht="26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3" ht="30" customHeight="1" spans="1:3" x14ac:dyDescent="0.25">
      <c r="A3" s="3" t="s">
        <v>2</v>
      </c>
      <c r="B3" s="3" t="s">
        <v>3</v>
      </c>
      <c r="C3" s="3" t="s">
        <v>4</v>
      </c>
    </row>
    <row r="4" ht="20" customHeight="1" spans="1:3" x14ac:dyDescent="0.25">
      <c r="A4" s="4" t="s">
        <v>5</v>
      </c>
      <c r="B4" s="4"/>
      <c r="C4" s="4"/>
    </row>
    <row r="5" spans="1:3" x14ac:dyDescent="0.25">
      <c r="A5" s="5" t="s">
        <v>6</v>
      </c>
      <c r="B5" s="6"/>
      <c r="C5" s="5" t="s">
        <v>7</v>
      </c>
    </row>
    <row r="6" spans="1:3" x14ac:dyDescent="0.25">
      <c r="A6" s="7" t="s">
        <v>8</v>
      </c>
      <c r="B6" s="6"/>
      <c r="C6" s="7"/>
    </row>
    <row r="7" spans="1:3" x14ac:dyDescent="0.25">
      <c r="A7" s="5" t="s">
        <v>9</v>
      </c>
      <c r="B7" s="6"/>
      <c r="C7" s="5"/>
    </row>
    <row r="8" spans="1:3" x14ac:dyDescent="0.25">
      <c r="A8" s="7" t="s">
        <v>10</v>
      </c>
      <c r="B8" s="6"/>
      <c r="C8" s="7"/>
    </row>
    <row r="9" spans="1:3" x14ac:dyDescent="0.25">
      <c r="A9" s="5" t="s">
        <v>11</v>
      </c>
      <c r="B9" s="6"/>
      <c r="C9" s="5" t="s">
        <v>12</v>
      </c>
    </row>
    <row r="10" spans="1:3" x14ac:dyDescent="0.25">
      <c r="A10" s="7" t="s">
        <v>13</v>
      </c>
      <c r="B10" s="6"/>
      <c r="C10" s="7" t="s">
        <v>14</v>
      </c>
    </row>
    <row r="11" spans="1:3" x14ac:dyDescent="0.25">
      <c r="A11" s="5" t="s">
        <v>15</v>
      </c>
      <c r="B11" s="6"/>
      <c r="C11" s="5" t="s">
        <v>14</v>
      </c>
    </row>
    <row r="12" spans="1:3" x14ac:dyDescent="0.25">
      <c r="A12" s="7" t="s">
        <v>16</v>
      </c>
      <c r="B12" s="6"/>
      <c r="C12" s="7"/>
    </row>
    <row r="13" ht="20" customHeight="1" spans="1:3" x14ac:dyDescent="0.25">
      <c r="A13" s="4" t="s">
        <v>17</v>
      </c>
      <c r="B13" s="4"/>
      <c r="C13" s="4"/>
    </row>
    <row r="14" spans="1:3" x14ac:dyDescent="0.25">
      <c r="A14" s="5" t="s">
        <v>18</v>
      </c>
      <c r="B14" s="6"/>
      <c r="C14" s="5"/>
    </row>
    <row r="15" spans="1:3" x14ac:dyDescent="0.25">
      <c r="A15" s="7" t="s">
        <v>19</v>
      </c>
      <c r="B15" s="6"/>
      <c r="C15" s="7"/>
    </row>
    <row r="16" spans="1:3" x14ac:dyDescent="0.25">
      <c r="A16" s="5" t="s">
        <v>20</v>
      </c>
      <c r="B16" s="6"/>
      <c r="C16" s="5" t="s">
        <v>21</v>
      </c>
    </row>
    <row r="17" spans="1:3" x14ac:dyDescent="0.25">
      <c r="A17" s="7" t="s">
        <v>22</v>
      </c>
      <c r="B17" s="6"/>
      <c r="C17" s="7" t="s">
        <v>23</v>
      </c>
    </row>
    <row r="18" ht="20" customHeight="1" spans="1:3" x14ac:dyDescent="0.25">
      <c r="A18" s="4" t="s">
        <v>24</v>
      </c>
      <c r="B18" s="4"/>
      <c r="C18" s="4"/>
    </row>
    <row r="19" spans="1:3" x14ac:dyDescent="0.25">
      <c r="A19" s="5" t="s">
        <v>25</v>
      </c>
      <c r="B19" s="6"/>
      <c r="C19" s="5"/>
    </row>
    <row r="20" spans="1:3" x14ac:dyDescent="0.25">
      <c r="A20" s="7" t="s">
        <v>26</v>
      </c>
      <c r="B20" s="6"/>
      <c r="C20" s="7"/>
    </row>
    <row r="21" spans="1:3" x14ac:dyDescent="0.25">
      <c r="A21" s="5" t="s">
        <v>27</v>
      </c>
      <c r="B21" s="6"/>
      <c r="C21" s="5"/>
    </row>
    <row r="22" spans="1:3" x14ac:dyDescent="0.25">
      <c r="A22" s="7" t="s">
        <v>28</v>
      </c>
      <c r="B22" s="6"/>
      <c r="C22" s="7"/>
    </row>
    <row r="23" spans="1:3" x14ac:dyDescent="0.25">
      <c r="A23" s="5" t="s">
        <v>29</v>
      </c>
      <c r="B23" s="6"/>
      <c r="C23" s="5" t="s">
        <v>30</v>
      </c>
    </row>
    <row r="24" spans="1:3" x14ac:dyDescent="0.25">
      <c r="A24" s="7" t="s">
        <v>31</v>
      </c>
      <c r="B24" s="6"/>
      <c r="C24" s="7" t="s">
        <v>32</v>
      </c>
    </row>
    <row r="25" ht="20" customHeight="1" spans="1:3" x14ac:dyDescent="0.25">
      <c r="A25" s="4" t="s">
        <v>33</v>
      </c>
      <c r="B25" s="4"/>
      <c r="C25" s="4"/>
    </row>
    <row r="26" spans="1:3" x14ac:dyDescent="0.25">
      <c r="A26" s="5" t="s">
        <v>34</v>
      </c>
      <c r="B26" s="6"/>
      <c r="C26" s="5" t="s">
        <v>35</v>
      </c>
    </row>
    <row r="27" spans="1:3" x14ac:dyDescent="0.25">
      <c r="A27" s="7" t="s">
        <v>36</v>
      </c>
      <c r="B27" s="6"/>
      <c r="C27" s="7"/>
    </row>
    <row r="28" spans="1:3" x14ac:dyDescent="0.25">
      <c r="A28" s="5" t="s">
        <v>37</v>
      </c>
      <c r="B28" s="6"/>
      <c r="C28" s="5"/>
    </row>
    <row r="29" spans="1:3" x14ac:dyDescent="0.25">
      <c r="A29" s="7" t="s">
        <v>38</v>
      </c>
      <c r="B29" s="6"/>
      <c r="C29" s="7"/>
    </row>
    <row r="30" ht="20" customHeight="1" spans="1:3" x14ac:dyDescent="0.25">
      <c r="A30" s="4" t="s">
        <v>39</v>
      </c>
      <c r="B30" s="4"/>
      <c r="C30" s="4"/>
    </row>
    <row r="31" spans="1:3" x14ac:dyDescent="0.25">
      <c r="A31" s="5" t="s">
        <v>40</v>
      </c>
      <c r="B31" s="6"/>
      <c r="C31" s="5" t="s">
        <v>41</v>
      </c>
    </row>
    <row r="32" spans="1:3" x14ac:dyDescent="0.25">
      <c r="A32" s="7" t="s">
        <v>42</v>
      </c>
      <c r="B32" s="6"/>
      <c r="C32" s="7" t="s">
        <v>43</v>
      </c>
    </row>
    <row r="33" spans="1:3" x14ac:dyDescent="0.25">
      <c r="A33" s="5" t="s">
        <v>44</v>
      </c>
      <c r="B33" s="6"/>
      <c r="C33" s="5" t="s">
        <v>45</v>
      </c>
    </row>
    <row r="34" spans="1:3" x14ac:dyDescent="0.25">
      <c r="A34" s="7" t="s">
        <v>46</v>
      </c>
      <c r="B34" s="6"/>
      <c r="C34" s="7" t="s">
        <v>47</v>
      </c>
    </row>
    <row r="35" spans="1:3" x14ac:dyDescent="0.25">
      <c r="A35" s="5" t="s">
        <v>48</v>
      </c>
      <c r="B35" s="6"/>
      <c r="C35" s="5" t="s">
        <v>49</v>
      </c>
    </row>
  </sheetData>
  <autoFilter ref="A3:C3"/>
  <mergeCells count="7">
    <mergeCell ref="A1:C1"/>
    <mergeCell ref="A2:C2"/>
    <mergeCell ref="A4:C4"/>
    <mergeCell ref="A13:C13"/>
    <mergeCell ref="A18:C18"/>
    <mergeCell ref="A25:C25"/>
    <mergeCell ref="A30:C30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3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5" width="24" customWidth="1"/>
    <col min="6" max="6" width="13" customWidth="1"/>
    <col min="7" max="9" width="17" customWidth="1"/>
    <col min="10" max="10" width="24" customWidth="1"/>
    <col min="11" max="11" width="17" customWidth="1"/>
    <col min="12" max="12" width="24" customWidth="1"/>
    <col min="13" max="14" width="15" customWidth="1"/>
    <col min="15" max="18" width="13" customWidth="1"/>
    <col min="19" max="21" width="17" customWidth="1"/>
    <col min="22" max="22" width="13" customWidth="1"/>
    <col min="23" max="23" width="15" customWidth="1"/>
    <col min="24" max="24" width="24" customWidth="1"/>
    <col min="25" max="28" width="17" customWidth="1"/>
    <col min="29" max="29" width="24" customWidth="1"/>
    <col min="30" max="30" width="13" customWidth="1"/>
    <col min="31" max="31" width="24" customWidth="1"/>
    <col min="32" max="32" width="13" customWidth="1"/>
    <col min="33" max="33" width="24" customWidth="1"/>
  </cols>
  <sheetData>
    <row r="1" ht="26" customHeight="1" spans="1:33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0" customHeight="1" spans="1:33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30" customHeight="1" spans="1:33" x14ac:dyDescent="0.25">
      <c r="A3" s="3" t="s">
        <v>52</v>
      </c>
      <c r="B3" s="3" t="s">
        <v>5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79</v>
      </c>
      <c r="AD3" s="3" t="s">
        <v>80</v>
      </c>
      <c r="AE3" s="3" t="s">
        <v>81</v>
      </c>
      <c r="AF3" s="3" t="s">
        <v>82</v>
      </c>
      <c r="AG3" s="3" t="s">
        <v>83</v>
      </c>
    </row>
    <row r="4" spans="1:3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8"/>
      <c r="N4" s="8"/>
      <c r="O4" s="6"/>
      <c r="P4" s="6"/>
      <c r="Q4" s="6"/>
      <c r="R4" s="6"/>
      <c r="S4" s="6"/>
      <c r="T4" s="6"/>
      <c r="U4" s="6"/>
      <c r="V4" s="6"/>
      <c r="W4" s="8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8"/>
      <c r="N5" s="8"/>
      <c r="O5" s="6"/>
      <c r="P5" s="6"/>
      <c r="Q5" s="6"/>
      <c r="R5" s="6"/>
      <c r="S5" s="6"/>
      <c r="T5" s="6"/>
      <c r="U5" s="6"/>
      <c r="V5" s="6"/>
      <c r="W5" s="8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8"/>
      <c r="N6" s="8"/>
      <c r="O6" s="6"/>
      <c r="P6" s="6"/>
      <c r="Q6" s="6"/>
      <c r="R6" s="6"/>
      <c r="S6" s="6"/>
      <c r="T6" s="6"/>
      <c r="U6" s="6"/>
      <c r="V6" s="6"/>
      <c r="W6" s="8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8"/>
      <c r="N7" s="8"/>
      <c r="O7" s="6"/>
      <c r="P7" s="6"/>
      <c r="Q7" s="6"/>
      <c r="R7" s="6"/>
      <c r="S7" s="6"/>
      <c r="T7" s="6"/>
      <c r="U7" s="6"/>
      <c r="V7" s="6"/>
      <c r="W7" s="8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8"/>
      <c r="N8" s="8"/>
      <c r="O8" s="6"/>
      <c r="P8" s="6"/>
      <c r="Q8" s="6"/>
      <c r="R8" s="6"/>
      <c r="S8" s="6"/>
      <c r="T8" s="6"/>
      <c r="U8" s="6"/>
      <c r="V8" s="6"/>
      <c r="W8" s="8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8"/>
      <c r="N9" s="8"/>
      <c r="O9" s="6"/>
      <c r="P9" s="6"/>
      <c r="Q9" s="6"/>
      <c r="R9" s="6"/>
      <c r="S9" s="6"/>
      <c r="T9" s="6"/>
      <c r="U9" s="6"/>
      <c r="V9" s="6"/>
      <c r="W9" s="8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8"/>
      <c r="N10" s="8"/>
      <c r="O10" s="6"/>
      <c r="P10" s="6"/>
      <c r="Q10" s="6"/>
      <c r="R10" s="6"/>
      <c r="S10" s="6"/>
      <c r="T10" s="6"/>
      <c r="U10" s="6"/>
      <c r="V10" s="6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8"/>
      <c r="N11" s="8"/>
      <c r="O11" s="6"/>
      <c r="P11" s="6"/>
      <c r="Q11" s="6"/>
      <c r="R11" s="6"/>
      <c r="S11" s="6"/>
      <c r="T11" s="6"/>
      <c r="U11" s="6"/>
      <c r="V11" s="6"/>
      <c r="W11" s="8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8"/>
      <c r="N12" s="8"/>
      <c r="O12" s="6"/>
      <c r="P12" s="6"/>
      <c r="Q12" s="6"/>
      <c r="R12" s="6"/>
      <c r="S12" s="6"/>
      <c r="T12" s="6"/>
      <c r="U12" s="6"/>
      <c r="V12" s="6"/>
      <c r="W12" s="8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8"/>
      <c r="N13" s="8"/>
      <c r="O13" s="6"/>
      <c r="P13" s="6"/>
      <c r="Q13" s="6"/>
      <c r="R13" s="6"/>
      <c r="S13" s="6"/>
      <c r="T13" s="6"/>
      <c r="U13" s="6"/>
      <c r="V13" s="6"/>
      <c r="W13" s="8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8"/>
      <c r="N14" s="8"/>
      <c r="O14" s="6"/>
      <c r="P14" s="6"/>
      <c r="Q14" s="6"/>
      <c r="R14" s="6"/>
      <c r="S14" s="6"/>
      <c r="T14" s="6"/>
      <c r="U14" s="6"/>
      <c r="V14" s="6"/>
      <c r="W14" s="8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8"/>
      <c r="N15" s="8"/>
      <c r="O15" s="6"/>
      <c r="P15" s="6"/>
      <c r="Q15" s="6"/>
      <c r="R15" s="6"/>
      <c r="S15" s="6"/>
      <c r="T15" s="6"/>
      <c r="U15" s="6"/>
      <c r="V15" s="6"/>
      <c r="W15" s="8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8"/>
      <c r="N16" s="8"/>
      <c r="O16" s="6"/>
      <c r="P16" s="6"/>
      <c r="Q16" s="6"/>
      <c r="R16" s="6"/>
      <c r="S16" s="6"/>
      <c r="T16" s="6"/>
      <c r="U16" s="6"/>
      <c r="V16" s="6"/>
      <c r="W16" s="8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8"/>
      <c r="N17" s="8"/>
      <c r="O17" s="6"/>
      <c r="P17" s="6"/>
      <c r="Q17" s="6"/>
      <c r="R17" s="6"/>
      <c r="S17" s="6"/>
      <c r="T17" s="6"/>
      <c r="U17" s="6"/>
      <c r="V17" s="6"/>
      <c r="W17" s="8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8"/>
      <c r="N18" s="8"/>
      <c r="O18" s="6"/>
      <c r="P18" s="6"/>
      <c r="Q18" s="6"/>
      <c r="R18" s="6"/>
      <c r="S18" s="6"/>
      <c r="T18" s="6"/>
      <c r="U18" s="6"/>
      <c r="V18" s="6"/>
      <c r="W18" s="8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8"/>
      <c r="N19" s="8"/>
      <c r="O19" s="6"/>
      <c r="P19" s="6"/>
      <c r="Q19" s="6"/>
      <c r="R19" s="6"/>
      <c r="S19" s="6"/>
      <c r="T19" s="6"/>
      <c r="U19" s="6"/>
      <c r="V19" s="6"/>
      <c r="W19" s="8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8"/>
      <c r="N20" s="8"/>
      <c r="O20" s="6"/>
      <c r="P20" s="6"/>
      <c r="Q20" s="6"/>
      <c r="R20" s="6"/>
      <c r="S20" s="6"/>
      <c r="T20" s="6"/>
      <c r="U20" s="6"/>
      <c r="V20" s="6"/>
      <c r="W20" s="8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8"/>
      <c r="N21" s="8"/>
      <c r="O21" s="6"/>
      <c r="P21" s="6"/>
      <c r="Q21" s="6"/>
      <c r="R21" s="6"/>
      <c r="S21" s="6"/>
      <c r="T21" s="6"/>
      <c r="U21" s="6"/>
      <c r="V21" s="6"/>
      <c r="W21" s="8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8"/>
      <c r="N22" s="8"/>
      <c r="O22" s="6"/>
      <c r="P22" s="6"/>
      <c r="Q22" s="6"/>
      <c r="R22" s="6"/>
      <c r="S22" s="6"/>
      <c r="T22" s="6"/>
      <c r="U22" s="6"/>
      <c r="V22" s="6"/>
      <c r="W22" s="8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8"/>
      <c r="N23" s="8"/>
      <c r="O23" s="6"/>
      <c r="P23" s="6"/>
      <c r="Q23" s="6"/>
      <c r="R23" s="6"/>
      <c r="S23" s="6"/>
      <c r="T23" s="6"/>
      <c r="U23" s="6"/>
      <c r="V23" s="6"/>
      <c r="W23" s="8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8"/>
      <c r="N24" s="8"/>
      <c r="O24" s="6"/>
      <c r="P24" s="6"/>
      <c r="Q24" s="6"/>
      <c r="R24" s="6"/>
      <c r="S24" s="6"/>
      <c r="T24" s="6"/>
      <c r="U24" s="6"/>
      <c r="V24" s="6"/>
      <c r="W24" s="8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8"/>
      <c r="N25" s="8"/>
      <c r="O25" s="6"/>
      <c r="P25" s="6"/>
      <c r="Q25" s="6"/>
      <c r="R25" s="6"/>
      <c r="S25" s="6"/>
      <c r="T25" s="6"/>
      <c r="U25" s="6"/>
      <c r="V25" s="6"/>
      <c r="W25" s="8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8"/>
      <c r="N26" s="8"/>
      <c r="O26" s="6"/>
      <c r="P26" s="6"/>
      <c r="Q26" s="6"/>
      <c r="R26" s="6"/>
      <c r="S26" s="6"/>
      <c r="T26" s="6"/>
      <c r="U26" s="6"/>
      <c r="V26" s="6"/>
      <c r="W26" s="8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8"/>
      <c r="N27" s="8"/>
      <c r="O27" s="6"/>
      <c r="P27" s="6"/>
      <c r="Q27" s="6"/>
      <c r="R27" s="6"/>
      <c r="S27" s="6"/>
      <c r="T27" s="6"/>
      <c r="U27" s="6"/>
      <c r="V27" s="6"/>
      <c r="W27" s="8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8"/>
      <c r="N28" s="8"/>
      <c r="O28" s="6"/>
      <c r="P28" s="6"/>
      <c r="Q28" s="6"/>
      <c r="R28" s="6"/>
      <c r="S28" s="6"/>
      <c r="T28" s="6"/>
      <c r="U28" s="6"/>
      <c r="V28" s="6"/>
      <c r="W28" s="8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8"/>
      <c r="N29" s="8"/>
      <c r="O29" s="6"/>
      <c r="P29" s="6"/>
      <c r="Q29" s="6"/>
      <c r="R29" s="6"/>
      <c r="S29" s="6"/>
      <c r="T29" s="6"/>
      <c r="U29" s="6"/>
      <c r="V29" s="6"/>
      <c r="W29" s="8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8"/>
      <c r="N30" s="8"/>
      <c r="O30" s="6"/>
      <c r="P30" s="6"/>
      <c r="Q30" s="6"/>
      <c r="R30" s="6"/>
      <c r="S30" s="6"/>
      <c r="T30" s="6"/>
      <c r="U30" s="6"/>
      <c r="V30" s="6"/>
      <c r="W30" s="8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8"/>
      <c r="N31" s="8"/>
      <c r="O31" s="6"/>
      <c r="P31" s="6"/>
      <c r="Q31" s="6"/>
      <c r="R31" s="6"/>
      <c r="S31" s="6"/>
      <c r="T31" s="6"/>
      <c r="U31" s="6"/>
      <c r="V31" s="6"/>
      <c r="W31" s="8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8"/>
      <c r="N32" s="8"/>
      <c r="O32" s="6"/>
      <c r="P32" s="6"/>
      <c r="Q32" s="6"/>
      <c r="R32" s="6"/>
      <c r="S32" s="6"/>
      <c r="T32" s="6"/>
      <c r="U32" s="6"/>
      <c r="V32" s="6"/>
      <c r="W32" s="8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8"/>
      <c r="N33" s="8"/>
      <c r="O33" s="6"/>
      <c r="P33" s="6"/>
      <c r="Q33" s="6"/>
      <c r="R33" s="6"/>
      <c r="S33" s="6"/>
      <c r="T33" s="6"/>
      <c r="U33" s="6"/>
      <c r="V33" s="6"/>
      <c r="W33" s="8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8"/>
      <c r="N34" s="8"/>
      <c r="O34" s="6"/>
      <c r="P34" s="6"/>
      <c r="Q34" s="6"/>
      <c r="R34" s="6"/>
      <c r="S34" s="6"/>
      <c r="T34" s="6"/>
      <c r="U34" s="6"/>
      <c r="V34" s="6"/>
      <c r="W34" s="8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8"/>
      <c r="N35" s="8"/>
      <c r="O35" s="6"/>
      <c r="P35" s="6"/>
      <c r="Q35" s="6"/>
      <c r="R35" s="6"/>
      <c r="S35" s="6"/>
      <c r="T35" s="6"/>
      <c r="U35" s="6"/>
      <c r="V35" s="6"/>
      <c r="W35" s="8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8"/>
      <c r="N36" s="8"/>
      <c r="O36" s="6"/>
      <c r="P36" s="6"/>
      <c r="Q36" s="6"/>
      <c r="R36" s="6"/>
      <c r="S36" s="6"/>
      <c r="T36" s="6"/>
      <c r="U36" s="6"/>
      <c r="V36" s="6"/>
      <c r="W36" s="8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8"/>
      <c r="N37" s="8"/>
      <c r="O37" s="6"/>
      <c r="P37" s="6"/>
      <c r="Q37" s="6"/>
      <c r="R37" s="6"/>
      <c r="S37" s="6"/>
      <c r="T37" s="6"/>
      <c r="U37" s="6"/>
      <c r="V37" s="6"/>
      <c r="W37" s="8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8"/>
      <c r="N38" s="8"/>
      <c r="O38" s="6"/>
      <c r="P38" s="6"/>
      <c r="Q38" s="6"/>
      <c r="R38" s="6"/>
      <c r="S38" s="6"/>
      <c r="T38" s="6"/>
      <c r="U38" s="6"/>
      <c r="V38" s="6"/>
      <c r="W38" s="8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8"/>
      <c r="N39" s="8"/>
      <c r="O39" s="6"/>
      <c r="P39" s="6"/>
      <c r="Q39" s="6"/>
      <c r="R39" s="6"/>
      <c r="S39" s="6"/>
      <c r="T39" s="6"/>
      <c r="U39" s="6"/>
      <c r="V39" s="6"/>
      <c r="W39" s="8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8"/>
      <c r="N40" s="8"/>
      <c r="O40" s="6"/>
      <c r="P40" s="6"/>
      <c r="Q40" s="6"/>
      <c r="R40" s="6"/>
      <c r="S40" s="6"/>
      <c r="T40" s="6"/>
      <c r="U40" s="6"/>
      <c r="V40" s="6"/>
      <c r="W40" s="8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8"/>
      <c r="N41" s="8"/>
      <c r="O41" s="6"/>
      <c r="P41" s="6"/>
      <c r="Q41" s="6"/>
      <c r="R41" s="6"/>
      <c r="S41" s="6"/>
      <c r="T41" s="6"/>
      <c r="U41" s="6"/>
      <c r="V41" s="6"/>
      <c r="W41" s="8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8"/>
      <c r="N42" s="8"/>
      <c r="O42" s="6"/>
      <c r="P42" s="6"/>
      <c r="Q42" s="6"/>
      <c r="R42" s="6"/>
      <c r="S42" s="6"/>
      <c r="T42" s="6"/>
      <c r="U42" s="6"/>
      <c r="V42" s="6"/>
      <c r="W42" s="8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8"/>
      <c r="N43" s="8"/>
      <c r="O43" s="6"/>
      <c r="P43" s="6"/>
      <c r="Q43" s="6"/>
      <c r="R43" s="6"/>
      <c r="S43" s="6"/>
      <c r="T43" s="6"/>
      <c r="U43" s="6"/>
      <c r="V43" s="6"/>
      <c r="W43" s="8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8"/>
      <c r="N44" s="8"/>
      <c r="O44" s="6"/>
      <c r="P44" s="6"/>
      <c r="Q44" s="6"/>
      <c r="R44" s="6"/>
      <c r="S44" s="6"/>
      <c r="T44" s="6"/>
      <c r="U44" s="6"/>
      <c r="V44" s="6"/>
      <c r="W44" s="8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8"/>
      <c r="N45" s="8"/>
      <c r="O45" s="6"/>
      <c r="P45" s="6"/>
      <c r="Q45" s="6"/>
      <c r="R45" s="6"/>
      <c r="S45" s="6"/>
      <c r="T45" s="6"/>
      <c r="U45" s="6"/>
      <c r="V45" s="6"/>
      <c r="W45" s="8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8"/>
      <c r="N46" s="8"/>
      <c r="O46" s="6"/>
      <c r="P46" s="6"/>
      <c r="Q46" s="6"/>
      <c r="R46" s="6"/>
      <c r="S46" s="6"/>
      <c r="T46" s="6"/>
      <c r="U46" s="6"/>
      <c r="V46" s="6"/>
      <c r="W46" s="8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8"/>
      <c r="N47" s="8"/>
      <c r="O47" s="6"/>
      <c r="P47" s="6"/>
      <c r="Q47" s="6"/>
      <c r="R47" s="6"/>
      <c r="S47" s="6"/>
      <c r="T47" s="6"/>
      <c r="U47" s="6"/>
      <c r="V47" s="6"/>
      <c r="W47" s="8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8"/>
      <c r="N48" s="8"/>
      <c r="O48" s="6"/>
      <c r="P48" s="6"/>
      <c r="Q48" s="6"/>
      <c r="R48" s="6"/>
      <c r="S48" s="6"/>
      <c r="T48" s="6"/>
      <c r="U48" s="6"/>
      <c r="V48" s="6"/>
      <c r="W48" s="8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8"/>
      <c r="N49" s="8"/>
      <c r="O49" s="6"/>
      <c r="P49" s="6"/>
      <c r="Q49" s="6"/>
      <c r="R49" s="6"/>
      <c r="S49" s="6"/>
      <c r="T49" s="6"/>
      <c r="U49" s="6"/>
      <c r="V49" s="6"/>
      <c r="W49" s="8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8"/>
      <c r="N50" s="8"/>
      <c r="O50" s="6"/>
      <c r="P50" s="6"/>
      <c r="Q50" s="6"/>
      <c r="R50" s="6"/>
      <c r="S50" s="6"/>
      <c r="T50" s="6"/>
      <c r="U50" s="6"/>
      <c r="V50" s="6"/>
      <c r="W50" s="8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8"/>
      <c r="N51" s="8"/>
      <c r="O51" s="6"/>
      <c r="P51" s="6"/>
      <c r="Q51" s="6"/>
      <c r="R51" s="6"/>
      <c r="S51" s="6"/>
      <c r="T51" s="6"/>
      <c r="U51" s="6"/>
      <c r="V51" s="6"/>
      <c r="W51" s="8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8"/>
      <c r="N52" s="8"/>
      <c r="O52" s="6"/>
      <c r="P52" s="6"/>
      <c r="Q52" s="6"/>
      <c r="R52" s="6"/>
      <c r="S52" s="6"/>
      <c r="T52" s="6"/>
      <c r="U52" s="6"/>
      <c r="V52" s="6"/>
      <c r="W52" s="8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8"/>
      <c r="N53" s="8"/>
      <c r="O53" s="6"/>
      <c r="P53" s="6"/>
      <c r="Q53" s="6"/>
      <c r="R53" s="6"/>
      <c r="S53" s="6"/>
      <c r="T53" s="6"/>
      <c r="U53" s="6"/>
      <c r="V53" s="6"/>
      <c r="W53" s="8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8"/>
      <c r="N54" s="8"/>
      <c r="O54" s="6"/>
      <c r="P54" s="6"/>
      <c r="Q54" s="6"/>
      <c r="R54" s="6"/>
      <c r="S54" s="6"/>
      <c r="T54" s="6"/>
      <c r="U54" s="6"/>
      <c r="V54" s="6"/>
      <c r="W54" s="8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8"/>
      <c r="N55" s="8"/>
      <c r="O55" s="6"/>
      <c r="P55" s="6"/>
      <c r="Q55" s="6"/>
      <c r="R55" s="6"/>
      <c r="S55" s="6"/>
      <c r="T55" s="6"/>
      <c r="U55" s="6"/>
      <c r="V55" s="6"/>
      <c r="W55" s="8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8"/>
      <c r="N56" s="8"/>
      <c r="O56" s="6"/>
      <c r="P56" s="6"/>
      <c r="Q56" s="6"/>
      <c r="R56" s="6"/>
      <c r="S56" s="6"/>
      <c r="T56" s="6"/>
      <c r="U56" s="6"/>
      <c r="V56" s="6"/>
      <c r="W56" s="8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8"/>
      <c r="N57" s="8"/>
      <c r="O57" s="6"/>
      <c r="P57" s="6"/>
      <c r="Q57" s="6"/>
      <c r="R57" s="6"/>
      <c r="S57" s="6"/>
      <c r="T57" s="6"/>
      <c r="U57" s="6"/>
      <c r="V57" s="6"/>
      <c r="W57" s="8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  <c r="O58" s="6"/>
      <c r="P58" s="6"/>
      <c r="Q58" s="6"/>
      <c r="R58" s="6"/>
      <c r="S58" s="6"/>
      <c r="T58" s="6"/>
      <c r="U58" s="6"/>
      <c r="V58" s="6"/>
      <c r="W58" s="8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  <c r="O59" s="6"/>
      <c r="P59" s="6"/>
      <c r="Q59" s="6"/>
      <c r="R59" s="6"/>
      <c r="S59" s="6"/>
      <c r="T59" s="6"/>
      <c r="U59" s="6"/>
      <c r="V59" s="6"/>
      <c r="W59" s="8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8"/>
      <c r="N60" s="8"/>
      <c r="O60" s="6"/>
      <c r="P60" s="6"/>
      <c r="Q60" s="6"/>
      <c r="R60" s="6"/>
      <c r="S60" s="6"/>
      <c r="T60" s="6"/>
      <c r="U60" s="6"/>
      <c r="V60" s="6"/>
      <c r="W60" s="8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8"/>
      <c r="N61" s="8"/>
      <c r="O61" s="6"/>
      <c r="P61" s="6"/>
      <c r="Q61" s="6"/>
      <c r="R61" s="6"/>
      <c r="S61" s="6"/>
      <c r="T61" s="6"/>
      <c r="U61" s="6"/>
      <c r="V61" s="6"/>
      <c r="W61" s="8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8"/>
      <c r="N62" s="8"/>
      <c r="O62" s="6"/>
      <c r="P62" s="6"/>
      <c r="Q62" s="6"/>
      <c r="R62" s="6"/>
      <c r="S62" s="6"/>
      <c r="T62" s="6"/>
      <c r="U62" s="6"/>
      <c r="V62" s="6"/>
      <c r="W62" s="8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8"/>
      <c r="N63" s="8"/>
      <c r="O63" s="6"/>
      <c r="P63" s="6"/>
      <c r="Q63" s="6"/>
      <c r="R63" s="6"/>
      <c r="S63" s="6"/>
      <c r="T63" s="6"/>
      <c r="U63" s="6"/>
      <c r="V63" s="6"/>
      <c r="W63" s="8"/>
      <c r="X63" s="6"/>
      <c r="Y63" s="6"/>
      <c r="Z63" s="6"/>
      <c r="AA63" s="6"/>
      <c r="AB63" s="6"/>
      <c r="AC63" s="6"/>
      <c r="AD63" s="6"/>
      <c r="AE63" s="6"/>
      <c r="AF63" s="6"/>
      <c r="AG63" s="6"/>
    </row>
  </sheetData>
  <autoFilter ref="A3:AG3"/>
  <mergeCells count="2">
    <mergeCell ref="A1:AG1"/>
    <mergeCell ref="A2:AG2"/>
  </mergeCells>
  <dataValidations count="30">
    <dataValidation type="list" allowBlank="1" sqref="AA10:AA63">
      <formula1>"neu,qualifiziert,Besichtigung terminiert,besichtigt,Angebot,Verhandlung,Reservation,abgeschlossen,abgesagt"</formula1>
    </dataValidation>
    <dataValidation type="list" allowBlank="1" sqref="AA4:AA63">
      <formula1>"neu,qualifiziert,Besichtigung terminiert,besichtigt,Angebot,Verhandlung,Reservation,abgeschlossen,abgesagt"</formula1>
    </dataValidation>
    <dataValidation type="list" allowBlank="1" sqref="AA4:AA263">
      <formula1>"neu,qualifiziert,Besichtigung terminiert,besichtigt,Angebot,Verhandlung,Reservation,abgeschlossen,abgesagt"</formula1>
    </dataValidation>
    <dataValidation type="list" allowBlank="1" sqref="AB10:AB63">
      <formula1>"Preis,Lage,Zustand,Grösse,Finanzierung,Zeitpunkt,anderes Objekt,Lärm,Sanierungsbedarf,kein Grund genannt"</formula1>
    </dataValidation>
    <dataValidation type="list" allowBlank="1" sqref="AB4:AB63">
      <formula1>"Preis,Lage,Zustand,Grösse,Finanzierung,Zeitpunkt,anderes Objekt,Lärm,Sanierungsbedarf,kein Grund genannt"</formula1>
    </dataValidation>
    <dataValidation type="list" allowBlank="1" sqref="AB4:AB263">
      <formula1>"Preis,Lage,Zustand,Grösse,Finanzierung,Zeitpunkt,anderes Objekt,Lärm,Sanierungsbedarf,kein Grund genannt"</formula1>
    </dataValidation>
    <dataValidation type="list" allowBlank="1" sqref="G10:G63">
      <formula1>"Portal,Website,Newsletter,Empfehlung,Schild,Direktkontakt"</formula1>
    </dataValidation>
    <dataValidation type="list" allowBlank="1" sqref="G4:G63">
      <formula1>"Portal,Website,Newsletter,Empfehlung,Schild,Direktkontakt"</formula1>
    </dataValidation>
    <dataValidation type="list" allowBlank="1" sqref="G4:G263">
      <formula1>"Portal,Website,Newsletter,Empfehlung,Schild,Direktkontakt"</formula1>
    </dataValidation>
    <dataValidation type="list" allowBlank="1" sqref="I10:I63">
      <formula1>"Miete,Eigentum mit Verkaufsbedarf,Eigentum ohne Verkaufsbedarf"</formula1>
    </dataValidation>
    <dataValidation type="list" allowBlank="1" sqref="I4:I63">
      <formula1>"Miete,Eigentum mit Verkaufsbedarf,Eigentum ohne Verkaufsbedarf"</formula1>
    </dataValidation>
    <dataValidation type="list" allowBlank="1" sqref="I4:I263">
      <formula1>"Miete,Eigentum mit Verkaufsbedarf,Eigentum ohne Verkaufsbedarf"</formula1>
    </dataValidation>
    <dataValidation type="list" allowBlank="1" sqref="K10:K63">
      <formula1>"nein,in Abklärung,Selbstauskunft,schriftliche Bestätigung"</formula1>
    </dataValidation>
    <dataValidation type="list" allowBlank="1" sqref="K4:K63">
      <formula1>"nein,in Abklärung,Selbstauskunft,schriftliche Bestätigung"</formula1>
    </dataValidation>
    <dataValidation type="list" allowBlank="1" sqref="K4:K263">
      <formula1>"nein,in Abklärung,Selbstauskunft,schriftliche Bestätigung"</formula1>
    </dataValidation>
    <dataValidation type="list" allowBlank="1" sqref="S10:S63">
      <formula1>"hoch,mittel,gering,keines"</formula1>
    </dataValidation>
    <dataValidation type="list" allowBlank="1" sqref="S4:S63">
      <formula1>"hoch,mittel,gering,keines"</formula1>
    </dataValidation>
    <dataValidation type="list" allowBlank="1" sqref="S4:S263">
      <formula1>"hoch,mittel,gering,keines"</formula1>
    </dataValidation>
    <dataValidation type="list" allowBlank="1" sqref="T10:T63">
      <formula1>"A,B,C"</formula1>
    </dataValidation>
    <dataValidation type="list" allowBlank="1" sqref="T4:T63">
      <formula1>"A,B,C"</formula1>
    </dataValidation>
    <dataValidation type="list" allowBlank="1" sqref="T4:T263">
      <formula1>"A,B,C"</formula1>
    </dataValidation>
    <dataValidation type="list" allowBlank="1" sqref="U10:U63">
      <formula1>"nein,angekündigt,eingegangen,zurückgezogen"</formula1>
    </dataValidation>
    <dataValidation type="list" allowBlank="1" sqref="U4:U63">
      <formula1>"nein,angekündigt,eingegangen,zurückgezogen"</formula1>
    </dataValidation>
    <dataValidation type="list" allowBlank="1" sqref="U4:U263">
      <formula1>"nein,angekündigt,eingegangen,zurückgezogen"</formula1>
    </dataValidation>
    <dataValidation type="list" allowBlank="1" sqref="Y10:Y63">
      <formula1>"fehlt,Selbstauskunft,Bankbestätigung objektbezogen"</formula1>
    </dataValidation>
    <dataValidation type="list" allowBlank="1" sqref="Y4:Y63">
      <formula1>"fehlt,Selbstauskunft,Bankbestätigung objektbezogen"</formula1>
    </dataValidation>
    <dataValidation type="list" allowBlank="1" sqref="Y4:Y263">
      <formula1>"fehlt,Selbstauskunft,Bankbestätigung objektbezogen"</formula1>
    </dataValidation>
    <dataValidation type="list" allowBlank="1" sqref="Z10:Z63">
      <formula1>"offen,erfasst,vollständig dokumentiert"</formula1>
    </dataValidation>
    <dataValidation type="list" allowBlank="1" sqref="Z4:Z63">
      <formula1>"offen,erfasst,vollständig dokumentiert"</formula1>
    </dataValidation>
    <dataValidation type="list" allowBlank="1" sqref="Z4:Z263">
      <formula1>"offen,erfasst,vollständig dokumentiert"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86" customWidth="1"/>
  </cols>
  <sheetData>
    <row r="1" ht="26" customHeight="1" spans="1:3" x14ac:dyDescent="0.25">
      <c r="A1" s="1" t="s">
        <v>84</v>
      </c>
      <c r="B1" s="1"/>
      <c r="C1" s="1"/>
    </row>
    <row r="2" ht="16" customHeight="1" spans="1:3" x14ac:dyDescent="0.25">
      <c r="A2" s="2" t="s">
        <v>85</v>
      </c>
      <c r="B2" s="2"/>
      <c r="C2" s="2"/>
    </row>
    <row r="3" ht="30" customHeight="1" spans="1:3" x14ac:dyDescent="0.25">
      <c r="A3" s="3" t="s">
        <v>2</v>
      </c>
      <c r="B3" s="3" t="s">
        <v>86</v>
      </c>
      <c r="C3" s="3" t="s">
        <v>87</v>
      </c>
    </row>
    <row r="4" spans="1:3" x14ac:dyDescent="0.25">
      <c r="A4" s="5" t="s">
        <v>52</v>
      </c>
      <c r="B4" s="5" t="s">
        <v>88</v>
      </c>
      <c r="C4" s="5" t="s">
        <v>89</v>
      </c>
    </row>
    <row r="5" spans="1:3" x14ac:dyDescent="0.25">
      <c r="A5" s="7" t="s">
        <v>5</v>
      </c>
      <c r="B5" s="7" t="s">
        <v>88</v>
      </c>
      <c r="C5" s="7" t="s">
        <v>90</v>
      </c>
    </row>
    <row r="6" spans="1:3" x14ac:dyDescent="0.25">
      <c r="A6" s="5" t="s">
        <v>53</v>
      </c>
      <c r="B6" s="5" t="s">
        <v>88</v>
      </c>
      <c r="C6" s="5" t="s">
        <v>91</v>
      </c>
    </row>
    <row r="7" spans="1:3" x14ac:dyDescent="0.25">
      <c r="A7" s="7" t="s">
        <v>54</v>
      </c>
      <c r="B7" s="7" t="s">
        <v>88</v>
      </c>
      <c r="C7" s="7" t="s">
        <v>92</v>
      </c>
    </row>
    <row r="8" spans="1:3" x14ac:dyDescent="0.25">
      <c r="A8" s="5" t="s">
        <v>55</v>
      </c>
      <c r="B8" s="5" t="s">
        <v>88</v>
      </c>
      <c r="C8" s="5" t="s">
        <v>93</v>
      </c>
    </row>
    <row r="9" spans="1:3" x14ac:dyDescent="0.25">
      <c r="A9" s="7" t="s">
        <v>56</v>
      </c>
      <c r="B9" s="7" t="s">
        <v>94</v>
      </c>
      <c r="C9" s="7" t="s">
        <v>95</v>
      </c>
    </row>
    <row r="10" spans="1:3" x14ac:dyDescent="0.25">
      <c r="A10" s="5" t="s">
        <v>57</v>
      </c>
      <c r="B10" s="5" t="s">
        <v>96</v>
      </c>
      <c r="C10" s="5" t="s">
        <v>97</v>
      </c>
    </row>
    <row r="11" spans="1:3" x14ac:dyDescent="0.25">
      <c r="A11" s="7" t="s">
        <v>58</v>
      </c>
      <c r="B11" s="7" t="s">
        <v>98</v>
      </c>
      <c r="C11" s="7" t="s">
        <v>99</v>
      </c>
    </row>
    <row r="12" spans="1:3" x14ac:dyDescent="0.25">
      <c r="A12" s="5" t="s">
        <v>59</v>
      </c>
      <c r="B12" s="5" t="s">
        <v>96</v>
      </c>
      <c r="C12" s="5" t="s">
        <v>100</v>
      </c>
    </row>
    <row r="13" spans="1:3" x14ac:dyDescent="0.25">
      <c r="A13" s="7" t="s">
        <v>60</v>
      </c>
      <c r="B13" s="7" t="s">
        <v>88</v>
      </c>
      <c r="C13" s="7" t="s">
        <v>101</v>
      </c>
    </row>
    <row r="14" spans="1:3" x14ac:dyDescent="0.25">
      <c r="A14" s="5" t="s">
        <v>61</v>
      </c>
      <c r="B14" s="5" t="s">
        <v>96</v>
      </c>
      <c r="C14" s="5" t="s">
        <v>102</v>
      </c>
    </row>
    <row r="15" spans="1:3" x14ac:dyDescent="0.25">
      <c r="A15" s="7" t="s">
        <v>62</v>
      </c>
      <c r="B15" s="7" t="s">
        <v>88</v>
      </c>
      <c r="C15" s="7" t="s">
        <v>103</v>
      </c>
    </row>
    <row r="16" spans="1:3" x14ac:dyDescent="0.25">
      <c r="A16" s="5" t="s">
        <v>63</v>
      </c>
      <c r="B16" s="5" t="s">
        <v>104</v>
      </c>
      <c r="C16" s="5" t="s">
        <v>105</v>
      </c>
    </row>
    <row r="17" spans="1:3" x14ac:dyDescent="0.25">
      <c r="A17" s="7" t="s">
        <v>64</v>
      </c>
      <c r="B17" s="7" t="s">
        <v>104</v>
      </c>
      <c r="C17" s="7" t="s">
        <v>106</v>
      </c>
    </row>
    <row r="18" spans="1:3" x14ac:dyDescent="0.25">
      <c r="A18" s="5" t="s">
        <v>65</v>
      </c>
      <c r="B18" s="5" t="s">
        <v>94</v>
      </c>
      <c r="C18" s="5" t="s">
        <v>107</v>
      </c>
    </row>
    <row r="19" spans="1:3" x14ac:dyDescent="0.25">
      <c r="A19" s="7" t="s">
        <v>66</v>
      </c>
      <c r="B19" s="7" t="s">
        <v>94</v>
      </c>
      <c r="C19" s="7" t="s">
        <v>108</v>
      </c>
    </row>
    <row r="20" spans="1:3" x14ac:dyDescent="0.25">
      <c r="A20" s="5" t="s">
        <v>67</v>
      </c>
      <c r="B20" s="5" t="s">
        <v>94</v>
      </c>
      <c r="C20" s="5" t="s">
        <v>109</v>
      </c>
    </row>
    <row r="21" spans="1:3" x14ac:dyDescent="0.25">
      <c r="A21" s="7" t="s">
        <v>68</v>
      </c>
      <c r="B21" s="7" t="s">
        <v>94</v>
      </c>
      <c r="C21" s="7" t="s">
        <v>110</v>
      </c>
    </row>
    <row r="22" spans="1:3" x14ac:dyDescent="0.25">
      <c r="A22" s="5" t="s">
        <v>69</v>
      </c>
      <c r="B22" s="5" t="s">
        <v>96</v>
      </c>
      <c r="C22" s="5" t="s">
        <v>111</v>
      </c>
    </row>
    <row r="23" spans="1:3" x14ac:dyDescent="0.25">
      <c r="A23" s="7" t="s">
        <v>70</v>
      </c>
      <c r="B23" s="7" t="s">
        <v>96</v>
      </c>
      <c r="C23" s="7" t="s">
        <v>112</v>
      </c>
    </row>
    <row r="24" spans="1:3" x14ac:dyDescent="0.25">
      <c r="A24" s="5" t="s">
        <v>71</v>
      </c>
      <c r="B24" s="5" t="s">
        <v>96</v>
      </c>
      <c r="C24" s="5" t="s">
        <v>113</v>
      </c>
    </row>
    <row r="25" spans="1:3" x14ac:dyDescent="0.25">
      <c r="A25" s="7" t="s">
        <v>72</v>
      </c>
      <c r="B25" s="7" t="s">
        <v>94</v>
      </c>
      <c r="C25" s="7" t="s">
        <v>114</v>
      </c>
    </row>
    <row r="26" spans="1:3" x14ac:dyDescent="0.25">
      <c r="A26" s="5" t="s">
        <v>73</v>
      </c>
      <c r="B26" s="5" t="s">
        <v>104</v>
      </c>
      <c r="C26" s="5" t="s">
        <v>115</v>
      </c>
    </row>
    <row r="27" spans="1:3" x14ac:dyDescent="0.25">
      <c r="A27" s="7" t="s">
        <v>74</v>
      </c>
      <c r="B27" s="7" t="s">
        <v>88</v>
      </c>
      <c r="C27" s="7" t="s">
        <v>116</v>
      </c>
    </row>
    <row r="28" spans="1:3" x14ac:dyDescent="0.25">
      <c r="A28" s="5" t="s">
        <v>75</v>
      </c>
      <c r="B28" s="5" t="s">
        <v>96</v>
      </c>
      <c r="C28" s="5" t="s">
        <v>117</v>
      </c>
    </row>
    <row r="29" spans="1:3" x14ac:dyDescent="0.25">
      <c r="A29" s="7" t="s">
        <v>76</v>
      </c>
      <c r="B29" s="7" t="s">
        <v>96</v>
      </c>
      <c r="C29" s="7" t="s">
        <v>118</v>
      </c>
    </row>
    <row r="30" spans="1:3" x14ac:dyDescent="0.25">
      <c r="A30" s="5" t="s">
        <v>77</v>
      </c>
      <c r="B30" s="5" t="s">
        <v>96</v>
      </c>
      <c r="C30" s="5" t="s">
        <v>119</v>
      </c>
    </row>
    <row r="31" spans="1:3" x14ac:dyDescent="0.25">
      <c r="A31" s="7" t="s">
        <v>78</v>
      </c>
      <c r="B31" s="7" t="s">
        <v>96</v>
      </c>
      <c r="C31" s="7" t="s">
        <v>120</v>
      </c>
    </row>
    <row r="32" spans="1:3" x14ac:dyDescent="0.25">
      <c r="A32" s="5" t="s">
        <v>79</v>
      </c>
      <c r="B32" s="5" t="s">
        <v>88</v>
      </c>
      <c r="C32" s="5" t="s">
        <v>121</v>
      </c>
    </row>
    <row r="33" spans="1:3" x14ac:dyDescent="0.25">
      <c r="A33" s="7" t="s">
        <v>80</v>
      </c>
      <c r="B33" s="7" t="s">
        <v>94</v>
      </c>
      <c r="C33" s="7" t="s">
        <v>122</v>
      </c>
    </row>
    <row r="34" spans="1:3" x14ac:dyDescent="0.25">
      <c r="A34" s="5" t="s">
        <v>81</v>
      </c>
      <c r="B34" s="5" t="s">
        <v>88</v>
      </c>
      <c r="C34" s="5" t="s">
        <v>123</v>
      </c>
    </row>
    <row r="35" spans="1:3" x14ac:dyDescent="0.25">
      <c r="A35" s="7" t="s">
        <v>82</v>
      </c>
      <c r="B35" s="7" t="s">
        <v>94</v>
      </c>
      <c r="C35" s="7" t="s">
        <v>124</v>
      </c>
    </row>
    <row r="36" spans="1:3" x14ac:dyDescent="0.25">
      <c r="A36" s="5" t="s">
        <v>83</v>
      </c>
      <c r="B36" s="5" t="s">
        <v>88</v>
      </c>
      <c r="C36" s="5" t="s">
        <v>125</v>
      </c>
    </row>
  </sheetData>
  <autoFilter ref="A3:C3"/>
  <mergeCells count="2">
    <mergeCell ref="A1:C1"/>
    <mergeCell ref="A2:C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4" max="4" width="26" customWidth="1"/>
    <col min="5" max="5" width="8" customWidth="1"/>
    <col min="6" max="6" width="11" customWidth="1"/>
    <col min="7" max="7" width="20" customWidth="1"/>
    <col min="8" max="8" width="16" customWidth="1"/>
    <col min="9" max="9" width="17" customWidth="1"/>
    <col min="10" max="10" width="22" customWidth="1"/>
    <col min="11" max="11" width="16" customWidth="1"/>
    <col min="12" max="13" width="20" customWidth="1"/>
    <col min="14" max="14" width="26" customWidth="1"/>
  </cols>
  <sheetData>
    <row r="1" ht="26" customHeight="1" spans="1:14" x14ac:dyDescent="0.2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" customHeight="1" spans="1:14" x14ac:dyDescent="0.25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128</v>
      </c>
      <c r="B3" s="3" t="s">
        <v>94</v>
      </c>
      <c r="C3" s="3" t="s">
        <v>129</v>
      </c>
      <c r="D3" s="3" t="s">
        <v>130</v>
      </c>
      <c r="E3" s="3" t="s">
        <v>70</v>
      </c>
      <c r="F3" s="3" t="s">
        <v>131</v>
      </c>
      <c r="G3" s="3" t="s">
        <v>132</v>
      </c>
      <c r="H3" s="3" t="s">
        <v>133</v>
      </c>
      <c r="I3" s="3" t="s">
        <v>134</v>
      </c>
      <c r="J3" s="3" t="s">
        <v>135</v>
      </c>
      <c r="K3" s="3" t="s">
        <v>136</v>
      </c>
      <c r="L3" s="3" t="s">
        <v>137</v>
      </c>
      <c r="M3" s="3" t="s">
        <v>78</v>
      </c>
      <c r="N3" s="3" t="s">
        <v>79</v>
      </c>
    </row>
    <row r="4" spans="1:14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7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7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7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7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7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7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</sheetData>
  <autoFilter ref="A3:N3"/>
  <mergeCells count="2">
    <mergeCell ref="A1:N1"/>
    <mergeCell ref="A2:N2"/>
  </mergeCells>
  <dataValidations count="13">
    <dataValidation type="list" allowBlank="1" sqref="E10:E53">
      <formula1>"A,B,C"</formula1>
    </dataValidation>
    <dataValidation type="list" allowBlank="1" sqref="E4:E53">
      <formula1>"A,B,C"</formula1>
    </dataValidation>
    <dataValidation type="list" allowBlank="1" sqref="E4:E253">
      <formula1>"A,B,C"</formula1>
    </dataValidation>
    <dataValidation type="list" allowBlank="1" sqref="G10:G53">
      <formula1>"Erstbesichtigung,Zweitbesichtigung,weitere"</formula1>
    </dataValidation>
    <dataValidation type="list" allowBlank="1" sqref="G4:G53">
      <formula1>"Erstbesichtigung,Zweitbesichtigung,weitere"</formula1>
    </dataValidation>
    <dataValidation type="list" allowBlank="1" sqref="G4:G253">
      <formula1>"Erstbesichtigung,Zweitbesichtigung,weitere"</formula1>
    </dataValidation>
    <dataValidation type="list" allowBlank="1" sqref="H10:I53">
      <formula1>"ja,nein,offen"</formula1>
    </dataValidation>
    <dataValidation type="list" allowBlank="1" sqref="H4:I53">
      <formula1>"ja,nein,offen"</formula1>
    </dataValidation>
    <dataValidation type="list" allowBlank="1" sqref="H4:H253">
      <formula1>"ja,nein,offen"</formula1>
    </dataValidation>
    <dataValidation type="list" allowBlank="1" sqref="I4:I253">
      <formula1>"ja,nein,offen"</formula1>
    </dataValidation>
    <dataValidation type="list" allowBlank="1" sqref="L10:L53">
      <formula1>"Kaufinteresse,noch offen,Absage"</formula1>
    </dataValidation>
    <dataValidation type="list" allowBlank="1" sqref="L4:L53">
      <formula1>"Kaufinteresse,noch offen,Absage"</formula1>
    </dataValidation>
    <dataValidation type="list" allowBlank="1" sqref="L4:L253">
      <formula1>"Kaufinteresse,noch offen,Absage"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11" customWidth="1"/>
    <col min="4" max="4" width="26" customWidth="1"/>
    <col min="5" max="5" width="17" customWidth="1"/>
    <col min="6" max="7" width="15" customWidth="1"/>
    <col min="8" max="8" width="16" customWidth="1"/>
    <col min="9" max="9" width="22" customWidth="1"/>
    <col min="10" max="10" width="16" customWidth="1"/>
    <col min="11" max="11" width="30" customWidth="1"/>
    <col min="12" max="12" width="16" customWidth="1"/>
    <col min="13" max="13" width="14" customWidth="1"/>
    <col min="14" max="14" width="15" customWidth="1"/>
    <col min="15" max="15" width="13" customWidth="1"/>
    <col min="16" max="16" width="16" customWidth="1"/>
    <col min="17" max="17" width="22" customWidth="1"/>
    <col min="18" max="18" width="13" customWidth="1"/>
  </cols>
  <sheetData>
    <row r="1" ht="26" customHeight="1" spans="1:18" x14ac:dyDescent="0.25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6" customHeight="1" spans="1:18" x14ac:dyDescent="0.25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8" x14ac:dyDescent="0.25">
      <c r="A3" s="3" t="s">
        <v>128</v>
      </c>
      <c r="B3" s="3" t="s">
        <v>140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75</v>
      </c>
      <c r="J3" s="3" t="s">
        <v>147</v>
      </c>
      <c r="K3" s="3" t="s">
        <v>74</v>
      </c>
      <c r="L3" s="3" t="s">
        <v>148</v>
      </c>
      <c r="M3" s="3" t="s">
        <v>149</v>
      </c>
      <c r="N3" s="3" t="s">
        <v>76</v>
      </c>
      <c r="O3" s="3" t="s">
        <v>150</v>
      </c>
      <c r="P3" s="3" t="s">
        <v>151</v>
      </c>
      <c r="Q3" s="3" t="s">
        <v>152</v>
      </c>
      <c r="R3" s="3" t="s">
        <v>153</v>
      </c>
    </row>
    <row r="4" spans="1:18" x14ac:dyDescent="0.25">
      <c r="A4" s="5">
        <v>1</v>
      </c>
      <c r="B4" s="6"/>
      <c r="C4" s="6"/>
      <c r="D4" s="6"/>
      <c r="E4" s="8"/>
      <c r="F4" s="8"/>
      <c r="G4" s="9">
        <f>IF(E4="","",E4+N(F4))</f>
      </c>
      <c r="H4" s="10">
        <f>IF(OR(G4="",Objekt!$B$22=""),"",G4/Objekt!$B$22-1)</f>
      </c>
      <c r="I4" s="6"/>
      <c r="J4" s="8"/>
      <c r="K4" s="6"/>
      <c r="L4" s="6"/>
      <c r="M4" s="6"/>
      <c r="N4" s="6"/>
      <c r="O4" s="6"/>
      <c r="P4" s="6"/>
      <c r="Q4" s="6" t="s">
        <v>154</v>
      </c>
      <c r="R4" s="6"/>
    </row>
    <row r="5" spans="1:18" x14ac:dyDescent="0.25">
      <c r="A5" s="7">
        <v>2</v>
      </c>
      <c r="B5" s="6"/>
      <c r="C5" s="6"/>
      <c r="D5" s="6"/>
      <c r="E5" s="8"/>
      <c r="F5" s="8"/>
      <c r="G5" s="11">
        <f>IF(E5="","",E5+N(F5))</f>
      </c>
      <c r="H5" s="12">
        <f>IF(OR(G5="",Objekt!$B$22=""),"",G5/Objekt!$B$22-1)</f>
      </c>
      <c r="I5" s="6"/>
      <c r="J5" s="8"/>
      <c r="K5" s="6"/>
      <c r="L5" s="6"/>
      <c r="M5" s="6"/>
      <c r="N5" s="6"/>
      <c r="O5" s="6"/>
      <c r="P5" s="6"/>
      <c r="Q5" s="6" t="s">
        <v>154</v>
      </c>
      <c r="R5" s="6"/>
    </row>
    <row r="6" spans="1:18" x14ac:dyDescent="0.25">
      <c r="A6" s="5">
        <v>3</v>
      </c>
      <c r="B6" s="6"/>
      <c r="C6" s="6"/>
      <c r="D6" s="6"/>
      <c r="E6" s="8"/>
      <c r="F6" s="8"/>
      <c r="G6" s="9">
        <f>IF(E6="","",E6+N(F6))</f>
      </c>
      <c r="H6" s="10">
        <f>IF(OR(G6="",Objekt!$B$22=""),"",G6/Objekt!$B$22-1)</f>
      </c>
      <c r="I6" s="6"/>
      <c r="J6" s="8"/>
      <c r="K6" s="6"/>
      <c r="L6" s="6"/>
      <c r="M6" s="6"/>
      <c r="N6" s="6"/>
      <c r="O6" s="6"/>
      <c r="P6" s="6"/>
      <c r="Q6" s="6" t="s">
        <v>154</v>
      </c>
      <c r="R6" s="6"/>
    </row>
    <row r="7" spans="1:18" x14ac:dyDescent="0.25">
      <c r="A7" s="7">
        <v>4</v>
      </c>
      <c r="B7" s="6"/>
      <c r="C7" s="6"/>
      <c r="D7" s="6"/>
      <c r="E7" s="8"/>
      <c r="F7" s="8"/>
      <c r="G7" s="11">
        <f>IF(E7="","",E7+N(F7))</f>
      </c>
      <c r="H7" s="12">
        <f>IF(OR(G7="",Objekt!$B$22=""),"",G7/Objekt!$B$22-1)</f>
      </c>
      <c r="I7" s="6"/>
      <c r="J7" s="8"/>
      <c r="K7" s="6"/>
      <c r="L7" s="6"/>
      <c r="M7" s="6"/>
      <c r="N7" s="6"/>
      <c r="O7" s="6"/>
      <c r="P7" s="6"/>
      <c r="Q7" s="6" t="s">
        <v>154</v>
      </c>
      <c r="R7" s="6"/>
    </row>
    <row r="8" spans="1:18" x14ac:dyDescent="0.25">
      <c r="A8" s="5">
        <v>5</v>
      </c>
      <c r="B8" s="6"/>
      <c r="C8" s="6"/>
      <c r="D8" s="6"/>
      <c r="E8" s="8"/>
      <c r="F8" s="8"/>
      <c r="G8" s="9">
        <f>IF(E8="","",E8+N(F8))</f>
      </c>
      <c r="H8" s="10">
        <f>IF(OR(G8="",Objekt!$B$22=""),"",G8/Objekt!$B$22-1)</f>
      </c>
      <c r="I8" s="6"/>
      <c r="J8" s="8"/>
      <c r="K8" s="6"/>
      <c r="L8" s="6"/>
      <c r="M8" s="6"/>
      <c r="N8" s="6"/>
      <c r="O8" s="6"/>
      <c r="P8" s="6"/>
      <c r="Q8" s="6" t="s">
        <v>154</v>
      </c>
      <c r="R8" s="6"/>
    </row>
    <row r="9" spans="1:18" x14ac:dyDescent="0.25">
      <c r="A9" s="7">
        <v>6</v>
      </c>
      <c r="B9" s="6"/>
      <c r="C9" s="6"/>
      <c r="D9" s="6"/>
      <c r="E9" s="8"/>
      <c r="F9" s="8"/>
      <c r="G9" s="11">
        <f>IF(E9="","",E9+N(F9))</f>
      </c>
      <c r="H9" s="12">
        <f>IF(OR(G9="",Objekt!$B$22=""),"",G9/Objekt!$B$22-1)</f>
      </c>
      <c r="I9" s="6"/>
      <c r="J9" s="8"/>
      <c r="K9" s="6"/>
      <c r="L9" s="6"/>
      <c r="M9" s="6"/>
      <c r="N9" s="6"/>
      <c r="O9" s="6"/>
      <c r="P9" s="6"/>
      <c r="Q9" s="6" t="s">
        <v>154</v>
      </c>
      <c r="R9" s="6"/>
    </row>
    <row r="10" spans="1:18" x14ac:dyDescent="0.25">
      <c r="A10" s="5">
        <v>7</v>
      </c>
      <c r="B10" s="6"/>
      <c r="C10" s="6"/>
      <c r="D10" s="6"/>
      <c r="E10" s="8"/>
      <c r="F10" s="8"/>
      <c r="G10" s="9">
        <f>IF(E10="","",E10+N(F10))</f>
      </c>
      <c r="H10" s="10">
        <f>IF(OR(G10="",Objekt!$B$22=""),"",G10/Objekt!$B$22-1)</f>
      </c>
      <c r="I10" s="6"/>
      <c r="J10" s="8"/>
      <c r="K10" s="6"/>
      <c r="L10" s="6"/>
      <c r="M10" s="6"/>
      <c r="N10" s="6"/>
      <c r="O10" s="6"/>
      <c r="P10" s="6"/>
      <c r="Q10" s="6" t="s">
        <v>154</v>
      </c>
      <c r="R10" s="6"/>
    </row>
    <row r="11" spans="1:18" x14ac:dyDescent="0.25">
      <c r="A11" s="7">
        <v>8</v>
      </c>
      <c r="B11" s="6"/>
      <c r="C11" s="6"/>
      <c r="D11" s="6"/>
      <c r="E11" s="8"/>
      <c r="F11" s="8"/>
      <c r="G11" s="11">
        <f>IF(E11="","",E11+N(F11))</f>
      </c>
      <c r="H11" s="12">
        <f>IF(OR(G11="",Objekt!$B$22=""),"",G11/Objekt!$B$22-1)</f>
      </c>
      <c r="I11" s="6"/>
      <c r="J11" s="8"/>
      <c r="K11" s="6"/>
      <c r="L11" s="6"/>
      <c r="M11" s="6"/>
      <c r="N11" s="6"/>
      <c r="O11" s="6"/>
      <c r="P11" s="6"/>
      <c r="Q11" s="6" t="s">
        <v>154</v>
      </c>
      <c r="R11" s="6"/>
    </row>
    <row r="12" spans="1:18" x14ac:dyDescent="0.25">
      <c r="A12" s="5">
        <v>9</v>
      </c>
      <c r="B12" s="6"/>
      <c r="C12" s="6"/>
      <c r="D12" s="6"/>
      <c r="E12" s="8"/>
      <c r="F12" s="8"/>
      <c r="G12" s="9">
        <f>IF(E12="","",E12+N(F12))</f>
      </c>
      <c r="H12" s="10">
        <f>IF(OR(G12="",Objekt!$B$22=""),"",G12/Objekt!$B$22-1)</f>
      </c>
      <c r="I12" s="6"/>
      <c r="J12" s="8"/>
      <c r="K12" s="6"/>
      <c r="L12" s="6"/>
      <c r="M12" s="6"/>
      <c r="N12" s="6"/>
      <c r="O12" s="6"/>
      <c r="P12" s="6"/>
      <c r="Q12" s="6" t="s">
        <v>154</v>
      </c>
      <c r="R12" s="6"/>
    </row>
    <row r="13" spans="1:18" x14ac:dyDescent="0.25">
      <c r="A13" s="7">
        <v>10</v>
      </c>
      <c r="B13" s="6"/>
      <c r="C13" s="6"/>
      <c r="D13" s="6"/>
      <c r="E13" s="8"/>
      <c r="F13" s="8"/>
      <c r="G13" s="11">
        <f>IF(E13="","",E13+N(F13))</f>
      </c>
      <c r="H13" s="12">
        <f>IF(OR(G13="",Objekt!$B$22=""),"",G13/Objekt!$B$22-1)</f>
      </c>
      <c r="I13" s="6"/>
      <c r="J13" s="8"/>
      <c r="K13" s="6"/>
      <c r="L13" s="6"/>
      <c r="M13" s="6"/>
      <c r="N13" s="6"/>
      <c r="O13" s="6"/>
      <c r="P13" s="6"/>
      <c r="Q13" s="6" t="s">
        <v>154</v>
      </c>
      <c r="R13" s="6"/>
    </row>
    <row r="14" spans="1:18" x14ac:dyDescent="0.25">
      <c r="A14" s="5">
        <v>11</v>
      </c>
      <c r="B14" s="6"/>
      <c r="C14" s="6"/>
      <c r="D14" s="6"/>
      <c r="E14" s="8"/>
      <c r="F14" s="8"/>
      <c r="G14" s="9">
        <f>IF(E14="","",E14+N(F14))</f>
      </c>
      <c r="H14" s="10">
        <f>IF(OR(G14="",Objekt!$B$22=""),"",G14/Objekt!$B$22-1)</f>
      </c>
      <c r="I14" s="6"/>
      <c r="J14" s="8"/>
      <c r="K14" s="6"/>
      <c r="L14" s="6"/>
      <c r="M14" s="6"/>
      <c r="N14" s="6"/>
      <c r="O14" s="6"/>
      <c r="P14" s="6"/>
      <c r="Q14" s="6" t="s">
        <v>154</v>
      </c>
      <c r="R14" s="6"/>
    </row>
    <row r="15" spans="1:18" x14ac:dyDescent="0.25">
      <c r="A15" s="7">
        <v>12</v>
      </c>
      <c r="B15" s="6"/>
      <c r="C15" s="6"/>
      <c r="D15" s="6"/>
      <c r="E15" s="8"/>
      <c r="F15" s="8"/>
      <c r="G15" s="11">
        <f>IF(E15="","",E15+N(F15))</f>
      </c>
      <c r="H15" s="12">
        <f>IF(OR(G15="",Objekt!$B$22=""),"",G15/Objekt!$B$22-1)</f>
      </c>
      <c r="I15" s="6"/>
      <c r="J15" s="8"/>
      <c r="K15" s="6"/>
      <c r="L15" s="6"/>
      <c r="M15" s="6"/>
      <c r="N15" s="6"/>
      <c r="O15" s="6"/>
      <c r="P15" s="6"/>
      <c r="Q15" s="6" t="s">
        <v>154</v>
      </c>
      <c r="R15" s="6"/>
    </row>
  </sheetData>
  <autoFilter ref="A3:R3"/>
  <mergeCells count="2">
    <mergeCell ref="A1:R1"/>
    <mergeCell ref="A2:R2"/>
  </mergeCells>
  <dataValidations count="15">
    <dataValidation type="list" allowBlank="1" sqref="I10:I15">
      <formula1>"fehlt,Selbstauskunft,Bankbestätigung objektbezogen"</formula1>
    </dataValidation>
    <dataValidation type="list" allowBlank="1" sqref="I4:I15">
      <formula1>"fehlt,Selbstauskunft,Bankbestätigung objektbezogen"</formula1>
    </dataValidation>
    <dataValidation type="list" allowBlank="1" sqref="I4:I215">
      <formula1>"fehlt,Selbstauskunft,Bankbestätigung objektbezogen"</formula1>
    </dataValidation>
    <dataValidation type="list" allowBlank="1" sqref="M10:M15">
      <formula1>"ja,nein,offen"</formula1>
    </dataValidation>
    <dataValidation type="list" allowBlank="1" sqref="M4:M15">
      <formula1>"ja,nein,offen"</formula1>
    </dataValidation>
    <dataValidation type="list" allowBlank="1" sqref="M4:M215">
      <formula1>"ja,nein,offen"</formula1>
    </dataValidation>
    <dataValidation type="list" allowBlank="1" sqref="N10:N15">
      <formula1>"offen,erfasst,vollständig dokumentiert"</formula1>
    </dataValidation>
    <dataValidation type="list" allowBlank="1" sqref="N4:N15">
      <formula1>"offen,erfasst,vollständig dokumentiert"</formula1>
    </dataValidation>
    <dataValidation type="list" allowBlank="1" sqref="N4:N215">
      <formula1>"offen,erfasst,vollständig dokumentiert"</formula1>
    </dataValidation>
    <dataValidation type="list" allowBlank="1" sqref="P10:P15">
      <formula1>"hoch,mittel,gering"</formula1>
    </dataValidation>
    <dataValidation type="list" allowBlank="1" sqref="P4:P15">
      <formula1>"hoch,mittel,gering"</formula1>
    </dataValidation>
    <dataValidation type="list" allowBlank="1" sqref="P4:P215">
      <formula1>"hoch,mittel,gering"</formula1>
    </dataValidation>
    <dataValidation type="list" allowBlank="1" sqref="Q10:Q15">
      <formula1>"offen,angenommen,Gegenangebot,abgelehnt"</formula1>
    </dataValidation>
    <dataValidation type="list" allowBlank="1" sqref="Q4:Q15">
      <formula1>"offen,angenommen,Gegenangebot,abgelehnt"</formula1>
    </dataValidation>
    <dataValidation type="list" allowBlank="1" sqref="Q4:Q215">
      <formula1>"offen,angenommen,Gegenangebot,abgelehnt"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4" width="56" customWidth="1"/>
  </cols>
  <sheetData>
    <row r="1" ht="26" customHeight="1" spans="1:4" x14ac:dyDescent="0.25">
      <c r="A1" s="1" t="s">
        <v>155</v>
      </c>
      <c r="B1" s="1"/>
      <c r="C1" s="1"/>
      <c r="D1" s="1"/>
    </row>
    <row r="2" ht="16" customHeight="1" spans="1:4" x14ac:dyDescent="0.25">
      <c r="A2" s="2" t="s">
        <v>156</v>
      </c>
      <c r="B2" s="2"/>
      <c r="C2" s="2"/>
      <c r="D2" s="2"/>
    </row>
    <row r="3" ht="30" customHeight="1" spans="1:4" x14ac:dyDescent="0.25">
      <c r="A3" s="3" t="s">
        <v>157</v>
      </c>
      <c r="B3" s="3" t="s">
        <v>158</v>
      </c>
      <c r="C3" s="3" t="s">
        <v>159</v>
      </c>
      <c r="D3" s="3" t="s">
        <v>160</v>
      </c>
    </row>
    <row r="4" spans="1:4" x14ac:dyDescent="0.25">
      <c r="A4" s="5" t="s">
        <v>161</v>
      </c>
      <c r="B4" s="6">
        <f>IF(Objekt!$B$26="","",TODAY()-Objekt!$B$26)</f>
      </c>
      <c r="C4" s="5" t="s">
        <v>162</v>
      </c>
      <c r="D4" s="5" t="s">
        <v>163</v>
      </c>
    </row>
    <row r="5" spans="1:4" x14ac:dyDescent="0.25">
      <c r="A5" s="7" t="s">
        <v>164</v>
      </c>
      <c r="B5" s="6"/>
      <c r="C5" s="7" t="s">
        <v>165</v>
      </c>
      <c r="D5" s="7" t="s">
        <v>166</v>
      </c>
    </row>
    <row r="6" spans="1:4" x14ac:dyDescent="0.25">
      <c r="A6" s="5" t="s">
        <v>167</v>
      </c>
      <c r="B6" s="6"/>
      <c r="C6" s="5" t="s">
        <v>168</v>
      </c>
      <c r="D6" s="5" t="s">
        <v>169</v>
      </c>
    </row>
    <row r="7" spans="1:4" x14ac:dyDescent="0.25">
      <c r="A7" s="7" t="s">
        <v>170</v>
      </c>
      <c r="B7" s="6"/>
      <c r="C7" s="7" t="s">
        <v>171</v>
      </c>
      <c r="D7" s="7" t="s">
        <v>172</v>
      </c>
    </row>
    <row r="8" spans="1:4" x14ac:dyDescent="0.25">
      <c r="A8" s="5" t="s">
        <v>173</v>
      </c>
      <c r="B8" s="6">
        <f>COUNTA(Interessenten!C4:C400)</f>
      </c>
      <c r="C8" s="5" t="s">
        <v>174</v>
      </c>
      <c r="D8" s="5" t="s">
        <v>175</v>
      </c>
    </row>
    <row r="9" spans="1:4" x14ac:dyDescent="0.25">
      <c r="A9" s="7" t="s">
        <v>176</v>
      </c>
      <c r="B9" s="6">
        <f>COUNTIF(Interessenten!T4:T400,"A")</f>
      </c>
      <c r="C9" s="7" t="s">
        <v>177</v>
      </c>
      <c r="D9" s="7" t="s">
        <v>178</v>
      </c>
    </row>
    <row r="10" spans="1:4" x14ac:dyDescent="0.25">
      <c r="A10" s="5" t="s">
        <v>179</v>
      </c>
      <c r="B10" s="6">
        <f>COUNTA(Besichtigungen!D4:D200)</f>
      </c>
      <c r="C10" s="5" t="s">
        <v>180</v>
      </c>
      <c r="D10" s="5" t="s">
        <v>175</v>
      </c>
    </row>
    <row r="11" spans="1:4" x14ac:dyDescent="0.25">
      <c r="A11" s="7" t="s">
        <v>181</v>
      </c>
      <c r="B11" s="6">
        <f>IF(COUNTA(Interessenten!C4:C400)=0,"",COUNTA(Besichtigungen!D4:D200)/COUNTA(Interessenten!C4:C400))</f>
      </c>
      <c r="C11" s="7" t="s">
        <v>182</v>
      </c>
      <c r="D11" s="7" t="s">
        <v>183</v>
      </c>
    </row>
    <row r="12" spans="1:4" x14ac:dyDescent="0.25">
      <c r="A12" s="5" t="s">
        <v>184</v>
      </c>
      <c r="B12" s="6">
        <f>COUNTIF(Besichtigungen!G4:G200,"Zweitbesichtigung")</f>
      </c>
      <c r="C12" s="5" t="s">
        <v>185</v>
      </c>
      <c r="D12" s="5" t="s">
        <v>186</v>
      </c>
    </row>
    <row r="13" spans="1:4" x14ac:dyDescent="0.25">
      <c r="A13" s="7" t="s">
        <v>187</v>
      </c>
      <c r="B13" s="6">
        <f>COUNTIF(Interessenten!AA4:AA400,"abgesagt")</f>
      </c>
      <c r="C13" s="7" t="s">
        <v>188</v>
      </c>
      <c r="D13" s="7" t="s">
        <v>175</v>
      </c>
    </row>
    <row r="14" spans="1:4" x14ac:dyDescent="0.25">
      <c r="A14" s="5" t="s">
        <v>189</v>
      </c>
      <c r="B14" s="6"/>
      <c r="C14" s="5" t="s">
        <v>190</v>
      </c>
      <c r="D14" s="5" t="s">
        <v>191</v>
      </c>
    </row>
    <row r="15" spans="1:4" x14ac:dyDescent="0.25">
      <c r="A15" s="7" t="s">
        <v>192</v>
      </c>
      <c r="B15" s="6">
        <f>COUNT(Angebote!E4:E200)</f>
      </c>
      <c r="C15" s="7" t="s">
        <v>193</v>
      </c>
      <c r="D15" s="7" t="s">
        <v>175</v>
      </c>
    </row>
    <row r="16" spans="1:4" x14ac:dyDescent="0.25">
      <c r="A16" s="5" t="s">
        <v>194</v>
      </c>
      <c r="B16" s="6"/>
      <c r="C16" s="5" t="s">
        <v>195</v>
      </c>
      <c r="D16" s="5" t="s">
        <v>175</v>
      </c>
    </row>
    <row r="17" spans="1:4" x14ac:dyDescent="0.25">
      <c r="A17" s="7" t="s">
        <v>196</v>
      </c>
      <c r="B17" s="6">
        <f>IF(COUNT(Angebote!G4:G200)=0,"",AVERAGE(Angebote!G4:G200))</f>
      </c>
      <c r="C17" s="7" t="s">
        <v>197</v>
      </c>
      <c r="D17" s="7" t="s">
        <v>175</v>
      </c>
    </row>
    <row r="18" spans="1:4" x14ac:dyDescent="0.25">
      <c r="A18" s="5" t="s">
        <v>198</v>
      </c>
      <c r="B18" s="6">
        <f>IF(COUNT(Angebote!G4:G200)=0,"",MAX(Angebote!G4:G200))</f>
      </c>
      <c r="C18" s="5" t="s">
        <v>199</v>
      </c>
      <c r="D18" s="5" t="s">
        <v>175</v>
      </c>
    </row>
    <row r="19" spans="1:4" x14ac:dyDescent="0.25">
      <c r="A19" s="7" t="s">
        <v>146</v>
      </c>
      <c r="B19" s="6">
        <f>IF(OR(COUNT(Angebote!G4:G200)=0,Objekt!$B$22=""),"",MAX(Angebote!G4:G200)/Objekt!$B$22-1)</f>
      </c>
      <c r="C19" s="7" t="s">
        <v>200</v>
      </c>
      <c r="D19" s="7" t="s">
        <v>201</v>
      </c>
    </row>
    <row r="20" spans="1:4" x14ac:dyDescent="0.25">
      <c r="A20" s="5" t="s">
        <v>202</v>
      </c>
      <c r="B20" s="6"/>
      <c r="C20" s="5" t="s">
        <v>203</v>
      </c>
      <c r="D20" s="5" t="s">
        <v>204</v>
      </c>
    </row>
    <row r="21" spans="1:4" x14ac:dyDescent="0.25">
      <c r="A21" s="7" t="s">
        <v>205</v>
      </c>
      <c r="B21" s="6"/>
      <c r="C21" s="7" t="s">
        <v>206</v>
      </c>
      <c r="D21" s="7" t="s">
        <v>207</v>
      </c>
    </row>
    <row r="22" spans="1:4" x14ac:dyDescent="0.25">
      <c r="A22" s="5" t="s">
        <v>208</v>
      </c>
      <c r="B22" s="6">
        <f>IF(COUNTA(Besichtigungen!D4:D200)=0,"",COUNT(Angebote!E4:E200)/COUNTA(Besichtigungen!D4:D200))</f>
      </c>
      <c r="C22" s="5" t="s">
        <v>209</v>
      </c>
      <c r="D22" s="5" t="s">
        <v>210</v>
      </c>
    </row>
    <row r="23" spans="1:4" x14ac:dyDescent="0.25">
      <c r="A23" s="7" t="s">
        <v>211</v>
      </c>
      <c r="B23" s="6"/>
      <c r="C23" s="7" t="s">
        <v>212</v>
      </c>
      <c r="D23" s="7" t="s">
        <v>213</v>
      </c>
    </row>
    <row r="24" spans="1:4" x14ac:dyDescent="0.25">
      <c r="A24" s="5" t="s">
        <v>214</v>
      </c>
      <c r="B24" s="6"/>
      <c r="C24" s="5" t="s">
        <v>212</v>
      </c>
      <c r="D24" s="5" t="s">
        <v>215</v>
      </c>
    </row>
    <row r="25" spans="1:4" x14ac:dyDescent="0.25">
      <c r="A25" s="7" t="s">
        <v>216</v>
      </c>
      <c r="B25" s="6"/>
      <c r="C25" s="7" t="s">
        <v>217</v>
      </c>
      <c r="D25" s="7" t="s">
        <v>218</v>
      </c>
    </row>
    <row r="26" spans="1:4" x14ac:dyDescent="0.25">
      <c r="A26" s="5" t="s">
        <v>219</v>
      </c>
      <c r="B26" s="6"/>
      <c r="C26" s="5" t="s">
        <v>220</v>
      </c>
      <c r="D26" s="5" t="s">
        <v>221</v>
      </c>
    </row>
  </sheetData>
  <autoFilter ref="A3:D3"/>
  <mergeCells count="2">
    <mergeCell ref="A1:D1"/>
    <mergeCell ref="A2:D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70" customWidth="1"/>
  </cols>
  <sheetData>
    <row r="1" ht="26" customHeight="1" spans="1:3" x14ac:dyDescent="0.25">
      <c r="A1" s="1" t="s">
        <v>222</v>
      </c>
      <c r="B1" s="1"/>
      <c r="C1" s="1"/>
    </row>
    <row r="2" ht="16" customHeight="1" spans="1:3" x14ac:dyDescent="0.25">
      <c r="A2" s="2" t="s">
        <v>223</v>
      </c>
      <c r="B2" s="2"/>
      <c r="C2" s="2"/>
    </row>
    <row r="3" ht="30" customHeight="1" spans="1:3" x14ac:dyDescent="0.25">
      <c r="A3" s="3" t="s">
        <v>224</v>
      </c>
      <c r="B3" s="3" t="s">
        <v>225</v>
      </c>
      <c r="C3" s="3" t="s">
        <v>226</v>
      </c>
    </row>
    <row r="4" spans="1:3" x14ac:dyDescent="0.25">
      <c r="A4" s="5" t="s">
        <v>227</v>
      </c>
      <c r="B4" s="5">
        <f>COUNTIF(Interessenten!AB4:AB400,A4)</f>
      </c>
      <c r="C4" s="6"/>
    </row>
    <row r="5" spans="1:3" x14ac:dyDescent="0.25">
      <c r="A5" s="7" t="s">
        <v>228</v>
      </c>
      <c r="B5" s="7">
        <f>COUNTIF(Interessenten!AB4:AB400,A5)</f>
      </c>
      <c r="C5" s="6"/>
    </row>
    <row r="6" spans="1:3" x14ac:dyDescent="0.25">
      <c r="A6" s="5" t="s">
        <v>229</v>
      </c>
      <c r="B6" s="5">
        <f>COUNTIF(Interessenten!AB4:AB400,A6)</f>
      </c>
      <c r="C6" s="6"/>
    </row>
    <row r="7" spans="1:3" x14ac:dyDescent="0.25">
      <c r="A7" s="7" t="s">
        <v>230</v>
      </c>
      <c r="B7" s="7">
        <f>COUNTIF(Interessenten!AB4:AB400,A7)</f>
      </c>
      <c r="C7" s="6"/>
    </row>
    <row r="8" spans="1:3" x14ac:dyDescent="0.25">
      <c r="A8" s="5" t="s">
        <v>231</v>
      </c>
      <c r="B8" s="5">
        <f>COUNTIF(Interessenten!AB4:AB400,A8)</f>
      </c>
      <c r="C8" s="6"/>
    </row>
    <row r="9" spans="1:3" x14ac:dyDescent="0.25">
      <c r="A9" s="7" t="s">
        <v>232</v>
      </c>
      <c r="B9" s="7">
        <f>COUNTIF(Interessenten!AB4:AB400,A9)</f>
      </c>
      <c r="C9" s="6"/>
    </row>
    <row r="10" spans="1:3" x14ac:dyDescent="0.25">
      <c r="A10" s="5" t="s">
        <v>233</v>
      </c>
      <c r="B10" s="5">
        <f>COUNTIF(Interessenten!AB4:AB400,A10)</f>
      </c>
      <c r="C10" s="6"/>
    </row>
    <row r="11" spans="1:3" x14ac:dyDescent="0.25">
      <c r="A11" s="7" t="s">
        <v>234</v>
      </c>
      <c r="B11" s="7">
        <f>COUNTIF(Interessenten!AB4:AB400,A11)</f>
      </c>
      <c r="C11" s="6"/>
    </row>
    <row r="12" spans="1:3" x14ac:dyDescent="0.25">
      <c r="A12" s="5" t="s">
        <v>235</v>
      </c>
      <c r="B12" s="5">
        <f>COUNTIF(Interessenten!AB4:AB400,A12)</f>
      </c>
      <c r="C12" s="6"/>
    </row>
    <row r="13" spans="1:3" x14ac:dyDescent="0.25">
      <c r="A13" s="7" t="s">
        <v>236</v>
      </c>
      <c r="B13" s="7">
        <f>COUNTIF(Interessenten!AB4:AB400,A13)</f>
      </c>
      <c r="C13" s="6"/>
    </row>
  </sheetData>
  <autoFilter ref="A3:C3"/>
  <mergeCells count="2">
    <mergeCell ref="A1:C1"/>
    <mergeCell ref="A2:C2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Objekt</vt:lpstr>
      <vt:lpstr>Interessenten</vt:lpstr>
      <vt:lpstr>Feldbeschreibung</vt:lpstr>
      <vt:lpstr>Besichtigungen</vt:lpstr>
      <vt:lpstr>Angebote</vt:lpstr>
      <vt:lpstr>Controlling</vt:lpstr>
      <vt:lpstr>Absagegruende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Makler-Handbuch Hausverkauf Schweiz</dc:creator>
  <dc:title/>
  <dc:subject/>
  <dc:description/>
  <cp:keywords/>
  <cp:category/>
  <cp:lastModifiedBy>Unknown</cp:lastModifiedBy>
  <dcterms:created xsi:type="dcterms:W3CDTF">2026-09-18T06:41:24Z</dcterms:created>
  <dcterms:modified xsi:type="dcterms:W3CDTF">2026-09-18T06:41:24Z</dcterms:modified>
</cp:coreProperties>
</file>