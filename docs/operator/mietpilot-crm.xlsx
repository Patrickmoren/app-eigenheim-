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Dashboard B2C" sheetId="2" state="visible" r:id="rId4"/>
    <sheet name="Dashboard B2B" sheetId="3" state="visible" r:id="rId5"/>
    <sheet name="CRM B2C" sheetId="4" state="visible" r:id="rId6"/>
    <sheet name="CRM B2B" sheetId="5" state="visible" r:id="rId7"/>
    <sheet name="Pilot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<sst xmlns="http://schemas.openxmlformats.org/spreadsheetml/2006/main" count="208" uniqueCount="159">
  <si>
    <t xml:space="preserve">Mietpilot — Operator-CRM</t>
  </si>
  <si>
    <t xml:space="preserve">Zweck</t>
  </si>
  <si>
    <t xml:space="preserve">Getrennte CRMs für B2C (private Eigentümer:innen) und B2B (Verwaltungen/Makler/Treuhänder), Pilot-Tracking und ein auf Formeln basierendes Dashboard, das sich automatisch aktualisiert, sobald Zeilen in den CRM-Blättern gefüllt werden.</t>
  </si>
  <si>
    <t xml:space="preserve">Wie einzutragen</t>
  </si>
  <si>
    <t xml:space="preserve">Gelb hinterlegte Zeile 2 in jedem CRM-Blatt ist ein BEISPIEL zur Orientierung — nicht löschen, sondern als Vorlage für Zeile 3 ff. verwenden oder überschreiben.</t>
  </si>
  <si>
    <t xml:space="preserve">Feste Wertelisten (für konsistente Auswertung)</t>
  </si>
  <si>
    <t xml:space="preserve">Interview-Status</t>
  </si>
  <si>
    <t xml:space="preserve">geplant / kontaktiert / Termin vereinbart / geführt / kein Interesse</t>
  </si>
  <si>
    <t xml:space="preserve">Pain-Kategorie</t>
  </si>
  <si>
    <t xml:space="preserve">Screening/Zeitaufwand / Terminkoordination / Vertrauen-Auswahl / Kosten / Sonstiges / unbekannt</t>
  </si>
  <si>
    <t xml:space="preserve">KI-Vertrauen</t>
  </si>
  <si>
    <t xml:space="preserve">offen / bedingt / ablehnend / unbekannt</t>
  </si>
  <si>
    <t xml:space="preserve">Preisreaktion</t>
  </si>
  <si>
    <t xml:space="preserve">positiv / neutral / negativ / unbekannt</t>
  </si>
  <si>
    <t xml:space="preserve">Pilotinteresse</t>
  </si>
  <si>
    <t xml:space="preserve">ja / vielleicht / nein / unbekannt</t>
  </si>
  <si>
    <t xml:space="preserve">Lead-Status</t>
  </si>
  <si>
    <t xml:space="preserve">HOT / WARM / COLD / INVALID  — Regeln: docs/operator/lead-qualifizierung.md</t>
  </si>
  <si>
    <t xml:space="preserve">Pilot-Status</t>
  </si>
  <si>
    <t xml:space="preserve">geplant / läuft / abgeschlossen erfolgreich / abgeschlossen erfolglos / abgebrochen</t>
  </si>
  <si>
    <t xml:space="preserve">Blätter</t>
  </si>
  <si>
    <t xml:space="preserve">CRM B2C · CRM B2B · Piloten · Dashboard B2C · Dashboard B2B</t>
  </si>
  <si>
    <t xml:space="preserve">Zugehörige Dokumente</t>
  </si>
  <si>
    <t xml:space="preserve">docs/operator/hypothesen.md, interviewleitfaden-b2b.md, outreach-b2b.md, lead-qualifizierung.md; docs/validierung-mietpilot.md (B2C-Leitfaden)</t>
  </si>
  <si>
    <t xml:space="preserve">Mietpilot — Dashboard B2C</t>
  </si>
  <si>
    <t xml:space="preserve">Aktualisiert sich automatisch aus 'CRM B2C' (Zeilen ab 3 — Zeile 2 ist das Beispiel und zählt nicht mit).</t>
  </si>
  <si>
    <t xml:space="preserve">Trichter (absolute Zahlen)</t>
  </si>
  <si>
    <t xml:space="preserve">Kontaktiert (gesamt)</t>
  </si>
  <si>
    <t xml:space="preserve">Interviews geführt</t>
  </si>
  <si>
    <t xml:space="preserve">davon mit relevantem Pain (Kategorie erkannt)</t>
  </si>
  <si>
    <t xml:space="preserve">davon KI-Vertrauen offen/bedingt</t>
  </si>
  <si>
    <t xml:space="preserve">davon Preisreaktion positiv</t>
  </si>
  <si>
    <t xml:space="preserve">davon Pilotinteresse = ja</t>
  </si>
  <si>
    <t xml:space="preserve">Lead-Status HOT</t>
  </si>
  <si>
    <t xml:space="preserve">Quoten (in % der geführten Interviews)</t>
  </si>
  <si>
    <t xml:space="preserve">% mit relevantem Pain</t>
  </si>
  <si>
    <t xml:space="preserve">% mit Interesse (KI-Vertrauen offen/bedingt)</t>
  </si>
  <si>
    <t xml:space="preserve">% mit konkreter Kaufabsicht (Preisreaktion positiv)</t>
  </si>
  <si>
    <t xml:space="preserve">% mit Pilotbereitschaft</t>
  </si>
  <si>
    <t xml:space="preserve">Preis &amp; Zeitaufwand</t>
  </si>
  <si>
    <t xml:space="preserve">Ø genannter Preis (CHF, wo angegeben)</t>
  </si>
  <si>
    <t xml:space="preserve">Ø Zeitaufwand heutiger Prozess (Std.)</t>
  </si>
  <si>
    <t xml:space="preserve">Häufigste Pain-Kategorien (geführte Interviews)</t>
  </si>
  <si>
    <t xml:space="preserve">Screening/Zeitaufwand</t>
  </si>
  <si>
    <t xml:space="preserve">Terminkoordination</t>
  </si>
  <si>
    <t xml:space="preserve">Vertrauen-Auswahl</t>
  </si>
  <si>
    <t xml:space="preserve">Kosten</t>
  </si>
  <si>
    <t xml:space="preserve">Sonstiges</t>
  </si>
  <si>
    <t xml:space="preserve">Lead-Status-Verteilung</t>
  </si>
  <si>
    <t xml:space="preserve">HOT</t>
  </si>
  <si>
    <t xml:space="preserve">WARM</t>
  </si>
  <si>
    <t xml:space="preserve">COLD</t>
  </si>
  <si>
    <t xml:space="preserve">INVALID</t>
  </si>
  <si>
    <t xml:space="preserve">Mietpilot — Dashboard B2B</t>
  </si>
  <si>
    <t xml:space="preserve">Aktualisiert sich automatisch aus 'CRM B2B' (Zeilen ab 3 — Zeile 2 ist das Beispiel und zählt nicht mit).</t>
  </si>
  <si>
    <t xml:space="preserve">Gespräche geführt</t>
  </si>
  <si>
    <t xml:space="preserve">Einheiten unter Verwaltung (Summe, geführte Gespräche)</t>
  </si>
  <si>
    <t xml:space="preserve">Wiedervermietungen/Jahr (Summe, geführte Gespräche)</t>
  </si>
  <si>
    <t xml:space="preserve">davon mit genanntem Automatisierungspotenzial</t>
  </si>
  <si>
    <t xml:space="preserve">Quoten (in % der geführten Gespräche)</t>
  </si>
  <si>
    <t xml:space="preserve">% mit genanntem Automatisierungspotenzial</t>
  </si>
  <si>
    <t xml:space="preserve">Geschätzter Aufwand &amp; Wert pro Fall</t>
  </si>
  <si>
    <t xml:space="preserve">Ø Zeitaufwand/Fall (Std.)</t>
  </si>
  <si>
    <t xml:space="preserve">Ø Kosten/Fall (CHF, geschätzt)</t>
  </si>
  <si>
    <t xml:space="preserve">Häufigste Pain-Kategorien (geführte Gespräche)</t>
  </si>
  <si>
    <t xml:space="preserve">White-Label-Bedarf (geführte Gespräche)</t>
  </si>
  <si>
    <t xml:space="preserve">ja</t>
  </si>
  <si>
    <t xml:space="preserve">nein</t>
  </si>
  <si>
    <t xml:space="preserve">unbekannt</t>
  </si>
  <si>
    <t xml:space="preserve">ID</t>
  </si>
  <si>
    <t xml:space="preserve">Name</t>
  </si>
  <si>
    <t xml:space="preserve">Kontakt</t>
  </si>
  <si>
    <t xml:space="preserve">Quelle</t>
  </si>
  <si>
    <t xml:space="preserve">Datum Erstkontakt</t>
  </si>
  <si>
    <t xml:space="preserve">Anzahl Wohnungen</t>
  </si>
  <si>
    <t xml:space="preserve">Letzte Vermietung</t>
  </si>
  <si>
    <t xml:space="preserve">Vermietungsfrequenz</t>
  </si>
  <si>
    <t xml:space="preserve">Heutiger Prozess</t>
  </si>
  <si>
    <t xml:space="preserve">Zeitaufwand (Std.)</t>
  </si>
  <si>
    <t xml:space="preserve">Kosten heutige Lösung (CHF)</t>
  </si>
  <si>
    <t xml:space="preserve">Pain (Originalaussage)</t>
  </si>
  <si>
    <t xml:space="preserve">Genannter Preis (CHF)</t>
  </si>
  <si>
    <t xml:space="preserve">Wichtigste Originalaussage</t>
  </si>
  <si>
    <t xml:space="preserve">Hypothesen bestätigt</t>
  </si>
  <si>
    <t xml:space="preserve">Hypothesen widerlegt</t>
  </si>
  <si>
    <t xml:space="preserve">Nächster Schritt</t>
  </si>
  <si>
    <t xml:space="preserve">Follow-up-Datum</t>
  </si>
  <si>
    <t xml:space="preserve">BEISPIEL</t>
  </si>
  <si>
    <t xml:space="preserve">M. Muster</t>
  </si>
  <si>
    <t xml:space="preserve">muster@email.ch</t>
  </si>
  <si>
    <t xml:space="preserve">Homegate-Privatinserat</t>
  </si>
  <si>
    <t xml:space="preserve">2026-09-20</t>
  </si>
  <si>
    <t xml:space="preserve">geführt</t>
  </si>
  <si>
    <t xml:space="preserve">2024-03-01</t>
  </si>
  <si>
    <t xml:space="preserve">alle 3-4 Jahre</t>
  </si>
  <si>
    <t xml:space="preserve">Selbst inseriert, Bewerbungen per E-Mail</t>
  </si>
  <si>
    <t xml:space="preserve">"Das Aussortieren der Bewerbungen hat mich fast einen ganzen Abend gekostet."</t>
  </si>
  <si>
    <t xml:space="preserve">bedingt</t>
  </si>
  <si>
    <t xml:space="preserve">positiv</t>
  </si>
  <si>
    <t xml:space="preserve">vielleicht</t>
  </si>
  <si>
    <t xml:space="preserve">"Würde ich probieren, wenn ich am Schluss trotzdem selbst entscheide."</t>
  </si>
  <si>
    <t xml:space="preserve">H1, H3</t>
  </si>
  <si>
    <t xml:space="preserve">In 4 Wochen nachfassen</t>
  </si>
  <si>
    <t xml:space="preserve">2026-10-20</t>
  </si>
  <si>
    <t xml:space="preserve">Unternehmen</t>
  </si>
  <si>
    <t xml:space="preserve">Ansprechpartner</t>
  </si>
  <si>
    <t xml:space="preserve">Segment</t>
  </si>
  <si>
    <t xml:space="preserve">Anzahl Einheiten</t>
  </si>
  <si>
    <t xml:space="preserve">Wiedervermietungen/Jahr</t>
  </si>
  <si>
    <t xml:space="preserve">Mitarbeiter</t>
  </si>
  <si>
    <t xml:space="preserve">Systeme</t>
  </si>
  <si>
    <t xml:space="preserve">Zeitaufwand/Fall (Std.)</t>
  </si>
  <si>
    <t xml:space="preserve">Kosten/Fall (CHF)</t>
  </si>
  <si>
    <t xml:space="preserve">Automatisierungspotenzial</t>
  </si>
  <si>
    <t xml:space="preserve">Integrationsbedarf</t>
  </si>
  <si>
    <t xml:space="preserve">White-Label-Bedarf</t>
  </si>
  <si>
    <t xml:space="preserve">Genannter wirtschaftlicher Wert</t>
  </si>
  <si>
    <t xml:space="preserve">Zahlungsbereitschaft (genannt)</t>
  </si>
  <si>
    <t xml:space="preserve">Muster Verwaltung AG</t>
  </si>
  <si>
    <t xml:space="preserve">S. Beispiel</t>
  </si>
  <si>
    <t xml:space="preserve">s.beispiel@muster-verwaltung.ch</t>
  </si>
  <si>
    <t xml:space="preserve">Verwaltung</t>
  </si>
  <si>
    <t xml:space="preserve">SVIT-Sektionsverzeichnis</t>
  </si>
  <si>
    <t xml:space="preserve">2026-09-22</t>
  </si>
  <si>
    <t xml:space="preserve">Screening intern durch Sachbearbeiter:in, Excel-Liste</t>
  </si>
  <si>
    <t xml:space="preserve">Abacus, E-Mail</t>
  </si>
  <si>
    <t xml:space="preserve">"Wir verlieren pro Fall locker einen halben Tag mit dem Sichten der Dossiers."</t>
  </si>
  <si>
    <t xml:space="preserve">Screening, Ranking, Terminkoordination</t>
  </si>
  <si>
    <t xml:space="preserve">Anbindung an Abacus nötig</t>
  </si>
  <si>
    <t xml:space="preserve">"Ein bis zwei Stunden pro Fall wären schon viel wert."</t>
  </si>
  <si>
    <t xml:space="preserve">CHF 80-120 pro Fall</t>
  </si>
  <si>
    <t xml:space="preserve">"Wenn es sich sauber integrieren lässt, testen wir das gerne an einem Fall."</t>
  </si>
  <si>
    <t xml:space="preserve">H6, H7</t>
  </si>
  <si>
    <t xml:space="preserve">Technisches Gespräch zur Abacus-Anbindung vereinbaren</t>
  </si>
  <si>
    <t xml:space="preserve">2026-10-06</t>
  </si>
  <si>
    <t xml:space="preserve">Segment (B2C/B2B)</t>
  </si>
  <si>
    <t xml:space="preserve">Kunde</t>
  </si>
  <si>
    <t xml:space="preserve">Objekt/Adresse</t>
  </si>
  <si>
    <t xml:space="preserve">Wohnungsart</t>
  </si>
  <si>
    <t xml:space="preserve">Mietzins (CHF)</t>
  </si>
  <si>
    <t xml:space="preserve">Geplanter Vermietungsbeginn</t>
  </si>
  <si>
    <t xml:space="preserve">Verwendete Portale</t>
  </si>
  <si>
    <t xml:space="preserve">Aktueller Prozess</t>
  </si>
  <si>
    <t xml:space="preserve">Benötigte Dokumente</t>
  </si>
  <si>
    <t xml:space="preserve">Verantwortlicher</t>
  </si>
  <si>
    <t xml:space="preserve">Status</t>
  </si>
  <si>
    <t xml:space="preserve">Nächste Aktion</t>
  </si>
  <si>
    <t xml:space="preserve">Startdatum</t>
  </si>
  <si>
    <t xml:space="preserve">B2C</t>
  </si>
  <si>
    <t xml:space="preserve">Musterstrasse 8, 8006 Zürich</t>
  </si>
  <si>
    <t xml:space="preserve">3.5-Zimmer-Wohnung</t>
  </si>
  <si>
    <t xml:space="preserve">2026-11-01</t>
  </si>
  <si>
    <t xml:space="preserve">Homegate, ImmoScout24</t>
  </si>
  <si>
    <t xml:space="preserve">Exposé manuell erstellt (Wizard-of-Oz-Test statt echter Automatisierung)</t>
  </si>
  <si>
    <t xml:space="preserve">Betreibungsauszug, Lohnausweis, ID-Kopie, Referenzschreiben</t>
  </si>
  <si>
    <t xml:space="preserve">P. Moren</t>
  </si>
  <si>
    <t xml:space="preserve">läuft</t>
  </si>
  <si>
    <t xml:space="preserve">Screening der ersten Bewerbungen abschliessen</t>
  </si>
  <si>
    <t xml:space="preserve">2026-10-01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</si>
</sst>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;\-0.0%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/>
      <c r="B4" s="3"/>
    </row>
    <row r="5" customFormat="false" ht="23.85" hidden="false" customHeight="false" outlineLevel="0" collapsed="false">
      <c r="A5" s="2" t="s">
        <v>3</v>
      </c>
      <c r="B5" s="3" t="s">
        <v>4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2" t="s">
        <v>5</v>
      </c>
      <c r="B7" s="3"/>
    </row>
    <row r="8" customFormat="false" ht="15" hidden="false" customHeight="false" outlineLevel="0" collapsed="false">
      <c r="A8" s="2" t="s">
        <v>6</v>
      </c>
      <c r="B8" s="3" t="s">
        <v>7</v>
      </c>
    </row>
    <row r="9" customFormat="false" ht="15" hidden="false" customHeight="false" outlineLevel="0" collapsed="false">
      <c r="A9" s="2" t="s">
        <v>8</v>
      </c>
      <c r="B9" s="3" t="s">
        <v>9</v>
      </c>
    </row>
    <row r="10" customFormat="false" ht="15" hidden="false" customHeight="false" outlineLevel="0" collapsed="false">
      <c r="A10" s="2" t="s">
        <v>10</v>
      </c>
      <c r="B10" s="3" t="s">
        <v>11</v>
      </c>
    </row>
    <row r="11" customFormat="false" ht="15" hidden="false" customHeight="false" outlineLevel="0" collapsed="false">
      <c r="A11" s="2" t="s">
        <v>12</v>
      </c>
      <c r="B11" s="3" t="s">
        <v>13</v>
      </c>
    </row>
    <row r="12" customFormat="false" ht="15" hidden="false" customHeight="false" outlineLevel="0" collapsed="false">
      <c r="A12" s="2" t="s">
        <v>14</v>
      </c>
      <c r="B12" s="3" t="s">
        <v>15</v>
      </c>
    </row>
    <row r="13" customFormat="false" ht="15" hidden="false" customHeight="false" outlineLevel="0" collapsed="false">
      <c r="A13" s="2" t="s">
        <v>16</v>
      </c>
      <c r="B13" s="3" t="s">
        <v>17</v>
      </c>
    </row>
    <row r="14" customFormat="false" ht="15" hidden="false" customHeight="false" outlineLevel="0" collapsed="false">
      <c r="A14" s="2" t="s">
        <v>18</v>
      </c>
      <c r="B14" s="3" t="s">
        <v>19</v>
      </c>
    </row>
    <row r="15" customFormat="false" ht="15" hidden="false" customHeight="false" outlineLevel="0" collapsed="false">
      <c r="A15" s="2"/>
      <c r="B15" s="3"/>
    </row>
    <row r="16" customFormat="false" ht="15" hidden="false" customHeight="false" outlineLevel="0" collapsed="false">
      <c r="A16" s="2" t="s">
        <v>20</v>
      </c>
      <c r="B16" s="3" t="s">
        <v>21</v>
      </c>
    </row>
    <row r="17" customFormat="false" ht="15" hidden="false" customHeight="false" outlineLevel="0" collapsed="false">
      <c r="A17" s="2" t="s">
        <v>22</v>
      </c>
      <c r="B17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4" t="s">
        <v>25</v>
      </c>
    </row>
    <row r="4" customFormat="false" ht="19.5" hidden="false" customHeight="true" outlineLevel="0" collapsed="false">
      <c r="A4" s="5" t="s">
        <v>26</v>
      </c>
      <c r="B4" s="6"/>
    </row>
    <row r="5" customFormat="false" ht="15" hidden="false" customHeight="false" outlineLevel="0" collapsed="false">
      <c r="A5" s="7" t="s">
        <v>27</v>
      </c>
      <c r="B5" s="8" t="n">
        <f aca="false">COUNTIF('CRM B2C'!F3:F500,"&lt;&gt;")</f>
        <v>0</v>
      </c>
    </row>
    <row r="6" customFormat="false" ht="15" hidden="false" customHeight="false" outlineLevel="0" collapsed="false">
      <c r="A6" s="7" t="s">
        <v>28</v>
      </c>
      <c r="B6" s="8" t="n">
        <f aca="false">COUNTIF('CRM B2C'!F3:F500,"geführt")</f>
        <v>0</v>
      </c>
    </row>
    <row r="7" customFormat="false" ht="15" hidden="false" customHeight="false" outlineLevel="0" collapsed="false">
      <c r="A7" s="7" t="s">
        <v>29</v>
      </c>
      <c r="B7" s="8" t="n">
        <f aca="false">COUNTIFS('CRM B2C'!F3:F500,"geführt",'CRM B2C'!M3:M500,"&lt;&gt;unbekannt",'CRM B2C'!M3:M500,"&lt;&gt;")</f>
        <v>0</v>
      </c>
    </row>
    <row r="8" customFormat="false" ht="15" hidden="false" customHeight="false" outlineLevel="0" collapsed="false">
      <c r="A8" s="7" t="s">
        <v>30</v>
      </c>
      <c r="B8" s="8" t="n">
        <f aca="false">COUNTIFS('CRM B2C'!F3:F500,"geführt",'CRM B2C'!O3:O500,"offen")+COUNTIFS('CRM B2C'!F3:F500,"geführt",'CRM B2C'!O3:O500,"bedingt")</f>
        <v>0</v>
      </c>
    </row>
    <row r="9" customFormat="false" ht="15" hidden="false" customHeight="false" outlineLevel="0" collapsed="false">
      <c r="A9" s="7" t="s">
        <v>31</v>
      </c>
      <c r="B9" s="8" t="n">
        <f aca="false">COUNTIFS('CRM B2C'!F3:F500,"geführt",'CRM B2C'!P3:P500,"positiv")</f>
        <v>0</v>
      </c>
    </row>
    <row r="10" customFormat="false" ht="15" hidden="false" customHeight="false" outlineLevel="0" collapsed="false">
      <c r="A10" s="7" t="s">
        <v>32</v>
      </c>
      <c r="B10" s="8" t="n">
        <f aca="false">COUNTIFS('CRM B2C'!F3:F500,"geführt",'CRM B2C'!R3:R500,"ja")</f>
        <v>0</v>
      </c>
    </row>
    <row r="11" customFormat="false" ht="15" hidden="false" customHeight="false" outlineLevel="0" collapsed="false">
      <c r="A11" s="7" t="s">
        <v>33</v>
      </c>
      <c r="B11" s="8" t="n">
        <f aca="false">COUNTIF('CRM B2C'!S3:S500,"HOT")</f>
        <v>0</v>
      </c>
    </row>
    <row r="13" customFormat="false" ht="19.5" hidden="false" customHeight="true" outlineLevel="0" collapsed="false">
      <c r="A13" s="5" t="s">
        <v>34</v>
      </c>
      <c r="B13" s="6"/>
    </row>
    <row r="14" customFormat="false" ht="15" hidden="false" customHeight="false" outlineLevel="0" collapsed="false">
      <c r="A14" s="7" t="s">
        <v>35</v>
      </c>
      <c r="B14" s="9" t="str">
        <f aca="false">IFERROR(B7/B6,"-")</f>
        <v>-</v>
      </c>
    </row>
    <row r="15" customFormat="false" ht="15" hidden="false" customHeight="false" outlineLevel="0" collapsed="false">
      <c r="A15" s="7" t="s">
        <v>36</v>
      </c>
      <c r="B15" s="9" t="str">
        <f aca="false">IFERROR(B8/B6,"-")</f>
        <v>-</v>
      </c>
    </row>
    <row r="16" customFormat="false" ht="15" hidden="false" customHeight="false" outlineLevel="0" collapsed="false">
      <c r="A16" s="7" t="s">
        <v>37</v>
      </c>
      <c r="B16" s="9" t="str">
        <f aca="false">IFERROR(B9/B6,"-")</f>
        <v>-</v>
      </c>
    </row>
    <row r="17" customFormat="false" ht="15" hidden="false" customHeight="false" outlineLevel="0" collapsed="false">
      <c r="A17" s="7" t="s">
        <v>38</v>
      </c>
      <c r="B17" s="9" t="str">
        <f aca="false">IFERROR(B10/B6,"-")</f>
        <v>-</v>
      </c>
    </row>
    <row r="19" customFormat="false" ht="19.5" hidden="false" customHeight="true" outlineLevel="0" collapsed="false">
      <c r="A19" s="5" t="s">
        <v>39</v>
      </c>
      <c r="B19" s="6"/>
    </row>
    <row r="20" customFormat="false" ht="15" hidden="false" customHeight="false" outlineLevel="0" collapsed="false">
      <c r="A20" s="7" t="s">
        <v>40</v>
      </c>
      <c r="B20" s="8" t="str">
        <f aca="false">IFERROR(AVERAGEIFS('CRM B2C'!Q3:Q500,'CRM B2C'!F3:F500,"geführt",'CRM B2C'!Q3:Q500,"&gt;0"),"-")</f>
        <v>-</v>
      </c>
    </row>
    <row r="21" customFormat="false" ht="15" hidden="false" customHeight="false" outlineLevel="0" collapsed="false">
      <c r="A21" s="7" t="s">
        <v>41</v>
      </c>
      <c r="B21" s="8" t="str">
        <f aca="false">IFERROR(AVERAGEIFS('CRM B2C'!K3:K500,'CRM B2C'!F3:F500,"geführt",'CRM B2C'!K3:K500,"&gt;0"),"-")</f>
        <v>-</v>
      </c>
    </row>
    <row r="23" customFormat="false" ht="19.5" hidden="false" customHeight="true" outlineLevel="0" collapsed="false">
      <c r="A23" s="5" t="s">
        <v>42</v>
      </c>
      <c r="B23" s="6"/>
    </row>
    <row r="24" customFormat="false" ht="15" hidden="false" customHeight="false" outlineLevel="0" collapsed="false">
      <c r="A24" s="7" t="s">
        <v>43</v>
      </c>
      <c r="B24" s="8" t="n">
        <f aca="false">COUNTIFS('CRM B2C'!F3:F500,"geführt",'CRM B2C'!M3:M500,"Screening/Zeitaufwand")</f>
        <v>0</v>
      </c>
    </row>
    <row r="25" customFormat="false" ht="15" hidden="false" customHeight="false" outlineLevel="0" collapsed="false">
      <c r="A25" s="7" t="s">
        <v>44</v>
      </c>
      <c r="B25" s="8" t="n">
        <f aca="false">COUNTIFS('CRM B2C'!F3:F500,"geführt",'CRM B2C'!M3:M500,"Terminkoordination")</f>
        <v>0</v>
      </c>
    </row>
    <row r="26" customFormat="false" ht="15" hidden="false" customHeight="false" outlineLevel="0" collapsed="false">
      <c r="A26" s="7" t="s">
        <v>45</v>
      </c>
      <c r="B26" s="8" t="n">
        <f aca="false">COUNTIFS('CRM B2C'!F3:F500,"geführt",'CRM B2C'!M3:M500,"Vertrauen-Auswahl")</f>
        <v>0</v>
      </c>
    </row>
    <row r="27" customFormat="false" ht="15" hidden="false" customHeight="false" outlineLevel="0" collapsed="false">
      <c r="A27" s="7" t="s">
        <v>46</v>
      </c>
      <c r="B27" s="8" t="n">
        <f aca="false">COUNTIFS('CRM B2C'!F3:F500,"geführt",'CRM B2C'!M3:M500,"Kosten")</f>
        <v>0</v>
      </c>
    </row>
    <row r="28" customFormat="false" ht="15" hidden="false" customHeight="false" outlineLevel="0" collapsed="false">
      <c r="A28" s="7" t="s">
        <v>47</v>
      </c>
      <c r="B28" s="8" t="n">
        <f aca="false">COUNTIFS('CRM B2C'!F3:F500,"geführt",'CRM B2C'!M3:M500,"Sonstiges")</f>
        <v>0</v>
      </c>
    </row>
    <row r="30" customFormat="false" ht="19.5" hidden="false" customHeight="true" outlineLevel="0" collapsed="false">
      <c r="A30" s="5" t="s">
        <v>48</v>
      </c>
      <c r="B30" s="6"/>
    </row>
    <row r="31" customFormat="false" ht="15" hidden="false" customHeight="false" outlineLevel="0" collapsed="false">
      <c r="A31" s="7" t="s">
        <v>49</v>
      </c>
      <c r="B31" s="8" t="n">
        <f aca="false">COUNTIF('CRM B2C'!S3:S500,"HOT")</f>
        <v>0</v>
      </c>
    </row>
    <row r="32" customFormat="false" ht="15" hidden="false" customHeight="false" outlineLevel="0" collapsed="false">
      <c r="A32" s="7" t="s">
        <v>50</v>
      </c>
      <c r="B32" s="8" t="n">
        <f aca="false">COUNTIF('CRM B2C'!S3:S500,"WARM")</f>
        <v>0</v>
      </c>
    </row>
    <row r="33" customFormat="false" ht="15" hidden="false" customHeight="false" outlineLevel="0" collapsed="false">
      <c r="A33" s="7" t="s">
        <v>51</v>
      </c>
      <c r="B33" s="8" t="n">
        <f aca="false">COUNTIF('CRM B2C'!S3:S500,"COLD")</f>
        <v>0</v>
      </c>
    </row>
    <row r="34" customFormat="false" ht="15" hidden="false" customHeight="false" outlineLevel="0" collapsed="false">
      <c r="A34" s="7" t="s">
        <v>52</v>
      </c>
      <c r="B34" s="8" t="n">
        <f aca="false">COUNTIF('CRM B2C'!S3:S500,"INVALID")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4" t="s">
        <v>54</v>
      </c>
    </row>
    <row r="4" customFormat="false" ht="19.5" hidden="false" customHeight="true" outlineLevel="0" collapsed="false">
      <c r="A4" s="5" t="s">
        <v>26</v>
      </c>
      <c r="B4" s="6"/>
    </row>
    <row r="5" customFormat="false" ht="15" hidden="false" customHeight="false" outlineLevel="0" collapsed="false">
      <c r="A5" s="7" t="s">
        <v>27</v>
      </c>
      <c r="B5" s="8" t="n">
        <f aca="false">COUNTIF('CRM B2B'!H3:H500,"&lt;&gt;")</f>
        <v>0</v>
      </c>
    </row>
    <row r="6" customFormat="false" ht="15" hidden="false" customHeight="false" outlineLevel="0" collapsed="false">
      <c r="A6" s="7" t="s">
        <v>55</v>
      </c>
      <c r="B6" s="8" t="n">
        <f aca="false">COUNTIF('CRM B2B'!H3:H500,"geführt")</f>
        <v>0</v>
      </c>
    </row>
    <row r="7" customFormat="false" ht="15" hidden="false" customHeight="false" outlineLevel="0" collapsed="false">
      <c r="A7" s="7" t="s">
        <v>56</v>
      </c>
      <c r="B7" s="8" t="n">
        <f aca="false">SUMIFS('CRM B2B'!I3:I500,'CRM B2B'!H3:H500,"geführt")</f>
        <v>0</v>
      </c>
    </row>
    <row r="8" customFormat="false" ht="15" hidden="false" customHeight="false" outlineLevel="0" collapsed="false">
      <c r="A8" s="7" t="s">
        <v>57</v>
      </c>
      <c r="B8" s="8" t="n">
        <f aca="false">SUMIFS('CRM B2B'!J3:J500,'CRM B2B'!H3:H500,"geführt")</f>
        <v>0</v>
      </c>
    </row>
    <row r="9" customFormat="false" ht="15" hidden="false" customHeight="false" outlineLevel="0" collapsed="false">
      <c r="A9" s="7" t="s">
        <v>58</v>
      </c>
      <c r="B9" s="8" t="n">
        <f aca="false">COUNTIFS('CRM B2B'!H3:H500,"geführt",'CRM B2B'!R3:R500,"&lt;&gt;")</f>
        <v>0</v>
      </c>
    </row>
    <row r="10" customFormat="false" ht="15" hidden="false" customHeight="false" outlineLevel="0" collapsed="false">
      <c r="A10" s="7" t="s">
        <v>32</v>
      </c>
      <c r="B10" s="8" t="n">
        <f aca="false">COUNTIFS('CRM B2B'!H3:H500,"geführt",'CRM B2B'!X3:X500,"ja")</f>
        <v>0</v>
      </c>
    </row>
    <row r="11" customFormat="false" ht="15" hidden="false" customHeight="false" outlineLevel="0" collapsed="false">
      <c r="A11" s="7" t="s">
        <v>33</v>
      </c>
      <c r="B11" s="8" t="n">
        <f aca="false">COUNTIF('CRM B2B'!Y3:Y500,"HOT")</f>
        <v>0</v>
      </c>
    </row>
    <row r="13" customFormat="false" ht="19.5" hidden="false" customHeight="true" outlineLevel="0" collapsed="false">
      <c r="A13" s="5" t="s">
        <v>59</v>
      </c>
      <c r="B13" s="6"/>
    </row>
    <row r="14" customFormat="false" ht="15" hidden="false" customHeight="false" outlineLevel="0" collapsed="false">
      <c r="A14" s="7" t="s">
        <v>60</v>
      </c>
      <c r="B14" s="9" t="str">
        <f aca="false">IFERROR(B9/B6,"-")</f>
        <v>-</v>
      </c>
    </row>
    <row r="15" customFormat="false" ht="15" hidden="false" customHeight="false" outlineLevel="0" collapsed="false">
      <c r="A15" s="7" t="s">
        <v>38</v>
      </c>
      <c r="B15" s="9" t="str">
        <f aca="false">IFERROR(B10/B6,"-")</f>
        <v>-</v>
      </c>
    </row>
    <row r="17" customFormat="false" ht="19.5" hidden="false" customHeight="true" outlineLevel="0" collapsed="false">
      <c r="A17" s="5" t="s">
        <v>61</v>
      </c>
      <c r="B17" s="6"/>
    </row>
    <row r="18" customFormat="false" ht="15" hidden="false" customHeight="false" outlineLevel="0" collapsed="false">
      <c r="A18" s="7" t="s">
        <v>62</v>
      </c>
      <c r="B18" s="8" t="str">
        <f aca="false">IFERROR(AVERAGEIFS('CRM B2B'!N3:N500,'CRM B2B'!H3:H500,"geführt",'CRM B2B'!N3:N500,"&gt;0"),"-")</f>
        <v>-</v>
      </c>
    </row>
    <row r="19" customFormat="false" ht="15" hidden="false" customHeight="false" outlineLevel="0" collapsed="false">
      <c r="A19" s="7" t="s">
        <v>63</v>
      </c>
      <c r="B19" s="8" t="str">
        <f aca="false">IFERROR(AVERAGEIFS('CRM B2B'!O3:O500,'CRM B2B'!H3:H500,"geführt",'CRM B2B'!O3:O500,"&gt;0"),"-")</f>
        <v>-</v>
      </c>
    </row>
    <row r="20" customFormat="false" ht="15" hidden="false" customHeight="false" outlineLevel="0" collapsed="false">
      <c r="A20" s="7" t="s">
        <v>40</v>
      </c>
      <c r="B20" s="8" t="str">
        <f aca="false">IFERROR(AVERAGEIFS('CRM B2B'!W3:W500,'CRM B2B'!H3:H500,"geführt",'CRM B2B'!W3:W500,"&gt;0"),"-")</f>
        <v>-</v>
      </c>
    </row>
    <row r="22" customFormat="false" ht="19.5" hidden="false" customHeight="true" outlineLevel="0" collapsed="false">
      <c r="A22" s="5" t="s">
        <v>64</v>
      </c>
      <c r="B22" s="6"/>
    </row>
    <row r="23" customFormat="false" ht="15" hidden="false" customHeight="false" outlineLevel="0" collapsed="false">
      <c r="A23" s="7" t="s">
        <v>43</v>
      </c>
      <c r="B23" s="8" t="n">
        <f aca="false">COUNTIFS('CRM B2B'!H3:H500,"geführt",'CRM B2B'!P3:P500,"Screening/Zeitaufwand")</f>
        <v>0</v>
      </c>
    </row>
    <row r="24" customFormat="false" ht="15" hidden="false" customHeight="false" outlineLevel="0" collapsed="false">
      <c r="A24" s="7" t="s">
        <v>44</v>
      </c>
      <c r="B24" s="8" t="n">
        <f aca="false">COUNTIFS('CRM B2B'!H3:H500,"geführt",'CRM B2B'!P3:P500,"Terminkoordination")</f>
        <v>0</v>
      </c>
    </row>
    <row r="25" customFormat="false" ht="15" hidden="false" customHeight="false" outlineLevel="0" collapsed="false">
      <c r="A25" s="7" t="s">
        <v>45</v>
      </c>
      <c r="B25" s="8" t="n">
        <f aca="false">COUNTIFS('CRM B2B'!H3:H500,"geführt",'CRM B2B'!P3:P500,"Vertrauen-Auswahl")</f>
        <v>0</v>
      </c>
    </row>
    <row r="26" customFormat="false" ht="15" hidden="false" customHeight="false" outlineLevel="0" collapsed="false">
      <c r="A26" s="7" t="s">
        <v>46</v>
      </c>
      <c r="B26" s="8" t="n">
        <f aca="false">COUNTIFS('CRM B2B'!H3:H500,"geführt",'CRM B2B'!P3:P500,"Kosten")</f>
        <v>0</v>
      </c>
    </row>
    <row r="27" customFormat="false" ht="15" hidden="false" customHeight="false" outlineLevel="0" collapsed="false">
      <c r="A27" s="7" t="s">
        <v>47</v>
      </c>
      <c r="B27" s="8" t="n">
        <f aca="false">COUNTIFS('CRM B2B'!H3:H500,"geführt",'CRM B2B'!P3:P500,"Sonstiges")</f>
        <v>0</v>
      </c>
    </row>
    <row r="29" customFormat="false" ht="19.5" hidden="false" customHeight="true" outlineLevel="0" collapsed="false">
      <c r="A29" s="5" t="s">
        <v>65</v>
      </c>
      <c r="B29" s="6"/>
    </row>
    <row r="30" customFormat="false" ht="15" hidden="false" customHeight="false" outlineLevel="0" collapsed="false">
      <c r="A30" s="7" t="s">
        <v>66</v>
      </c>
      <c r="B30" s="8" t="n">
        <f aca="false">COUNTIFS('CRM B2B'!H3:H500,"geführt",'CRM B2B'!T3:T500,"ja")</f>
        <v>0</v>
      </c>
    </row>
    <row r="31" customFormat="false" ht="15" hidden="false" customHeight="false" outlineLevel="0" collapsed="false">
      <c r="A31" s="7" t="s">
        <v>67</v>
      </c>
      <c r="B31" s="8" t="n">
        <f aca="false">COUNTIFS('CRM B2B'!H3:H500,"geführt",'CRM B2B'!T3:T500,"nein")</f>
        <v>0</v>
      </c>
    </row>
    <row r="32" customFormat="false" ht="15" hidden="false" customHeight="false" outlineLevel="0" collapsed="false">
      <c r="A32" s="7" t="s">
        <v>68</v>
      </c>
      <c r="B32" s="8" t="n">
        <f aca="false">COUNTIFS('CRM B2B'!H3:H500,"geführt",'CRM B2B'!T3:T500,"unbekannt")</f>
        <v>0</v>
      </c>
    </row>
    <row r="34" customFormat="false" ht="19.5" hidden="false" customHeight="true" outlineLevel="0" collapsed="false">
      <c r="A34" s="5" t="s">
        <v>48</v>
      </c>
      <c r="B34" s="6"/>
    </row>
    <row r="35" customFormat="false" ht="15" hidden="false" customHeight="false" outlineLevel="0" collapsed="false">
      <c r="A35" s="7" t="s">
        <v>49</v>
      </c>
      <c r="B35" s="8" t="n">
        <f aca="false">COUNTIF('CRM B2B'!Y3:Y500,"HOT")</f>
        <v>0</v>
      </c>
    </row>
    <row r="36" customFormat="false" ht="15" hidden="false" customHeight="false" outlineLevel="0" collapsed="false">
      <c r="A36" s="7" t="s">
        <v>50</v>
      </c>
      <c r="B36" s="8" t="n">
        <f aca="false">COUNTIF('CRM B2B'!Y3:Y500,"WARM")</f>
        <v>0</v>
      </c>
    </row>
    <row r="37" customFormat="false" ht="15" hidden="false" customHeight="false" outlineLevel="0" collapsed="false">
      <c r="A37" s="7" t="s">
        <v>51</v>
      </c>
      <c r="B37" s="8" t="n">
        <f aca="false">COUNTIF('CRM B2B'!Y3:Y500,"COLD")</f>
        <v>0</v>
      </c>
    </row>
    <row r="38" customFormat="false" ht="15" hidden="false" customHeight="false" outlineLevel="0" collapsed="false">
      <c r="A38" s="7" t="s">
        <v>52</v>
      </c>
      <c r="B38" s="8" t="n">
        <f aca="false">COUNTIF('CRM B2B'!Y3:Y500,"INVALID")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18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9" min="15" style="0" width="10"/>
    <col collapsed="false" customWidth="true" hidden="false" outlineLevel="0" max="20" min="20" style="0" width="30"/>
    <col collapsed="false" customWidth="true" hidden="false" outlineLevel="0" max="22" min="21" style="0" width="14"/>
    <col collapsed="false" customWidth="true" hidden="false" outlineLevel="0" max="23" min="23" style="0" width="22"/>
    <col collapsed="false" customWidth="true" hidden="false" outlineLevel="0" max="24" min="24" style="0" width="13"/>
  </cols>
  <sheetData>
    <row r="1" customFormat="false" ht="23.85" hidden="false" customHeight="false" outlineLevel="0" collapsed="false">
      <c r="A1" s="10" t="s">
        <v>69</v>
      </c>
      <c r="B1" s="10" t="s">
        <v>70</v>
      </c>
      <c r="C1" s="10" t="s">
        <v>71</v>
      </c>
      <c r="D1" s="10" t="s">
        <v>72</v>
      </c>
      <c r="E1" s="10" t="s">
        <v>73</v>
      </c>
      <c r="F1" s="10" t="s">
        <v>6</v>
      </c>
      <c r="G1" s="10" t="s">
        <v>74</v>
      </c>
      <c r="H1" s="10" t="s">
        <v>75</v>
      </c>
      <c r="I1" s="10" t="s">
        <v>76</v>
      </c>
      <c r="J1" s="10" t="s">
        <v>77</v>
      </c>
      <c r="K1" s="10" t="s">
        <v>78</v>
      </c>
      <c r="L1" s="10" t="s">
        <v>79</v>
      </c>
      <c r="M1" s="10" t="s">
        <v>8</v>
      </c>
      <c r="N1" s="10" t="s">
        <v>80</v>
      </c>
      <c r="O1" s="10" t="s">
        <v>10</v>
      </c>
      <c r="P1" s="10" t="s">
        <v>12</v>
      </c>
      <c r="Q1" s="10" t="s">
        <v>81</v>
      </c>
      <c r="R1" s="10" t="s">
        <v>14</v>
      </c>
      <c r="S1" s="10" t="s">
        <v>16</v>
      </c>
      <c r="T1" s="10" t="s">
        <v>82</v>
      </c>
      <c r="U1" s="10" t="s">
        <v>83</v>
      </c>
      <c r="V1" s="10" t="s">
        <v>84</v>
      </c>
      <c r="W1" s="10" t="s">
        <v>85</v>
      </c>
      <c r="X1" s="10" t="s">
        <v>86</v>
      </c>
    </row>
    <row r="2" customFormat="false" ht="15" hidden="false" customHeight="false" outlineLevel="0" collapsed="false">
      <c r="A2" s="11" t="s">
        <v>87</v>
      </c>
      <c r="B2" s="11" t="s">
        <v>88</v>
      </c>
      <c r="C2" s="11" t="s">
        <v>89</v>
      </c>
      <c r="D2" s="11" t="s">
        <v>90</v>
      </c>
      <c r="E2" s="11" t="s">
        <v>91</v>
      </c>
      <c r="F2" s="11" t="s">
        <v>92</v>
      </c>
      <c r="G2" s="11" t="n">
        <v>2</v>
      </c>
      <c r="H2" s="11" t="s">
        <v>93</v>
      </c>
      <c r="I2" s="11" t="s">
        <v>94</v>
      </c>
      <c r="J2" s="11" t="s">
        <v>95</v>
      </c>
      <c r="K2" s="11" t="n">
        <v>6</v>
      </c>
      <c r="L2" s="11" t="n">
        <v>0</v>
      </c>
      <c r="M2" s="11" t="s">
        <v>43</v>
      </c>
      <c r="N2" s="11" t="s">
        <v>96</v>
      </c>
      <c r="O2" s="11" t="s">
        <v>97</v>
      </c>
      <c r="P2" s="11" t="s">
        <v>98</v>
      </c>
      <c r="Q2" s="11" t="n">
        <v>890</v>
      </c>
      <c r="R2" s="11" t="s">
        <v>99</v>
      </c>
      <c r="S2" s="11" t="s">
        <v>50</v>
      </c>
      <c r="T2" s="11" t="s">
        <v>100</v>
      </c>
      <c r="U2" s="11" t="s">
        <v>101</v>
      </c>
      <c r="V2" s="11"/>
      <c r="W2" s="11" t="s">
        <v>102</v>
      </c>
      <c r="X2" s="11" t="s">
        <v>103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14"/>
    <col collapsed="false" customWidth="true" hidden="false" outlineLevel="0" max="15" min="14" style="0" width="12"/>
    <col collapsed="false" customWidth="true" hidden="false" outlineLevel="0" max="16" min="16" style="0" width="16"/>
    <col collapsed="false" customWidth="true" hidden="false" outlineLevel="0" max="17" min="17" style="0" width="30"/>
    <col collapsed="false" customWidth="true" hidden="false" outlineLevel="0" max="18" min="18" style="0" width="24"/>
    <col collapsed="false" customWidth="true" hidden="false" outlineLevel="0" max="19" min="19" style="0" width="20"/>
    <col collapsed="false" customWidth="true" hidden="false" outlineLevel="0" max="20" min="20" style="0" width="12"/>
    <col collapsed="false" customWidth="true" hidden="false" outlineLevel="0" max="21" min="21" style="0" width="26"/>
    <col collapsed="false" customWidth="true" hidden="false" outlineLevel="0" max="22" min="22" style="0" width="18"/>
    <col collapsed="false" customWidth="true" hidden="false" outlineLevel="0" max="23" min="23" style="0" width="12"/>
    <col collapsed="false" customWidth="true" hidden="false" outlineLevel="0" max="25" min="24" style="0" width="10"/>
    <col collapsed="false" customWidth="true" hidden="false" outlineLevel="0" max="26" min="26" style="0" width="30"/>
    <col collapsed="false" customWidth="true" hidden="false" outlineLevel="0" max="28" min="27" style="0" width="14"/>
    <col collapsed="false" customWidth="true" hidden="false" outlineLevel="0" max="29" min="29" style="0" width="26"/>
    <col collapsed="false" customWidth="true" hidden="false" outlineLevel="0" max="30" min="30" style="0" width="13"/>
  </cols>
  <sheetData>
    <row r="1" customFormat="false" ht="23.85" hidden="false" customHeight="false" outlineLevel="0" collapsed="false">
      <c r="A1" s="10" t="s">
        <v>69</v>
      </c>
      <c r="B1" s="10" t="s">
        <v>104</v>
      </c>
      <c r="C1" s="10" t="s">
        <v>105</v>
      </c>
      <c r="D1" s="10" t="s">
        <v>71</v>
      </c>
      <c r="E1" s="10" t="s">
        <v>106</v>
      </c>
      <c r="F1" s="10" t="s">
        <v>72</v>
      </c>
      <c r="G1" s="10" t="s">
        <v>73</v>
      </c>
      <c r="H1" s="10" t="s">
        <v>6</v>
      </c>
      <c r="I1" s="10" t="s">
        <v>107</v>
      </c>
      <c r="J1" s="10" t="s">
        <v>108</v>
      </c>
      <c r="K1" s="10" t="s">
        <v>109</v>
      </c>
      <c r="L1" s="10" t="s">
        <v>77</v>
      </c>
      <c r="M1" s="10" t="s">
        <v>110</v>
      </c>
      <c r="N1" s="10" t="s">
        <v>111</v>
      </c>
      <c r="O1" s="10" t="s">
        <v>112</v>
      </c>
      <c r="P1" s="10" t="s">
        <v>8</v>
      </c>
      <c r="Q1" s="10" t="s">
        <v>80</v>
      </c>
      <c r="R1" s="10" t="s">
        <v>113</v>
      </c>
      <c r="S1" s="10" t="s">
        <v>114</v>
      </c>
      <c r="T1" s="10" t="s">
        <v>115</v>
      </c>
      <c r="U1" s="10" t="s">
        <v>116</v>
      </c>
      <c r="V1" s="10" t="s">
        <v>117</v>
      </c>
      <c r="W1" s="10" t="s">
        <v>81</v>
      </c>
      <c r="X1" s="10" t="s">
        <v>14</v>
      </c>
      <c r="Y1" s="10" t="s">
        <v>16</v>
      </c>
      <c r="Z1" s="10" t="s">
        <v>82</v>
      </c>
      <c r="AA1" s="10" t="s">
        <v>83</v>
      </c>
      <c r="AB1" s="10" t="s">
        <v>84</v>
      </c>
      <c r="AC1" s="10" t="s">
        <v>85</v>
      </c>
      <c r="AD1" s="10" t="s">
        <v>86</v>
      </c>
    </row>
    <row r="2" customFormat="false" ht="15" hidden="false" customHeight="false" outlineLevel="0" collapsed="false">
      <c r="A2" s="11" t="s">
        <v>87</v>
      </c>
      <c r="B2" s="11" t="s">
        <v>118</v>
      </c>
      <c r="C2" s="11" t="s">
        <v>119</v>
      </c>
      <c r="D2" s="11" t="s">
        <v>120</v>
      </c>
      <c r="E2" s="11" t="s">
        <v>121</v>
      </c>
      <c r="F2" s="11" t="s">
        <v>122</v>
      </c>
      <c r="G2" s="11" t="s">
        <v>123</v>
      </c>
      <c r="H2" s="11" t="s">
        <v>92</v>
      </c>
      <c r="I2" s="11" t="n">
        <v>340</v>
      </c>
      <c r="J2" s="11" t="n">
        <v>28</v>
      </c>
      <c r="K2" s="11" t="n">
        <v>8</v>
      </c>
      <c r="L2" s="11" t="s">
        <v>124</v>
      </c>
      <c r="M2" s="11" t="s">
        <v>125</v>
      </c>
      <c r="N2" s="11" t="n">
        <v>3</v>
      </c>
      <c r="O2" s="11" t="n">
        <v>240</v>
      </c>
      <c r="P2" s="11" t="s">
        <v>43</v>
      </c>
      <c r="Q2" s="11" t="s">
        <v>126</v>
      </c>
      <c r="R2" s="11" t="s">
        <v>127</v>
      </c>
      <c r="S2" s="11" t="s">
        <v>128</v>
      </c>
      <c r="T2" s="11" t="s">
        <v>66</v>
      </c>
      <c r="U2" s="11" t="s">
        <v>129</v>
      </c>
      <c r="V2" s="11" t="s">
        <v>130</v>
      </c>
      <c r="W2" s="11" t="n">
        <v>100</v>
      </c>
      <c r="X2" s="11" t="s">
        <v>99</v>
      </c>
      <c r="Y2" s="11" t="s">
        <v>50</v>
      </c>
      <c r="Z2" s="11" t="s">
        <v>131</v>
      </c>
      <c r="AA2" s="11" t="s">
        <v>132</v>
      </c>
      <c r="AB2" s="11"/>
      <c r="AC2" s="11" t="s">
        <v>133</v>
      </c>
      <c r="AD2" s="11" t="s">
        <v>134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13"/>
  </cols>
  <sheetData>
    <row r="1" customFormat="false" ht="23.85" hidden="false" customHeight="false" outlineLevel="0" collapsed="false">
      <c r="A1" s="10" t="s">
        <v>69</v>
      </c>
      <c r="B1" s="10" t="s">
        <v>135</v>
      </c>
      <c r="C1" s="10" t="s">
        <v>136</v>
      </c>
      <c r="D1" s="10" t="s">
        <v>137</v>
      </c>
      <c r="E1" s="10" t="s">
        <v>138</v>
      </c>
      <c r="F1" s="10" t="s">
        <v>139</v>
      </c>
      <c r="G1" s="10" t="s">
        <v>140</v>
      </c>
      <c r="H1" s="10" t="s">
        <v>141</v>
      </c>
      <c r="I1" s="10" t="s">
        <v>142</v>
      </c>
      <c r="J1" s="10" t="s">
        <v>143</v>
      </c>
      <c r="K1" s="10" t="s">
        <v>144</v>
      </c>
      <c r="L1" s="10" t="s">
        <v>145</v>
      </c>
      <c r="M1" s="10" t="s">
        <v>146</v>
      </c>
      <c r="N1" s="10" t="s">
        <v>147</v>
      </c>
    </row>
    <row r="2" customFormat="false" ht="15" hidden="false" customHeight="false" outlineLevel="0" collapsed="false">
      <c r="A2" s="11" t="s">
        <v>87</v>
      </c>
      <c r="B2" s="11" t="s">
        <v>148</v>
      </c>
      <c r="C2" s="11" t="s">
        <v>88</v>
      </c>
      <c r="D2" s="11" t="s">
        <v>149</v>
      </c>
      <c r="E2" s="11" t="s">
        <v>150</v>
      </c>
      <c r="F2" s="11" t="n">
        <v>2180</v>
      </c>
      <c r="G2" s="11" t="s">
        <v>151</v>
      </c>
      <c r="H2" s="11" t="s">
        <v>152</v>
      </c>
      <c r="I2" s="11" t="s">
        <v>153</v>
      </c>
      <c r="J2" s="11" t="s">
        <v>154</v>
      </c>
      <c r="K2" s="11" t="s">
        <v>155</v>
      </c>
      <c r="L2" s="11" t="s">
        <v>156</v>
      </c>
      <c r="M2" s="11" t="s">
        <v>157</v>
      </c>
      <c r="N2" s="11" t="s">
        <v>158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2026-09-26T12:39:45Z</dcterms:created>
  <dc:creator>openpyxl</dc:creator>
  <dc:description/>
  <dc:language>en-US</dc:language>
  <cp:lastModifiedBy/>
  <dcterms:modified xsi:type="dcterms:W3CDTF">2026-09-26T12:39:45Z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