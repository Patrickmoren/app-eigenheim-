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nnahmen" sheetId="2" state="visible" r:id="rId2"/>
    <sheet name="Mode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x"/>
  </numFmts>
  <fonts count="13">
    <font>
      <name val="Calibri"/>
      <family val="2"/>
      <color theme="1"/>
      <sz val="11"/>
      <scheme val="minor"/>
    </font>
    <font>
      <name val="Arial"/>
      <b val="1"/>
      <color rgb="000F5C6E"/>
      <sz val="14"/>
    </font>
    <font>
      <name val="Arial"/>
      <i val="1"/>
      <color rgb="001A1A1A"/>
      <sz val="9"/>
    </font>
    <font>
      <name val="Arial"/>
      <b val="1"/>
      <color rgb="001A1A1A"/>
      <sz val="10"/>
    </font>
    <font>
      <name val="Arial"/>
      <b val="1"/>
      <color rgb="001F4FB4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A1A1A"/>
      <sz val="10"/>
    </font>
    <font>
      <name val="Arial"/>
      <color rgb="00555555"/>
      <sz val="9"/>
    </font>
    <font>
      <name val="Arial"/>
      <color rgb="001F4FB4"/>
      <sz val="10"/>
    </font>
    <font>
      <name val="Arial"/>
      <color rgb="00555555"/>
      <sz val="8"/>
    </font>
    <font>
      <name val="Arial"/>
      <b val="1"/>
      <color rgb="000F5C6E"/>
      <sz val="16"/>
    </font>
    <font>
      <name val="Arial"/>
      <i val="1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0F5C6E"/>
      </patternFill>
    </fill>
    <fill>
      <patternFill patternType="solid">
        <fgColor rgb="00FFFBEA"/>
      </patternFill>
    </fill>
    <fill>
      <patternFill patternType="solid">
        <fgColor rgb="00EDF1F2"/>
      </patternFill>
    </fill>
  </fills>
  <borders count="3">
    <border>
      <left/>
      <right/>
      <top/>
      <bottom/>
      <diagonal/>
    </border>
    <border>
      <top style="thin">
        <color rgb="001A1A1A"/>
      </top>
    </border>
    <border>
      <bottom style="thin">
        <color rgb="00C6D0D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3" borderId="0" pivotButton="0" quotePrefix="0" xfId="0"/>
    <xf numFmtId="0" fontId="3" fillId="0" borderId="0" pivotButton="0" quotePrefix="0" xfId="0"/>
    <xf numFmtId="3" fontId="3" fillId="0" borderId="2" pivotButton="0" quotePrefix="0" xfId="0"/>
    <xf numFmtId="0" fontId="7" fillId="0" borderId="0" pivotButton="0" quotePrefix="0" xfId="0"/>
    <xf numFmtId="164" fontId="7" fillId="0" borderId="2" pivotButton="0" quotePrefix="0" xfId="0"/>
    <xf numFmtId="3" fontId="7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49" fontId="3" fillId="0" borderId="2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9" fontId="0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3" fontId="9" fillId="4" borderId="0" pivotButton="0" quotePrefix="0" xfId="0"/>
    <xf numFmtId="0" fontId="10" fillId="0" borderId="0" applyAlignment="1" pivotButton="0" quotePrefix="0" xfId="0">
      <alignment vertical="top" wrapText="1"/>
    </xf>
    <xf numFmtId="164" fontId="9" fillId="4" borderId="0" pivotButton="0" quotePrefix="0" xfId="0"/>
    <xf numFmtId="9" fontId="9" fillId="4" borderId="0" pivotButton="0" quotePrefix="0" xfId="0"/>
    <xf numFmtId="2" fontId="9" fillId="4" borderId="0" pivotButton="0" quotePrefix="0" xfId="0"/>
    <xf numFmtId="1" fontId="9" fillId="4" borderId="0" pivotButton="0" quotePrefix="0" xfId="0"/>
    <xf numFmtId="165" fontId="9" fillId="4" borderId="0" pivotButton="0" quotePrefix="0" xfId="0"/>
    <xf numFmtId="3" fontId="7" fillId="0" borderId="0" pivotButton="0" quotePrefix="0" xfId="0"/>
    <xf numFmtId="3" fontId="3" fillId="0" borderId="0" pivotButton="0" quotePrefix="0" xfId="0"/>
    <xf numFmtId="0" fontId="3" fillId="5" borderId="0" pivotButton="0" quotePrefix="0" xfId="0"/>
    <xf numFmtId="3" fontId="3" fillId="5" borderId="1" pivotButton="0" quotePrefix="0" xfId="0"/>
    <xf numFmtId="165" fontId="7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B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Hausklar – Übersicht 5 Jahre</t>
        </is>
      </c>
    </row>
    <row r="2">
      <c r="A2" s="2">
        <f>"Szenario: "&amp;Annahmen!C4&amp;"  ·  Wechsel in Annahmen!C4"</f>
        <v/>
      </c>
    </row>
    <row r="4">
      <c r="A4" s="3" t="inlineStr">
        <is>
          <t>Kennzahl</t>
        </is>
      </c>
      <c r="C4" s="3" t="n">
        <v>2027</v>
      </c>
      <c r="D4" s="3" t="n">
        <v>2028</v>
      </c>
      <c r="E4" s="3" t="n">
        <v>2029</v>
      </c>
      <c r="F4" s="3" t="n">
        <v>2030</v>
      </c>
      <c r="G4" s="3" t="n">
        <v>2031</v>
      </c>
    </row>
    <row r="5">
      <c r="A5" s="4" t="inlineStr">
        <is>
          <t>Umsatz</t>
        </is>
      </c>
      <c r="C5" s="5">
        <f>Modell!C18</f>
        <v/>
      </c>
      <c r="D5" s="5">
        <f>Modell!D18</f>
        <v/>
      </c>
      <c r="E5" s="5">
        <f>Modell!E18</f>
        <v/>
      </c>
      <c r="F5" s="5">
        <f>Modell!F18</f>
        <v/>
      </c>
      <c r="G5" s="5">
        <f>Modell!G18</f>
        <v/>
      </c>
    </row>
    <row r="6">
      <c r="A6" s="4" t="inlineStr">
        <is>
          <t>EBITDA</t>
        </is>
      </c>
      <c r="C6" s="5">
        <f>Modell!C28</f>
        <v/>
      </c>
      <c r="D6" s="5">
        <f>Modell!D28</f>
        <v/>
      </c>
      <c r="E6" s="5">
        <f>Modell!E28</f>
        <v/>
      </c>
      <c r="F6" s="5">
        <f>Modell!F28</f>
        <v/>
      </c>
      <c r="G6" s="5">
        <f>Modell!G28</f>
        <v/>
      </c>
    </row>
    <row r="7">
      <c r="A7" s="6" t="inlineStr">
        <is>
          <t>EBITDA-Marge</t>
        </is>
      </c>
      <c r="C7" s="7">
        <f>Modell!C29</f>
        <v/>
      </c>
      <c r="D7" s="7">
        <f>Modell!D29</f>
        <v/>
      </c>
      <c r="E7" s="7">
        <f>Modell!E29</f>
        <v/>
      </c>
      <c r="F7" s="7">
        <f>Modell!F29</f>
        <v/>
      </c>
      <c r="G7" s="7">
        <f>Modell!G29</f>
        <v/>
      </c>
    </row>
    <row r="8">
      <c r="A8" s="6" t="inlineStr">
        <is>
          <t>Jahresergebnis</t>
        </is>
      </c>
      <c r="C8" s="8">
        <f>Modell!C34</f>
        <v/>
      </c>
      <c r="D8" s="8">
        <f>Modell!D34</f>
        <v/>
      </c>
      <c r="E8" s="8">
        <f>Modell!E34</f>
        <v/>
      </c>
      <c r="F8" s="8">
        <f>Modell!F34</f>
        <v/>
      </c>
      <c r="G8" s="8">
        <f>Modell!G34</f>
        <v/>
      </c>
    </row>
    <row r="9">
      <c r="A9" s="6" t="inlineStr">
        <is>
          <t>Liquide Mittel Jahresende</t>
        </is>
      </c>
      <c r="C9" s="8">
        <f>Modell!C54</f>
        <v/>
      </c>
      <c r="D9" s="8">
        <f>Modell!D54</f>
        <v/>
      </c>
      <c r="E9" s="8">
        <f>Modell!E54</f>
        <v/>
      </c>
      <c r="F9" s="8">
        <f>Modell!F54</f>
        <v/>
      </c>
      <c r="G9" s="8">
        <f>Modell!G54</f>
        <v/>
      </c>
    </row>
    <row r="10">
      <c r="A10" s="6" t="inlineStr">
        <is>
          <t>Miet-Einheiten Jahresende</t>
        </is>
      </c>
      <c r="C10" s="8">
        <f>Modell!C9</f>
        <v/>
      </c>
      <c r="D10" s="8">
        <f>Modell!D9</f>
        <v/>
      </c>
      <c r="E10" s="8">
        <f>Modell!E9</f>
        <v/>
      </c>
      <c r="F10" s="8">
        <f>Modell!F9</f>
        <v/>
      </c>
      <c r="G10" s="8">
        <f>Modell!G9</f>
        <v/>
      </c>
    </row>
    <row r="11">
      <c r="A11" s="6" t="inlineStr">
        <is>
          <t>STWE-Einheiten Jahresende</t>
        </is>
      </c>
      <c r="C11" s="8">
        <f>Modell!C10</f>
        <v/>
      </c>
      <c r="D11" s="8">
        <f>Modell!D10</f>
        <v/>
      </c>
      <c r="E11" s="8">
        <f>Modell!E10</f>
        <v/>
      </c>
      <c r="F11" s="8">
        <f>Modell!F10</f>
        <v/>
      </c>
      <c r="G11" s="8">
        <f>Modell!G10</f>
        <v/>
      </c>
    </row>
    <row r="12">
      <c r="A12" s="6" t="inlineStr">
        <is>
          <t>Mitarbeitende FTE</t>
        </is>
      </c>
      <c r="C12" s="9">
        <f>Modell!C59</f>
        <v/>
      </c>
      <c r="D12" s="9">
        <f>Modell!D59</f>
        <v/>
      </c>
      <c r="E12" s="9">
        <f>Modell!E59</f>
        <v/>
      </c>
      <c r="F12" s="9">
        <f>Modell!F59</f>
        <v/>
      </c>
      <c r="G12" s="9">
        <f>Modell!G59</f>
        <v/>
      </c>
    </row>
    <row r="13">
      <c r="A13" s="6" t="inlineStr">
        <is>
          <t>Umsatz je FTE</t>
        </is>
      </c>
      <c r="C13" s="8">
        <f>Modell!C58</f>
        <v/>
      </c>
      <c r="D13" s="8">
        <f>Modell!D58</f>
        <v/>
      </c>
      <c r="E13" s="8">
        <f>Modell!E58</f>
        <v/>
      </c>
      <c r="F13" s="8">
        <f>Modell!F58</f>
        <v/>
      </c>
      <c r="G13" s="8">
        <f>Modell!G58</f>
        <v/>
      </c>
    </row>
    <row r="14">
      <c r="A14" s="6" t="inlineStr">
        <is>
          <t>Run-Rate Jahresende</t>
        </is>
      </c>
      <c r="C14" s="8">
        <f>Modell!C60</f>
        <v/>
      </c>
      <c r="D14" s="8">
        <f>Modell!D60</f>
        <v/>
      </c>
      <c r="E14" s="8">
        <f>Modell!E60</f>
        <v/>
      </c>
      <c r="F14" s="8">
        <f>Modell!F60</f>
        <v/>
      </c>
      <c r="G14" s="8">
        <f>Modell!G60</f>
        <v/>
      </c>
    </row>
    <row r="15">
      <c r="A15" s="6" t="inlineStr">
        <is>
          <t>Nettoverschuldung / EBITDA</t>
        </is>
      </c>
      <c r="C15" s="10">
        <f>Modell!C55</f>
        <v/>
      </c>
      <c r="D15" s="10">
        <f>Modell!D55</f>
        <v/>
      </c>
      <c r="E15" s="10">
        <f>Modell!E55</f>
        <v/>
      </c>
      <c r="F15" s="10">
        <f>Modell!F55</f>
        <v/>
      </c>
      <c r="G15" s="10">
        <f>Modell!G55</f>
        <v/>
      </c>
    </row>
    <row r="16">
      <c r="A16" s="4" t="inlineStr">
        <is>
          <t>Ziel CHF 10 Mio. erreicht?</t>
        </is>
      </c>
      <c r="C16" s="11">
        <f>Modell!C61</f>
        <v/>
      </c>
      <c r="D16" s="11">
        <f>Modell!D61</f>
        <v/>
      </c>
      <c r="E16" s="11">
        <f>Modell!E61</f>
        <v/>
      </c>
      <c r="F16" s="11">
        <f>Modell!F61</f>
        <v/>
      </c>
      <c r="G16" s="11">
        <f>Modell!G61</f>
        <v/>
      </c>
    </row>
    <row r="19">
      <c r="A19" s="4" t="inlineStr">
        <is>
          <t>Lesehilfe</t>
        </is>
      </c>
    </row>
    <row r="20">
      <c r="A20" s="12" t="inlineStr">
        <is>
          <t>Die Zahlen sind ein Plan, keine Prognose. Jede Zeile lässt sich über «Annahmen» nachvollziehen.</t>
        </is>
      </c>
    </row>
    <row r="21">
      <c r="A21" s="12" t="inlineStr">
        <is>
          <t>Die grösste Stellschraube ist das Übernahmevolumen; die zweitgrösste die Produktivität je Bewirtschafter.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70" customWidth="1" min="8" max="8"/>
  </cols>
  <sheetData>
    <row r="1">
      <c r="A1" s="13" t="inlineStr">
        <is>
          <t>Hausklar – Finanzmodell · Annahmen</t>
        </is>
      </c>
    </row>
    <row r="2">
      <c r="A2" s="12" t="inlineStr">
        <is>
          <t>Blaue Werte sind Eingaben. Alles andere ist berechnet. Quelle/Begründung in Spalte H. Alle Beträge in CHF ohne MWST.</t>
        </is>
      </c>
    </row>
    <row r="4">
      <c r="A4" s="4" t="inlineStr">
        <is>
          <t>Szenario</t>
        </is>
      </c>
      <c r="C4" s="14" t="inlineStr">
        <is>
          <t>Basis</t>
        </is>
      </c>
      <c r="D4" s="15">
        <f>IF(C4="Vorsichtig",0.6,IF(C4="Stark",1.3,1))</f>
        <v/>
      </c>
      <c r="E4" s="12" t="inlineStr">
        <is>
          <t>← Faktor auf Neugeschäft und Übernahmen</t>
        </is>
      </c>
    </row>
    <row r="6">
      <c r="A6" s="16" t="inlineStr">
        <is>
          <t>Markt und Preise (einmalige Werte in Spalte C)</t>
        </is>
      </c>
      <c r="B6" s="17" t="n"/>
      <c r="C6" s="3" t="n">
        <v>2027</v>
      </c>
      <c r="D6" s="3" t="n">
        <v>2028</v>
      </c>
      <c r="E6" s="3" t="n">
        <v>2029</v>
      </c>
      <c r="F6" s="3" t="n">
        <v>2030</v>
      </c>
      <c r="G6" s="3" t="n">
        <v>2031</v>
      </c>
      <c r="H6" s="17" t="n"/>
    </row>
    <row r="7">
      <c r="A7" s="6" t="inlineStr">
        <is>
          <t>Durchschnittliche Nettomiete je Wohnung</t>
        </is>
      </c>
      <c r="B7" s="18" t="inlineStr">
        <is>
          <t>CHF/Mt.</t>
        </is>
      </c>
      <c r="C7" s="19" t="n">
        <v>1485</v>
      </c>
      <c r="H7" s="20" t="inlineStr">
        <is>
          <t>BFS, Strukturerhebung 2024: Durchschnittsmiete CHF 1485 (alle Grössen).</t>
        </is>
      </c>
    </row>
    <row r="8">
      <c r="A8" s="6" t="inlineStr">
        <is>
          <t>Bewirtschaftungshonorar Mietliegenschaften (Mischsatz)</t>
        </is>
      </c>
      <c r="B8" s="18" t="inlineStr">
        <is>
          <t>% Nettomiete</t>
        </is>
      </c>
      <c r="C8" s="21" t="n">
        <v>0.034</v>
      </c>
      <c r="H8" s="20" t="inlineStr">
        <is>
          <t>Markt 3–6 %, meist 4–5 % (bovita.ch, kama-plus.ch). mory.ai: 2 %. Hausklar Neukunden 2,9 %, übernommene Mandate behalten ihren Satz (~4 %) → Mischsatz 3,4 %.</t>
        </is>
      </c>
    </row>
    <row r="9">
      <c r="A9" s="6" t="inlineStr">
        <is>
          <t>Honorarsatz übernommener Mandate</t>
        </is>
      </c>
      <c r="B9" s="18" t="inlineStr">
        <is>
          <t>% Nettomiete</t>
        </is>
      </c>
      <c r="C9" s="21" t="n">
        <v>0.04</v>
      </c>
      <c r="H9" s="20" t="inlineStr">
        <is>
          <t>Bestehende Verträge laufen zum Marktsatz weiter (4–5 %). Nur für den Kaufpreis verwendet; der Ertrag wird vorsichtig mit dem Mischsatz gerechnet.</t>
        </is>
      </c>
    </row>
    <row r="10">
      <c r="A10" s="6" t="inlineStr">
        <is>
          <t>Honorar Stockwerkeigentum je Einheit</t>
        </is>
      </c>
      <c r="B10" s="18" t="inlineStr">
        <is>
          <t>CHF/Jahr</t>
        </is>
      </c>
      <c r="C10" s="19" t="n">
        <v>480</v>
      </c>
      <c r="H10" s="20" t="inlineStr">
        <is>
          <t>Markt CHF 350–500 je Einheit plus Grundhonorar CHF 2000–3000 je Gemeinschaft (hausinfo.ch, bawos.ch). Grundhonorar hier im Einheitenpreis enthalten.</t>
        </is>
      </c>
    </row>
    <row r="11">
      <c r="A11" s="6" t="inlineStr">
        <is>
          <t>Zusatzerträge (Erstvermietung, Mieterwechsel, Bauherrenvertretung, NK-Abrechnung)</t>
        </is>
      </c>
      <c r="B11" s="18" t="inlineStr">
        <is>
          <t>% Grundhonorar</t>
        </is>
      </c>
      <c r="C11" s="22" t="n">
        <v>0.22</v>
      </c>
      <c r="H11" s="20" t="inlineStr">
        <is>
          <t>Beispielfirma CH: CHF 400k Fixhonorar + CHF 200k einmalige Erträge = 50 %. Konservativ 22 %.</t>
        </is>
      </c>
    </row>
    <row r="12">
      <c r="A12" s="6" t="inlineStr">
        <is>
          <t>Kündigungsrate Mandate (Einheiten)</t>
        </is>
      </c>
      <c r="B12" s="18" t="inlineStr">
        <is>
          <t>%/Jahr</t>
        </is>
      </c>
      <c r="C12" s="22" t="n">
        <v>0.05</v>
      </c>
      <c r="H12" s="20" t="inlineStr">
        <is>
          <t>Annahme. Verwaltungsmandate sind langlebig (Kündigungsfristen, Wechselaufwand).</t>
        </is>
      </c>
    </row>
    <row r="14">
      <c r="A14" s="16" t="inlineStr">
        <is>
          <t>Wachstum (Basis, wird mit Szenariofaktor multipliziert)</t>
        </is>
      </c>
      <c r="B14" s="17" t="n"/>
      <c r="C14" s="3" t="n">
        <v>2027</v>
      </c>
      <c r="D14" s="3" t="n">
        <v>2028</v>
      </c>
      <c r="E14" s="3" t="n">
        <v>2029</v>
      </c>
      <c r="F14" s="3" t="n">
        <v>2030</v>
      </c>
      <c r="G14" s="3" t="n">
        <v>2031</v>
      </c>
      <c r="H14" s="17" t="n"/>
    </row>
    <row r="15">
      <c r="A15" s="6" t="inlineStr">
        <is>
          <t>Neue Mieteinheiten organisch (Neukunden)</t>
        </is>
      </c>
      <c r="B15" s="18" t="inlineStr">
        <is>
          <t>Einheiten</t>
        </is>
      </c>
      <c r="C15" s="19" t="n">
        <v>250</v>
      </c>
      <c r="D15" s="19" t="n">
        <v>700</v>
      </c>
      <c r="E15" s="19" t="n">
        <v>1200</v>
      </c>
      <c r="F15" s="19" t="n">
        <v>1600</v>
      </c>
      <c r="G15" s="19" t="n">
        <v>2000</v>
      </c>
      <c r="H15" s="20" t="inlineStr">
        <is>
          <t>Vertriebstrichter siehe 04-vertrieb.md: Jahr 1 ≈ 12 Mandate à 20 Einheiten.</t>
        </is>
      </c>
    </row>
    <row r="16">
      <c r="A16" s="6" t="inlineStr">
        <is>
          <t>Neue STWE-Einheiten organisch</t>
        </is>
      </c>
      <c r="B16" s="18" t="inlineStr">
        <is>
          <t>Einheiten</t>
        </is>
      </c>
      <c r="C16" s="19" t="n">
        <v>150</v>
      </c>
      <c r="D16" s="19" t="n">
        <v>450</v>
      </c>
      <c r="E16" s="19" t="n">
        <v>800</v>
      </c>
      <c r="F16" s="19" t="n">
        <v>1100</v>
      </c>
      <c r="G16" s="19" t="n">
        <v>1400</v>
      </c>
      <c r="H16" s="20" t="inlineStr">
        <is>
          <t>Kleine STWEG finden kaum Verwalter (NZZ, 13.11.2025). Ø 10 Einheiten je Gemeinschaft.</t>
        </is>
      </c>
    </row>
    <row r="17">
      <c r="A17" s="6" t="inlineStr">
        <is>
          <t>Übernommene Mieteinheiten (Nachfolgelösungen)</t>
        </is>
      </c>
      <c r="B17" s="18" t="inlineStr">
        <is>
          <t>Einheiten</t>
        </is>
      </c>
      <c r="C17" s="19" t="n">
        <v>700</v>
      </c>
      <c r="D17" s="19" t="n">
        <v>1300</v>
      </c>
      <c r="E17" s="19" t="n">
        <v>1800</v>
      </c>
      <c r="F17" s="19" t="n">
        <v>2200</v>
      </c>
      <c r="G17" s="19" t="n">
        <v>2500</v>
      </c>
      <c r="H17" s="20" t="inlineStr">
        <is>
          <t>90'667 KMU mit offener Nachfolge (Dun &amp; Bradstreet, März 2025). Kleinverwaltung Ø 700–1500 Einheiten.</t>
        </is>
      </c>
    </row>
    <row r="18">
      <c r="A18" s="6" t="inlineStr">
        <is>
          <t>Übernommene STWE-Einheiten</t>
        </is>
      </c>
      <c r="B18" s="18" t="inlineStr">
        <is>
          <t>Einheiten</t>
        </is>
      </c>
      <c r="C18" s="19" t="n">
        <v>300</v>
      </c>
      <c r="D18" s="19" t="n">
        <v>600</v>
      </c>
      <c r="E18" s="19" t="n">
        <v>900</v>
      </c>
      <c r="F18" s="19" t="n">
        <v>1100</v>
      </c>
      <c r="G18" s="19" t="n">
        <v>1300</v>
      </c>
      <c r="H18" s="20" t="inlineStr">
        <is>
          <t>Mit den Übernahmen mitkommend.</t>
        </is>
      </c>
    </row>
    <row r="19">
      <c r="A19" s="6" t="inlineStr">
        <is>
          <t>Anteil Umsatz im Zugangsjahr</t>
        </is>
      </c>
      <c r="B19" s="18" t="inlineStr">
        <is>
          <t>%</t>
        </is>
      </c>
      <c r="C19" s="22" t="n">
        <v>0.5</v>
      </c>
      <c r="H19" s="20" t="inlineStr">
        <is>
          <t>Halbjahreskonvention: Zugang im Mittel zur Jahresmitte.</t>
        </is>
      </c>
    </row>
    <row r="21">
      <c r="A21" s="16" t="inlineStr">
        <is>
          <t>Übernahmen</t>
        </is>
      </c>
      <c r="B21" s="17" t="n"/>
      <c r="C21" s="3" t="n">
        <v>2027</v>
      </c>
      <c r="D21" s="3" t="n">
        <v>2028</v>
      </c>
      <c r="E21" s="3" t="n">
        <v>2029</v>
      </c>
      <c r="F21" s="3" t="n">
        <v>2030</v>
      </c>
      <c r="G21" s="3" t="n">
        <v>2031</v>
      </c>
      <c r="H21" s="17" t="n"/>
    </row>
    <row r="22">
      <c r="A22" s="6" t="inlineStr">
        <is>
          <t>Kaufpreis in Jahresumsätzen</t>
        </is>
      </c>
      <c r="B22" s="18" t="inlineStr">
        <is>
          <t>x Umsatz</t>
        </is>
      </c>
      <c r="C22" s="23" t="n">
        <v>1</v>
      </c>
      <c r="H22" s="20" t="inlineStr">
        <is>
          <t>Implenia/Wincasa: CHF 171,6 Mio. für CHF 159 Mio. Umsatz = 1,08x (cash.ch). Kleinfirmen tiefer.</t>
        </is>
      </c>
    </row>
    <row r="23">
      <c r="A23" s="6" t="inlineStr">
        <is>
          <t>davon bar bei Vollzug</t>
        </is>
      </c>
      <c r="B23" s="18" t="inlineStr">
        <is>
          <t>%</t>
        </is>
      </c>
      <c r="C23" s="22" t="n">
        <v>0.5</v>
      </c>
      <c r="H23" s="20" t="inlineStr">
        <is>
          <t>Übliche Struktur Nachfolge-Deal; Rest Verkäuferdarlehen und Earn-out.</t>
        </is>
      </c>
    </row>
    <row r="24">
      <c r="A24" s="6" t="inlineStr">
        <is>
          <t>davon Verkäuferdarlehen (3 Jahre)</t>
        </is>
      </c>
      <c r="B24" s="18" t="inlineStr">
        <is>
          <t>%</t>
        </is>
      </c>
      <c r="C24" s="22" t="n">
        <v>0.3</v>
      </c>
      <c r="H24" s="20" t="inlineStr">
        <is>
          <t>Rückzahlung in 3 gleichen Raten ab Folgejahr.</t>
        </is>
      </c>
    </row>
    <row r="25">
      <c r="A25" s="6" t="inlineStr">
        <is>
          <t>davon Earn-out (im Folgejahr fällig)</t>
        </is>
      </c>
      <c r="B25" s="18" t="inlineStr">
        <is>
          <t>%</t>
        </is>
      </c>
      <c r="C25" s="22" t="n">
        <v>0.2</v>
      </c>
      <c r="H25" s="20" t="inlineStr">
        <is>
          <t>Nur bei Kundenbindung &gt;90 %.</t>
        </is>
      </c>
    </row>
    <row r="26">
      <c r="A26" s="6" t="inlineStr">
        <is>
          <t>Integrationskosten</t>
        </is>
      </c>
      <c r="B26" s="18" t="inlineStr">
        <is>
          <t>% Kaufpreis</t>
        </is>
      </c>
      <c r="C26" s="22" t="n">
        <v>0.08</v>
      </c>
      <c r="H26" s="20" t="inlineStr">
        <is>
          <t>Datenmigration, Umschulung, Doppellizenzen.</t>
        </is>
      </c>
    </row>
    <row r="27">
      <c r="A27" s="6" t="inlineStr">
        <is>
          <t>Abschreibungsdauer Goodwill/Kundenstamm</t>
        </is>
      </c>
      <c r="B27" s="18" t="inlineStr">
        <is>
          <t>Jahre</t>
        </is>
      </c>
      <c r="C27" s="24" t="n">
        <v>8</v>
      </c>
      <c r="H27" s="20" t="inlineStr">
        <is>
          <t>OR/Swiss GAAP FER: 5–20 Jahre.</t>
        </is>
      </c>
    </row>
    <row r="29">
      <c r="A29" s="16" t="inlineStr">
        <is>
          <t>Produktivität und Personal</t>
        </is>
      </c>
      <c r="B29" s="17" t="n"/>
      <c r="C29" s="3" t="n">
        <v>2027</v>
      </c>
      <c r="D29" s="3" t="n">
        <v>2028</v>
      </c>
      <c r="E29" s="3" t="n">
        <v>2029</v>
      </c>
      <c r="F29" s="3" t="n">
        <v>2030</v>
      </c>
      <c r="G29" s="3" t="n">
        <v>2031</v>
      </c>
      <c r="H29" s="17" t="n"/>
    </row>
    <row r="30">
      <c r="A30" s="6" t="inlineStr">
        <is>
          <t>Miet-Einheiten je Bewirtschafter-FTE (inkl. KI)</t>
        </is>
      </c>
      <c r="B30" s="18" t="inlineStr">
        <is>
          <t>Einheiten</t>
        </is>
      </c>
      <c r="C30" s="19" t="n">
        <v>400</v>
      </c>
      <c r="D30" s="19" t="n">
        <v>440</v>
      </c>
      <c r="E30" s="19" t="n">
        <v>480</v>
      </c>
      <c r="F30" s="19" t="n">
        <v>520</v>
      </c>
      <c r="G30" s="19" t="n">
        <v>560</v>
      </c>
      <c r="H30" s="20" t="inlineStr">
        <is>
          <t>Klassisch ca. 400–450 (Annahme aus Praxis, zu verifizieren). KI-Ziel +40 % bis Jahr 5 (bewusst unter dem Anspruch «KI erledigt 80 %»), analog «KI erledigt 80 %» (mory.ai).</t>
        </is>
      </c>
    </row>
    <row r="31">
      <c r="A31" s="6" t="inlineStr">
        <is>
          <t>STWE-Einheit entspricht Miet-Einheiten</t>
        </is>
      </c>
      <c r="B31" s="18" t="inlineStr">
        <is>
          <t>Faktor</t>
        </is>
      </c>
      <c r="C31" s="25" t="n">
        <v>0.6</v>
      </c>
      <c r="H31" s="20" t="inlineStr">
        <is>
          <t>Weniger Mieterkontakte, dafür Versammlungen.</t>
        </is>
      </c>
    </row>
    <row r="32">
      <c r="A32" s="6" t="inlineStr">
        <is>
          <t>Kosten je Bewirtschafter-FTE (Vollkosten)</t>
        </is>
      </c>
      <c r="B32" s="18" t="inlineStr">
        <is>
          <t>CHF/Jahr</t>
        </is>
      </c>
      <c r="C32" s="19" t="n">
        <v>118000</v>
      </c>
      <c r="H32" s="20" t="inlineStr">
        <is>
          <t>Lohn Median CHF 84k–98k (jobs.ch, lohncheck.ch) + ca. 18 % Sozialabgaben/BVG + Weiterbildung.</t>
        </is>
      </c>
    </row>
    <row r="33">
      <c r="A33" s="6" t="inlineStr">
        <is>
          <t>Assistenz/Buchhaltung je Bewirtschafter</t>
        </is>
      </c>
      <c r="B33" s="18" t="inlineStr">
        <is>
          <t>FTE</t>
        </is>
      </c>
      <c r="C33" s="23" t="n">
        <v>0.6</v>
      </c>
      <c r="D33" s="23" t="n">
        <v>0.55</v>
      </c>
      <c r="E33" s="23" t="n">
        <v>0.5</v>
      </c>
      <c r="F33" s="23" t="n">
        <v>0.45</v>
      </c>
      <c r="G33" s="23" t="n">
        <v>0.4</v>
      </c>
      <c r="H33" s="20" t="inlineStr">
        <is>
          <t>KI übernimmt Belegerfassung und Standardkorrespondenz.</t>
        </is>
      </c>
    </row>
    <row r="34">
      <c r="A34" s="6" t="inlineStr">
        <is>
          <t>Kosten je Assistenz-FTE (Vollkosten)</t>
        </is>
      </c>
      <c r="B34" s="18" t="inlineStr">
        <is>
          <t>CHF/Jahr</t>
        </is>
      </c>
      <c r="C34" s="19" t="n">
        <v>88000</v>
      </c>
      <c r="H34" s="20" t="inlineStr">
        <is>
          <t>Sachbearbeitung Immobilien, lohnanalyse.ch.</t>
        </is>
      </c>
    </row>
    <row r="35">
      <c r="A35" s="6" t="inlineStr">
        <is>
          <t>Geschäftsleitung und Zentrale (Gründer, Technik, Vertrieb, Finanzen)</t>
        </is>
      </c>
      <c r="B35" s="18" t="inlineStr">
        <is>
          <t>CHF/Jahr</t>
        </is>
      </c>
      <c r="C35" s="19" t="n">
        <v>330000</v>
      </c>
      <c r="D35" s="19" t="n">
        <v>650000</v>
      </c>
      <c r="E35" s="19" t="n">
        <v>1000000</v>
      </c>
      <c r="F35" s="19" t="n">
        <v>1350000</v>
      </c>
      <c r="G35" s="19" t="n">
        <v>1650000</v>
      </c>
      <c r="H35" s="20" t="inlineStr">
        <is>
          <t>J1: Gründer 140k + Technik 150k + Teilzeit 40k. Ab J3 CFO/M&amp;A, ab J2 Vertrieb/Marketing.</t>
        </is>
      </c>
    </row>
    <row r="37">
      <c r="A37" s="16" t="inlineStr">
        <is>
          <t>Sachkosten</t>
        </is>
      </c>
      <c r="B37" s="17" t="n"/>
      <c r="C37" s="3" t="n">
        <v>2027</v>
      </c>
      <c r="D37" s="3" t="n">
        <v>2028</v>
      </c>
      <c r="E37" s="3" t="n">
        <v>2029</v>
      </c>
      <c r="F37" s="3" t="n">
        <v>2030</v>
      </c>
      <c r="G37" s="3" t="n">
        <v>2031</v>
      </c>
      <c r="H37" s="17" t="n"/>
    </row>
    <row r="38">
      <c r="A38" s="6" t="inlineStr">
        <is>
          <t>Software (ERP, KI, Hosting) je verwaltete Einheit</t>
        </is>
      </c>
      <c r="B38" s="18" t="inlineStr">
        <is>
          <t>CHF/Jahr</t>
        </is>
      </c>
      <c r="C38" s="19" t="n">
        <v>22</v>
      </c>
      <c r="H38" s="20" t="inlineStr">
        <is>
          <t>ERP-Lizenz ca. CHF 10–15/Einheit (Annahme, Offerten einholen) + KI/LLM ca. CHF 8.</t>
        </is>
      </c>
    </row>
    <row r="39">
      <c r="A39" s="6" t="inlineStr">
        <is>
          <t>Akquisekosten je neue organische Miet-Einheit</t>
        </is>
      </c>
      <c r="B39" s="18" t="inlineStr">
        <is>
          <t>CHF</t>
        </is>
      </c>
      <c r="C39" s="19" t="n">
        <v>260</v>
      </c>
      <c r="H39" s="20" t="inlineStr">
        <is>
          <t>Marketingplan 03: Budget ÷ Zielvolumen.</t>
        </is>
      </c>
    </row>
    <row r="40">
      <c r="A40" s="6" t="inlineStr">
        <is>
          <t>Akquisekosten je neue organische STWE-Einheit</t>
        </is>
      </c>
      <c r="B40" s="18" t="inlineStr">
        <is>
          <t>CHF</t>
        </is>
      </c>
      <c r="C40" s="19" t="n">
        <v>160</v>
      </c>
      <c r="H40" s="20" t="inlineStr"/>
    </row>
    <row r="41">
      <c r="A41" s="6" t="inlineStr">
        <is>
          <t>Büro/Arbeitsplatz je FTE</t>
        </is>
      </c>
      <c r="B41" s="18" t="inlineStr">
        <is>
          <t>CHF/Jahr</t>
        </is>
      </c>
      <c r="C41" s="19" t="n">
        <v>9000</v>
      </c>
      <c r="H41" s="20" t="inlineStr">
        <is>
          <t>Coworking/Büro Agglomeration Zürich, Annahme.</t>
        </is>
      </c>
    </row>
    <row r="42">
      <c r="A42" s="6" t="inlineStr">
        <is>
          <t>Versicherung, Treuhand, Revision, Recht, Verbände</t>
        </is>
      </c>
      <c r="B42" s="18" t="inlineStr">
        <is>
          <t>CHF/Jahr</t>
        </is>
      </c>
      <c r="C42" s="19" t="n">
        <v>70000</v>
      </c>
      <c r="D42" s="19" t="n">
        <v>95000</v>
      </c>
      <c r="E42" s="19" t="n">
        <v>130000</v>
      </c>
      <c r="F42" s="19" t="n">
        <v>160000</v>
      </c>
      <c r="G42" s="19" t="n">
        <v>190000</v>
      </c>
      <c r="H42" s="20" t="inlineStr">
        <is>
          <t>Berufshaftpflicht, Vertrauensschaden, Revision, SVIT-Mitgliedschaft.</t>
        </is>
      </c>
    </row>
    <row r="43">
      <c r="A43" s="6" t="inlineStr">
        <is>
          <t>Gewinnsteuersatz effektiv</t>
        </is>
      </c>
      <c r="B43" s="18" t="inlineStr">
        <is>
          <t>%</t>
        </is>
      </c>
      <c r="C43" s="21" t="n">
        <v>0.197</v>
      </c>
      <c r="H43" s="20" t="inlineStr">
        <is>
          <t>Kanton Zürich, Stadt Zürich, ca. 19,7 %.</t>
        </is>
      </c>
    </row>
    <row r="45">
      <c r="A45" s="16" t="inlineStr">
        <is>
          <t>Finanzierung</t>
        </is>
      </c>
      <c r="B45" s="17" t="n"/>
      <c r="C45" s="3" t="n">
        <v>2027</v>
      </c>
      <c r="D45" s="3" t="n">
        <v>2028</v>
      </c>
      <c r="E45" s="3" t="n">
        <v>2029</v>
      </c>
      <c r="F45" s="3" t="n">
        <v>2030</v>
      </c>
      <c r="G45" s="3" t="n">
        <v>2031</v>
      </c>
      <c r="H45" s="17" t="n"/>
    </row>
    <row r="46">
      <c r="A46" s="6" t="inlineStr">
        <is>
          <t>Eigenkapital-Einlagen</t>
        </is>
      </c>
      <c r="B46" s="18" t="inlineStr">
        <is>
          <t>CHF</t>
        </is>
      </c>
      <c r="C46" s="19" t="n">
        <v>750000</v>
      </c>
      <c r="D46" s="19" t="n">
        <v>1800000</v>
      </c>
      <c r="E46" s="19" t="n">
        <v>0</v>
      </c>
      <c r="F46" s="19" t="n">
        <v>0</v>
      </c>
      <c r="G46" s="19" t="n">
        <v>0</v>
      </c>
      <c r="H46" s="20" t="inlineStr">
        <is>
          <t>J1: Gründer + 2–4 Business Angels. J2: Wachstumsrunde (Family Office / Search-Fund-Investoren).</t>
        </is>
      </c>
    </row>
    <row r="47">
      <c r="A47" s="6" t="inlineStr">
        <is>
          <t>Akquisitionskredit Bank (neu aufgenommen)</t>
        </is>
      </c>
      <c r="B47" s="18" t="inlineStr">
        <is>
          <t>CHF</t>
        </is>
      </c>
      <c r="C47" s="19" t="n">
        <v>200000</v>
      </c>
      <c r="D47" s="19" t="n">
        <v>500000</v>
      </c>
      <c r="E47" s="19" t="n">
        <v>600000</v>
      </c>
      <c r="F47" s="19" t="n">
        <v>1000000</v>
      </c>
      <c r="G47" s="19" t="n">
        <v>1200000</v>
      </c>
      <c r="H47" s="20" t="inlineStr">
        <is>
          <t>Zielgrösse ≤ 2,5x EBITDA. Laufzeit 5 Jahre.</t>
        </is>
      </c>
    </row>
    <row r="48">
      <c r="A48" s="6" t="inlineStr">
        <is>
          <t>Zinssatz Bankkredit und Verkäuferdarlehen</t>
        </is>
      </c>
      <c r="B48" s="18" t="inlineStr">
        <is>
          <t>%</t>
        </is>
      </c>
      <c r="C48" s="21" t="n">
        <v>0.055</v>
      </c>
      <c r="H48" s="20" t="inlineStr">
        <is>
          <t>Annahme KMU-Akquisitionsfinanzierung.</t>
        </is>
      </c>
    </row>
    <row r="49">
      <c r="A49" s="6" t="inlineStr">
        <is>
          <t>Laufzeit Bankkredit</t>
        </is>
      </c>
      <c r="B49" s="18" t="inlineStr">
        <is>
          <t>Jahre</t>
        </is>
      </c>
      <c r="C49" s="24" t="n">
        <v>5</v>
      </c>
      <c r="H49" s="20" t="inlineStr"/>
    </row>
    <row r="50">
      <c r="A50" s="6" t="inlineStr">
        <is>
          <t>Liquide Mittel zu Beginn</t>
        </is>
      </c>
      <c r="B50" s="18" t="inlineStr">
        <is>
          <t>CHF</t>
        </is>
      </c>
      <c r="C50" s="19" t="n">
        <v>0</v>
      </c>
      <c r="H50" s="20" t="inlineStr"/>
    </row>
  </sheetData>
  <dataValidations count="1">
    <dataValidation sqref="C4" showDropDown="0" showInputMessage="0" showErrorMessage="0" allowBlank="0" type="list">
      <formula1>"Basis,Vorsichtig,Stark"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Hausklar – Modell (berechnet, nicht bearbeiten)</t>
        </is>
      </c>
    </row>
    <row r="2">
      <c r="A2" s="4">
        <f>"Szenario: "&amp;Annahmen!C4</f>
        <v/>
      </c>
    </row>
    <row r="4">
      <c r="A4" s="16" t="inlineStr">
        <is>
          <t>Einheiten</t>
        </is>
      </c>
      <c r="B4" s="17" t="n"/>
      <c r="C4" s="3" t="n">
        <v>2027</v>
      </c>
      <c r="D4" s="3" t="n">
        <v>2028</v>
      </c>
      <c r="E4" s="3" t="n">
        <v>2029</v>
      </c>
      <c r="F4" s="3" t="n">
        <v>2030</v>
      </c>
      <c r="G4" s="3" t="n">
        <v>2031</v>
      </c>
    </row>
    <row r="5">
      <c r="A5" s="6" t="inlineStr">
        <is>
          <t>Zugang Miet-Einheiten</t>
        </is>
      </c>
      <c r="C5" s="26">
        <f>ROUND((Annahmen!C15+Annahmen!C17)*Annahmen!$D$4,0)</f>
        <v/>
      </c>
      <c r="D5" s="26">
        <f>ROUND((Annahmen!D15+Annahmen!D17)*Annahmen!$D$4,0)</f>
        <v/>
      </c>
      <c r="E5" s="26">
        <f>ROUND((Annahmen!E15+Annahmen!E17)*Annahmen!$D$4,0)</f>
        <v/>
      </c>
      <c r="F5" s="26">
        <f>ROUND((Annahmen!F15+Annahmen!F17)*Annahmen!$D$4,0)</f>
        <v/>
      </c>
      <c r="G5" s="26">
        <f>ROUND((Annahmen!G15+Annahmen!G17)*Annahmen!$D$4,0)</f>
        <v/>
      </c>
    </row>
    <row r="6">
      <c r="A6" s="6" t="inlineStr">
        <is>
          <t>Zugang STWE-Einheiten</t>
        </is>
      </c>
      <c r="C6" s="26">
        <f>ROUND((Annahmen!C16+Annahmen!C18)*Annahmen!$D$4,0)</f>
        <v/>
      </c>
      <c r="D6" s="26">
        <f>ROUND((Annahmen!D16+Annahmen!D18)*Annahmen!$D$4,0)</f>
        <v/>
      </c>
      <c r="E6" s="26">
        <f>ROUND((Annahmen!E16+Annahmen!E18)*Annahmen!$D$4,0)</f>
        <v/>
      </c>
      <c r="F6" s="26">
        <f>ROUND((Annahmen!F16+Annahmen!F18)*Annahmen!$D$4,0)</f>
        <v/>
      </c>
      <c r="G6" s="26">
        <f>ROUND((Annahmen!G16+Annahmen!G18)*Annahmen!$D$4,0)</f>
        <v/>
      </c>
    </row>
    <row r="7">
      <c r="A7" s="6" t="inlineStr">
        <is>
          <t>Abgang Miet-Einheiten (Kündigungen)</t>
        </is>
      </c>
      <c r="C7" s="26">
        <f>-ROUND(0*Annahmen!$C$12,0)</f>
        <v/>
      </c>
      <c r="D7" s="26">
        <f>-ROUND(C9*Annahmen!$C$12,0)</f>
        <v/>
      </c>
      <c r="E7" s="26">
        <f>-ROUND(D9*Annahmen!$C$12,0)</f>
        <v/>
      </c>
      <c r="F7" s="26">
        <f>-ROUND(E9*Annahmen!$C$12,0)</f>
        <v/>
      </c>
      <c r="G7" s="26">
        <f>-ROUND(F9*Annahmen!$C$12,0)</f>
        <v/>
      </c>
    </row>
    <row r="8">
      <c r="A8" s="6" t="inlineStr">
        <is>
          <t>Abgang STWE-Einheiten</t>
        </is>
      </c>
      <c r="C8" s="26">
        <f>-ROUND(0*Annahmen!$C$12,0)</f>
        <v/>
      </c>
      <c r="D8" s="26">
        <f>-ROUND(C10*Annahmen!$C$12,0)</f>
        <v/>
      </c>
      <c r="E8" s="26">
        <f>-ROUND(D10*Annahmen!$C$12,0)</f>
        <v/>
      </c>
      <c r="F8" s="26">
        <f>-ROUND(E10*Annahmen!$C$12,0)</f>
        <v/>
      </c>
      <c r="G8" s="26">
        <f>-ROUND(F10*Annahmen!$C$12,0)</f>
        <v/>
      </c>
    </row>
    <row r="9">
      <c r="A9" s="4" t="inlineStr">
        <is>
          <t>Miet-Einheiten Jahresende</t>
        </is>
      </c>
      <c r="C9" s="27">
        <f>0+C5+C7</f>
        <v/>
      </c>
      <c r="D9" s="27">
        <f>C9+D5+D7</f>
        <v/>
      </c>
      <c r="E9" s="27">
        <f>D9+E5+E7</f>
        <v/>
      </c>
      <c r="F9" s="27">
        <f>E9+F5+F7</f>
        <v/>
      </c>
      <c r="G9" s="27">
        <f>F9+G5+G7</f>
        <v/>
      </c>
    </row>
    <row r="10">
      <c r="A10" s="4" t="inlineStr">
        <is>
          <t>STWE-Einheiten Jahresende</t>
        </is>
      </c>
      <c r="C10" s="27">
        <f>0+C6+C8</f>
        <v/>
      </c>
      <c r="D10" s="27">
        <f>C10+D6+D8</f>
        <v/>
      </c>
      <c r="E10" s="27">
        <f>D10+E6+E8</f>
        <v/>
      </c>
      <c r="F10" s="27">
        <f>E10+F6+F8</f>
        <v/>
      </c>
      <c r="G10" s="27">
        <f>F10+G6+G8</f>
        <v/>
      </c>
    </row>
    <row r="11">
      <c r="A11" s="6" t="inlineStr">
        <is>
          <t>Miet-Einheiten ertragswirksam (Ø)</t>
        </is>
      </c>
      <c r="C11" s="26">
        <f>0+(C5+C7)*Annahmen!$C$19</f>
        <v/>
      </c>
      <c r="D11" s="26">
        <f>C9+(D5+D7)*Annahmen!$C$19</f>
        <v/>
      </c>
      <c r="E11" s="26">
        <f>D9+(E5+E7)*Annahmen!$C$19</f>
        <v/>
      </c>
      <c r="F11" s="26">
        <f>E9+(F5+F7)*Annahmen!$C$19</f>
        <v/>
      </c>
      <c r="G11" s="26">
        <f>F9+(G5+G7)*Annahmen!$C$19</f>
        <v/>
      </c>
    </row>
    <row r="12">
      <c r="A12" s="6" t="inlineStr">
        <is>
          <t>STWE-Einheiten ertragswirksam (Ø)</t>
        </is>
      </c>
      <c r="C12" s="26">
        <f>0+(C6+C8)*Annahmen!$C$19</f>
        <v/>
      </c>
      <c r="D12" s="26">
        <f>C10+(D6+D8)*Annahmen!$C$19</f>
        <v/>
      </c>
      <c r="E12" s="26">
        <f>D10+(E6+E8)*Annahmen!$C$19</f>
        <v/>
      </c>
      <c r="F12" s="26">
        <f>E10+(F6+F8)*Annahmen!$C$19</f>
        <v/>
      </c>
      <c r="G12" s="26">
        <f>F10+(G6+G8)*Annahmen!$C$19</f>
        <v/>
      </c>
    </row>
    <row r="14">
      <c r="A14" s="16" t="inlineStr">
        <is>
          <t>Erfolgsrechnung (CHF)</t>
        </is>
      </c>
      <c r="B14" s="17" t="n"/>
      <c r="C14" s="3" t="n">
        <v>2027</v>
      </c>
      <c r="D14" s="3" t="n">
        <v>2028</v>
      </c>
      <c r="E14" s="3" t="n">
        <v>2029</v>
      </c>
      <c r="F14" s="3" t="n">
        <v>2030</v>
      </c>
      <c r="G14" s="3" t="n">
        <v>2031</v>
      </c>
    </row>
    <row r="15">
      <c r="A15" s="6" t="inlineStr">
        <is>
          <t>Honorar Mietliegenschaften</t>
        </is>
      </c>
      <c r="C15" s="26">
        <f>C11*Annahmen!$C$7*12*Annahmen!$C$8</f>
        <v/>
      </c>
      <c r="D15" s="26">
        <f>D11*Annahmen!$C$7*12*Annahmen!$C$8</f>
        <v/>
      </c>
      <c r="E15" s="26">
        <f>E11*Annahmen!$C$7*12*Annahmen!$C$8</f>
        <v/>
      </c>
      <c r="F15" s="26">
        <f>F11*Annahmen!$C$7*12*Annahmen!$C$8</f>
        <v/>
      </c>
      <c r="G15" s="26">
        <f>G11*Annahmen!$C$7*12*Annahmen!$C$8</f>
        <v/>
      </c>
    </row>
    <row r="16">
      <c r="A16" s="6" t="inlineStr">
        <is>
          <t>Honorar Stockwerkeigentum</t>
        </is>
      </c>
      <c r="C16" s="26">
        <f>C12*Annahmen!$C$10</f>
        <v/>
      </c>
      <c r="D16" s="26">
        <f>D12*Annahmen!$C$10</f>
        <v/>
      </c>
      <c r="E16" s="26">
        <f>E12*Annahmen!$C$10</f>
        <v/>
      </c>
      <c r="F16" s="26">
        <f>F12*Annahmen!$C$10</f>
        <v/>
      </c>
      <c r="G16" s="26">
        <f>G12*Annahmen!$C$10</f>
        <v/>
      </c>
    </row>
    <row r="17">
      <c r="A17" s="6" t="inlineStr">
        <is>
          <t>Zusatzerträge</t>
        </is>
      </c>
      <c r="C17" s="26">
        <f>(C15+C16)*Annahmen!$C$11</f>
        <v/>
      </c>
      <c r="D17" s="26">
        <f>(D15+D16)*Annahmen!$C$11</f>
        <v/>
      </c>
      <c r="E17" s="26">
        <f>(E15+E16)*Annahmen!$C$11</f>
        <v/>
      </c>
      <c r="F17" s="26">
        <f>(F15+F16)*Annahmen!$C$11</f>
        <v/>
      </c>
      <c r="G17" s="26">
        <f>(G15+G16)*Annahmen!$C$11</f>
        <v/>
      </c>
    </row>
    <row r="18">
      <c r="A18" s="28" t="inlineStr">
        <is>
          <t>Umsatz</t>
        </is>
      </c>
      <c r="C18" s="29">
        <f>C15+C16+C17</f>
        <v/>
      </c>
      <c r="D18" s="29">
        <f>D15+D16+D17</f>
        <v/>
      </c>
      <c r="E18" s="29">
        <f>E15+E16+E17</f>
        <v/>
      </c>
      <c r="F18" s="29">
        <f>F15+F16+F17</f>
        <v/>
      </c>
      <c r="G18" s="29">
        <f>G15+G16+G17</f>
        <v/>
      </c>
    </row>
    <row r="19">
      <c r="A19" s="6" t="inlineStr">
        <is>
          <t>Bewirtschafter-FTE (Bedarf)</t>
        </is>
      </c>
      <c r="C19" s="30">
        <f>ROUNDUP((C11+C12*Annahmen!$C$31)/Annahmen!C30,1)</f>
        <v/>
      </c>
      <c r="D19" s="30">
        <f>ROUNDUP((D11+D12*Annahmen!$C$31)/Annahmen!D30,1)</f>
        <v/>
      </c>
      <c r="E19" s="30">
        <f>ROUNDUP((E11+E12*Annahmen!$C$31)/Annahmen!E30,1)</f>
        <v/>
      </c>
      <c r="F19" s="30">
        <f>ROUNDUP((F11+F12*Annahmen!$C$31)/Annahmen!F30,1)</f>
        <v/>
      </c>
      <c r="G19" s="30">
        <f>ROUNDUP((G11+G12*Annahmen!$C$31)/Annahmen!G30,1)</f>
        <v/>
      </c>
    </row>
    <row r="20">
      <c r="A20" s="6" t="inlineStr">
        <is>
          <t>Assistenz-FTE</t>
        </is>
      </c>
      <c r="C20" s="30">
        <f>ROUND(C19*Annahmen!C33,1)</f>
        <v/>
      </c>
      <c r="D20" s="30">
        <f>ROUND(D19*Annahmen!D33,1)</f>
        <v/>
      </c>
      <c r="E20" s="30">
        <f>ROUND(E19*Annahmen!E33,1)</f>
        <v/>
      </c>
      <c r="F20" s="30">
        <f>ROUND(F19*Annahmen!F33,1)</f>
        <v/>
      </c>
      <c r="G20" s="30">
        <f>ROUND(G19*Annahmen!G33,1)</f>
        <v/>
      </c>
    </row>
    <row r="21">
      <c r="A21" s="6" t="inlineStr">
        <is>
          <t>Personal Bewirtschaftung</t>
        </is>
      </c>
      <c r="C21" s="26">
        <f>-(C19*Annahmen!$C$32+C20*Annahmen!$C$34)</f>
        <v/>
      </c>
      <c r="D21" s="26">
        <f>-(D19*Annahmen!$C$32+D20*Annahmen!$C$34)</f>
        <v/>
      </c>
      <c r="E21" s="26">
        <f>-(E19*Annahmen!$C$32+E20*Annahmen!$C$34)</f>
        <v/>
      </c>
      <c r="F21" s="26">
        <f>-(F19*Annahmen!$C$32+F20*Annahmen!$C$34)</f>
        <v/>
      </c>
      <c r="G21" s="26">
        <f>-(G19*Annahmen!$C$32+G20*Annahmen!$C$34)</f>
        <v/>
      </c>
    </row>
    <row r="22">
      <c r="A22" s="6" t="inlineStr">
        <is>
          <t>Geschäftsleitung und Zentrale</t>
        </is>
      </c>
      <c r="C22" s="26">
        <f>-Annahmen!C35</f>
        <v/>
      </c>
      <c r="D22" s="26">
        <f>-Annahmen!D35</f>
        <v/>
      </c>
      <c r="E22" s="26">
        <f>-Annahmen!E35</f>
        <v/>
      </c>
      <c r="F22" s="26">
        <f>-Annahmen!F35</f>
        <v/>
      </c>
      <c r="G22" s="26">
        <f>-Annahmen!G35</f>
        <v/>
      </c>
    </row>
    <row r="23">
      <c r="A23" s="6" t="inlineStr">
        <is>
          <t>Software und KI</t>
        </is>
      </c>
      <c r="C23" s="26">
        <f>-(C11+C12)*Annahmen!$C$38</f>
        <v/>
      </c>
      <c r="D23" s="26">
        <f>-(D11+D12)*Annahmen!$C$38</f>
        <v/>
      </c>
      <c r="E23" s="26">
        <f>-(E11+E12)*Annahmen!$C$38</f>
        <v/>
      </c>
      <c r="F23" s="26">
        <f>-(F11+F12)*Annahmen!$C$38</f>
        <v/>
      </c>
      <c r="G23" s="26">
        <f>-(G11+G12)*Annahmen!$C$38</f>
        <v/>
      </c>
    </row>
    <row r="24">
      <c r="A24" s="6" t="inlineStr">
        <is>
          <t>Marketing und Vertrieb</t>
        </is>
      </c>
      <c r="C24" s="26">
        <f>-ROUND((Annahmen!C15*Annahmen!$C$39+Annahmen!C16*Annahmen!$C$40)*Annahmen!$D$4,0)</f>
        <v/>
      </c>
      <c r="D24" s="26">
        <f>-ROUND((Annahmen!D15*Annahmen!$C$39+Annahmen!D16*Annahmen!$C$40)*Annahmen!$D$4,0)</f>
        <v/>
      </c>
      <c r="E24" s="26">
        <f>-ROUND((Annahmen!E15*Annahmen!$C$39+Annahmen!E16*Annahmen!$C$40)*Annahmen!$D$4,0)</f>
        <v/>
      </c>
      <c r="F24" s="26">
        <f>-ROUND((Annahmen!F15*Annahmen!$C$39+Annahmen!F16*Annahmen!$C$40)*Annahmen!$D$4,0)</f>
        <v/>
      </c>
      <c r="G24" s="26">
        <f>-ROUND((Annahmen!G15*Annahmen!$C$39+Annahmen!G16*Annahmen!$C$40)*Annahmen!$D$4,0)</f>
        <v/>
      </c>
    </row>
    <row r="25">
      <c r="A25" s="6" t="inlineStr">
        <is>
          <t>Büro</t>
        </is>
      </c>
      <c r="C25" s="26">
        <f>-(C19+C20+ROUND(Annahmen!C35/150000,0))*Annahmen!$C$41</f>
        <v/>
      </c>
      <c r="D25" s="26">
        <f>-(D19+D20+ROUND(Annahmen!D35/150000,0))*Annahmen!$C$41</f>
        <v/>
      </c>
      <c r="E25" s="26">
        <f>-(E19+E20+ROUND(Annahmen!E35/150000,0))*Annahmen!$C$41</f>
        <v/>
      </c>
      <c r="F25" s="26">
        <f>-(F19+F20+ROUND(Annahmen!F35/150000,0))*Annahmen!$C$41</f>
        <v/>
      </c>
      <c r="G25" s="26">
        <f>-(G19+G20+ROUND(Annahmen!G35/150000,0))*Annahmen!$C$41</f>
        <v/>
      </c>
    </row>
    <row r="26">
      <c r="A26" s="6" t="inlineStr">
        <is>
          <t>Versicherung, Treuhand, Recht</t>
        </is>
      </c>
      <c r="C26" s="26">
        <f>-Annahmen!C42</f>
        <v/>
      </c>
      <c r="D26" s="26">
        <f>-Annahmen!D42</f>
        <v/>
      </c>
      <c r="E26" s="26">
        <f>-Annahmen!E42</f>
        <v/>
      </c>
      <c r="F26" s="26">
        <f>-Annahmen!F42</f>
        <v/>
      </c>
      <c r="G26" s="26">
        <f>-Annahmen!G42</f>
        <v/>
      </c>
    </row>
    <row r="27">
      <c r="A27" s="6" t="inlineStr">
        <is>
          <t>Integrationskosten Übernahmen</t>
        </is>
      </c>
      <c r="C27" s="26">
        <f>-C38*Annahmen!$C$26</f>
        <v/>
      </c>
      <c r="D27" s="26">
        <f>-D38*Annahmen!$C$26</f>
        <v/>
      </c>
      <c r="E27" s="26">
        <f>-E38*Annahmen!$C$26</f>
        <v/>
      </c>
      <c r="F27" s="26">
        <f>-F38*Annahmen!$C$26</f>
        <v/>
      </c>
      <c r="G27" s="26">
        <f>-G38*Annahmen!$C$26</f>
        <v/>
      </c>
    </row>
    <row r="28">
      <c r="A28" s="28" t="inlineStr">
        <is>
          <t>EBITDA</t>
        </is>
      </c>
      <c r="C28" s="29">
        <f>SUM(C18,C21:C27)</f>
        <v/>
      </c>
      <c r="D28" s="29">
        <f>SUM(D18,D21:D27)</f>
        <v/>
      </c>
      <c r="E28" s="29">
        <f>SUM(E18,E21:E27)</f>
        <v/>
      </c>
      <c r="F28" s="29">
        <f>SUM(F18,F21:F27)</f>
        <v/>
      </c>
      <c r="G28" s="29">
        <f>SUM(G18,G21:G27)</f>
        <v/>
      </c>
    </row>
    <row r="29">
      <c r="A29" s="6" t="inlineStr">
        <is>
          <t>EBITDA-Marge</t>
        </is>
      </c>
      <c r="C29" s="31">
        <f>IF(C18=0,0,C28/C18)</f>
        <v/>
      </c>
      <c r="D29" s="31">
        <f>IF(D18=0,0,D28/D18)</f>
        <v/>
      </c>
      <c r="E29" s="31">
        <f>IF(E18=0,0,E28/E18)</f>
        <v/>
      </c>
      <c r="F29" s="31">
        <f>IF(F18=0,0,F28/F18)</f>
        <v/>
      </c>
      <c r="G29" s="31">
        <f>IF(G18=0,0,G28/G18)</f>
        <v/>
      </c>
    </row>
    <row r="30">
      <c r="A30" s="6" t="inlineStr">
        <is>
          <t>Abschreibung Goodwill/Kundenstamm</t>
        </is>
      </c>
      <c r="C30" s="26">
        <f>-SUM($C$38:C38)/Annahmen!$C$27</f>
        <v/>
      </c>
      <c r="D30" s="26">
        <f>-SUM($C$38:D38)/Annahmen!$C$27</f>
        <v/>
      </c>
      <c r="E30" s="26">
        <f>-SUM($C$38:E38)/Annahmen!$C$27</f>
        <v/>
      </c>
      <c r="F30" s="26">
        <f>-SUM($C$38:F38)/Annahmen!$C$27</f>
        <v/>
      </c>
      <c r="G30" s="26">
        <f>-SUM($C$38:G38)/Annahmen!$C$27</f>
        <v/>
      </c>
    </row>
    <row r="31">
      <c r="A31" s="6" t="inlineStr">
        <is>
          <t>Zinsaufwand</t>
        </is>
      </c>
      <c r="C31" s="26">
        <f>-(0+0)*Annahmen!$C$48</f>
        <v/>
      </c>
      <c r="D31" s="26">
        <f>-(C51+C43)*Annahmen!$C$48</f>
        <v/>
      </c>
      <c r="E31" s="26">
        <f>-(D51+D43)*Annahmen!$C$48</f>
        <v/>
      </c>
      <c r="F31" s="26">
        <f>-(E51+E43)*Annahmen!$C$48</f>
        <v/>
      </c>
      <c r="G31" s="26">
        <f>-(F51+F43)*Annahmen!$C$48</f>
        <v/>
      </c>
    </row>
    <row r="32">
      <c r="A32" s="4" t="inlineStr">
        <is>
          <t>Ergebnis vor Steuern</t>
        </is>
      </c>
      <c r="C32" s="27">
        <f>C28+C30+C31</f>
        <v/>
      </c>
      <c r="D32" s="27">
        <f>D28+D30+D31</f>
        <v/>
      </c>
      <c r="E32" s="27">
        <f>E28+E30+E31</f>
        <v/>
      </c>
      <c r="F32" s="27">
        <f>F28+F30+F31</f>
        <v/>
      </c>
      <c r="G32" s="27">
        <f>G28+G30+G31</f>
        <v/>
      </c>
    </row>
    <row r="33">
      <c r="A33" s="6" t="inlineStr">
        <is>
          <t>Steuern</t>
        </is>
      </c>
      <c r="C33" s="26">
        <f>-MAX(0,C32)*Annahmen!$C$43</f>
        <v/>
      </c>
      <c r="D33" s="26">
        <f>-MAX(0,D32)*Annahmen!$C$43</f>
        <v/>
      </c>
      <c r="E33" s="26">
        <f>-MAX(0,E32)*Annahmen!$C$43</f>
        <v/>
      </c>
      <c r="F33" s="26">
        <f>-MAX(0,F32)*Annahmen!$C$43</f>
        <v/>
      </c>
      <c r="G33" s="26">
        <f>-MAX(0,G32)*Annahmen!$C$43</f>
        <v/>
      </c>
    </row>
    <row r="34">
      <c r="A34" s="28" t="inlineStr">
        <is>
          <t>Jahresergebnis</t>
        </is>
      </c>
      <c r="C34" s="29">
        <f>C32+C33</f>
        <v/>
      </c>
      <c r="D34" s="29">
        <f>D32+D33</f>
        <v/>
      </c>
      <c r="E34" s="29">
        <f>E32+E33</f>
        <v/>
      </c>
      <c r="F34" s="29">
        <f>F32+F33</f>
        <v/>
      </c>
      <c r="G34" s="29">
        <f>G32+G33</f>
        <v/>
      </c>
    </row>
    <row r="36">
      <c r="A36" s="16" t="inlineStr">
        <is>
          <t>Übernahmen (CHF)</t>
        </is>
      </c>
      <c r="B36" s="17" t="n"/>
      <c r="C36" s="3" t="n">
        <v>2027</v>
      </c>
      <c r="D36" s="3" t="n">
        <v>2028</v>
      </c>
      <c r="E36" s="3" t="n">
        <v>2029</v>
      </c>
      <c r="F36" s="3" t="n">
        <v>2030</v>
      </c>
      <c r="G36" s="3" t="n">
        <v>2031</v>
      </c>
    </row>
    <row r="37">
      <c r="A37" s="6" t="inlineStr">
        <is>
          <t>Übernommener Jahresumsatz</t>
        </is>
      </c>
      <c r="C37" s="26">
        <f>ROUND(Annahmen!C17*Annahmen!$D$4,0)*Annahmen!$C$7*12*Annahmen!$C$9*(1+Annahmen!$C$11)+ROUND(Annahmen!C18*Annahmen!$D$4,0)*Annahmen!$C$10*(1+Annahmen!$C$11)</f>
        <v/>
      </c>
      <c r="D37" s="26">
        <f>ROUND(Annahmen!D17*Annahmen!$D$4,0)*Annahmen!$C$7*12*Annahmen!$C$9*(1+Annahmen!$C$11)+ROUND(Annahmen!D18*Annahmen!$D$4,0)*Annahmen!$C$10*(1+Annahmen!$C$11)</f>
        <v/>
      </c>
      <c r="E37" s="26">
        <f>ROUND(Annahmen!E17*Annahmen!$D$4,0)*Annahmen!$C$7*12*Annahmen!$C$9*(1+Annahmen!$C$11)+ROUND(Annahmen!E18*Annahmen!$D$4,0)*Annahmen!$C$10*(1+Annahmen!$C$11)</f>
        <v/>
      </c>
      <c r="F37" s="26">
        <f>ROUND(Annahmen!F17*Annahmen!$D$4,0)*Annahmen!$C$7*12*Annahmen!$C$9*(1+Annahmen!$C$11)+ROUND(Annahmen!F18*Annahmen!$D$4,0)*Annahmen!$C$10*(1+Annahmen!$C$11)</f>
        <v/>
      </c>
      <c r="G37" s="26">
        <f>ROUND(Annahmen!G17*Annahmen!$D$4,0)*Annahmen!$C$7*12*Annahmen!$C$9*(1+Annahmen!$C$11)+ROUND(Annahmen!G18*Annahmen!$D$4,0)*Annahmen!$C$10*(1+Annahmen!$C$11)</f>
        <v/>
      </c>
    </row>
    <row r="38">
      <c r="A38" s="6" t="inlineStr">
        <is>
          <t>Kaufpreis total</t>
        </is>
      </c>
      <c r="C38" s="26">
        <f>C37*Annahmen!$C$22</f>
        <v/>
      </c>
      <c r="D38" s="26">
        <f>D37*Annahmen!$C$22</f>
        <v/>
      </c>
      <c r="E38" s="26">
        <f>E37*Annahmen!$C$22</f>
        <v/>
      </c>
      <c r="F38" s="26">
        <f>F37*Annahmen!$C$22</f>
        <v/>
      </c>
      <c r="G38" s="26">
        <f>G37*Annahmen!$C$22</f>
        <v/>
      </c>
    </row>
    <row r="39">
      <c r="A39" s="6" t="inlineStr">
        <is>
          <t>davon bar bei Vollzug</t>
        </is>
      </c>
      <c r="C39" s="26">
        <f>C38*Annahmen!$C$23</f>
        <v/>
      </c>
      <c r="D39" s="26">
        <f>D38*Annahmen!$C$23</f>
        <v/>
      </c>
      <c r="E39" s="26">
        <f>E38*Annahmen!$C$23</f>
        <v/>
      </c>
      <c r="F39" s="26">
        <f>F38*Annahmen!$C$23</f>
        <v/>
      </c>
      <c r="G39" s="26">
        <f>G38*Annahmen!$C$23</f>
        <v/>
      </c>
    </row>
    <row r="40">
      <c r="A40" s="6" t="inlineStr">
        <is>
          <t>Earn-out fällig (aus Vorjahres-Deals)</t>
        </is>
      </c>
      <c r="C40" s="26">
        <f>0</f>
        <v/>
      </c>
      <c r="D40" s="26">
        <f>C38*Annahmen!$C$25</f>
        <v/>
      </c>
      <c r="E40" s="26">
        <f>D38*Annahmen!$C$25</f>
        <v/>
      </c>
      <c r="F40" s="26">
        <f>E38*Annahmen!$C$25</f>
        <v/>
      </c>
      <c r="G40" s="26">
        <f>F38*Annahmen!$C$25</f>
        <v/>
      </c>
    </row>
    <row r="41">
      <c r="A41" s="6" t="inlineStr">
        <is>
          <t>Verkäuferdarlehen neu</t>
        </is>
      </c>
      <c r="C41" s="26">
        <f>C38*Annahmen!$C$24</f>
        <v/>
      </c>
      <c r="D41" s="26">
        <f>D38*Annahmen!$C$24</f>
        <v/>
      </c>
      <c r="E41" s="26">
        <f>E38*Annahmen!$C$24</f>
        <v/>
      </c>
      <c r="F41" s="26">
        <f>F38*Annahmen!$C$24</f>
        <v/>
      </c>
      <c r="G41" s="26">
        <f>G38*Annahmen!$C$24</f>
        <v/>
      </c>
    </row>
    <row r="42">
      <c r="A42" s="6" t="inlineStr">
        <is>
          <t>Tilgung Verkäuferdarlehen</t>
        </is>
      </c>
      <c r="C42" s="26">
        <f>0</f>
        <v/>
      </c>
      <c r="D42" s="26">
        <f>(C41)/3</f>
        <v/>
      </c>
      <c r="E42" s="26">
        <f>(C41+D41)/3</f>
        <v/>
      </c>
      <c r="F42" s="26">
        <f>(C41+D41+E41)/3</f>
        <v/>
      </c>
      <c r="G42" s="26">
        <f>(D41+E41+F41)/3</f>
        <v/>
      </c>
    </row>
    <row r="43">
      <c r="A43" s="6" t="inlineStr">
        <is>
          <t>Verkäuferdarlehen Bestand Jahresende</t>
        </is>
      </c>
      <c r="C43" s="26">
        <f>0+C41-C42</f>
        <v/>
      </c>
      <c r="D43" s="26">
        <f>C43+D41-D42</f>
        <v/>
      </c>
      <c r="E43" s="26">
        <f>D43+E41-E42</f>
        <v/>
      </c>
      <c r="F43" s="26">
        <f>E43+F41-F42</f>
        <v/>
      </c>
      <c r="G43" s="26">
        <f>F43+G41-G42</f>
        <v/>
      </c>
    </row>
    <row r="45">
      <c r="A45" s="16" t="inlineStr">
        <is>
          <t>Geldfluss und Finanzierung (CHF)</t>
        </is>
      </c>
      <c r="B45" s="17" t="n"/>
      <c r="C45" s="3" t="n">
        <v>2027</v>
      </c>
      <c r="D45" s="3" t="n">
        <v>2028</v>
      </c>
      <c r="E45" s="3" t="n">
        <v>2029</v>
      </c>
      <c r="F45" s="3" t="n">
        <v>2030</v>
      </c>
      <c r="G45" s="3" t="n">
        <v>2031</v>
      </c>
    </row>
    <row r="46">
      <c r="A46" s="6" t="inlineStr">
        <is>
          <t>Geldfluss aus Betrieb (EBITDA − Zinsen − Steuern)</t>
        </is>
      </c>
      <c r="C46" s="26">
        <f>C28+C31+C33</f>
        <v/>
      </c>
      <c r="D46" s="26">
        <f>D28+D31+D33</f>
        <v/>
      </c>
      <c r="E46" s="26">
        <f>E28+E31+E33</f>
        <v/>
      </c>
      <c r="F46" s="26">
        <f>F28+F31+F33</f>
        <v/>
      </c>
      <c r="G46" s="26">
        <f>G28+G31+G33</f>
        <v/>
      </c>
    </row>
    <row r="47">
      <c r="A47" s="6" t="inlineStr">
        <is>
          <t>Übernahmen bar + Earn-out</t>
        </is>
      </c>
      <c r="C47" s="26">
        <f>-(C39+C40)</f>
        <v/>
      </c>
      <c r="D47" s="26">
        <f>-(D39+D40)</f>
        <v/>
      </c>
      <c r="E47" s="26">
        <f>-(E39+E40)</f>
        <v/>
      </c>
      <c r="F47" s="26">
        <f>-(F39+F40)</f>
        <v/>
      </c>
      <c r="G47" s="26">
        <f>-(G39+G40)</f>
        <v/>
      </c>
    </row>
    <row r="48">
      <c r="A48" s="6" t="inlineStr">
        <is>
          <t>Tilgung Verkäuferdarlehen</t>
        </is>
      </c>
      <c r="C48" s="26">
        <f>-C42</f>
        <v/>
      </c>
      <c r="D48" s="26">
        <f>-D42</f>
        <v/>
      </c>
      <c r="E48" s="26">
        <f>-E42</f>
        <v/>
      </c>
      <c r="F48" s="26">
        <f>-F42</f>
        <v/>
      </c>
      <c r="G48" s="26">
        <f>-G42</f>
        <v/>
      </c>
    </row>
    <row r="49">
      <c r="A49" s="6" t="inlineStr">
        <is>
          <t>Bankkredit neu</t>
        </is>
      </c>
      <c r="C49" s="26">
        <f>Annahmen!C47</f>
        <v/>
      </c>
      <c r="D49" s="26">
        <f>Annahmen!D47</f>
        <v/>
      </c>
      <c r="E49" s="26">
        <f>Annahmen!E47</f>
        <v/>
      </c>
      <c r="F49" s="26">
        <f>Annahmen!F47</f>
        <v/>
      </c>
      <c r="G49" s="26">
        <f>Annahmen!G47</f>
        <v/>
      </c>
    </row>
    <row r="50">
      <c r="A50" s="6" t="inlineStr">
        <is>
          <t>Tilgung Bankkredit</t>
        </is>
      </c>
      <c r="C50" s="26">
        <f>0</f>
        <v/>
      </c>
      <c r="D50" s="26">
        <f>-(C49)/Annahmen!$C$49</f>
        <v/>
      </c>
      <c r="E50" s="26">
        <f>-(C49+D49)/Annahmen!$C$49</f>
        <v/>
      </c>
      <c r="F50" s="26">
        <f>-(C49+D49+E49)/Annahmen!$C$49</f>
        <v/>
      </c>
      <c r="G50" s="26">
        <f>-(C49+D49+E49+F49)/Annahmen!$C$49</f>
        <v/>
      </c>
    </row>
    <row r="51">
      <c r="A51" s="6" t="inlineStr">
        <is>
          <t>Bankkredit Bestand Jahresende</t>
        </is>
      </c>
      <c r="C51" s="26">
        <f>0+C49+C50</f>
        <v/>
      </c>
      <c r="D51" s="26">
        <f>C51+D49+D50</f>
        <v/>
      </c>
      <c r="E51" s="26">
        <f>D51+E49+E50</f>
        <v/>
      </c>
      <c r="F51" s="26">
        <f>E51+F49+F50</f>
        <v/>
      </c>
      <c r="G51" s="26">
        <f>F51+G49+G50</f>
        <v/>
      </c>
    </row>
    <row r="52">
      <c r="A52" s="6" t="inlineStr">
        <is>
          <t>Eigenkapital-Einlagen</t>
        </is>
      </c>
      <c r="C52" s="26">
        <f>Annahmen!C46</f>
        <v/>
      </c>
      <c r="D52" s="26">
        <f>Annahmen!D46</f>
        <v/>
      </c>
      <c r="E52" s="26">
        <f>Annahmen!E46</f>
        <v/>
      </c>
      <c r="F52" s="26">
        <f>Annahmen!F46</f>
        <v/>
      </c>
      <c r="G52" s="26">
        <f>Annahmen!G46</f>
        <v/>
      </c>
    </row>
    <row r="53">
      <c r="A53" s="4" t="inlineStr">
        <is>
          <t>Veränderung liquide Mittel</t>
        </is>
      </c>
      <c r="C53" s="27">
        <f>C46+C47+C48+C49+C50+C52</f>
        <v/>
      </c>
      <c r="D53" s="27">
        <f>D46+D47+D48+D49+D50+D52</f>
        <v/>
      </c>
      <c r="E53" s="27">
        <f>E46+E47+E48+E49+E50+E52</f>
        <v/>
      </c>
      <c r="F53" s="27">
        <f>F46+F47+F48+F49+F50+F52</f>
        <v/>
      </c>
      <c r="G53" s="27">
        <f>G46+G47+G48+G49+G50+G52</f>
        <v/>
      </c>
    </row>
    <row r="54">
      <c r="A54" s="28" t="inlineStr">
        <is>
          <t>Liquide Mittel Jahresende</t>
        </is>
      </c>
      <c r="C54" s="29">
        <f>Annahmen!$C$50+C53</f>
        <v/>
      </c>
      <c r="D54" s="29">
        <f>C54+D53</f>
        <v/>
      </c>
      <c r="E54" s="29">
        <f>D54+E53</f>
        <v/>
      </c>
      <c r="F54" s="29">
        <f>E54+F53</f>
        <v/>
      </c>
      <c r="G54" s="29">
        <f>F54+G53</f>
        <v/>
      </c>
    </row>
    <row r="55">
      <c r="A55" s="6" t="inlineStr">
        <is>
          <t>Nettoverschuldung / EBITDA</t>
        </is>
      </c>
      <c r="C55" s="32">
        <f>IF(C28&lt;=0,"n. a.",(C51+C43-C54)/C28)</f>
        <v/>
      </c>
      <c r="D55" s="32">
        <f>IF(D28&lt;=0,"n. a.",(D51+D43-D54)/D28)</f>
        <v/>
      </c>
      <c r="E55" s="32">
        <f>IF(E28&lt;=0,"n. a.",(E51+E43-E54)/E28)</f>
        <v/>
      </c>
      <c r="F55" s="32">
        <f>IF(F28&lt;=0,"n. a.",(F51+F43-F54)/F28)</f>
        <v/>
      </c>
      <c r="G55" s="32">
        <f>IF(G28&lt;=0,"n. a.",(G51+G43-G54)/G28)</f>
        <v/>
      </c>
    </row>
    <row r="57">
      <c r="A57" s="16" t="inlineStr">
        <is>
          <t>Kennzahlen</t>
        </is>
      </c>
      <c r="B57" s="17" t="n"/>
      <c r="C57" s="3" t="n">
        <v>2027</v>
      </c>
      <c r="D57" s="3" t="n">
        <v>2028</v>
      </c>
      <c r="E57" s="3" t="n">
        <v>2029</v>
      </c>
      <c r="F57" s="3" t="n">
        <v>2030</v>
      </c>
      <c r="G57" s="3" t="n">
        <v>2031</v>
      </c>
    </row>
    <row r="58">
      <c r="A58" s="6" t="inlineStr">
        <is>
          <t>Umsatz je Mitarbeitende/r (FTE total)</t>
        </is>
      </c>
      <c r="C58" s="26">
        <f>C18/(C19+C20+ROUND(Annahmen!C35/150000,0))</f>
        <v/>
      </c>
      <c r="D58" s="26">
        <f>D18/(D19+D20+ROUND(Annahmen!D35/150000,0))</f>
        <v/>
      </c>
      <c r="E58" s="26">
        <f>E18/(E19+E20+ROUND(Annahmen!E35/150000,0))</f>
        <v/>
      </c>
      <c r="F58" s="26">
        <f>F18/(F19+F20+ROUND(Annahmen!F35/150000,0))</f>
        <v/>
      </c>
      <c r="G58" s="26">
        <f>G18/(G19+G20+ROUND(Annahmen!G35/150000,0))</f>
        <v/>
      </c>
    </row>
    <row r="59">
      <c r="A59" s="6" t="inlineStr">
        <is>
          <t>Mitarbeitende FTE total</t>
        </is>
      </c>
      <c r="C59" s="30">
        <f>C19+C20+ROUND(Annahmen!C35/150000,0)</f>
        <v/>
      </c>
      <c r="D59" s="30">
        <f>D19+D20+ROUND(Annahmen!D35/150000,0)</f>
        <v/>
      </c>
      <c r="E59" s="30">
        <f>E19+E20+ROUND(Annahmen!E35/150000,0)</f>
        <v/>
      </c>
      <c r="F59" s="30">
        <f>F19+F20+ROUND(Annahmen!F35/150000,0)</f>
        <v/>
      </c>
      <c r="G59" s="30">
        <f>G19+G20+ROUND(Annahmen!G35/150000,0)</f>
        <v/>
      </c>
    </row>
    <row r="60">
      <c r="A60" s="6" t="inlineStr">
        <is>
          <t>Umsatz-Laufrate Jahresende (Run-Rate)</t>
        </is>
      </c>
      <c r="C60" s="26">
        <f>(C9*Annahmen!$C$7*12*Annahmen!$C$8+C10*Annahmen!$C$10)*(1+Annahmen!$C$11)</f>
        <v/>
      </c>
      <c r="D60" s="26">
        <f>(D9*Annahmen!$C$7*12*Annahmen!$C$8+D10*Annahmen!$C$10)*(1+Annahmen!$C$11)</f>
        <v/>
      </c>
      <c r="E60" s="26">
        <f>(E9*Annahmen!$C$7*12*Annahmen!$C$8+E10*Annahmen!$C$10)*(1+Annahmen!$C$11)</f>
        <v/>
      </c>
      <c r="F60" s="26">
        <f>(F9*Annahmen!$C$7*12*Annahmen!$C$8+F10*Annahmen!$C$10)*(1+Annahmen!$C$11)</f>
        <v/>
      </c>
      <c r="G60" s="26">
        <f>(G9*Annahmen!$C$7*12*Annahmen!$C$8+G10*Annahmen!$C$10)*(1+Annahmen!$C$11)</f>
        <v/>
      </c>
    </row>
    <row r="61">
      <c r="A61" s="4" t="inlineStr">
        <is>
          <t>Ziel CHF 10 Mio. Umsatz erreicht?</t>
        </is>
      </c>
      <c r="C61" s="33">
        <f>IF(C18&gt;=10000000,"JA","nein")</f>
        <v/>
      </c>
      <c r="D61" s="33">
        <f>IF(D18&gt;=10000000,"JA","nein")</f>
        <v/>
      </c>
      <c r="E61" s="33">
        <f>IF(E18&gt;=10000000,"JA","nein")</f>
        <v/>
      </c>
      <c r="F61" s="33">
        <f>IF(F18&gt;=10000000,"JA","nein")</f>
        <v/>
      </c>
      <c r="G61" s="33">
        <f>IF(G18&gt;=10000000,"JA","nein")</f>
        <v/>
      </c>
    </row>
  </sheetData>
  <conditionalFormatting sqref="C54:G54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2026-09-25T12:16:25Z</dcterms:created>
  <dcterms:modified xsi:type="dcterms:W3CDTF">2026-09-25T12:16:25Z</dcterms:modified>
</cp:coreProperties>
</file>